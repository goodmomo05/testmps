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L:\Assembly Planning\CIE Golde\MPS\2026\WK 20\"/>
    </mc:Choice>
  </mc:AlternateContent>
  <xr:revisionPtr revIDLastSave="0" documentId="13_ncr:1_{39F50AE2-7C84-4EEF-8184-C1DE4EF0459B}" xr6:coauthVersionLast="47" xr6:coauthVersionMax="47" xr10:uidLastSave="{00000000-0000-0000-0000-000000000000}"/>
  <x:bookViews>
    <x:workbookView xWindow="-120" yWindow="-120" windowWidth="29040" windowHeight="15720" firstSheet="0" activeTab="1" xr2:uid="{00000000-000D-0000-FFFF-FFFF00000000}"/>
  </x:bookViews>
  <x:sheets>
    <x:sheet name="T-PSD-B4" sheetId="4" r:id="rId1"/>
    <x:sheet name="B-PSD-B4" sheetId="3" r:id="rId2"/>
    <x:sheet name="WIP" sheetId="7" r:id="rId7"/>
    <x:sheet name="Plan" sheetId="8" r:id="rId8"/>
    <x:sheet name="OS" sheetId="9" r:id="rId9"/>
    <x:sheet name="Sales" sheetId="10" r:id="rId10"/>
  </x:sheets>
  <x:definedNames/>
  <x:calcPr calcId="191029" calcMode="auto" fullCalcOnLoad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2" i="4"/>
  <x:c r="H12" i="4"/>
  <x:c r="I12" i="4"/>
  <x:c r="J12" i="4"/>
  <x:c r="K12" i="4"/>
  <x:c r="L12" i="4" a="1"/>
  <x:c r="L12" i="4"/>
  <x:c r="L13" i="4"/>
  <x:c r="L14" i="4"/>
  <x:c r="L15" i="4"/>
  <x:c r="L16" i="4"/>
  <x:c r="L17" i="4"/>
  <x:c r="L18" i="4"/>
  <x:c r="L19" i="4"/>
  <x:c r="L20" i="4"/>
  <x:c r="L21" i="4"/>
  <x:c r="L22" i="4"/>
  <x:c r="L23" i="4"/>
  <x:c r="L24" i="4"/>
  <x:c r="L25" i="4"/>
  <x:c r="L26" i="4"/>
  <x:c r="L27" i="4"/>
  <x:c r="L28" i="4"/>
  <x:c r="L29" i="4"/>
  <x:c r="L30" i="4"/>
  <x:c r="L31" i="4"/>
  <x:c r="L32" i="4"/>
  <x:c r="L33" i="4"/>
  <x:c r="L34" i="4"/>
  <x:c r="L35" i="4"/>
  <x:c r="L36" i="4"/>
  <x:c r="L37" i="4"/>
  <x:c r="L38" i="4"/>
  <x:c r="L39" i="4"/>
  <x:c r="L40" i="4"/>
  <x:c r="L41" i="4"/>
  <x:c r="L42" i="4"/>
  <x:c r="L43" i="4"/>
  <x:c r="L44" i="4"/>
  <x:c r="L45" i="4"/>
  <x:c r="L46" i="4"/>
  <x:c r="L47" i="4"/>
  <x:c r="L48" i="4"/>
  <x:c r="L49" i="4"/>
  <x:c r="L50" i="4"/>
  <x:c r="L51" i="4"/>
  <x:c r="L52" i="4"/>
  <x:c r="L53" i="4"/>
  <x:c r="L54" i="4"/>
  <x:c r="L55" i="4"/>
  <x:c r="L56" i="4"/>
  <x:c r="L57" i="4"/>
  <x:c r="L58" i="4"/>
  <x:c r="L59" i="4"/>
  <x:c r="L60" i="4"/>
  <x:c r="L61" i="4"/>
  <x:c r="L62" i="4"/>
  <x:c r="L63" i="4"/>
  <x:c r="L64" i="4"/>
  <x:c r="L65" i="4"/>
  <x:c r="L66" i="4"/>
  <x:c r="L67" i="4"/>
  <x:c r="L68" i="4"/>
  <x:c r="L69" i="4"/>
  <x:c r="L70" i="4"/>
  <x:c r="L71" i="4"/>
  <x:c r="L72" i="4"/>
  <x:c r="L73" i="4"/>
  <x:c r="L74" i="4"/>
  <x:c r="L75" i="4"/>
  <x:c r="L76" i="4"/>
  <x:c r="L77" i="4"/>
  <x:c r="L78" i="4"/>
  <x:c r="L79" i="4"/>
  <x:c r="L80" i="4"/>
  <x:c r="L81" i="4"/>
  <x:c r="L82" i="4"/>
  <x:c r="L83" i="4"/>
  <x:c r="L84" i="4"/>
  <x:c r="L85" i="4"/>
  <x:c r="L86" i="4"/>
  <x:c r="L87" i="4"/>
  <x:c r="L88" i="4"/>
  <x:c r="L89" i="4"/>
  <x:c r="M12" i="4"/>
  <x:c r="R12" i="4"/>
  <x:c r="U12" i="4"/>
  <x:c r="V12" i="4"/>
  <x:c r="Y12" i="4"/>
  <x:c r="Z12" i="4"/>
  <x:c r="AC12" i="4"/>
  <x:c r="AD12" i="4"/>
  <x:c r="AE12" i="4"/>
  <x:c r="AG12" i="4"/>
  <x:c r="AH12" i="4"/>
  <x:c r="AI12" i="4"/>
  <x:c r="G13" i="4"/>
  <x:c r="I13" i="4"/>
  <x:c r="J13" i="4"/>
  <x:c r="K13" i="4"/>
  <x:c r="M13" i="4"/>
  <x:c r="R13" i="4"/>
  <x:c r="U13" i="4"/>
  <x:c r="V13" i="4"/>
  <x:c r="Y13" i="4"/>
  <x:c r="Z13" i="4"/>
  <x:c r="AC13" i="4"/>
  <x:c r="AD13" i="4"/>
  <x:c r="AE13" i="4"/>
  <x:c r="AG13" i="4"/>
  <x:c r="AH13" i="4"/>
  <x:c r="AI13" i="4"/>
  <x:c r="G14" i="4"/>
  <x:c r="I14" i="4"/>
  <x:c r="J14" i="4"/>
  <x:c r="K14" i="4"/>
  <x:c r="M14" i="4"/>
  <x:c r="R14" i="4"/>
  <x:c r="U14" i="4"/>
  <x:c r="V14" i="4"/>
  <x:c r="Y14" i="4"/>
  <x:c r="Z14" i="4"/>
  <x:c r="AC14" i="4"/>
  <x:c r="AD14" i="4"/>
  <x:c r="AE14" i="4"/>
  <x:c r="AG14" i="4"/>
  <x:c r="AH14" i="4"/>
  <x:c r="AI14" i="4"/>
  <x:c r="G15" i="4"/>
  <x:c r="I15" i="4"/>
  <x:c r="J15" i="4"/>
  <x:c r="K15" i="4"/>
  <x:c r="M15" i="4"/>
  <x:c r="R15" i="4"/>
  <x:c r="U15" i="4"/>
  <x:c r="V15" i="4"/>
  <x:c r="Y15" i="4"/>
  <x:c r="Z15" i="4"/>
  <x:c r="AC15" i="4"/>
  <x:c r="AD15" i="4"/>
  <x:c r="AE15" i="4"/>
  <x:c r="AG15" i="4"/>
  <x:c r="AH15" i="4"/>
  <x:c r="AI15" i="4"/>
  <x:c r="G16" i="4"/>
  <x:c r="I16" i="4"/>
  <x:c r="J16" i="4"/>
  <x:c r="K16" i="4"/>
  <x:c r="M16" i="4"/>
  <x:c r="R16" i="4"/>
  <x:c r="U16" i="4"/>
  <x:c r="V16" i="4"/>
  <x:c r="Y16" i="4"/>
  <x:c r="Z16" i="4"/>
  <x:c r="AC16" i="4"/>
  <x:c r="AD16" i="4"/>
  <x:c r="AE16" i="4"/>
  <x:c r="AG16" i="4"/>
  <x:c r="AH16" i="4"/>
  <x:c r="AI16" i="4"/>
  <x:c r="G17" i="4"/>
  <x:c r="I17" i="4"/>
  <x:c r="J17" i="4"/>
  <x:c r="K17" i="4"/>
  <x:c r="M17" i="4"/>
  <x:c r="R17" i="4"/>
  <x:c r="U17" i="4"/>
  <x:c r="V17" i="4"/>
  <x:c r="Y17" i="4"/>
  <x:c r="Z17" i="4"/>
  <x:c r="AC17" i="4"/>
  <x:c r="AD17" i="4"/>
  <x:c r="AE17" i="4"/>
  <x:c r="AG17" i="4"/>
  <x:c r="AH17" i="4"/>
  <x:c r="AI17" i="4"/>
  <x:c r="G18" i="4"/>
  <x:c r="I18" i="4"/>
  <x:c r="J18" i="4"/>
  <x:c r="K18" i="4"/>
  <x:c r="M18" i="4"/>
  <x:c r="R18" i="4"/>
  <x:c r="U18" i="4"/>
  <x:c r="V18" i="4"/>
  <x:c r="Y18" i="4"/>
  <x:c r="Z18" i="4"/>
  <x:c r="AC18" i="4"/>
  <x:c r="AD18" i="4"/>
  <x:c r="AE18" i="4"/>
  <x:c r="AG18" i="4"/>
  <x:c r="AH18" i="4"/>
  <x:c r="AI18" i="4"/>
  <x:c r="G19" i="4"/>
  <x:c r="I19" i="4"/>
  <x:c r="J19" i="4"/>
  <x:c r="K19" i="4"/>
  <x:c r="M19" i="4"/>
  <x:c r="R19" i="4"/>
  <x:c r="U19" i="4"/>
  <x:c r="V19" i="4"/>
  <x:c r="Y19" i="4"/>
  <x:c r="Z19" i="4"/>
  <x:c r="AC19" i="4"/>
  <x:c r="AD19" i="4"/>
  <x:c r="AE19" i="4"/>
  <x:c r="AG19" i="4"/>
  <x:c r="AH19" i="4"/>
  <x:c r="AI19" i="4"/>
  <x:c r="G20" i="4"/>
  <x:c r="I20" i="4"/>
  <x:c r="J20" i="4"/>
  <x:c r="K20" i="4"/>
  <x:c r="M20" i="4"/>
  <x:c r="R20" i="4"/>
  <x:c r="U20" i="4"/>
  <x:c r="V20" i="4"/>
  <x:c r="Y20" i="4"/>
  <x:c r="Z20" i="4"/>
  <x:c r="AC20" i="4"/>
  <x:c r="AD20" i="4"/>
  <x:c r="AE20" i="4"/>
  <x:c r="AG20" i="4"/>
  <x:c r="AH20" i="4"/>
  <x:c r="AI20" i="4"/>
  <x:c r="G21" i="4"/>
  <x:c r="I21" i="4"/>
  <x:c r="J21" i="4"/>
  <x:c r="K21" i="4"/>
  <x:c r="M21" i="4"/>
  <x:c r="R21" i="4"/>
  <x:c r="U21" i="4"/>
  <x:c r="V21" i="4"/>
  <x:c r="Y21" i="4"/>
  <x:c r="Z21" i="4"/>
  <x:c r="AC21" i="4"/>
  <x:c r="AD21" i="4"/>
  <x:c r="AE21" i="4"/>
  <x:c r="AG21" i="4"/>
  <x:c r="AH21" i="4"/>
  <x:c r="AI21" i="4"/>
  <x:c r="G22" i="4"/>
  <x:c r="I22" i="4"/>
  <x:c r="J22" i="4"/>
  <x:c r="K22" i="4"/>
  <x:c r="M22" i="4"/>
  <x:c r="R22" i="4"/>
  <x:c r="U22" i="4"/>
  <x:c r="V22" i="4"/>
  <x:c r="Y22" i="4"/>
  <x:c r="Z22" i="4"/>
  <x:c r="AC22" i="4"/>
  <x:c r="AD22" i="4"/>
  <x:c r="AE22" i="4"/>
  <x:c r="AG22" i="4"/>
  <x:c r="AH22" i="4"/>
  <x:c r="AI22" i="4"/>
  <x:c r="G23" i="4"/>
  <x:c r="I23" i="4"/>
  <x:c r="J23" i="4"/>
  <x:c r="K23" i="4"/>
  <x:c r="M23" i="4"/>
  <x:c r="R23" i="4"/>
  <x:c r="U23" i="4"/>
  <x:c r="V23" i="4"/>
  <x:c r="Y23" i="4"/>
  <x:c r="Z23" i="4"/>
  <x:c r="AC23" i="4"/>
  <x:c r="AD23" i="4"/>
  <x:c r="AE23" i="4"/>
  <x:c r="AF23" i="4"/>
  <x:c r="AG23" i="4"/>
  <x:c r="AH23" i="4"/>
  <x:c r="AI23" i="4"/>
  <x:c r="G24" i="4"/>
  <x:c r="I24" i="4"/>
  <x:c r="J24" i="4"/>
  <x:c r="K24" i="4"/>
  <x:c r="M24" i="4"/>
  <x:c r="R24" i="4"/>
  <x:c r="U24" i="4"/>
  <x:c r="V24" i="4"/>
  <x:c r="Y24" i="4"/>
  <x:c r="Z24" i="4"/>
  <x:c r="AC24" i="4"/>
  <x:c r="AD24" i="4"/>
  <x:c r="AE24" i="4"/>
  <x:c r="AF24" i="4"/>
  <x:c r="AG24" i="4"/>
  <x:c r="AH24" i="4"/>
  <x:c r="AI24" i="4"/>
  <x:c r="G25" i="4"/>
  <x:c r="I25" i="4"/>
  <x:c r="J25" i="4"/>
  <x:c r="K25" i="4"/>
  <x:c r="M25" i="4"/>
  <x:c r="R25" i="4"/>
  <x:c r="U25" i="4"/>
  <x:c r="V25" i="4"/>
  <x:c r="Y25" i="4"/>
  <x:c r="Z25" i="4"/>
  <x:c r="AC25" i="4"/>
  <x:c r="AD25" i="4"/>
  <x:c r="AE25" i="4"/>
  <x:c r="AF25" i="4"/>
  <x:c r="AG25" i="4"/>
  <x:c r="AH25" i="4"/>
  <x:c r="AI25" i="4"/>
  <x:c r="G26" i="4"/>
  <x:c r="I26" i="4"/>
  <x:c r="J26" i="4"/>
  <x:c r="K26" i="4"/>
  <x:c r="M26" i="4"/>
  <x:c r="R26" i="4"/>
  <x:c r="U26" i="4"/>
  <x:c r="V26" i="4"/>
  <x:c r="Y26" i="4"/>
  <x:c r="Z26" i="4"/>
  <x:c r="AC26" i="4"/>
  <x:c r="AD26" i="4"/>
  <x:c r="AE26" i="4"/>
  <x:c r="AF26" i="4"/>
  <x:c r="AG26" i="4"/>
  <x:c r="AH26" i="4"/>
  <x:c r="AI26" i="4"/>
  <x:c r="G27" i="4"/>
  <x:c r="I27" i="4"/>
  <x:c r="J27" i="4"/>
  <x:c r="K27" i="4"/>
  <x:c r="M27" i="4"/>
  <x:c r="R27" i="4"/>
  <x:c r="U27" i="4"/>
  <x:c r="V27" i="4"/>
  <x:c r="Y27" i="4"/>
  <x:c r="Z27" i="4"/>
  <x:c r="AC27" i="4"/>
  <x:c r="AD27" i="4"/>
  <x:c r="AE27" i="4"/>
  <x:c r="AF27" i="4"/>
  <x:c r="AG27" i="4"/>
  <x:c r="AH27" i="4"/>
  <x:c r="AI27" i="4"/>
  <x:c r="G28" i="4"/>
  <x:c r="I28" i="4"/>
  <x:c r="J28" i="4"/>
  <x:c r="K28" i="4"/>
  <x:c r="M28" i="4"/>
  <x:c r="R28" i="4"/>
  <x:c r="U28" i="4"/>
  <x:c r="V28" i="4"/>
  <x:c r="Y28" i="4"/>
  <x:c r="Z28" i="4"/>
  <x:c r="AC28" i="4"/>
  <x:c r="AD28" i="4"/>
  <x:c r="AE28" i="4"/>
  <x:c r="AF28" i="4"/>
  <x:c r="AG28" i="4"/>
  <x:c r="AH28" i="4"/>
  <x:c r="AI28" i="4"/>
  <x:c r="G29" i="4"/>
  <x:c r="I29" i="4"/>
  <x:c r="J29" i="4"/>
  <x:c r="K29" i="4"/>
  <x:c r="M29" i="4"/>
  <x:c r="R29" i="4"/>
  <x:c r="U29" i="4"/>
  <x:c r="V29" i="4"/>
  <x:c r="Y29" i="4"/>
  <x:c r="Z29" i="4"/>
  <x:c r="AC29" i="4"/>
  <x:c r="AD29" i="4"/>
  <x:c r="AE29" i="4"/>
  <x:c r="AF29" i="4"/>
  <x:c r="AG29" i="4"/>
  <x:c r="AH29" i="4"/>
  <x:c r="AI29" i="4"/>
  <x:c r="G30" i="4"/>
  <x:c r="I30" i="4"/>
  <x:c r="J30" i="4"/>
  <x:c r="K30" i="4"/>
  <x:c r="M30" i="4"/>
  <x:c r="R30" i="4"/>
  <x:c r="U30" i="4"/>
  <x:c r="V30" i="4"/>
  <x:c r="Y30" i="4"/>
  <x:c r="Z30" i="4"/>
  <x:c r="AC30" i="4"/>
  <x:c r="AD30" i="4"/>
  <x:c r="AE30" i="4"/>
  <x:c r="AF30" i="4"/>
  <x:c r="AG30" i="4"/>
  <x:c r="AH30" i="4"/>
  <x:c r="AI30" i="4"/>
  <x:c r="G31" i="4"/>
  <x:c r="I31" i="4"/>
  <x:c r="J31" i="4"/>
  <x:c r="K31" i="4"/>
  <x:c r="M31" i="4"/>
  <x:c r="R31" i="4"/>
  <x:c r="U31" i="4"/>
  <x:c r="V31" i="4"/>
  <x:c r="Y31" i="4"/>
  <x:c r="Z31" i="4"/>
  <x:c r="AC31" i="4"/>
  <x:c r="AD31" i="4"/>
  <x:c r="AE31" i="4"/>
  <x:c r="AF31" i="4"/>
  <x:c r="AG31" i="4"/>
  <x:c r="AH31" i="4"/>
  <x:c r="AI31" i="4"/>
  <x:c r="G32" i="4"/>
  <x:c r="I32" i="4"/>
  <x:c r="J32" i="4"/>
  <x:c r="K32" i="4"/>
  <x:c r="M32" i="4"/>
  <x:c r="R32" i="4"/>
  <x:c r="U32" i="4"/>
  <x:c r="V32" i="4"/>
  <x:c r="Y32" i="4"/>
  <x:c r="Z32" i="4"/>
  <x:c r="AC32" i="4"/>
  <x:c r="AD32" i="4"/>
  <x:c r="AE32" i="4"/>
  <x:c r="AF32" i="4"/>
  <x:c r="AG32" i="4"/>
  <x:c r="AH32" i="4"/>
  <x:c r="AI32" i="4"/>
  <x:c r="G33" i="4"/>
  <x:c r="I33" i="4"/>
  <x:c r="J33" i="4"/>
  <x:c r="K33" i="4"/>
  <x:c r="M33" i="4"/>
  <x:c r="R33" i="4"/>
  <x:c r="U33" i="4"/>
  <x:c r="V33" i="4"/>
  <x:c r="Y33" i="4"/>
  <x:c r="Z33" i="4"/>
  <x:c r="AC33" i="4"/>
  <x:c r="AD33" i="4"/>
  <x:c r="AE33" i="4"/>
  <x:c r="AF33" i="4"/>
  <x:c r="AG33" i="4"/>
  <x:c r="AH33" i="4"/>
  <x:c r="AI33" i="4"/>
  <x:c r="G34" i="4"/>
  <x:c r="I34" i="4"/>
  <x:c r="J34" i="4"/>
  <x:c r="K34" i="4"/>
  <x:c r="M34" i="4"/>
  <x:c r="R34" i="4"/>
  <x:c r="U34" i="4"/>
  <x:c r="V34" i="4"/>
  <x:c r="Y34" i="4"/>
  <x:c r="Z34" i="4"/>
  <x:c r="AC34" i="4"/>
  <x:c r="AD34" i="4"/>
  <x:c r="AE34" i="4"/>
  <x:c r="AF34" i="4"/>
  <x:c r="AG34" i="4"/>
  <x:c r="AH34" i="4"/>
  <x:c r="AI34" i="4"/>
  <x:c r="G35" i="4"/>
  <x:c r="I35" i="4"/>
  <x:c r="J35" i="4"/>
  <x:c r="K35" i="4"/>
  <x:c r="M35" i="4"/>
  <x:c r="R35" i="4"/>
  <x:c r="U35" i="4"/>
  <x:c r="V35" i="4"/>
  <x:c r="Y35" i="4"/>
  <x:c r="Z35" i="4"/>
  <x:c r="AC35" i="4"/>
  <x:c r="AD35" i="4"/>
  <x:c r="AE35" i="4"/>
  <x:c r="AF35" i="4"/>
  <x:c r="AG35" i="4"/>
  <x:c r="AH35" i="4"/>
  <x:c r="AI35" i="4"/>
  <x:c r="G36" i="4"/>
  <x:c r="I36" i="4"/>
  <x:c r="J36" i="4"/>
  <x:c r="K36" i="4"/>
  <x:c r="M36" i="4"/>
  <x:c r="R36" i="4"/>
  <x:c r="U36" i="4"/>
  <x:c r="V36" i="4"/>
  <x:c r="Y36" i="4"/>
  <x:c r="Z36" i="4"/>
  <x:c r="AC36" i="4"/>
  <x:c r="AD36" i="4"/>
  <x:c r="AE36" i="4"/>
  <x:c r="AF36" i="4"/>
  <x:c r="AG36" i="4"/>
  <x:c r="AH36" i="4"/>
  <x:c r="AI36" i="4"/>
  <x:c r="G37" i="4"/>
  <x:c r="I37" i="4"/>
  <x:c r="J37" i="4"/>
  <x:c r="K37" i="4"/>
  <x:c r="M37" i="4"/>
  <x:c r="R37" i="4"/>
  <x:c r="U37" i="4"/>
  <x:c r="V37" i="4"/>
  <x:c r="Y37" i="4"/>
  <x:c r="Z37" i="4"/>
  <x:c r="AC37" i="4"/>
  <x:c r="AD37" i="4"/>
  <x:c r="AE37" i="4"/>
  <x:c r="AF37" i="4"/>
  <x:c r="AG37" i="4"/>
  <x:c r="AH37" i="4"/>
  <x:c r="AI37" i="4"/>
  <x:c r="G38" i="4"/>
  <x:c r="I38" i="4"/>
  <x:c r="J38" i="4"/>
  <x:c r="K38" i="4"/>
  <x:c r="M38" i="4"/>
  <x:c r="R38" i="4"/>
  <x:c r="U38" i="4"/>
  <x:c r="V38" i="4"/>
  <x:c r="Y38" i="4"/>
  <x:c r="Z38" i="4"/>
  <x:c r="AC38" i="4"/>
  <x:c r="AD38" i="4"/>
  <x:c r="AE38" i="4"/>
  <x:c r="AF38" i="4"/>
  <x:c r="AG38" i="4"/>
  <x:c r="AH38" i="4"/>
  <x:c r="AI38" i="4"/>
  <x:c r="G39" i="4"/>
  <x:c r="I39" i="4"/>
  <x:c r="J39" i="4"/>
  <x:c r="K39" i="4"/>
  <x:c r="M39" i="4"/>
  <x:c r="R39" i="4"/>
  <x:c r="U39" i="4"/>
  <x:c r="V39" i="4"/>
  <x:c r="Y39" i="4"/>
  <x:c r="Z39" i="4"/>
  <x:c r="AC39" i="4"/>
  <x:c r="AD39" i="4"/>
  <x:c r="AE39" i="4"/>
  <x:c r="AF39" i="4"/>
  <x:c r="AG39" i="4"/>
  <x:c r="AH39" i="4"/>
  <x:c r="AI39" i="4"/>
  <x:c r="G40" i="4"/>
  <x:c r="I40" i="4"/>
  <x:c r="J40" i="4"/>
  <x:c r="K40" i="4"/>
  <x:c r="M40" i="4"/>
  <x:c r="R40" i="4"/>
  <x:c r="U40" i="4"/>
  <x:c r="V40" i="4"/>
  <x:c r="Y40" i="4"/>
  <x:c r="Z40" i="4"/>
  <x:c r="AC40" i="4"/>
  <x:c r="AD40" i="4"/>
  <x:c r="AE40" i="4"/>
  <x:c r="AF40" i="4"/>
  <x:c r="AG40" i="4"/>
  <x:c r="AH40" i="4"/>
  <x:c r="AI40" i="4"/>
  <x:c r="G41" i="4"/>
  <x:c r="I41" i="4"/>
  <x:c r="J41" i="4"/>
  <x:c r="K41" i="4"/>
  <x:c r="M41" i="4"/>
  <x:c r="R41" i="4"/>
  <x:c r="U41" i="4"/>
  <x:c r="V41" i="4"/>
  <x:c r="Y41" i="4"/>
  <x:c r="Z41" i="4"/>
  <x:c r="AC41" i="4"/>
  <x:c r="AD41" i="4"/>
  <x:c r="AE41" i="4"/>
  <x:c r="AF41" i="4"/>
  <x:c r="AG41" i="4"/>
  <x:c r="AH41" i="4"/>
  <x:c r="AI41" i="4"/>
  <x:c r="G42" i="4"/>
  <x:c r="I42" i="4"/>
  <x:c r="J42" i="4"/>
  <x:c r="K42" i="4"/>
  <x:c r="M42" i="4"/>
  <x:c r="R42" i="4"/>
  <x:c r="U42" i="4"/>
  <x:c r="V42" i="4"/>
  <x:c r="Y42" i="4"/>
  <x:c r="Z42" i="4"/>
  <x:c r="AC42" i="4"/>
  <x:c r="AD42" i="4"/>
  <x:c r="AE42" i="4"/>
  <x:c r="AF42" i="4"/>
  <x:c r="AG42" i="4"/>
  <x:c r="AH42" i="4"/>
  <x:c r="AI42" i="4"/>
  <x:c r="G43" i="4"/>
  <x:c r="I43" i="4"/>
  <x:c r="J43" i="4"/>
  <x:c r="K43" i="4"/>
  <x:c r="M43" i="4"/>
  <x:c r="R43" i="4"/>
  <x:c r="U43" i="4"/>
  <x:c r="V43" i="4"/>
  <x:c r="Y43" i="4"/>
  <x:c r="Z43" i="4"/>
  <x:c r="AC43" i="4"/>
  <x:c r="AD43" i="4"/>
  <x:c r="AE43" i="4"/>
  <x:c r="AF43" i="4"/>
  <x:c r="AG43" i="4"/>
  <x:c r="AH43" i="4"/>
  <x:c r="AI43" i="4"/>
  <x:c r="G44" i="4"/>
  <x:c r="I44" i="4"/>
  <x:c r="J44" i="4"/>
  <x:c r="K44" i="4"/>
  <x:c r="M44" i="4"/>
  <x:c r="R44" i="4"/>
  <x:c r="U44" i="4"/>
  <x:c r="V44" i="4"/>
  <x:c r="Y44" i="4"/>
  <x:c r="Z44" i="4"/>
  <x:c r="AC44" i="4"/>
  <x:c r="AD44" i="4"/>
  <x:c r="AE44" i="4"/>
  <x:c r="AF44" i="4"/>
  <x:c r="AG44" i="4"/>
  <x:c r="AH44" i="4"/>
  <x:c r="AI44" i="4"/>
  <x:c r="G45" i="4"/>
  <x:c r="I45" i="4"/>
  <x:c r="J45" i="4"/>
  <x:c r="K45" i="4"/>
  <x:c r="M45" i="4"/>
  <x:c r="R45" i="4"/>
  <x:c r="U45" i="4"/>
  <x:c r="V45" i="4"/>
  <x:c r="Y45" i="4"/>
  <x:c r="Z45" i="4"/>
  <x:c r="AC45" i="4"/>
  <x:c r="AD45" i="4"/>
  <x:c r="AE45" i="4"/>
  <x:c r="AF45" i="4"/>
  <x:c r="AG45" i="4"/>
  <x:c r="AH45" i="4"/>
  <x:c r="AI45" i="4"/>
  <x:c r="G46" i="4"/>
  <x:c r="I46" i="4"/>
  <x:c r="J46" i="4"/>
  <x:c r="K46" i="4"/>
  <x:c r="M46" i="4"/>
  <x:c r="R46" i="4"/>
  <x:c r="U46" i="4"/>
  <x:c r="V46" i="4"/>
  <x:c r="Y46" i="4"/>
  <x:c r="Z46" i="4"/>
  <x:c r="AC46" i="4"/>
  <x:c r="AD46" i="4"/>
  <x:c r="AE46" i="4"/>
  <x:c r="AF46" i="4"/>
  <x:c r="AG46" i="4"/>
  <x:c r="AH46" i="4"/>
  <x:c r="AI46" i="4"/>
  <x:c r="G47" i="4"/>
  <x:c r="I47" i="4"/>
  <x:c r="J47" i="4"/>
  <x:c r="K47" i="4"/>
  <x:c r="M47" i="4"/>
  <x:c r="R47" i="4"/>
  <x:c r="U47" i="4"/>
  <x:c r="V47" i="4"/>
  <x:c r="Y47" i="4"/>
  <x:c r="Z47" i="4"/>
  <x:c r="AC47" i="4"/>
  <x:c r="AD47" i="4"/>
  <x:c r="AE47" i="4"/>
  <x:c r="AF47" i="4"/>
  <x:c r="AG47" i="4"/>
  <x:c r="AH47" i="4"/>
  <x:c r="AI47" i="4"/>
  <x:c r="G48" i="4"/>
  <x:c r="I48" i="4"/>
  <x:c r="J48" i="4"/>
  <x:c r="K48" i="4"/>
  <x:c r="M48" i="4"/>
  <x:c r="R48" i="4"/>
  <x:c r="U48" i="4"/>
  <x:c r="V48" i="4"/>
  <x:c r="Y48" i="4"/>
  <x:c r="Z48" i="4"/>
  <x:c r="AC48" i="4"/>
  <x:c r="AD48" i="4"/>
  <x:c r="AE48" i="4"/>
  <x:c r="AF48" i="4"/>
  <x:c r="AG48" i="4"/>
  <x:c r="AH48" i="4"/>
  <x:c r="AI48" i="4"/>
  <x:c r="G49" i="4"/>
  <x:c r="I49" i="4"/>
  <x:c r="J49" i="4"/>
  <x:c r="K49" i="4"/>
  <x:c r="M49" i="4"/>
  <x:c r="R49" i="4"/>
  <x:c r="U49" i="4"/>
  <x:c r="V49" i="4"/>
  <x:c r="Y49" i="4"/>
  <x:c r="Z49" i="4"/>
  <x:c r="AC49" i="4"/>
  <x:c r="AD49" i="4"/>
  <x:c r="AE49" i="4"/>
  <x:c r="AF49" i="4"/>
  <x:c r="AG49" i="4"/>
  <x:c r="AH49" i="4"/>
  <x:c r="AI49" i="4"/>
  <x:c r="G50" i="4"/>
  <x:c r="I50" i="4"/>
  <x:c r="J50" i="4"/>
  <x:c r="K50" i="4"/>
  <x:c r="M50" i="4"/>
  <x:c r="R50" i="4"/>
  <x:c r="U50" i="4"/>
  <x:c r="V50" i="4"/>
  <x:c r="Y50" i="4"/>
  <x:c r="Z50" i="4"/>
  <x:c r="AC50" i="4"/>
  <x:c r="AD50" i="4"/>
  <x:c r="AE50" i="4"/>
  <x:c r="AF50" i="4"/>
  <x:c r="AG50" i="4"/>
  <x:c r="AH50" i="4"/>
  <x:c r="AI50" i="4"/>
  <x:c r="G51" i="4"/>
  <x:c r="I51" i="4"/>
  <x:c r="J51" i="4"/>
  <x:c r="K51" i="4"/>
  <x:c r="M51" i="4"/>
  <x:c r="R51" i="4"/>
  <x:c r="U51" i="4"/>
  <x:c r="V51" i="4"/>
  <x:c r="Y51" i="4"/>
  <x:c r="Z51" i="4"/>
  <x:c r="AC51" i="4"/>
  <x:c r="AD51" i="4"/>
  <x:c r="AE51" i="4"/>
  <x:c r="AF51" i="4"/>
  <x:c r="AG51" i="4"/>
  <x:c r="AH51" i="4"/>
  <x:c r="AI51" i="4"/>
  <x:c r="G52" i="4"/>
  <x:c r="I52" i="4"/>
  <x:c r="J52" i="4"/>
  <x:c r="K52" i="4"/>
  <x:c r="M52" i="4"/>
  <x:c r="R52" i="4"/>
  <x:c r="U52" i="4"/>
  <x:c r="V52" i="4"/>
  <x:c r="Y52" i="4"/>
  <x:c r="Z52" i="4"/>
  <x:c r="AC52" i="4"/>
  <x:c r="AD52" i="4"/>
  <x:c r="AE52" i="4"/>
  <x:c r="AF52" i="4"/>
  <x:c r="AG52" i="4"/>
  <x:c r="AH52" i="4"/>
  <x:c r="AI52" i="4"/>
  <x:c r="G53" i="4"/>
  <x:c r="I53" i="4"/>
  <x:c r="J53" i="4"/>
  <x:c r="K53" i="4"/>
  <x:c r="M53" i="4"/>
  <x:c r="R53" i="4"/>
  <x:c r="U53" i="4"/>
  <x:c r="V53" i="4"/>
  <x:c r="Y53" i="4"/>
  <x:c r="Z53" i="4"/>
  <x:c r="AC53" i="4"/>
  <x:c r="AD53" i="4"/>
  <x:c r="AE53" i="4"/>
  <x:c r="AF53" i="4"/>
  <x:c r="AG53" i="4"/>
  <x:c r="AH53" i="4"/>
  <x:c r="AI53" i="4"/>
  <x:c r="G54" i="4"/>
  <x:c r="I54" i="4"/>
  <x:c r="J54" i="4"/>
  <x:c r="K54" i="4"/>
  <x:c r="M54" i="4"/>
  <x:c r="R54" i="4"/>
  <x:c r="U54" i="4"/>
  <x:c r="V54" i="4"/>
  <x:c r="Y54" i="4"/>
  <x:c r="Z54" i="4"/>
  <x:c r="AC54" i="4"/>
  <x:c r="AD54" i="4"/>
  <x:c r="AE54" i="4"/>
  <x:c r="AF54" i="4"/>
  <x:c r="AG54" i="4"/>
  <x:c r="AH54" i="4"/>
  <x:c r="AI54" i="4"/>
  <x:c r="G55" i="4"/>
  <x:c r="I55" i="4"/>
  <x:c r="J55" i="4"/>
  <x:c r="K55" i="4"/>
  <x:c r="M55" i="4"/>
  <x:c r="R55" i="4"/>
  <x:c r="U55" i="4"/>
  <x:c r="V55" i="4"/>
  <x:c r="Y55" i="4"/>
  <x:c r="Z55" i="4"/>
  <x:c r="AC55" i="4"/>
  <x:c r="AD55" i="4"/>
  <x:c r="AE55" i="4"/>
  <x:c r="AF55" i="4"/>
  <x:c r="AG55" i="4"/>
  <x:c r="AH55" i="4"/>
  <x:c r="AI55" i="4"/>
  <x:c r="G56" i="4"/>
  <x:c r="I56" i="4"/>
  <x:c r="J56" i="4"/>
  <x:c r="K56" i="4"/>
  <x:c r="M56" i="4"/>
  <x:c r="R56" i="4"/>
  <x:c r="U56" i="4"/>
  <x:c r="V56" i="4"/>
  <x:c r="Y56" i="4"/>
  <x:c r="Z56" i="4"/>
  <x:c r="AC56" i="4"/>
  <x:c r="AD56" i="4"/>
  <x:c r="AE56" i="4"/>
  <x:c r="AF56" i="4"/>
  <x:c r="AG56" i="4"/>
  <x:c r="AH56" i="4"/>
  <x:c r="AI56" i="4"/>
  <x:c r="G57" i="4"/>
  <x:c r="I57" i="4"/>
  <x:c r="J57" i="4"/>
  <x:c r="K57" i="4"/>
  <x:c r="M57" i="4"/>
  <x:c r="R57" i="4"/>
  <x:c r="U57" i="4"/>
  <x:c r="V57" i="4"/>
  <x:c r="Y57" i="4"/>
  <x:c r="Z57" i="4"/>
  <x:c r="AC57" i="4"/>
  <x:c r="AD57" i="4"/>
  <x:c r="AE57" i="4"/>
  <x:c r="AF57" i="4"/>
  <x:c r="AG57" i="4"/>
  <x:c r="AH57" i="4"/>
  <x:c r="AI57" i="4"/>
  <x:c r="G58" i="4"/>
  <x:c r="I58" i="4"/>
  <x:c r="J58" i="4"/>
  <x:c r="K58" i="4"/>
  <x:c r="M58" i="4"/>
  <x:c r="R58" i="4"/>
  <x:c r="U58" i="4"/>
  <x:c r="V58" i="4"/>
  <x:c r="Y58" i="4"/>
  <x:c r="Z58" i="4"/>
  <x:c r="AC58" i="4"/>
  <x:c r="AD58" i="4"/>
  <x:c r="AE58" i="4"/>
  <x:c r="AF58" i="4"/>
  <x:c r="AG58" i="4"/>
  <x:c r="AH58" i="4"/>
  <x:c r="AI58" i="4"/>
  <x:c r="G59" i="4"/>
  <x:c r="I59" i="4"/>
  <x:c r="J59" i="4"/>
  <x:c r="K59" i="4"/>
  <x:c r="M59" i="4"/>
  <x:c r="R59" i="4"/>
  <x:c r="U59" i="4"/>
  <x:c r="V59" i="4"/>
  <x:c r="Y59" i="4"/>
  <x:c r="Z59" i="4"/>
  <x:c r="AC59" i="4"/>
  <x:c r="AD59" i="4"/>
  <x:c r="AE59" i="4"/>
  <x:c r="AF59" i="4"/>
  <x:c r="AG59" i="4"/>
  <x:c r="AH59" i="4"/>
  <x:c r="AI59" i="4"/>
  <x:c r="G60" i="4"/>
  <x:c r="I60" i="4"/>
  <x:c r="J60" i="4"/>
  <x:c r="K60" i="4"/>
  <x:c r="M60" i="4"/>
  <x:c r="R60" i="4"/>
  <x:c r="U60" i="4"/>
  <x:c r="V60" i="4"/>
  <x:c r="Y60" i="4"/>
  <x:c r="Z60" i="4"/>
  <x:c r="AC60" i="4"/>
  <x:c r="AD60" i="4"/>
  <x:c r="AE60" i="4"/>
  <x:c r="AF60" i="4"/>
  <x:c r="AG60" i="4"/>
  <x:c r="AH60" i="4"/>
  <x:c r="AI60" i="4"/>
  <x:c r="G61" i="4"/>
  <x:c r="I61" i="4"/>
  <x:c r="J61" i="4"/>
  <x:c r="K61" i="4"/>
  <x:c r="M61" i="4"/>
  <x:c r="R61" i="4"/>
  <x:c r="U61" i="4"/>
  <x:c r="V61" i="4"/>
  <x:c r="Y61" i="4"/>
  <x:c r="Z61" i="4"/>
  <x:c r="AC61" i="4"/>
  <x:c r="AD61" i="4"/>
  <x:c r="AE61" i="4"/>
  <x:c r="AF61" i="4"/>
  <x:c r="AG61" i="4"/>
  <x:c r="AH61" i="4"/>
  <x:c r="AI61" i="4"/>
  <x:c r="G62" i="4"/>
  <x:c r="I62" i="4"/>
  <x:c r="J62" i="4"/>
  <x:c r="K62" i="4"/>
  <x:c r="M62" i="4"/>
  <x:c r="R62" i="4"/>
  <x:c r="U62" i="4"/>
  <x:c r="V62" i="4"/>
  <x:c r="Y62" i="4"/>
  <x:c r="Z62" i="4"/>
  <x:c r="AC62" i="4"/>
  <x:c r="AD62" i="4"/>
  <x:c r="AE62" i="4"/>
  <x:c r="AF62" i="4"/>
  <x:c r="AG62" i="4"/>
  <x:c r="AH62" i="4"/>
  <x:c r="AI62" i="4"/>
  <x:c r="G63" i="4"/>
  <x:c r="I63" i="4"/>
  <x:c r="J63" i="4"/>
  <x:c r="K63" i="4"/>
  <x:c r="M63" i="4"/>
  <x:c r="R63" i="4"/>
  <x:c r="U63" i="4"/>
  <x:c r="V63" i="4"/>
  <x:c r="Y63" i="4"/>
  <x:c r="Z63" i="4"/>
  <x:c r="AC63" i="4"/>
  <x:c r="AD63" i="4"/>
  <x:c r="AE63" i="4"/>
  <x:c r="AF63" i="4"/>
  <x:c r="AG63" i="4"/>
  <x:c r="AH63" i="4"/>
  <x:c r="AI63" i="4"/>
  <x:c r="G64" i="4"/>
  <x:c r="I64" i="4"/>
  <x:c r="J64" i="4"/>
  <x:c r="K64" i="4"/>
  <x:c r="M64" i="4"/>
  <x:c r="R64" i="4"/>
  <x:c r="U64" i="4"/>
  <x:c r="V64" i="4"/>
  <x:c r="Y64" i="4"/>
  <x:c r="Z64" i="4"/>
  <x:c r="AC64" i="4"/>
  <x:c r="AD64" i="4"/>
  <x:c r="AE64" i="4"/>
  <x:c r="AF64" i="4"/>
  <x:c r="AG64" i="4"/>
  <x:c r="AH64" i="4"/>
  <x:c r="AI64" i="4"/>
  <x:c r="G65" i="4"/>
  <x:c r="I65" i="4"/>
  <x:c r="J65" i="4"/>
  <x:c r="K65" i="4"/>
  <x:c r="M65" i="4"/>
  <x:c r="R65" i="4"/>
  <x:c r="U65" i="4"/>
  <x:c r="V65" i="4"/>
  <x:c r="Y65" i="4"/>
  <x:c r="Z65" i="4"/>
  <x:c r="AC65" i="4"/>
  <x:c r="AD65" i="4"/>
  <x:c r="AE65" i="4"/>
  <x:c r="AF65" i="4"/>
  <x:c r="AG65" i="4"/>
  <x:c r="AH65" i="4"/>
  <x:c r="AI65" i="4"/>
  <x:c r="G66" i="4"/>
  <x:c r="I66" i="4"/>
  <x:c r="J66" i="4"/>
  <x:c r="K66" i="4"/>
  <x:c r="M66" i="4"/>
  <x:c r="R66" i="4"/>
  <x:c r="U66" i="4"/>
  <x:c r="V66" i="4"/>
  <x:c r="Y66" i="4"/>
  <x:c r="Z66" i="4"/>
  <x:c r="AC66" i="4"/>
  <x:c r="AD66" i="4"/>
  <x:c r="AE66" i="4"/>
  <x:c r="AF66" i="4"/>
  <x:c r="AG66" i="4"/>
  <x:c r="AH66" i="4"/>
  <x:c r="AI66" i="4"/>
  <x:c r="G67" i="4"/>
  <x:c r="I67" i="4"/>
  <x:c r="J67" i="4"/>
  <x:c r="K67" i="4"/>
  <x:c r="M67" i="4"/>
  <x:c r="R67" i="4"/>
  <x:c r="U67" i="4"/>
  <x:c r="V67" i="4"/>
  <x:c r="Y67" i="4"/>
  <x:c r="Z67" i="4"/>
  <x:c r="AC67" i="4"/>
  <x:c r="AD67" i="4"/>
  <x:c r="AE67" i="4"/>
  <x:c r="AF67" i="4"/>
  <x:c r="AG67" i="4"/>
  <x:c r="AH67" i="4"/>
  <x:c r="AI67" i="4"/>
  <x:c r="G68" i="4"/>
  <x:c r="I68" i="4"/>
  <x:c r="J68" i="4"/>
  <x:c r="K68" i="4"/>
  <x:c r="M68" i="4"/>
  <x:c r="R68" i="4"/>
  <x:c r="U68" i="4"/>
  <x:c r="V68" i="4"/>
  <x:c r="Y68" i="4"/>
  <x:c r="Z68" i="4"/>
  <x:c r="AC68" i="4"/>
  <x:c r="AD68" i="4"/>
  <x:c r="AE68" i="4"/>
  <x:c r="AF68" i="4"/>
  <x:c r="AG68" i="4"/>
  <x:c r="AH68" i="4"/>
  <x:c r="AI68" i="4"/>
  <x:c r="G69" i="4"/>
  <x:c r="I69" i="4"/>
  <x:c r="J69" i="4"/>
  <x:c r="K69" i="4"/>
  <x:c r="M69" i="4"/>
  <x:c r="R69" i="4"/>
  <x:c r="U69" i="4"/>
  <x:c r="V69" i="4"/>
  <x:c r="Y69" i="4"/>
  <x:c r="Z69" i="4"/>
  <x:c r="AC69" i="4"/>
  <x:c r="AD69" i="4"/>
  <x:c r="AE69" i="4"/>
  <x:c r="AF69" i="4"/>
  <x:c r="AG69" i="4"/>
  <x:c r="AH69" i="4"/>
  <x:c r="AI69" i="4"/>
  <x:c r="G70" i="4"/>
  <x:c r="I70" i="4"/>
  <x:c r="J70" i="4"/>
  <x:c r="K70" i="4"/>
  <x:c r="M70" i="4"/>
  <x:c r="R70" i="4"/>
  <x:c r="U70" i="4"/>
  <x:c r="V70" i="4"/>
  <x:c r="Y70" i="4"/>
  <x:c r="Z70" i="4"/>
  <x:c r="AC70" i="4"/>
  <x:c r="AD70" i="4"/>
  <x:c r="AE70" i="4"/>
  <x:c r="AF70" i="4"/>
  <x:c r="AG70" i="4"/>
  <x:c r="AH70" i="4"/>
  <x:c r="AI70" i="4"/>
  <x:c r="G71" i="4"/>
  <x:c r="I71" i="4"/>
  <x:c r="J71" i="4"/>
  <x:c r="K71" i="4"/>
  <x:c r="M71" i="4"/>
  <x:c r="R71" i="4"/>
  <x:c r="U71" i="4"/>
  <x:c r="V71" i="4"/>
  <x:c r="Y71" i="4"/>
  <x:c r="Z71" i="4"/>
  <x:c r="AC71" i="4"/>
  <x:c r="AD71" i="4"/>
  <x:c r="AE71" i="4"/>
  <x:c r="AF71" i="4"/>
  <x:c r="AG71" i="4"/>
  <x:c r="AH71" i="4"/>
  <x:c r="AI71" i="4"/>
  <x:c r="G72" i="4"/>
  <x:c r="I72" i="4"/>
  <x:c r="J72" i="4"/>
  <x:c r="K72" i="4"/>
  <x:c r="M72" i="4"/>
  <x:c r="R72" i="4"/>
  <x:c r="U72" i="4"/>
  <x:c r="V72" i="4"/>
  <x:c r="Y72" i="4"/>
  <x:c r="Z72" i="4"/>
  <x:c r="AC72" i="4"/>
  <x:c r="AD72" i="4"/>
  <x:c r="AE72" i="4"/>
  <x:c r="AF72" i="4"/>
  <x:c r="AG72" i="4"/>
  <x:c r="AH72" i="4"/>
  <x:c r="AI72" i="4"/>
  <x:c r="G73" i="4"/>
  <x:c r="I73" i="4"/>
  <x:c r="J73" i="4"/>
  <x:c r="K73" i="4"/>
  <x:c r="M73" i="4"/>
  <x:c r="R73" i="4"/>
  <x:c r="U73" i="4"/>
  <x:c r="V73" i="4"/>
  <x:c r="Y73" i="4"/>
  <x:c r="Z73" i="4"/>
  <x:c r="AC73" i="4"/>
  <x:c r="AD73" i="4"/>
  <x:c r="AE73" i="4"/>
  <x:c r="AF73" i="4"/>
  <x:c r="AG73" i="4"/>
  <x:c r="AH73" i="4"/>
  <x:c r="AI73" i="4"/>
  <x:c r="G74" i="4"/>
  <x:c r="I74" i="4"/>
  <x:c r="J74" i="4"/>
  <x:c r="K74" i="4"/>
  <x:c r="M74" i="4"/>
  <x:c r="R74" i="4"/>
  <x:c r="U74" i="4"/>
  <x:c r="V74" i="4"/>
  <x:c r="Y74" i="4"/>
  <x:c r="Z74" i="4"/>
  <x:c r="AC74" i="4"/>
  <x:c r="AD74" i="4"/>
  <x:c r="AE74" i="4"/>
  <x:c r="AF74" i="4"/>
  <x:c r="AG74" i="4"/>
  <x:c r="AH74" i="4"/>
  <x:c r="AI74" i="4"/>
  <x:c r="G75" i="4"/>
  <x:c r="I75" i="4"/>
  <x:c r="J75" i="4"/>
  <x:c r="K75" i="4"/>
  <x:c r="M75" i="4"/>
  <x:c r="R75" i="4"/>
  <x:c r="U75" i="4"/>
  <x:c r="V75" i="4"/>
  <x:c r="Y75" i="4"/>
  <x:c r="Z75" i="4"/>
  <x:c r="AC75" i="4"/>
  <x:c r="AD75" i="4"/>
  <x:c r="AE75" i="4"/>
  <x:c r="AF75" i="4"/>
  <x:c r="AG75" i="4"/>
  <x:c r="AH75" i="4"/>
  <x:c r="AI75" i="4"/>
  <x:c r="G76" i="4"/>
  <x:c r="I76" i="4"/>
  <x:c r="J76" i="4"/>
  <x:c r="K76" i="4"/>
  <x:c r="M76" i="4"/>
  <x:c r="R76" i="4"/>
  <x:c r="U76" i="4"/>
  <x:c r="V76" i="4"/>
  <x:c r="Y76" i="4"/>
  <x:c r="Z76" i="4"/>
  <x:c r="AC76" i="4"/>
  <x:c r="AD76" i="4"/>
  <x:c r="AE76" i="4"/>
  <x:c r="AF76" i="4"/>
  <x:c r="AG76" i="4"/>
  <x:c r="AH76" i="4"/>
  <x:c r="AI76" i="4"/>
  <x:c r="G77" i="4"/>
  <x:c r="I77" i="4"/>
  <x:c r="J77" i="4"/>
  <x:c r="K77" i="4"/>
  <x:c r="M77" i="4"/>
  <x:c r="R77" i="4"/>
  <x:c r="U77" i="4"/>
  <x:c r="V77" i="4"/>
  <x:c r="Y77" i="4"/>
  <x:c r="Z77" i="4"/>
  <x:c r="AC77" i="4"/>
  <x:c r="AD77" i="4"/>
  <x:c r="AE77" i="4"/>
  <x:c r="AF77" i="4"/>
  <x:c r="AG77" i="4"/>
  <x:c r="AH77" i="4"/>
  <x:c r="AI77" i="4"/>
  <x:c r="G78" i="4"/>
  <x:c r="I78" i="4"/>
  <x:c r="J78" i="4"/>
  <x:c r="K78" i="4"/>
  <x:c r="M78" i="4"/>
  <x:c r="R78" i="4"/>
  <x:c r="U78" i="4"/>
  <x:c r="V78" i="4"/>
  <x:c r="Y78" i="4"/>
  <x:c r="Z78" i="4"/>
  <x:c r="AC78" i="4"/>
  <x:c r="AD78" i="4"/>
  <x:c r="AE78" i="4"/>
  <x:c r="AF78" i="4"/>
  <x:c r="AG78" i="4"/>
  <x:c r="AH78" i="4"/>
  <x:c r="AI78" i="4"/>
  <x:c r="G79" i="4"/>
  <x:c r="I79" i="4"/>
  <x:c r="J79" i="4"/>
  <x:c r="K79" i="4"/>
  <x:c r="M79" i="4"/>
  <x:c r="R79" i="4"/>
  <x:c r="U79" i="4"/>
  <x:c r="V79" i="4"/>
  <x:c r="Y79" i="4"/>
  <x:c r="Z79" i="4"/>
  <x:c r="AC79" i="4"/>
  <x:c r="AD79" i="4"/>
  <x:c r="AE79" i="4"/>
  <x:c r="AF79" i="4"/>
  <x:c r="AG79" i="4"/>
  <x:c r="AH79" i="4"/>
  <x:c r="AI79" i="4"/>
  <x:c r="G80" i="4"/>
  <x:c r="I80" i="4"/>
  <x:c r="J80" i="4"/>
  <x:c r="K80" i="4"/>
  <x:c r="M80" i="4"/>
  <x:c r="R80" i="4"/>
  <x:c r="U80" i="4"/>
  <x:c r="V80" i="4"/>
  <x:c r="Y80" i="4"/>
  <x:c r="Z80" i="4"/>
  <x:c r="AC80" i="4"/>
  <x:c r="AD80" i="4"/>
  <x:c r="AE80" i="4"/>
  <x:c r="AF80" i="4"/>
  <x:c r="AG80" i="4"/>
  <x:c r="AH80" i="4"/>
  <x:c r="AI80" i="4"/>
  <x:c r="G81" i="4"/>
  <x:c r="I81" i="4"/>
  <x:c r="J81" i="4"/>
  <x:c r="K81" i="4"/>
  <x:c r="M81" i="4"/>
  <x:c r="R81" i="4"/>
  <x:c r="U81" i="4"/>
  <x:c r="V81" i="4"/>
  <x:c r="Y81" i="4"/>
  <x:c r="Z81" i="4"/>
  <x:c r="AC81" i="4"/>
  <x:c r="AD81" i="4"/>
  <x:c r="AE81" i="4"/>
  <x:c r="AF81" i="4"/>
  <x:c r="AG81" i="4"/>
  <x:c r="AH81" i="4"/>
  <x:c r="AI81" i="4"/>
  <x:c r="G82" i="4"/>
  <x:c r="I82" i="4"/>
  <x:c r="J82" i="4"/>
  <x:c r="K82" i="4"/>
  <x:c r="M82" i="4"/>
  <x:c r="R82" i="4"/>
  <x:c r="U82" i="4"/>
  <x:c r="V82" i="4"/>
  <x:c r="Y82" i="4"/>
  <x:c r="Z82" i="4"/>
  <x:c r="AC82" i="4"/>
  <x:c r="AD82" i="4"/>
  <x:c r="AE82" i="4"/>
  <x:c r="AF82" i="4"/>
  <x:c r="AG82" i="4"/>
  <x:c r="AH82" i="4"/>
  <x:c r="AI82" i="4"/>
  <x:c r="G83" i="4"/>
  <x:c r="I83" i="4"/>
  <x:c r="J83" i="4"/>
  <x:c r="K83" i="4"/>
  <x:c r="M83" i="4"/>
  <x:c r="R83" i="4"/>
  <x:c r="U83" i="4"/>
  <x:c r="V83" i="4"/>
  <x:c r="Y83" i="4"/>
  <x:c r="Z83" i="4"/>
  <x:c r="AC83" i="4"/>
  <x:c r="AD83" i="4"/>
  <x:c r="AE83" i="4"/>
  <x:c r="AF83" i="4"/>
  <x:c r="AG83" i="4"/>
  <x:c r="AH83" i="4"/>
  <x:c r="AI83" i="4"/>
  <x:c r="G84" i="4"/>
  <x:c r="I84" i="4"/>
  <x:c r="J84" i="4"/>
  <x:c r="K84" i="4"/>
  <x:c r="M84" i="4"/>
  <x:c r="R84" i="4"/>
  <x:c r="U84" i="4"/>
  <x:c r="V84" i="4"/>
  <x:c r="Y84" i="4"/>
  <x:c r="Z84" i="4"/>
  <x:c r="AC84" i="4"/>
  <x:c r="AD84" i="4"/>
  <x:c r="AE84" i="4"/>
  <x:c r="AF84" i="4"/>
  <x:c r="AG84" i="4"/>
  <x:c r="AH84" i="4"/>
  <x:c r="AI84" i="4"/>
  <x:c r="G85" i="4"/>
  <x:c r="I85" i="4"/>
  <x:c r="J85" i="4"/>
  <x:c r="K85" i="4"/>
  <x:c r="M85" i="4"/>
  <x:c r="R85" i="4"/>
  <x:c r="U85" i="4"/>
  <x:c r="V85" i="4"/>
  <x:c r="Y85" i="4"/>
  <x:c r="Z85" i="4"/>
  <x:c r="AC85" i="4"/>
  <x:c r="AD85" i="4"/>
  <x:c r="AE85" i="4"/>
  <x:c r="AF85" i="4"/>
  <x:c r="AG85" i="4"/>
  <x:c r="AH85" i="4"/>
  <x:c r="AI85" i="4"/>
  <x:c r="G86" i="4"/>
  <x:c r="I86" i="4"/>
  <x:c r="J86" i="4"/>
  <x:c r="K86" i="4"/>
  <x:c r="M86" i="4"/>
  <x:c r="R86" i="4"/>
  <x:c r="U86" i="4"/>
  <x:c r="V86" i="4"/>
  <x:c r="Y86" i="4"/>
  <x:c r="Z86" i="4"/>
  <x:c r="AC86" i="4"/>
  <x:c r="AD86" i="4"/>
  <x:c r="AE86" i="4"/>
  <x:c r="AF86" i="4"/>
  <x:c r="AG86" i="4"/>
  <x:c r="AH86" i="4"/>
  <x:c r="AI86" i="4"/>
  <x:c r="G87" i="4"/>
  <x:c r="I87" i="4"/>
  <x:c r="J87" i="4"/>
  <x:c r="K87" i="4"/>
  <x:c r="M87" i="4"/>
  <x:c r="R87" i="4"/>
  <x:c r="U87" i="4"/>
  <x:c r="V87" i="4"/>
  <x:c r="Y87" i="4"/>
  <x:c r="Z87" i="4"/>
  <x:c r="AC87" i="4"/>
  <x:c r="AD87" i="4"/>
  <x:c r="AE87" i="4"/>
  <x:c r="AF87" i="4"/>
  <x:c r="AG87" i="4"/>
  <x:c r="AH87" i="4"/>
  <x:c r="AI87" i="4"/>
  <x:c r="G88" i="4"/>
  <x:c r="I88" i="4"/>
  <x:c r="J88" i="4"/>
  <x:c r="K88" i="4"/>
  <x:c r="M88" i="4"/>
  <x:c r="R88" i="4"/>
  <x:c r="U88" i="4"/>
  <x:c r="V88" i="4"/>
  <x:c r="Y88" i="4"/>
  <x:c r="Z88" i="4"/>
  <x:c r="AC88" i="4"/>
  <x:c r="AD88" i="4"/>
  <x:c r="AE88" i="4"/>
  <x:c r="AF88" i="4"/>
  <x:c r="AG88" i="4"/>
  <x:c r="AH88" i="4"/>
  <x:c r="AI88" i="4"/>
  <x:c r="G89" i="4"/>
  <x:c r="I89" i="4"/>
  <x:c r="J89" i="4"/>
  <x:c r="K89" i="4"/>
  <x:c r="M89" i="4"/>
  <x:c r="R89" i="4"/>
  <x:c r="U89" i="4"/>
  <x:c r="V89" i="4"/>
  <x:c r="Y89" i="4"/>
  <x:c r="Z89" i="4"/>
  <x:c r="AC89" i="4"/>
  <x:c r="AD89" i="4"/>
  <x:c r="AE89" i="4"/>
  <x:c r="AF89" i="4"/>
  <x:c r="AG89" i="4"/>
  <x:c r="AH89" i="4"/>
  <x:c r="AI89" i="4"/>
  <x:c r="D10" i="3"/>
  <x:c r="E10" i="3"/>
  <x:c r="F10" i="3"/>
  <x:c r="G10" i="3"/>
  <x:c r="H10" i="3"/>
  <x:c r="I10" i="3"/>
  <x:c r="J10" i="3"/>
  <x:c r="K10" i="3"/>
  <x:c r="L10" i="3"/>
  <x:c r="M10" i="3"/>
  <x:c r="N10" i="3"/>
  <x:c r="O10" i="3"/>
  <x:c r="P10" i="3"/>
  <x:c r="Q10" i="3"/>
  <x:c r="R10" i="3"/>
  <x:c r="S10" i="3"/>
  <x:c r="T10" i="3"/>
  <x:c r="U10" i="3"/>
  <x:c r="V10" i="3"/>
  <x:c r="W10" i="3"/>
  <x:c r="X10" i="3"/>
  <x:c r="Y10" i="3"/>
  <x:c r="Z10" i="3"/>
  <x:c r="AA10" i="3"/>
  <x:c r="AB10" i="3"/>
  <x:c r="AC10" i="3"/>
  <x:c r="AD10" i="3"/>
  <x:c r="AE10" i="3"/>
  <x:c r="AF10" i="3"/>
  <x:c r="AG10" i="3"/>
  <x:c r="AH10" i="3"/>
  <x:c r="AI10" i="3"/>
  <x:c r="AJ10" i="3"/>
  <x:c r="AK10" i="3"/>
  <x:c r="AL10" i="3"/>
  <x:c r="AM10" i="3"/>
  <x:c r="AN10" i="3"/>
  <x:c r="AO10" i="3"/>
  <x:c r="AP10" i="3"/>
  <x:c r="AQ10" i="3"/>
  <x:c r="AR10" i="3"/>
  <x:c r="AS10" i="3"/>
  <x:c r="AT10" i="3"/>
  <x:c r="AU10" i="3"/>
  <x:c r="AV10" i="3"/>
  <x:c r="AW10" i="3"/>
  <x:c r="AX10" i="3"/>
  <x:c r="AY10" i="3"/>
  <x:c r="AZ10" i="3"/>
  <x:c r="BA10" i="3"/>
  <x:c r="BB10" i="3"/>
  <x:c r="BC10" i="3"/>
  <x:c r="BD10" i="3"/>
  <x:c r="BE10" i="3"/>
  <x:c r="BF10" i="3"/>
  <x:c r="BG10" i="3"/>
  <x:c r="BH10" i="3"/>
  <x:c r="BI10" i="3"/>
  <x:c r="BJ10" i="3"/>
  <x:c r="BK10" i="3"/>
  <x:c r="BL10" i="3"/>
  <x:c r="BM10" i="3"/>
  <x:c r="BN10" i="3"/>
  <x:c r="BO10" i="3"/>
  <x:c r="BP10" i="3"/>
  <x:c r="BQ10" i="3"/>
  <x:c r="BR10" i="3"/>
  <x:c r="BS10" i="3"/>
  <x:c r="BT10" i="3"/>
  <x:c r="BU10" i="3"/>
  <x:c r="BV10" i="3"/>
  <x:c r="BW10" i="3"/>
  <x:c r="BX10" i="3"/>
  <x:c r="BY10" i="3"/>
  <x:c r="BZ10" i="3"/>
  <x:c r="CA10" i="3"/>
  <x:c r="CB10" i="3"/>
  <x:c r="CC10" i="3"/>
  <x:c r="D14" i="3"/>
  <x:c r="E14" i="3"/>
  <x:c r="F14" i="3"/>
  <x:c r="G14" i="3"/>
  <x:c r="H14" i="3"/>
  <x:c r="I14" i="3"/>
  <x:c r="J14" i="3"/>
  <x:c r="K14" i="3"/>
  <x:c r="L14" i="3"/>
  <x:c r="M14" i="3"/>
  <x:c r="N14" i="3"/>
  <x:c r="O14" i="3"/>
  <x:c r="P14" i="3"/>
  <x:c r="Q14" i="3"/>
  <x:c r="R14" i="3"/>
  <x:c r="S14" i="3"/>
  <x:c r="T14" i="3"/>
  <x:c r="U14" i="3"/>
  <x:c r="V14" i="3"/>
  <x:c r="W14" i="3"/>
  <x:c r="X14" i="3"/>
  <x:c r="Y14" i="3"/>
  <x:c r="Z14" i="3"/>
  <x:c r="AA14" i="3"/>
  <x:c r="AB14" i="3"/>
  <x:c r="AC14" i="3"/>
  <x:c r="AD14" i="3"/>
  <x:c r="AE14" i="3"/>
  <x:c r="AF14" i="3"/>
  <x:c r="AG14" i="3"/>
  <x:c r="AH14" i="3"/>
  <x:c r="AI14" i="3"/>
  <x:c r="AJ14" i="3"/>
  <x:c r="AK14" i="3"/>
  <x:c r="AL14" i="3"/>
  <x:c r="AM14" i="3"/>
  <x:c r="AN14" i="3"/>
  <x:c r="AO14" i="3"/>
  <x:c r="AP14" i="3"/>
  <x:c r="AQ14" i="3"/>
  <x:c r="AR14" i="3"/>
  <x:c r="AS14" i="3"/>
  <x:c r="AT14" i="3"/>
  <x:c r="AU14" i="3"/>
  <x:c r="AV14" i="3"/>
  <x:c r="AW14" i="3"/>
  <x:c r="AX14" i="3"/>
  <x:c r="AY14" i="3"/>
  <x:c r="AZ14" i="3"/>
  <x:c r="BA14" i="3"/>
  <x:c r="BB14" i="3"/>
  <x:c r="BC14" i="3"/>
  <x:c r="BD14" i="3"/>
  <x:c r="BE14" i="3"/>
  <x:c r="BF14" i="3"/>
  <x:c r="BG14" i="3"/>
  <x:c r="BH14" i="3"/>
  <x:c r="BI14" i="3"/>
  <x:c r="BJ14" i="3"/>
  <x:c r="BK14" i="3"/>
  <x:c r="BL14" i="3"/>
  <x:c r="BM14" i="3"/>
  <x:c r="BN14" i="3"/>
  <x:c r="BO14" i="3"/>
  <x:c r="BP14" i="3"/>
  <x:c r="BQ14" i="3"/>
  <x:c r="BR14" i="3"/>
  <x:c r="BS14" i="3"/>
  <x:c r="BT14" i="3"/>
  <x:c r="BU14" i="3"/>
  <x:c r="BV14" i="3"/>
  <x:c r="BW14" i="3"/>
  <x:c r="BX14" i="3"/>
  <x:c r="BY14" i="3"/>
  <x:c r="BZ14" i="3"/>
  <x:c r="CA14" i="3"/>
  <x:c r="CB14" i="3"/>
  <x:c r="CC14" i="3"/>
  <x:c r="D15" i="3"/>
  <x:c r="D16" i="3"/>
  <x:c r="E16" i="3"/>
  <x:c r="D17" i="3"/>
  <x:c r="E17" i="3"/>
  <x:c r="F17" i="3"/>
  <x:c r="G17" i="3"/>
  <x:c r="H17" i="3"/>
  <x:c r="I17" i="3"/>
  <x:c r="J17" i="3"/>
  <x:c r="K17" i="3"/>
  <x:c r="L17" i="3"/>
  <x:c r="M17" i="3"/>
  <x:c r="N17" i="3"/>
  <x:c r="O17" i="3"/>
  <x:c r="P17" i="3"/>
  <x:c r="Q17" i="3"/>
  <x:c r="R17" i="3"/>
  <x:c r="S17" i="3"/>
  <x:c r="T17" i="3"/>
  <x:c r="U17" i="3"/>
  <x:c r="V17" i="3"/>
  <x:c r="W17" i="3"/>
  <x:c r="X17" i="3"/>
  <x:c r="Y17" i="3"/>
  <x:c r="Z17" i="3"/>
  <x:c r="AA17" i="3"/>
  <x:c r="AB17" i="3"/>
  <x:c r="AC17" i="3"/>
  <x:c r="AD17" i="3"/>
  <x:c r="AE17" i="3"/>
  <x:c r="AF17" i="3"/>
  <x:c r="AG17" i="3"/>
  <x:c r="AH17" i="3"/>
  <x:c r="AI17" i="3"/>
  <x:c r="AJ17" i="3"/>
  <x:c r="AK17" i="3"/>
  <x:c r="AL17" i="3"/>
  <x:c r="AM17" i="3"/>
  <x:c r="AN17" i="3"/>
  <x:c r="AO17" i="3"/>
  <x:c r="AP17" i="3"/>
  <x:c r="AQ17" i="3"/>
  <x:c r="AR17" i="3"/>
  <x:c r="AS17" i="3"/>
  <x:c r="AT17" i="3"/>
  <x:c r="AU17" i="3"/>
  <x:c r="AV17" i="3"/>
  <x:c r="AW17" i="3"/>
  <x:c r="AX17" i="3"/>
  <x:c r="AY17" i="3"/>
  <x:c r="AZ17" i="3"/>
  <x:c r="BA17" i="3"/>
  <x:c r="BB17" i="3"/>
  <x:c r="BC17" i="3"/>
  <x:c r="BD17" i="3"/>
  <x:c r="BE17" i="3"/>
  <x:c r="BF17" i="3"/>
  <x:c r="BG17" i="3"/>
  <x:c r="BH17" i="3"/>
  <x:c r="BI17" i="3"/>
  <x:c r="BJ17" i="3"/>
  <x:c r="BK17" i="3"/>
  <x:c r="BL17" i="3"/>
  <x:c r="BM17" i="3"/>
  <x:c r="BN17" i="3"/>
  <x:c r="BO17" i="3"/>
  <x:c r="BP17" i="3"/>
  <x:c r="BQ17" i="3"/>
  <x:c r="BR17" i="3"/>
  <x:c r="BS17" i="3"/>
  <x:c r="BT17" i="3"/>
  <x:c r="BU17" i="3"/>
  <x:c r="BV17" i="3"/>
  <x:c r="BW17" i="3"/>
  <x:c r="BX17" i="3"/>
  <x:c r="BY17" i="3"/>
  <x:c r="BZ17" i="3"/>
  <x:c r="CA17" i="3"/>
  <x:c r="CB17" i="3"/>
  <x:c r="CC17" i="3"/>
  <x:c r="D18" i="3"/>
  <x:c r="E18" i="3"/>
  <x:c r="F18" i="3"/>
  <x:c r="G18" i="3"/>
  <x:c r="H18" i="3"/>
  <x:c r="I18" i="3"/>
  <x:c r="J18" i="3"/>
  <x:c r="K18" i="3"/>
  <x:c r="L18" i="3"/>
  <x:c r="M18" i="3"/>
  <x:c r="N18" i="3"/>
  <x:c r="O18" i="3"/>
  <x:c r="P18" i="3"/>
  <x:c r="Q18" i="3"/>
  <x:c r="R18" i="3"/>
  <x:c r="S18" i="3"/>
  <x:c r="T18" i="3"/>
  <x:c r="U18" i="3"/>
  <x:c r="V18" i="3"/>
  <x:c r="W18" i="3"/>
  <x:c r="X18" i="3"/>
  <x:c r="Y18" i="3"/>
  <x:c r="Z18" i="3"/>
  <x:c r="AA18" i="3"/>
  <x:c r="AB18" i="3"/>
  <x:c r="AC18" i="3"/>
  <x:c r="AD18" i="3"/>
  <x:c r="AE18" i="3"/>
  <x:c r="AF18" i="3"/>
  <x:c r="AG18" i="3"/>
  <x:c r="AH18" i="3"/>
  <x:c r="AI18" i="3"/>
  <x:c r="AJ18" i="3"/>
  <x:c r="AK18" i="3"/>
  <x:c r="AL18" i="3"/>
  <x:c r="AM18" i="3"/>
  <x:c r="AN18" i="3"/>
  <x:c r="AO18" i="3"/>
  <x:c r="AP18" i="3"/>
  <x:c r="AQ18" i="3"/>
  <x:c r="AR18" i="3"/>
  <x:c r="AS18" i="3"/>
  <x:c r="AT18" i="3"/>
  <x:c r="AU18" i="3"/>
  <x:c r="AV18" i="3"/>
  <x:c r="AW18" i="3"/>
  <x:c r="AX18" i="3"/>
  <x:c r="AY18" i="3"/>
  <x:c r="AZ18" i="3"/>
  <x:c r="BA18" i="3"/>
  <x:c r="BB18" i="3"/>
  <x:c r="BC18" i="3"/>
  <x:c r="BD18" i="3"/>
  <x:c r="BE18" i="3"/>
  <x:c r="BF18" i="3"/>
  <x:c r="BG18" i="3"/>
  <x:c r="BH18" i="3"/>
  <x:c r="BI18" i="3"/>
  <x:c r="BJ18" i="3"/>
  <x:c r="BK18" i="3"/>
  <x:c r="BL18" i="3"/>
  <x:c r="BM18" i="3"/>
  <x:c r="BN18" i="3"/>
  <x:c r="BO18" i="3"/>
  <x:c r="BP18" i="3"/>
  <x:c r="BQ18" i="3"/>
  <x:c r="BR18" i="3"/>
  <x:c r="BS18" i="3"/>
  <x:c r="BT18" i="3"/>
  <x:c r="BU18" i="3"/>
  <x:c r="BV18" i="3"/>
  <x:c r="BW18" i="3"/>
  <x:c r="BX18" i="3"/>
  <x:c r="BY18" i="3"/>
  <x:c r="BZ18" i="3"/>
  <x:c r="CA18" i="3"/>
  <x:c r="CB18" i="3"/>
  <x:c r="CC18" i="3"/>
  <x:c r="D19" i="3"/>
  <x:c r="E19" i="3"/>
  <x:c r="F19" i="3"/>
  <x:c r="G19" i="3"/>
  <x:c r="H19" i="3"/>
  <x:c r="I19" i="3"/>
  <x:c r="J19" i="3"/>
  <x:c r="K19" i="3"/>
  <x:c r="L19" i="3"/>
  <x:c r="M19" i="3"/>
  <x:c r="N19" i="3"/>
  <x:c r="O19" i="3"/>
  <x:c r="P19" i="3"/>
  <x:c r="Q19" i="3"/>
  <x:c r="R19" i="3"/>
  <x:c r="S19" i="3"/>
  <x:c r="T19" i="3"/>
  <x:c r="U19" i="3"/>
  <x:c r="V19" i="3"/>
  <x:c r="W19" i="3"/>
  <x:c r="X19" i="3"/>
  <x:c r="Y19" i="3"/>
  <x:c r="Z19" i="3"/>
  <x:c r="AA19" i="3"/>
  <x:c r="AB19" i="3"/>
  <x:c r="AC19" i="3"/>
  <x:c r="AD19" i="3"/>
  <x:c r="AE19" i="3"/>
  <x:c r="AF19" i="3"/>
  <x:c r="AG19" i="3"/>
  <x:c r="AH19" i="3"/>
  <x:c r="AI19" i="3"/>
  <x:c r="AJ19" i="3"/>
  <x:c r="AK19" i="3"/>
  <x:c r="AL19" i="3"/>
  <x:c r="AM19" i="3"/>
  <x:c r="AN19" i="3"/>
  <x:c r="AO19" i="3"/>
  <x:c r="AP19" i="3"/>
  <x:c r="AQ19" i="3"/>
  <x:c r="AR19" i="3"/>
  <x:c r="AS19" i="3"/>
  <x:c r="AT19" i="3"/>
  <x:c r="AU19" i="3"/>
  <x:c r="AV19" i="3"/>
  <x:c r="AW19" i="3"/>
  <x:c r="AX19" i="3"/>
  <x:c r="AY19" i="3"/>
  <x:c r="AZ19" i="3"/>
  <x:c r="BA19" i="3"/>
  <x:c r="BB19" i="3"/>
  <x:c r="BC19" i="3"/>
  <x:c r="BD19" i="3"/>
  <x:c r="BE19" i="3"/>
  <x:c r="BF19" i="3"/>
  <x:c r="BG19" i="3"/>
  <x:c r="BH19" i="3"/>
  <x:c r="BI19" i="3"/>
  <x:c r="BJ19" i="3"/>
  <x:c r="BK19" i="3"/>
  <x:c r="BL19" i="3"/>
  <x:c r="BM19" i="3"/>
  <x:c r="BN19" i="3"/>
  <x:c r="BO19" i="3"/>
  <x:c r="BP19" i="3"/>
  <x:c r="BQ19" i="3"/>
  <x:c r="BR19" i="3"/>
  <x:c r="BS19" i="3"/>
  <x:c r="BT19" i="3"/>
  <x:c r="BU19" i="3"/>
  <x:c r="BV19" i="3"/>
  <x:c r="BW19" i="3"/>
  <x:c r="BX19" i="3"/>
  <x:c r="BY19" i="3"/>
  <x:c r="BZ19" i="3"/>
  <x:c r="CA19" i="3"/>
  <x:c r="CB19" i="3"/>
  <x:c r="CC19" i="3"/>
  <x:c r="D20" i="3"/>
  <x:c r="E20" i="3"/>
  <x:c r="F20" i="3"/>
  <x:c r="G20" i="3"/>
  <x:c r="H20" i="3"/>
  <x:c r="I20" i="3"/>
  <x:c r="J20" i="3"/>
  <x:c r="K20" i="3"/>
  <x:c r="L20" i="3"/>
  <x:c r="M20" i="3"/>
  <x:c r="N20" i="3"/>
  <x:c r="O20" i="3"/>
  <x:c r="P20" i="3"/>
  <x:c r="Q20" i="3"/>
  <x:c r="R20" i="3"/>
  <x:c r="S20" i="3"/>
  <x:c r="T20" i="3"/>
  <x:c r="U20" i="3"/>
  <x:c r="V20" i="3"/>
  <x:c r="W20" i="3"/>
  <x:c r="X20" i="3"/>
  <x:c r="Y20" i="3"/>
  <x:c r="Z20" i="3"/>
  <x:c r="AA20" i="3"/>
  <x:c r="AB20" i="3"/>
  <x:c r="AC20" i="3"/>
  <x:c r="AD20" i="3"/>
  <x:c r="AE20" i="3"/>
  <x:c r="AF20" i="3"/>
  <x:c r="AG20" i="3"/>
  <x:c r="AH20" i="3"/>
  <x:c r="AI20" i="3"/>
  <x:c r="AJ20" i="3"/>
  <x:c r="AK20" i="3"/>
  <x:c r="AL20" i="3"/>
  <x:c r="AM20" i="3"/>
  <x:c r="AN20" i="3"/>
  <x:c r="AO20" i="3"/>
  <x:c r="AP20" i="3"/>
  <x:c r="AQ20" i="3"/>
  <x:c r="AR20" i="3"/>
  <x:c r="AS20" i="3"/>
  <x:c r="AT20" i="3"/>
  <x:c r="AU20" i="3"/>
  <x:c r="AV20" i="3"/>
  <x:c r="AW20" i="3"/>
  <x:c r="AX20" i="3"/>
  <x:c r="AY20" i="3"/>
  <x:c r="AZ20" i="3"/>
  <x:c r="BA20" i="3"/>
  <x:c r="BB20" i="3"/>
  <x:c r="BC20" i="3"/>
  <x:c r="BD20" i="3"/>
  <x:c r="BE20" i="3"/>
  <x:c r="BF20" i="3"/>
  <x:c r="BG20" i="3"/>
  <x:c r="BH20" i="3"/>
  <x:c r="BI20" i="3"/>
  <x:c r="BJ20" i="3"/>
  <x:c r="BK20" i="3"/>
  <x:c r="BL20" i="3"/>
  <x:c r="BM20" i="3"/>
  <x:c r="BN20" i="3"/>
  <x:c r="BO20" i="3"/>
  <x:c r="BP20" i="3"/>
  <x:c r="BQ20" i="3"/>
  <x:c r="BR20" i="3"/>
  <x:c r="BS20" i="3"/>
  <x:c r="BT20" i="3"/>
  <x:c r="BU20" i="3"/>
  <x:c r="BV20" i="3"/>
  <x:c r="BW20" i="3"/>
  <x:c r="BX20" i="3"/>
  <x:c r="BY20" i="3"/>
  <x:c r="BZ20" i="3"/>
  <x:c r="CA20" i="3"/>
  <x:c r="CB20" i="3"/>
  <x:c r="CC20" i="3"/>
  <x:c r="D21" i="3"/>
  <x:c r="E21" i="3"/>
  <x:c r="F21" i="3"/>
  <x:c r="G21" i="3"/>
  <x:c r="H21" i="3"/>
  <x:c r="I21" i="3"/>
  <x:c r="J21" i="3"/>
  <x:c r="K21" i="3"/>
  <x:c r="L21" i="3"/>
  <x:c r="M21" i="3"/>
  <x:c r="N21" i="3"/>
  <x:c r="O21" i="3"/>
  <x:c r="P21" i="3"/>
  <x:c r="Q21" i="3"/>
  <x:c r="R21" i="3"/>
  <x:c r="S21" i="3"/>
  <x:c r="T21" i="3"/>
  <x:c r="U21" i="3"/>
  <x:c r="V21" i="3"/>
  <x:c r="W21" i="3"/>
  <x:c r="X21" i="3"/>
  <x:c r="Y21" i="3"/>
  <x:c r="Z21" i="3"/>
  <x:c r="AA21" i="3"/>
  <x:c r="AB21" i="3"/>
  <x:c r="AC21" i="3"/>
  <x:c r="AD21" i="3"/>
  <x:c r="AE21" i="3"/>
  <x:c r="AF21" i="3"/>
  <x:c r="AG21" i="3"/>
  <x:c r="AH21" i="3"/>
  <x:c r="AI21" i="3"/>
  <x:c r="AJ21" i="3"/>
  <x:c r="AK21" i="3"/>
  <x:c r="AL21" i="3"/>
  <x:c r="AM21" i="3"/>
  <x:c r="AN21" i="3"/>
  <x:c r="AO21" i="3"/>
  <x:c r="AP21" i="3"/>
  <x:c r="AQ21" i="3"/>
  <x:c r="AR21" i="3"/>
  <x:c r="AS21" i="3"/>
  <x:c r="AT21" i="3"/>
  <x:c r="AU21" i="3"/>
  <x:c r="AV21" i="3"/>
  <x:c r="AW21" i="3"/>
  <x:c r="AX21" i="3"/>
  <x:c r="AY21" i="3"/>
  <x:c r="AZ21" i="3"/>
  <x:c r="BA21" i="3"/>
  <x:c r="BB21" i="3"/>
  <x:c r="BC21" i="3"/>
  <x:c r="BD21" i="3"/>
  <x:c r="BE21" i="3"/>
  <x:c r="BF21" i="3"/>
  <x:c r="BG21" i="3"/>
  <x:c r="BH21" i="3"/>
  <x:c r="BI21" i="3"/>
  <x:c r="BJ21" i="3"/>
  <x:c r="BK21" i="3"/>
  <x:c r="BL21" i="3"/>
  <x:c r="BM21" i="3"/>
  <x:c r="BN21" i="3"/>
  <x:c r="BO21" i="3"/>
  <x:c r="BP21" i="3"/>
  <x:c r="BQ21" i="3"/>
  <x:c r="BR21" i="3"/>
  <x:c r="BS21" i="3"/>
  <x:c r="BT21" i="3"/>
  <x:c r="BU21" i="3"/>
  <x:c r="BV21" i="3"/>
  <x:c r="BW21" i="3"/>
  <x:c r="BX21" i="3"/>
  <x:c r="BY21" i="3"/>
  <x:c r="BZ21" i="3"/>
  <x:c r="CA21" i="3"/>
  <x:c r="CB21" i="3"/>
  <x:c r="CC21" i="3"/>
  <x:c r="D22" i="3"/>
  <x:c r="D23" i="3"/>
  <x:c r="E23" i="3"/>
  <x:c r="D24" i="3"/>
  <x:c r="E24" i="3"/>
  <x:c r="F24" i="3"/>
  <x:c r="G24" i="3"/>
  <x:c r="H24" i="3"/>
  <x:c r="I24" i="3"/>
  <x:c r="J24" i="3"/>
  <x:c r="K24" i="3"/>
  <x:c r="L24" i="3"/>
  <x:c r="M24" i="3"/>
  <x:c r="N24" i="3"/>
  <x:c r="O24" i="3"/>
  <x:c r="P24" i="3"/>
  <x:c r="Q24" i="3"/>
  <x:c r="R24" i="3"/>
  <x:c r="S24" i="3"/>
  <x:c r="T24" i="3"/>
  <x:c r="U24" i="3"/>
  <x:c r="V24" i="3"/>
  <x:c r="W24" i="3"/>
  <x:c r="X24" i="3"/>
  <x:c r="Y24" i="3"/>
  <x:c r="Z24" i="3"/>
  <x:c r="AA24" i="3"/>
  <x:c r="AB24" i="3"/>
  <x:c r="AC24" i="3"/>
  <x:c r="AD24" i="3"/>
  <x:c r="AE24" i="3"/>
  <x:c r="AF24" i="3"/>
  <x:c r="AG24" i="3"/>
  <x:c r="AH24" i="3"/>
  <x:c r="AI24" i="3"/>
  <x:c r="AJ24" i="3"/>
  <x:c r="AK24" i="3"/>
  <x:c r="AL24" i="3"/>
  <x:c r="AM24" i="3"/>
  <x:c r="AN24" i="3"/>
  <x:c r="AO24" i="3"/>
  <x:c r="AP24" i="3"/>
  <x:c r="AQ24" i="3"/>
  <x:c r="AR24" i="3"/>
  <x:c r="AS24" i="3"/>
  <x:c r="AT24" i="3"/>
  <x:c r="AU24" i="3"/>
  <x:c r="AV24" i="3"/>
  <x:c r="AW24" i="3"/>
  <x:c r="AX24" i="3"/>
  <x:c r="AY24" i="3"/>
  <x:c r="AZ24" i="3"/>
  <x:c r="BA24" i="3"/>
  <x:c r="BB24" i="3"/>
  <x:c r="BC24" i="3"/>
  <x:c r="BD24" i="3"/>
  <x:c r="BE24" i="3"/>
  <x:c r="BF24" i="3"/>
  <x:c r="BG24" i="3"/>
  <x:c r="BH24" i="3"/>
  <x:c r="BI24" i="3"/>
  <x:c r="BJ24" i="3"/>
  <x:c r="BK24" i="3"/>
  <x:c r="BL24" i="3"/>
  <x:c r="BM24" i="3"/>
  <x:c r="BN24" i="3"/>
  <x:c r="BO24" i="3"/>
  <x:c r="BP24" i="3"/>
  <x:c r="BQ24" i="3"/>
  <x:c r="BR24" i="3"/>
  <x:c r="BS24" i="3"/>
  <x:c r="BT24" i="3"/>
  <x:c r="BU24" i="3"/>
  <x:c r="BV24" i="3"/>
  <x:c r="BW24" i="3"/>
  <x:c r="BX24" i="3"/>
  <x:c r="BY24" i="3"/>
  <x:c r="BZ24" i="3"/>
  <x:c r="CA24" i="3"/>
  <x:c r="CB24" i="3"/>
  <x:c r="CC24" i="3"/>
  <x:c r="D25" i="3"/>
  <x:c r="E25" i="3"/>
  <x:c r="F25" i="3"/>
  <x:c r="G25" i="3"/>
  <x:c r="H25" i="3"/>
  <x:c r="I25" i="3"/>
  <x:c r="J25" i="3"/>
  <x:c r="K25" i="3"/>
  <x:c r="L25" i="3"/>
  <x:c r="M25" i="3"/>
  <x:c r="N25" i="3"/>
  <x:c r="O25" i="3"/>
  <x:c r="P25" i="3"/>
  <x:c r="Q25" i="3"/>
  <x:c r="R25" i="3"/>
  <x:c r="S25" i="3"/>
  <x:c r="T25" i="3"/>
  <x:c r="U25" i="3"/>
  <x:c r="V25" i="3"/>
  <x:c r="W25" i="3"/>
  <x:c r="X25" i="3"/>
  <x:c r="Y25" i="3"/>
  <x:c r="Z25" i="3"/>
  <x:c r="AA25" i="3"/>
  <x:c r="AB25" i="3"/>
  <x:c r="AC25" i="3"/>
  <x:c r="AD25" i="3"/>
  <x:c r="AE25" i="3"/>
  <x:c r="AF25" i="3"/>
  <x:c r="AG25" i="3"/>
  <x:c r="AH25" i="3"/>
  <x:c r="AI25" i="3"/>
  <x:c r="AJ25" i="3"/>
  <x:c r="AK25" i="3"/>
  <x:c r="AL25" i="3"/>
  <x:c r="AM25" i="3"/>
  <x:c r="AN25" i="3"/>
  <x:c r="AO25" i="3"/>
  <x:c r="AP25" i="3"/>
  <x:c r="AQ25" i="3"/>
  <x:c r="AR25" i="3"/>
  <x:c r="AS25" i="3"/>
  <x:c r="AT25" i="3"/>
  <x:c r="AU25" i="3"/>
  <x:c r="AV25" i="3"/>
  <x:c r="AW25" i="3"/>
  <x:c r="AX25" i="3"/>
  <x:c r="AY25" i="3"/>
  <x:c r="AZ25" i="3"/>
  <x:c r="BA25" i="3"/>
  <x:c r="BB25" i="3"/>
  <x:c r="BC25" i="3"/>
  <x:c r="BD25" i="3"/>
  <x:c r="BE25" i="3"/>
  <x:c r="BF25" i="3"/>
  <x:c r="BG25" i="3"/>
  <x:c r="BH25" i="3"/>
  <x:c r="BI25" i="3"/>
  <x:c r="BJ25" i="3"/>
  <x:c r="BK25" i="3"/>
  <x:c r="BL25" i="3"/>
  <x:c r="BM25" i="3"/>
  <x:c r="BN25" i="3"/>
  <x:c r="BO25" i="3"/>
  <x:c r="BP25" i="3"/>
  <x:c r="BQ25" i="3"/>
  <x:c r="BR25" i="3"/>
  <x:c r="BS25" i="3"/>
  <x:c r="BT25" i="3"/>
  <x:c r="BU25" i="3"/>
  <x:c r="BV25" i="3"/>
  <x:c r="BW25" i="3"/>
  <x:c r="BX25" i="3"/>
  <x:c r="BY25" i="3"/>
  <x:c r="BZ25" i="3"/>
  <x:c r="CA25" i="3"/>
  <x:c r="CB25" i="3"/>
  <x:c r="CC25" i="3"/>
  <x:c r="D26" i="3"/>
  <x:c r="E26" i="3"/>
  <x:c r="F26" i="3"/>
  <x:c r="G26" i="3"/>
  <x:c r="H26" i="3"/>
  <x:c r="I26" i="3"/>
  <x:c r="J26" i="3"/>
  <x:c r="K26" i="3"/>
  <x:c r="L26" i="3"/>
  <x:c r="M26" i="3"/>
  <x:c r="N26" i="3"/>
  <x:c r="O26" i="3"/>
  <x:c r="P26" i="3"/>
  <x:c r="Q26" i="3"/>
  <x:c r="R26" i="3"/>
  <x:c r="S26" i="3"/>
  <x:c r="T26" i="3"/>
  <x:c r="U26" i="3"/>
  <x:c r="V26" i="3"/>
  <x:c r="W26" i="3"/>
  <x:c r="X26" i="3"/>
  <x:c r="Y26" i="3"/>
  <x:c r="Z26" i="3"/>
  <x:c r="AA26" i="3"/>
  <x:c r="AB26" i="3"/>
  <x:c r="AC26" i="3"/>
  <x:c r="AD26" i="3"/>
  <x:c r="AE26" i="3"/>
  <x:c r="AF26" i="3"/>
  <x:c r="AG26" i="3"/>
  <x:c r="AH26" i="3"/>
  <x:c r="AI26" i="3"/>
  <x:c r="AJ26" i="3"/>
  <x:c r="AK26" i="3"/>
  <x:c r="AL26" i="3"/>
  <x:c r="AM26" i="3"/>
  <x:c r="AN26" i="3"/>
  <x:c r="AO26" i="3"/>
  <x:c r="AP26" i="3"/>
  <x:c r="AQ26" i="3"/>
  <x:c r="AR26" i="3"/>
  <x:c r="AS26" i="3"/>
  <x:c r="AT26" i="3"/>
  <x:c r="AU26" i="3"/>
  <x:c r="AV26" i="3"/>
  <x:c r="AW26" i="3"/>
  <x:c r="AX26" i="3"/>
  <x:c r="AY26" i="3"/>
  <x:c r="AZ26" i="3"/>
  <x:c r="BA26" i="3"/>
  <x:c r="BB26" i="3"/>
  <x:c r="BC26" i="3"/>
  <x:c r="BD26" i="3"/>
  <x:c r="BE26" i="3"/>
  <x:c r="BF26" i="3"/>
  <x:c r="BG26" i="3"/>
  <x:c r="BH26" i="3"/>
  <x:c r="BI26" i="3"/>
  <x:c r="BJ26" i="3"/>
  <x:c r="BK26" i="3"/>
  <x:c r="BL26" i="3"/>
  <x:c r="BM26" i="3"/>
  <x:c r="BN26" i="3"/>
  <x:c r="BO26" i="3"/>
  <x:c r="BP26" i="3"/>
  <x:c r="BQ26" i="3"/>
  <x:c r="BR26" i="3"/>
  <x:c r="BS26" i="3"/>
  <x:c r="BT26" i="3"/>
  <x:c r="BU26" i="3"/>
  <x:c r="BV26" i="3"/>
  <x:c r="BW26" i="3"/>
  <x:c r="BX26" i="3"/>
  <x:c r="BY26" i="3"/>
  <x:c r="BZ26" i="3"/>
  <x:c r="CA26" i="3"/>
  <x:c r="CB26" i="3"/>
  <x:c r="CC26" i="3"/>
  <x:c r="D27" i="3"/>
  <x:c r="E27" i="3"/>
  <x:c r="F27" i="3"/>
  <x:c r="G27" i="3"/>
  <x:c r="H27" i="3"/>
  <x:c r="I27" i="3"/>
  <x:c r="J27" i="3"/>
  <x:c r="K27" i="3"/>
  <x:c r="L27" i="3"/>
  <x:c r="M27" i="3"/>
  <x:c r="N27" i="3"/>
  <x:c r="O27" i="3"/>
  <x:c r="P27" i="3"/>
  <x:c r="Q27" i="3"/>
  <x:c r="R27" i="3"/>
  <x:c r="S27" i="3"/>
  <x:c r="T27" i="3"/>
  <x:c r="U27" i="3"/>
  <x:c r="V27" i="3"/>
  <x:c r="W27" i="3"/>
  <x:c r="X27" i="3"/>
  <x:c r="Y27" i="3"/>
  <x:c r="Z27" i="3"/>
  <x:c r="AA27" i="3"/>
  <x:c r="AB27" i="3"/>
  <x:c r="AC27" i="3"/>
  <x:c r="AD27" i="3"/>
  <x:c r="AE27" i="3"/>
  <x:c r="AF27" i="3"/>
  <x:c r="AG27" i="3"/>
  <x:c r="AH27" i="3"/>
  <x:c r="AI27" i="3"/>
  <x:c r="AJ27" i="3"/>
  <x:c r="AK27" i="3"/>
  <x:c r="AL27" i="3"/>
  <x:c r="AM27" i="3"/>
  <x:c r="AN27" i="3"/>
  <x:c r="AO27" i="3"/>
  <x:c r="AP27" i="3"/>
  <x:c r="AQ27" i="3"/>
  <x:c r="AR27" i="3"/>
  <x:c r="AS27" i="3"/>
  <x:c r="AT27" i="3"/>
  <x:c r="AU27" i="3"/>
  <x:c r="AV27" i="3"/>
  <x:c r="AW27" i="3"/>
  <x:c r="AX27" i="3"/>
  <x:c r="AY27" i="3"/>
  <x:c r="AZ27" i="3"/>
  <x:c r="BA27" i="3"/>
  <x:c r="BB27" i="3"/>
  <x:c r="BC27" i="3"/>
  <x:c r="BD27" i="3"/>
  <x:c r="BE27" i="3"/>
  <x:c r="BF27" i="3"/>
  <x:c r="BG27" i="3"/>
  <x:c r="BH27" i="3"/>
  <x:c r="BI27" i="3"/>
  <x:c r="BJ27" i="3"/>
  <x:c r="BK27" i="3"/>
  <x:c r="BL27" i="3"/>
  <x:c r="BM27" i="3"/>
  <x:c r="BN27" i="3"/>
  <x:c r="BO27" i="3"/>
  <x:c r="BP27" i="3"/>
  <x:c r="BQ27" i="3"/>
  <x:c r="BR27" i="3"/>
  <x:c r="BS27" i="3"/>
  <x:c r="BT27" i="3"/>
  <x:c r="BU27" i="3"/>
  <x:c r="BV27" i="3"/>
  <x:c r="BW27" i="3"/>
  <x:c r="BX27" i="3"/>
  <x:c r="BY27" i="3"/>
  <x:c r="BZ27" i="3"/>
  <x:c r="CA27" i="3"/>
  <x:c r="CB27" i="3"/>
  <x:c r="CC27" i="3"/>
  <x:c r="D29" i="3"/>
  <x:c r="E29" i="3"/>
  <x:c r="F29" i="3"/>
  <x:c r="G29" i="3"/>
  <x:c r="H29" i="3"/>
  <x:c r="I29" i="3"/>
  <x:c r="J29" i="3"/>
  <x:c r="K29" i="3"/>
  <x:c r="L29" i="3"/>
  <x:c r="M29" i="3"/>
  <x:c r="N29" i="3"/>
  <x:c r="O29" i="3"/>
  <x:c r="P29" i="3"/>
  <x:c r="Q29" i="3"/>
  <x:c r="R29" i="3"/>
  <x:c r="S29" i="3"/>
  <x:c r="T29" i="3"/>
  <x:c r="U29" i="3"/>
  <x:c r="V29" i="3"/>
  <x:c r="W29" i="3"/>
  <x:c r="X29" i="3"/>
  <x:c r="Y29" i="3"/>
  <x:c r="Z29" i="3"/>
  <x:c r="AA29" i="3"/>
  <x:c r="AB29" i="3"/>
  <x:c r="AC29" i="3"/>
  <x:c r="AD29" i="3"/>
  <x:c r="AE29" i="3"/>
  <x:c r="AF29" i="3"/>
  <x:c r="AG29" i="3"/>
  <x:c r="AH29" i="3"/>
  <x:c r="AI29" i="3"/>
  <x:c r="AJ29" i="3"/>
  <x:c r="AK29" i="3"/>
  <x:c r="AL29" i="3"/>
  <x:c r="AM29" i="3"/>
  <x:c r="AN29" i="3"/>
  <x:c r="AO29" i="3"/>
  <x:c r="AP29" i="3"/>
  <x:c r="AQ29" i="3"/>
  <x:c r="AR29" i="3"/>
  <x:c r="AS29" i="3"/>
  <x:c r="AT29" i="3"/>
  <x:c r="AU29" i="3"/>
  <x:c r="AV29" i="3"/>
  <x:c r="AW29" i="3"/>
  <x:c r="AX29" i="3"/>
  <x:c r="AY29" i="3"/>
  <x:c r="AZ29" i="3"/>
  <x:c r="BA29" i="3"/>
  <x:c r="BB29" i="3"/>
  <x:c r="BC29" i="3"/>
  <x:c r="BD29" i="3"/>
  <x:c r="BE29" i="3"/>
  <x:c r="BF29" i="3"/>
  <x:c r="BG29" i="3"/>
  <x:c r="BH29" i="3"/>
  <x:c r="BI29" i="3"/>
  <x:c r="BJ29" i="3"/>
  <x:c r="BK29" i="3"/>
  <x:c r="BL29" i="3"/>
  <x:c r="BM29" i="3"/>
  <x:c r="BN29" i="3"/>
  <x:c r="BO29" i="3"/>
  <x:c r="BP29" i="3"/>
  <x:c r="BQ29" i="3"/>
  <x:c r="BR29" i="3"/>
  <x:c r="BS29" i="3"/>
  <x:c r="BT29" i="3"/>
  <x:c r="BU29" i="3"/>
  <x:c r="BV29" i="3"/>
  <x:c r="BW29" i="3"/>
  <x:c r="BX29" i="3"/>
  <x:c r="BY29" i="3"/>
  <x:c r="BZ29" i="3"/>
  <x:c r="CA29" i="3"/>
  <x:c r="CB29" i="3"/>
  <x:c r="CC29" i="3"/>
  <x:c r="D30" i="3"/>
  <x:c r="E30" i="3"/>
  <x:c r="F30" i="3"/>
  <x:c r="G30" i="3"/>
  <x:c r="H30" i="3"/>
  <x:c r="I30" i="3"/>
  <x:c r="J30" i="3"/>
  <x:c r="K30" i="3"/>
  <x:c r="L30" i="3"/>
  <x:c r="M30" i="3"/>
  <x:c r="N30" i="3"/>
  <x:c r="O30" i="3"/>
  <x:c r="P30" i="3"/>
  <x:c r="Q30" i="3"/>
  <x:c r="R30" i="3"/>
  <x:c r="S30" i="3"/>
  <x:c r="T30" i="3"/>
  <x:c r="U30" i="3"/>
  <x:c r="V30" i="3"/>
  <x:c r="W30" i="3"/>
  <x:c r="X30" i="3"/>
  <x:c r="Y30" i="3"/>
  <x:c r="Z30" i="3"/>
  <x:c r="AA30" i="3"/>
  <x:c r="AB30" i="3"/>
  <x:c r="AC30" i="3"/>
  <x:c r="AD30" i="3"/>
  <x:c r="AE30" i="3"/>
  <x:c r="AF30" i="3"/>
  <x:c r="AG30" i="3"/>
  <x:c r="AH30" i="3"/>
  <x:c r="AI30" i="3"/>
  <x:c r="AJ30" i="3"/>
  <x:c r="AK30" i="3"/>
  <x:c r="AL30" i="3"/>
  <x:c r="AM30" i="3"/>
  <x:c r="AN30" i="3"/>
  <x:c r="AO30" i="3"/>
  <x:c r="AP30" i="3"/>
  <x:c r="AQ30" i="3"/>
  <x:c r="AR30" i="3"/>
  <x:c r="AS30" i="3"/>
  <x:c r="AT30" i="3"/>
  <x:c r="AU30" i="3"/>
  <x:c r="AV30" i="3"/>
  <x:c r="AW30" i="3"/>
  <x:c r="AX30" i="3"/>
  <x:c r="AY30" i="3"/>
  <x:c r="AZ30" i="3"/>
  <x:c r="BA30" i="3"/>
  <x:c r="BB30" i="3"/>
  <x:c r="BC30" i="3"/>
  <x:c r="BD30" i="3"/>
  <x:c r="BE30" i="3"/>
  <x:c r="BF30" i="3"/>
  <x:c r="BG30" i="3"/>
  <x:c r="BH30" i="3"/>
  <x:c r="BI30" i="3"/>
  <x:c r="BJ30" i="3"/>
  <x:c r="BK30" i="3"/>
  <x:c r="BL30" i="3"/>
  <x:c r="BM30" i="3"/>
  <x:c r="BN30" i="3"/>
  <x:c r="BO30" i="3"/>
  <x:c r="BP30" i="3"/>
  <x:c r="BQ30" i="3"/>
  <x:c r="BR30" i="3"/>
  <x:c r="BS30" i="3"/>
  <x:c r="BT30" i="3"/>
  <x:c r="BU30" i="3"/>
  <x:c r="BV30" i="3"/>
  <x:c r="BW30" i="3"/>
  <x:c r="BX30" i="3"/>
  <x:c r="BY30" i="3"/>
  <x:c r="BZ30" i="3"/>
  <x:c r="CA30" i="3"/>
  <x:c r="CB30" i="3"/>
  <x:c r="CC30" i="3"/>
  <x:c r="D31" i="3"/>
  <x:c r="E31" i="3"/>
  <x:c r="F31" i="3"/>
  <x:c r="G31" i="3"/>
  <x:c r="H31" i="3"/>
  <x:c r="I31" i="3"/>
  <x:c r="J31" i="3"/>
  <x:c r="K31" i="3"/>
  <x:c r="L31" i="3"/>
  <x:c r="M31" i="3"/>
  <x:c r="N31" i="3"/>
  <x:c r="O31" i="3"/>
  <x:c r="P31" i="3"/>
  <x:c r="Q31" i="3"/>
  <x:c r="R31" i="3"/>
  <x:c r="S31" i="3"/>
  <x:c r="T31" i="3"/>
  <x:c r="U31" i="3"/>
  <x:c r="V31" i="3"/>
  <x:c r="W31" i="3"/>
  <x:c r="X31" i="3"/>
  <x:c r="Y31" i="3"/>
  <x:c r="Z31" i="3"/>
  <x:c r="AA31" i="3"/>
  <x:c r="AB31" i="3"/>
  <x:c r="AC31" i="3"/>
  <x:c r="AD31" i="3"/>
  <x:c r="AE31" i="3"/>
  <x:c r="AF31" i="3"/>
  <x:c r="AG31" i="3"/>
  <x:c r="AH31" i="3"/>
  <x:c r="AI31" i="3"/>
  <x:c r="AJ31" i="3"/>
  <x:c r="AK31" i="3"/>
  <x:c r="AL31" i="3"/>
  <x:c r="AM31" i="3"/>
  <x:c r="AN31" i="3"/>
  <x:c r="AO31" i="3"/>
  <x:c r="AP31" i="3"/>
  <x:c r="AQ31" i="3"/>
  <x:c r="AR31" i="3"/>
  <x:c r="AS31" i="3"/>
  <x:c r="AT31" i="3"/>
  <x:c r="AU31" i="3"/>
  <x:c r="AV31" i="3"/>
  <x:c r="AW31" i="3"/>
  <x:c r="AX31" i="3"/>
  <x:c r="AY31" i="3"/>
  <x:c r="AZ31" i="3"/>
  <x:c r="BA31" i="3"/>
  <x:c r="BB31" i="3"/>
  <x:c r="BC31" i="3"/>
  <x:c r="BD31" i="3"/>
  <x:c r="BE31" i="3"/>
  <x:c r="BF31" i="3"/>
  <x:c r="BG31" i="3"/>
  <x:c r="BH31" i="3"/>
  <x:c r="BI31" i="3"/>
  <x:c r="BJ31" i="3"/>
  <x:c r="BK31" i="3"/>
  <x:c r="BL31" i="3"/>
  <x:c r="BM31" i="3"/>
  <x:c r="BN31" i="3"/>
  <x:c r="BO31" i="3"/>
  <x:c r="BP31" i="3"/>
  <x:c r="BQ31" i="3"/>
  <x:c r="BR31" i="3"/>
  <x:c r="BS31" i="3"/>
  <x:c r="BT31" i="3"/>
  <x:c r="BU31" i="3"/>
  <x:c r="BV31" i="3"/>
  <x:c r="BW31" i="3"/>
  <x:c r="BX31" i="3"/>
  <x:c r="BY31" i="3"/>
  <x:c r="BZ31" i="3"/>
  <x:c r="CA31" i="3"/>
  <x:c r="CB31" i="3"/>
  <x:c r="CC31" i="3"/>
  <x:c r="D32" i="3"/>
  <x:c r="E32" i="3"/>
  <x:c r="F32" i="3"/>
  <x:c r="G32" i="3"/>
  <x:c r="H32" i="3"/>
  <x:c r="I32" i="3"/>
  <x:c r="J32" i="3"/>
  <x:c r="K32" i="3"/>
  <x:c r="L32" i="3"/>
  <x:c r="M32" i="3"/>
  <x:c r="N32" i="3"/>
  <x:c r="O32" i="3"/>
  <x:c r="P32" i="3"/>
  <x:c r="Q32" i="3"/>
  <x:c r="R32" i="3"/>
  <x:c r="S32" i="3"/>
  <x:c r="T32" i="3"/>
  <x:c r="U32" i="3"/>
  <x:c r="V32" i="3"/>
  <x:c r="W32" i="3"/>
  <x:c r="X32" i="3"/>
  <x:c r="Y32" i="3"/>
  <x:c r="Z32" i="3"/>
  <x:c r="AA32" i="3"/>
  <x:c r="AB32" i="3"/>
  <x:c r="AC32" i="3"/>
  <x:c r="AD32" i="3"/>
  <x:c r="AE32" i="3"/>
  <x:c r="AF32" i="3"/>
  <x:c r="AG32" i="3"/>
  <x:c r="AH32" i="3"/>
  <x:c r="AI32" i="3"/>
  <x:c r="AJ32" i="3"/>
  <x:c r="AK32" i="3"/>
  <x:c r="AL32" i="3"/>
  <x:c r="AM32" i="3"/>
  <x:c r="AN32" i="3"/>
  <x:c r="AO32" i="3"/>
  <x:c r="AP32" i="3"/>
  <x:c r="AQ32" i="3"/>
  <x:c r="AR32" i="3"/>
  <x:c r="AS32" i="3"/>
  <x:c r="AT32" i="3"/>
  <x:c r="AU32" i="3"/>
  <x:c r="AV32" i="3"/>
  <x:c r="AW32" i="3"/>
  <x:c r="AX32" i="3"/>
  <x:c r="AY32" i="3"/>
  <x:c r="AZ32" i="3"/>
  <x:c r="BA32" i="3"/>
  <x:c r="BB32" i="3"/>
  <x:c r="BC32" i="3"/>
  <x:c r="BD32" i="3"/>
  <x:c r="BE32" i="3"/>
  <x:c r="BF32" i="3"/>
  <x:c r="BG32" i="3"/>
  <x:c r="BH32" i="3"/>
  <x:c r="BI32" i="3"/>
  <x:c r="BJ32" i="3"/>
  <x:c r="BK32" i="3"/>
  <x:c r="BL32" i="3"/>
  <x:c r="BM32" i="3"/>
  <x:c r="BN32" i="3"/>
  <x:c r="BO32" i="3"/>
  <x:c r="BP32" i="3"/>
  <x:c r="BQ32" i="3"/>
  <x:c r="BR32" i="3"/>
  <x:c r="BS32" i="3"/>
  <x:c r="BT32" i="3"/>
  <x:c r="BU32" i="3"/>
  <x:c r="BV32" i="3"/>
  <x:c r="BW32" i="3"/>
  <x:c r="BX32" i="3"/>
  <x:c r="BY32" i="3"/>
  <x:c r="BZ32" i="3"/>
  <x:c r="CA32" i="3"/>
  <x:c r="CB32" i="3"/>
  <x:c r="CC32" i="3"/>
  <x:c r="D33" i="3"/>
  <x:c r="E33" i="3"/>
  <x:c r="F33" i="3"/>
  <x:c r="G33" i="3"/>
  <x:c r="H33" i="3"/>
  <x:c r="I33" i="3"/>
  <x:c r="J33" i="3"/>
  <x:c r="K33" i="3"/>
  <x:c r="L33" i="3"/>
  <x:c r="M33" i="3"/>
  <x:c r="N33" i="3"/>
  <x:c r="O33" i="3"/>
  <x:c r="P33" i="3"/>
  <x:c r="Q33" i="3"/>
  <x:c r="R33" i="3"/>
  <x:c r="S33" i="3"/>
  <x:c r="T33" i="3"/>
  <x:c r="U33" i="3"/>
  <x:c r="V33" i="3"/>
  <x:c r="W33" i="3"/>
  <x:c r="X33" i="3"/>
  <x:c r="Y33" i="3"/>
  <x:c r="Z33" i="3"/>
  <x:c r="AA33" i="3"/>
  <x:c r="AB33" i="3"/>
  <x:c r="AC33" i="3"/>
  <x:c r="AD33" i="3"/>
  <x:c r="AE33" i="3"/>
  <x:c r="AF33" i="3"/>
  <x:c r="AG33" i="3"/>
  <x:c r="AH33" i="3"/>
  <x:c r="AI33" i="3"/>
  <x:c r="AJ33" i="3"/>
  <x:c r="AK33" i="3"/>
  <x:c r="AL33" i="3"/>
  <x:c r="AM33" i="3"/>
  <x:c r="AN33" i="3"/>
  <x:c r="AO33" i="3"/>
  <x:c r="AP33" i="3"/>
  <x:c r="AQ33" i="3"/>
  <x:c r="AR33" i="3"/>
  <x:c r="AS33" i="3"/>
  <x:c r="AT33" i="3"/>
  <x:c r="AU33" i="3"/>
  <x:c r="AV33" i="3"/>
  <x:c r="AW33" i="3"/>
  <x:c r="AX33" i="3"/>
  <x:c r="AY33" i="3"/>
  <x:c r="AZ33" i="3"/>
  <x:c r="BA33" i="3"/>
  <x:c r="BB33" i="3"/>
  <x:c r="BC33" i="3"/>
  <x:c r="BD33" i="3"/>
  <x:c r="BE33" i="3"/>
  <x:c r="BF33" i="3"/>
  <x:c r="BG33" i="3"/>
  <x:c r="BH33" i="3"/>
  <x:c r="BI33" i="3"/>
  <x:c r="BJ33" i="3"/>
  <x:c r="BK33" i="3"/>
  <x:c r="BL33" i="3"/>
  <x:c r="BM33" i="3"/>
  <x:c r="BN33" i="3"/>
  <x:c r="BO33" i="3"/>
  <x:c r="BP33" i="3"/>
  <x:c r="BQ33" i="3"/>
  <x:c r="BR33" i="3"/>
  <x:c r="BS33" i="3"/>
  <x:c r="BT33" i="3"/>
  <x:c r="BU33" i="3"/>
  <x:c r="BV33" i="3"/>
  <x:c r="BW33" i="3"/>
  <x:c r="BX33" i="3"/>
  <x:c r="BY33" i="3"/>
  <x:c r="BZ33" i="3"/>
  <x:c r="CA33" i="3"/>
  <x:c r="CB33" i="3"/>
  <x:c r="CC33" i="3"/>
  <x:c r="D34" i="3"/>
  <x:c r="E34" i="3"/>
  <x:c r="F34" i="3"/>
  <x:c r="G34" i="3"/>
  <x:c r="H34" i="3"/>
  <x:c r="I34" i="3"/>
  <x:c r="J34" i="3"/>
  <x:c r="K34" i="3"/>
  <x:c r="L34" i="3"/>
  <x:c r="M34" i="3"/>
  <x:c r="N34" i="3"/>
  <x:c r="O34" i="3"/>
  <x:c r="P34" i="3"/>
  <x:c r="Q34" i="3"/>
  <x:c r="R34" i="3"/>
  <x:c r="S34" i="3"/>
  <x:c r="T34" i="3"/>
  <x:c r="U34" i="3"/>
  <x:c r="V34" i="3"/>
  <x:c r="W34" i="3"/>
  <x:c r="X34" i="3"/>
  <x:c r="Y34" i="3"/>
  <x:c r="Z34" i="3"/>
  <x:c r="AA34" i="3"/>
  <x:c r="AB34" i="3"/>
  <x:c r="AC34" i="3"/>
  <x:c r="AD34" i="3"/>
  <x:c r="AE34" i="3"/>
  <x:c r="AF34" i="3"/>
  <x:c r="AG34" i="3"/>
  <x:c r="AH34" i="3"/>
  <x:c r="AI34" i="3"/>
  <x:c r="AJ34" i="3"/>
  <x:c r="AK34" i="3"/>
  <x:c r="AL34" i="3"/>
  <x:c r="AM34" i="3"/>
  <x:c r="AN34" i="3"/>
  <x:c r="AO34" i="3"/>
  <x:c r="AP34" i="3"/>
  <x:c r="AQ34" i="3"/>
  <x:c r="AR34" i="3"/>
  <x:c r="AS34" i="3"/>
  <x:c r="AT34" i="3"/>
  <x:c r="AU34" i="3"/>
  <x:c r="AV34" i="3"/>
  <x:c r="AW34" i="3"/>
  <x:c r="AX34" i="3"/>
  <x:c r="AY34" i="3"/>
  <x:c r="AZ34" i="3"/>
  <x:c r="BA34" i="3"/>
  <x:c r="BB34" i="3"/>
  <x:c r="BC34" i="3"/>
  <x:c r="BD34" i="3"/>
  <x:c r="BE34" i="3"/>
  <x:c r="BF34" i="3"/>
  <x:c r="BG34" i="3"/>
  <x:c r="BH34" i="3"/>
  <x:c r="BI34" i="3"/>
  <x:c r="BJ34" i="3"/>
  <x:c r="BK34" i="3"/>
  <x:c r="BL34" i="3"/>
  <x:c r="BM34" i="3"/>
  <x:c r="BN34" i="3"/>
  <x:c r="BO34" i="3"/>
  <x:c r="BP34" i="3"/>
  <x:c r="BQ34" i="3"/>
  <x:c r="BR34" i="3"/>
  <x:c r="BS34" i="3"/>
  <x:c r="BT34" i="3"/>
  <x:c r="BU34" i="3"/>
  <x:c r="BV34" i="3"/>
  <x:c r="BW34" i="3"/>
  <x:c r="BX34" i="3"/>
  <x:c r="BY34" i="3"/>
  <x:c r="BZ34" i="3"/>
  <x:c r="CA34" i="3"/>
  <x:c r="CB34" i="3"/>
  <x:c r="CC34" i="3"/>
  <x:c r="D35" i="3"/>
  <x:c r="E35" i="3"/>
  <x:c r="F35" i="3"/>
  <x:c r="G35" i="3"/>
  <x:c r="H35" i="3"/>
  <x:c r="I35" i="3"/>
  <x:c r="J35" i="3"/>
  <x:c r="K35" i="3"/>
  <x:c r="L35" i="3"/>
  <x:c r="M35" i="3"/>
  <x:c r="N35" i="3"/>
  <x:c r="O35" i="3"/>
  <x:c r="P35" i="3"/>
  <x:c r="Q35" i="3"/>
  <x:c r="R35" i="3"/>
  <x:c r="S35" i="3"/>
  <x:c r="T35" i="3"/>
  <x:c r="U35" i="3"/>
  <x:c r="V35" i="3"/>
  <x:c r="W35" i="3"/>
  <x:c r="X35" i="3"/>
  <x:c r="Y35" i="3"/>
  <x:c r="Z35" i="3"/>
  <x:c r="AA35" i="3"/>
  <x:c r="AB35" i="3"/>
  <x:c r="AC35" i="3"/>
  <x:c r="AD35" i="3"/>
  <x:c r="AE35" i="3"/>
  <x:c r="AF35" i="3"/>
  <x:c r="AG35" i="3"/>
  <x:c r="AH35" i="3"/>
  <x:c r="AI35" i="3"/>
  <x:c r="AJ35" i="3"/>
  <x:c r="AK35" i="3"/>
  <x:c r="AL35" i="3"/>
  <x:c r="AM35" i="3"/>
  <x:c r="AN35" i="3"/>
  <x:c r="AO35" i="3"/>
  <x:c r="AP35" i="3"/>
  <x:c r="AQ35" i="3"/>
  <x:c r="AR35" i="3"/>
  <x:c r="AS35" i="3"/>
  <x:c r="AT35" i="3"/>
  <x:c r="AU35" i="3"/>
  <x:c r="AV35" i="3"/>
  <x:c r="AW35" i="3"/>
  <x:c r="AX35" i="3"/>
  <x:c r="AY35" i="3"/>
  <x:c r="AZ35" i="3"/>
  <x:c r="BA35" i="3"/>
  <x:c r="BB35" i="3"/>
  <x:c r="BC35" i="3"/>
  <x:c r="BD35" i="3"/>
  <x:c r="BE35" i="3"/>
  <x:c r="BF35" i="3"/>
  <x:c r="BG35" i="3"/>
  <x:c r="BH35" i="3"/>
  <x:c r="BI35" i="3"/>
  <x:c r="BJ35" i="3"/>
  <x:c r="BK35" i="3"/>
  <x:c r="BL35" i="3"/>
  <x:c r="BM35" i="3"/>
  <x:c r="BN35" i="3"/>
  <x:c r="BO35" i="3"/>
  <x:c r="BP35" i="3"/>
  <x:c r="BQ35" i="3"/>
  <x:c r="BR35" i="3"/>
  <x:c r="BS35" i="3"/>
  <x:c r="BT35" i="3"/>
  <x:c r="BU35" i="3"/>
  <x:c r="BV35" i="3"/>
  <x:c r="BW35" i="3"/>
  <x:c r="BX35" i="3"/>
  <x:c r="BY35" i="3"/>
  <x:c r="BZ35" i="3"/>
  <x:c r="CA35" i="3"/>
  <x:c r="CB35" i="3"/>
  <x:c r="CC35" i="3"/>
  <x:c r="D37" i="3" a="1"/>
  <x:c r="D37" i="3"/>
  <x:c r="E37" i="3"/>
  <x:c r="F37" i="3"/>
  <x:c r="G37" i="3"/>
  <x:c r="H37" i="3"/>
  <x:c r="I37" i="3"/>
  <x:c r="J37" i="3"/>
  <x:c r="K37" i="3"/>
  <x:c r="L37" i="3"/>
  <x:c r="M37" i="3"/>
  <x:c r="N37" i="3"/>
  <x:c r="O37" i="3"/>
  <x:c r="P37" i="3"/>
  <x:c r="Q37" i="3"/>
  <x:c r="R37" i="3"/>
  <x:c r="S37" i="3"/>
  <x:c r="T37" i="3"/>
  <x:c r="U37" i="3"/>
  <x:c r="V37" i="3"/>
  <x:c r="W37" i="3"/>
  <x:c r="X37" i="3"/>
  <x:c r="Y37" i="3"/>
  <x:c r="Z37" i="3"/>
  <x:c r="AA37" i="3"/>
  <x:c r="AB37" i="3"/>
  <x:c r="AC37" i="3"/>
  <x:c r="AD37" i="3"/>
  <x:c r="AE37" i="3"/>
  <x:c r="AF37" i="3"/>
  <x:c r="AG37" i="3"/>
  <x:c r="AH37" i="3"/>
  <x:c r="AI37" i="3"/>
  <x:c r="AJ37" i="3"/>
  <x:c r="AK37" i="3"/>
  <x:c r="AL37" i="3"/>
  <x:c r="AM37" i="3"/>
  <x:c r="AN37" i="3"/>
  <x:c r="AO37" i="3"/>
  <x:c r="AP37" i="3"/>
  <x:c r="AQ37" i="3"/>
  <x:c r="AR37" i="3"/>
  <x:c r="AS37" i="3"/>
  <x:c r="AT37" i="3"/>
  <x:c r="AU37" i="3"/>
  <x:c r="AV37" i="3"/>
  <x:c r="AW37" i="3"/>
  <x:c r="AX37" i="3"/>
  <x:c r="AY37" i="3"/>
  <x:c r="AZ37" i="3"/>
  <x:c r="BA37" i="3"/>
  <x:c r="BB37" i="3"/>
  <x:c r="BC37" i="3"/>
  <x:c r="BD37" i="3"/>
  <x:c r="BE37" i="3"/>
  <x:c r="BF37" i="3"/>
  <x:c r="BG37" i="3"/>
  <x:c r="BH37" i="3"/>
  <x:c r="BI37" i="3"/>
  <x:c r="BJ37" i="3"/>
  <x:c r="BK37" i="3"/>
  <x:c r="BL37" i="3"/>
  <x:c r="BM37" i="3"/>
  <x:c r="BN37" i="3"/>
  <x:c r="BO37" i="3"/>
  <x:c r="BP37" i="3"/>
  <x:c r="BQ37" i="3"/>
  <x:c r="BR37" i="3"/>
  <x:c r="BS37" i="3"/>
  <x:c r="BT37" i="3"/>
  <x:c r="BU37" i="3"/>
  <x:c r="BV37" i="3"/>
  <x:c r="BW37" i="3"/>
  <x:c r="BX37" i="3"/>
  <x:c r="BY37" i="3"/>
  <x:c r="BZ37" i="3"/>
  <x:c r="CA37" i="3"/>
  <x:c r="CB37" i="3"/>
  <x:c r="CC37" i="3"/>
  <x:c r="D38" i="3"/>
  <x:c r="E38" i="3"/>
  <x:c r="F38" i="3"/>
  <x:c r="G38" i="3"/>
  <x:c r="H38" i="3"/>
  <x:c r="I38" i="3"/>
  <x:c r="J38" i="3"/>
  <x:c r="K38" i="3"/>
  <x:c r="L38" i="3"/>
  <x:c r="M38" i="3"/>
  <x:c r="N38" i="3"/>
  <x:c r="O38" i="3"/>
  <x:c r="P38" i="3"/>
  <x:c r="Q38" i="3"/>
  <x:c r="R38" i="3"/>
  <x:c r="S38" i="3"/>
  <x:c r="T38" i="3"/>
  <x:c r="U38" i="3"/>
  <x:c r="V38" i="3"/>
  <x:c r="W38" i="3"/>
  <x:c r="X38" i="3"/>
  <x:c r="Y38" i="3"/>
  <x:c r="Z38" i="3"/>
  <x:c r="AA38" i="3"/>
  <x:c r="AB38" i="3"/>
  <x:c r="AC38" i="3"/>
  <x:c r="AD38" i="3"/>
  <x:c r="AE38" i="3"/>
  <x:c r="AF38" i="3"/>
  <x:c r="AG38" i="3"/>
  <x:c r="AH38" i="3"/>
  <x:c r="AI38" i="3"/>
  <x:c r="AJ38" i="3"/>
  <x:c r="AK38" i="3"/>
  <x:c r="AL38" i="3"/>
  <x:c r="AM38" i="3"/>
  <x:c r="AN38" i="3"/>
  <x:c r="AO38" i="3"/>
  <x:c r="AP38" i="3"/>
  <x:c r="AQ38" i="3"/>
  <x:c r="AR38" i="3"/>
  <x:c r="AS38" i="3"/>
  <x:c r="AT38" i="3"/>
  <x:c r="AU38" i="3"/>
  <x:c r="AV38" i="3"/>
  <x:c r="AW38" i="3"/>
  <x:c r="AX38" i="3"/>
  <x:c r="AY38" i="3"/>
  <x:c r="AZ38" i="3"/>
  <x:c r="BA38" i="3"/>
  <x:c r="BB38" i="3"/>
  <x:c r="BC38" i="3"/>
  <x:c r="BD38" i="3"/>
  <x:c r="BE38" i="3"/>
  <x:c r="BF38" i="3"/>
  <x:c r="BG38" i="3"/>
  <x:c r="BH38" i="3"/>
  <x:c r="BI38" i="3"/>
  <x:c r="BJ38" i="3"/>
  <x:c r="BK38" i="3"/>
  <x:c r="BL38" i="3"/>
  <x:c r="BM38" i="3"/>
  <x:c r="BN38" i="3"/>
  <x:c r="BO38" i="3"/>
  <x:c r="BP38" i="3"/>
  <x:c r="BQ38" i="3"/>
  <x:c r="BR38" i="3"/>
  <x:c r="BS38" i="3"/>
  <x:c r="BT38" i="3"/>
  <x:c r="BU38" i="3"/>
  <x:c r="BV38" i="3"/>
  <x:c r="BW38" i="3"/>
  <x:c r="BX38" i="3"/>
  <x:c r="BY38" i="3"/>
  <x:c r="BZ38" i="3"/>
  <x:c r="CA38" i="3"/>
  <x:c r="CB38" i="3"/>
  <x:c r="CC38" i="3"/>
  <x:c r="D41" i="3"/>
  <x:c r="E41" i="3"/>
  <x:c r="F41" i="3"/>
  <x:c r="G41" i="3"/>
  <x:c r="H41" i="3"/>
  <x:c r="I41" i="3"/>
  <x:c r="J41" i="3"/>
  <x:c r="K41" i="3"/>
  <x:c r="L41" i="3"/>
  <x:c r="M41" i="3"/>
  <x:c r="N41" i="3"/>
  <x:c r="O41" i="3"/>
  <x:c r="P41" i="3"/>
  <x:c r="Q41" i="3"/>
  <x:c r="R41" i="3"/>
  <x:c r="S41" i="3"/>
  <x:c r="T41" i="3"/>
  <x:c r="U41" i="3"/>
  <x:c r="V41" i="3"/>
  <x:c r="W41" i="3"/>
  <x:c r="X41" i="3"/>
  <x:c r="Y41" i="3"/>
  <x:c r="Z41" i="3"/>
  <x:c r="AA41" i="3"/>
  <x:c r="AB41" i="3"/>
  <x:c r="AC41" i="3"/>
  <x:c r="AD41" i="3"/>
  <x:c r="AE41" i="3"/>
  <x:c r="AF41" i="3"/>
  <x:c r="AG41" i="3"/>
  <x:c r="AH41" i="3"/>
  <x:c r="AI41" i="3"/>
  <x:c r="AJ41" i="3"/>
  <x:c r="AK41" i="3"/>
  <x:c r="AL41" i="3"/>
  <x:c r="AM41" i="3"/>
  <x:c r="AN41" i="3"/>
  <x:c r="AO41" i="3"/>
  <x:c r="AP41" i="3"/>
  <x:c r="AQ41" i="3"/>
  <x:c r="AR41" i="3"/>
  <x:c r="AS41" i="3"/>
  <x:c r="AT41" i="3"/>
  <x:c r="AU41" i="3"/>
  <x:c r="AV41" i="3"/>
  <x:c r="AW41" i="3"/>
  <x:c r="AX41" i="3"/>
  <x:c r="AY41" i="3"/>
  <x:c r="AZ41" i="3"/>
  <x:c r="BA41" i="3"/>
  <x:c r="BB41" i="3"/>
  <x:c r="BC41" i="3"/>
  <x:c r="BD41" i="3"/>
  <x:c r="BE41" i="3"/>
  <x:c r="BF41" i="3"/>
  <x:c r="BG41" i="3"/>
  <x:c r="BH41" i="3"/>
  <x:c r="BI41" i="3"/>
  <x:c r="BJ41" i="3"/>
  <x:c r="BK41" i="3"/>
  <x:c r="BL41" i="3"/>
  <x:c r="BM41" i="3"/>
  <x:c r="BN41" i="3"/>
  <x:c r="BO41" i="3"/>
  <x:c r="BP41" i="3"/>
  <x:c r="BQ41" i="3"/>
  <x:c r="BR41" i="3"/>
  <x:c r="BS41" i="3"/>
  <x:c r="BT41" i="3"/>
  <x:c r="BU41" i="3"/>
  <x:c r="BV41" i="3"/>
  <x:c r="BW41" i="3"/>
  <x:c r="BX41" i="3"/>
  <x:c r="BY41" i="3"/>
  <x:c r="BZ41" i="3"/>
  <x:c r="CA41" i="3"/>
  <x:c r="CB41" i="3"/>
  <x:c r="CC41" i="3"/>
  <x:c r="D42" i="3"/>
  <x:c r="E42" i="3"/>
  <x:c r="F42" i="3"/>
  <x:c r="G42" i="3"/>
  <x:c r="H42" i="3"/>
  <x:c r="I42" i="3"/>
  <x:c r="J42" i="3"/>
  <x:c r="K42" i="3"/>
  <x:c r="L42" i="3"/>
  <x:c r="M42" i="3"/>
  <x:c r="N42" i="3"/>
  <x:c r="O42" i="3"/>
  <x:c r="P42" i="3"/>
  <x:c r="Q42" i="3"/>
  <x:c r="R42" i="3"/>
  <x:c r="S42" i="3"/>
  <x:c r="T42" i="3"/>
  <x:c r="U42" i="3"/>
  <x:c r="V42" i="3"/>
  <x:c r="W42" i="3"/>
  <x:c r="X42" i="3"/>
  <x:c r="Y42" i="3"/>
  <x:c r="Z42" i="3"/>
  <x:c r="AA42" i="3"/>
  <x:c r="AB42" i="3"/>
  <x:c r="AC42" i="3"/>
  <x:c r="AD42" i="3"/>
  <x:c r="AE42" i="3"/>
  <x:c r="AF42" i="3"/>
  <x:c r="AG42" i="3"/>
  <x:c r="AH42" i="3"/>
  <x:c r="AI42" i="3"/>
  <x:c r="AJ42" i="3"/>
  <x:c r="AK42" i="3"/>
  <x:c r="AL42" i="3"/>
  <x:c r="AM42" i="3"/>
  <x:c r="AN42" i="3"/>
  <x:c r="AO42" i="3"/>
  <x:c r="AP42" i="3"/>
  <x:c r="AQ42" i="3"/>
  <x:c r="AR42" i="3"/>
  <x:c r="AS42" i="3"/>
  <x:c r="AT42" i="3"/>
  <x:c r="AU42" i="3"/>
  <x:c r="AV42" i="3"/>
  <x:c r="AW42" i="3"/>
  <x:c r="AX42" i="3"/>
  <x:c r="AY42" i="3"/>
  <x:c r="AZ42" i="3"/>
  <x:c r="BA42" i="3"/>
  <x:c r="BB42" i="3"/>
  <x:c r="BC42" i="3"/>
  <x:c r="BD42" i="3"/>
  <x:c r="BE42" i="3"/>
  <x:c r="BF42" i="3"/>
  <x:c r="BG42" i="3"/>
  <x:c r="BH42" i="3"/>
  <x:c r="BI42" i="3"/>
  <x:c r="BJ42" i="3"/>
  <x:c r="BK42" i="3"/>
  <x:c r="BL42" i="3"/>
  <x:c r="BM42" i="3"/>
  <x:c r="BN42" i="3"/>
  <x:c r="BO42" i="3"/>
  <x:c r="BP42" i="3"/>
  <x:c r="BQ42" i="3"/>
  <x:c r="BR42" i="3"/>
  <x:c r="BS42" i="3"/>
  <x:c r="BT42" i="3"/>
  <x:c r="BU42" i="3"/>
  <x:c r="BV42" i="3"/>
  <x:c r="BW42" i="3"/>
  <x:c r="BX42" i="3"/>
  <x:c r="BY42" i="3"/>
  <x:c r="BZ42" i="3"/>
  <x:c r="CA42" i="3"/>
  <x:c r="CB42" i="3"/>
  <x:c r="CC42" i="3"/>
  <x:c r="D43" i="3"/>
  <x:c r="E43" i="3"/>
  <x:c r="F43" i="3"/>
  <x:c r="G43" i="3"/>
  <x:c r="H43" i="3"/>
  <x:c r="I43" i="3"/>
  <x:c r="J43" i="3"/>
  <x:c r="K43" i="3"/>
  <x:c r="L43" i="3"/>
  <x:c r="M43" i="3"/>
  <x:c r="N43" i="3"/>
  <x:c r="O43" i="3"/>
  <x:c r="P43" i="3"/>
  <x:c r="Q43" i="3"/>
  <x:c r="R43" i="3"/>
  <x:c r="S43" i="3"/>
  <x:c r="T43" i="3"/>
  <x:c r="U43" i="3"/>
  <x:c r="V43" i="3"/>
  <x:c r="W43" i="3"/>
  <x:c r="X43" i="3"/>
  <x:c r="Y43" i="3"/>
  <x:c r="Z43" i="3"/>
  <x:c r="AA43" i="3"/>
  <x:c r="AB43" i="3"/>
  <x:c r="AC43" i="3"/>
  <x:c r="AD43" i="3"/>
  <x:c r="AE43" i="3"/>
  <x:c r="AF43" i="3"/>
  <x:c r="AG43" i="3"/>
  <x:c r="AH43" i="3"/>
  <x:c r="AI43" i="3"/>
  <x:c r="AJ43" i="3"/>
  <x:c r="AK43" i="3"/>
  <x:c r="AL43" i="3"/>
  <x:c r="AM43" i="3"/>
  <x:c r="AN43" i="3"/>
  <x:c r="AO43" i="3"/>
  <x:c r="AP43" i="3"/>
  <x:c r="AQ43" i="3"/>
  <x:c r="AR43" i="3"/>
  <x:c r="AS43" i="3"/>
  <x:c r="AT43" i="3"/>
  <x:c r="AU43" i="3"/>
  <x:c r="AV43" i="3"/>
  <x:c r="AW43" i="3"/>
  <x:c r="AX43" i="3"/>
  <x:c r="AY43" i="3"/>
  <x:c r="AZ43" i="3"/>
  <x:c r="BA43" i="3"/>
  <x:c r="BB43" i="3"/>
  <x:c r="BC43" i="3"/>
  <x:c r="BD43" i="3"/>
  <x:c r="BE43" i="3"/>
  <x:c r="BF43" i="3"/>
  <x:c r="BG43" i="3"/>
  <x:c r="BH43" i="3"/>
  <x:c r="BI43" i="3"/>
  <x:c r="BJ43" i="3"/>
  <x:c r="BK43" i="3"/>
  <x:c r="BL43" i="3"/>
  <x:c r="BM43" i="3"/>
  <x:c r="BN43" i="3"/>
  <x:c r="BO43" i="3"/>
  <x:c r="BP43" i="3"/>
  <x:c r="BQ43" i="3"/>
  <x:c r="BR43" i="3"/>
  <x:c r="BS43" i="3"/>
  <x:c r="BT43" i="3"/>
  <x:c r="BU43" i="3"/>
  <x:c r="BV43" i="3"/>
  <x:c r="BW43" i="3"/>
  <x:c r="BX43" i="3"/>
  <x:c r="BY43" i="3"/>
  <x:c r="BZ43" i="3"/>
  <x:c r="CA43" i="3"/>
  <x:c r="CB43" i="3"/>
  <x:c r="CC43" i="3"/>
  <x:c r="D44" i="3"/>
  <x:c r="E44" i="3"/>
  <x:c r="F44" i="3"/>
  <x:c r="G44" i="3"/>
  <x:c r="H44" i="3"/>
  <x:c r="I44" i="3"/>
  <x:c r="J44" i="3"/>
  <x:c r="K44" i="3"/>
  <x:c r="L44" i="3"/>
  <x:c r="M44" i="3"/>
  <x:c r="N44" i="3"/>
  <x:c r="O44" i="3"/>
  <x:c r="P44" i="3"/>
  <x:c r="Q44" i="3"/>
  <x:c r="R44" i="3"/>
  <x:c r="S44" i="3"/>
  <x:c r="T44" i="3"/>
  <x:c r="U44" i="3"/>
  <x:c r="V44" i="3"/>
  <x:c r="W44" i="3"/>
  <x:c r="X44" i="3"/>
  <x:c r="Y44" i="3"/>
  <x:c r="Z44" i="3"/>
  <x:c r="AA44" i="3"/>
  <x:c r="AB44" i="3"/>
  <x:c r="AC44" i="3"/>
  <x:c r="AD44" i="3"/>
  <x:c r="AE44" i="3"/>
  <x:c r="AF44" i="3"/>
  <x:c r="AG44" i="3"/>
  <x:c r="AH44" i="3"/>
  <x:c r="AI44" i="3"/>
  <x:c r="AJ44" i="3"/>
  <x:c r="AK44" i="3"/>
  <x:c r="AL44" i="3"/>
  <x:c r="AM44" i="3"/>
  <x:c r="AN44" i="3"/>
  <x:c r="AO44" i="3"/>
  <x:c r="AP44" i="3"/>
  <x:c r="AQ44" i="3"/>
  <x:c r="AR44" i="3"/>
  <x:c r="AS44" i="3"/>
  <x:c r="AT44" i="3"/>
  <x:c r="AU44" i="3"/>
  <x:c r="AV44" i="3"/>
  <x:c r="AW44" i="3"/>
  <x:c r="AX44" i="3"/>
  <x:c r="AY44" i="3"/>
  <x:c r="AZ44" i="3"/>
  <x:c r="BA44" i="3"/>
  <x:c r="BB44" i="3"/>
  <x:c r="BC44" i="3"/>
  <x:c r="BD44" i="3"/>
  <x:c r="BE44" i="3"/>
  <x:c r="BF44" i="3"/>
  <x:c r="BG44" i="3"/>
  <x:c r="BH44" i="3"/>
  <x:c r="BI44" i="3"/>
  <x:c r="BJ44" i="3"/>
  <x:c r="BK44" i="3"/>
  <x:c r="BL44" i="3"/>
  <x:c r="BM44" i="3"/>
  <x:c r="BN44" i="3"/>
  <x:c r="BO44" i="3"/>
  <x:c r="BP44" i="3"/>
  <x:c r="BQ44" i="3"/>
  <x:c r="BR44" i="3"/>
  <x:c r="BS44" i="3"/>
  <x:c r="BT44" i="3"/>
  <x:c r="BU44" i="3"/>
  <x:c r="BV44" i="3"/>
  <x:c r="BW44" i="3"/>
  <x:c r="BX44" i="3"/>
  <x:c r="BY44" i="3"/>
  <x:c r="BZ44" i="3"/>
  <x:c r="CA44" i="3"/>
  <x:c r="CB44" i="3"/>
  <x:c r="CC44" i="3"/>
  <x:c r="D45" i="3"/>
  <x:c r="E45" i="3"/>
  <x:c r="F45" i="3"/>
  <x:c r="G45" i="3"/>
  <x:c r="H45" i="3"/>
  <x:c r="I45" i="3"/>
  <x:c r="J45" i="3"/>
  <x:c r="K45" i="3"/>
  <x:c r="L45" i="3"/>
  <x:c r="M45" i="3"/>
  <x:c r="N45" i="3"/>
  <x:c r="O45" i="3"/>
  <x:c r="P45" i="3"/>
  <x:c r="Q45" i="3"/>
  <x:c r="R45" i="3"/>
  <x:c r="S45" i="3"/>
  <x:c r="T45" i="3"/>
  <x:c r="U45" i="3"/>
  <x:c r="V45" i="3"/>
  <x:c r="W45" i="3"/>
  <x:c r="X45" i="3"/>
  <x:c r="Y45" i="3"/>
  <x:c r="Z45" i="3"/>
  <x:c r="AA45" i="3"/>
  <x:c r="AB45" i="3"/>
  <x:c r="AC45" i="3"/>
  <x:c r="AD45" i="3"/>
  <x:c r="AE45" i="3"/>
  <x:c r="AF45" i="3"/>
  <x:c r="AG45" i="3"/>
  <x:c r="AH45" i="3"/>
  <x:c r="AI45" i="3"/>
  <x:c r="AJ45" i="3"/>
  <x:c r="AK45" i="3"/>
  <x:c r="AL45" i="3"/>
  <x:c r="AM45" i="3"/>
  <x:c r="AN45" i="3"/>
  <x:c r="AO45" i="3"/>
  <x:c r="AP45" i="3"/>
  <x:c r="AQ45" i="3"/>
  <x:c r="AR45" i="3"/>
  <x:c r="AS45" i="3"/>
  <x:c r="AT45" i="3"/>
  <x:c r="AU45" i="3"/>
  <x:c r="AV45" i="3"/>
  <x:c r="AW45" i="3"/>
  <x:c r="AX45" i="3"/>
  <x:c r="AY45" i="3"/>
  <x:c r="AZ45" i="3"/>
  <x:c r="BA45" i="3"/>
  <x:c r="BB45" i="3"/>
  <x:c r="BC45" i="3"/>
  <x:c r="BD45" i="3"/>
  <x:c r="BE45" i="3"/>
  <x:c r="BF45" i="3"/>
  <x:c r="BG45" i="3"/>
  <x:c r="BH45" i="3"/>
  <x:c r="BI45" i="3"/>
  <x:c r="BJ45" i="3"/>
  <x:c r="BK45" i="3"/>
  <x:c r="BL45" i="3"/>
  <x:c r="BM45" i="3"/>
  <x:c r="BN45" i="3"/>
  <x:c r="BO45" i="3"/>
  <x:c r="BP45" i="3"/>
  <x:c r="BQ45" i="3"/>
  <x:c r="BR45" i="3"/>
  <x:c r="BS45" i="3"/>
  <x:c r="BT45" i="3"/>
  <x:c r="BU45" i="3"/>
  <x:c r="BV45" i="3"/>
  <x:c r="BW45" i="3"/>
  <x:c r="BX45" i="3"/>
  <x:c r="BY45" i="3"/>
  <x:c r="BZ45" i="3"/>
  <x:c r="CA45" i="3"/>
  <x:c r="CB45" i="3"/>
  <x:c r="CC45" i="3"/>
  <x:c r="D46" i="3"/>
  <x:c r="E46" i="3"/>
  <x:c r="F46" i="3"/>
  <x:c r="G46" i="3"/>
  <x:c r="H46" i="3"/>
  <x:c r="I46" i="3"/>
  <x:c r="J46" i="3"/>
  <x:c r="K46" i="3"/>
  <x:c r="L46" i="3"/>
  <x:c r="M46" i="3"/>
  <x:c r="N46" i="3"/>
  <x:c r="O46" i="3"/>
  <x:c r="P46" i="3"/>
  <x:c r="Q46" i="3"/>
  <x:c r="R46" i="3"/>
  <x:c r="S46" i="3"/>
  <x:c r="T46" i="3"/>
  <x:c r="U46" i="3"/>
  <x:c r="V46" i="3"/>
  <x:c r="W46" i="3"/>
  <x:c r="X46" i="3"/>
  <x:c r="Y46" i="3"/>
  <x:c r="Z46" i="3"/>
  <x:c r="AA46" i="3"/>
  <x:c r="AB46" i="3"/>
  <x:c r="AC46" i="3"/>
  <x:c r="AD46" i="3"/>
  <x:c r="AE46" i="3"/>
  <x:c r="AF46" i="3"/>
  <x:c r="AG46" i="3"/>
  <x:c r="AH46" i="3"/>
  <x:c r="AI46" i="3"/>
  <x:c r="AJ46" i="3"/>
  <x:c r="AK46" i="3"/>
  <x:c r="AL46" i="3"/>
  <x:c r="AM46" i="3"/>
  <x:c r="AN46" i="3"/>
  <x:c r="AO46" i="3"/>
  <x:c r="AP46" i="3"/>
  <x:c r="AQ46" i="3"/>
  <x:c r="AR46" i="3"/>
  <x:c r="AS46" i="3"/>
  <x:c r="AT46" i="3"/>
  <x:c r="AU46" i="3"/>
  <x:c r="AV46" i="3"/>
  <x:c r="AW46" i="3"/>
  <x:c r="AX46" i="3"/>
  <x:c r="AY46" i="3"/>
  <x:c r="AZ46" i="3"/>
  <x:c r="BA46" i="3"/>
  <x:c r="BB46" i="3"/>
  <x:c r="BC46" i="3"/>
  <x:c r="BD46" i="3"/>
  <x:c r="BE46" i="3"/>
  <x:c r="BF46" i="3"/>
  <x:c r="BG46" i="3"/>
  <x:c r="BH46" i="3"/>
  <x:c r="BI46" i="3"/>
  <x:c r="BJ46" i="3"/>
  <x:c r="BK46" i="3"/>
  <x:c r="BL46" i="3"/>
  <x:c r="BM46" i="3"/>
  <x:c r="BN46" i="3"/>
  <x:c r="BO46" i="3"/>
  <x:c r="BP46" i="3"/>
  <x:c r="BQ46" i="3"/>
  <x:c r="BR46" i="3"/>
  <x:c r="BS46" i="3"/>
  <x:c r="BT46" i="3"/>
  <x:c r="BU46" i="3"/>
  <x:c r="BV46" i="3"/>
  <x:c r="BW46" i="3"/>
  <x:c r="BX46" i="3"/>
  <x:c r="BY46" i="3"/>
  <x:c r="BZ46" i="3"/>
  <x:c r="CA46" i="3"/>
  <x:c r="CB46" i="3"/>
  <x:c r="CC46" i="3"/>
  <x:c r="D47" i="3"/>
  <x:c r="E47" i="3"/>
  <x:c r="F47" i="3"/>
  <x:c r="G47" i="3"/>
  <x:c r="H47" i="3"/>
  <x:c r="I47" i="3"/>
  <x:c r="J47" i="3"/>
  <x:c r="K47" i="3"/>
  <x:c r="L47" i="3"/>
  <x:c r="M47" i="3"/>
  <x:c r="N47" i="3"/>
  <x:c r="O47" i="3"/>
  <x:c r="P47" i="3"/>
  <x:c r="Q47" i="3"/>
  <x:c r="R47" i="3"/>
  <x:c r="S47" i="3"/>
  <x:c r="T47" i="3"/>
  <x:c r="U47" i="3"/>
  <x:c r="V47" i="3"/>
  <x:c r="W47" i="3"/>
  <x:c r="X47" i="3"/>
  <x:c r="Y47" i="3"/>
  <x:c r="Z47" i="3"/>
  <x:c r="AA47" i="3"/>
  <x:c r="AB47" i="3"/>
  <x:c r="AC47" i="3"/>
  <x:c r="AD47" i="3"/>
  <x:c r="AE47" i="3"/>
  <x:c r="AF47" i="3"/>
  <x:c r="AG47" i="3"/>
  <x:c r="AH47" i="3"/>
  <x:c r="AI47" i="3"/>
  <x:c r="AJ47" i="3"/>
  <x:c r="AK47" i="3"/>
  <x:c r="AL47" i="3"/>
  <x:c r="AM47" i="3"/>
  <x:c r="AN47" i="3"/>
  <x:c r="AO47" i="3"/>
  <x:c r="AP47" i="3"/>
  <x:c r="AQ47" i="3"/>
  <x:c r="AR47" i="3"/>
  <x:c r="AS47" i="3"/>
  <x:c r="AT47" i="3"/>
  <x:c r="AU47" i="3"/>
  <x:c r="AV47" i="3"/>
  <x:c r="AW47" i="3"/>
  <x:c r="AX47" i="3"/>
  <x:c r="AY47" i="3"/>
  <x:c r="AZ47" i="3"/>
  <x:c r="BA47" i="3"/>
  <x:c r="BB47" i="3"/>
  <x:c r="BC47" i="3"/>
  <x:c r="BD47" i="3"/>
  <x:c r="BE47" i="3"/>
  <x:c r="BF47" i="3"/>
  <x:c r="BG47" i="3"/>
  <x:c r="BH47" i="3"/>
  <x:c r="BI47" i="3"/>
  <x:c r="BJ47" i="3"/>
  <x:c r="BK47" i="3"/>
  <x:c r="BL47" i="3"/>
  <x:c r="BM47" i="3"/>
  <x:c r="BN47" i="3"/>
  <x:c r="BO47" i="3"/>
  <x:c r="BP47" i="3"/>
  <x:c r="BQ47" i="3"/>
  <x:c r="BR47" i="3"/>
  <x:c r="BS47" i="3"/>
  <x:c r="BT47" i="3"/>
  <x:c r="BU47" i="3"/>
  <x:c r="BV47" i="3"/>
  <x:c r="BW47" i="3"/>
  <x:c r="BX47" i="3"/>
  <x:c r="BY47" i="3"/>
  <x:c r="BZ47" i="3"/>
  <x:c r="CA47" i="3"/>
  <x:c r="CB47" i="3"/>
  <x:c r="CC47" i="3"/>
  <x:c r="D48" i="3"/>
  <x:c r="E48" i="3"/>
  <x:c r="F48" i="3"/>
  <x:c r="G48" i="3"/>
  <x:c r="H48" i="3"/>
  <x:c r="I48" i="3"/>
  <x:c r="J48" i="3"/>
  <x:c r="K48" i="3"/>
  <x:c r="L48" i="3"/>
  <x:c r="M48" i="3"/>
  <x:c r="N48" i="3"/>
  <x:c r="O48" i="3"/>
  <x:c r="P48" i="3"/>
  <x:c r="Q48" i="3"/>
  <x:c r="R48" i="3"/>
  <x:c r="S48" i="3"/>
  <x:c r="T48" i="3"/>
  <x:c r="U48" i="3"/>
  <x:c r="V48" i="3"/>
  <x:c r="W48" i="3"/>
  <x:c r="X48" i="3"/>
  <x:c r="Y48" i="3"/>
  <x:c r="Z48" i="3"/>
  <x:c r="AA48" i="3"/>
  <x:c r="AB48" i="3"/>
  <x:c r="AC48" i="3"/>
  <x:c r="AD48" i="3"/>
  <x:c r="AE48" i="3"/>
  <x:c r="AF48" i="3"/>
  <x:c r="AG48" i="3"/>
  <x:c r="AH48" i="3"/>
  <x:c r="AI48" i="3"/>
  <x:c r="AJ48" i="3"/>
  <x:c r="AK48" i="3"/>
  <x:c r="AL48" i="3"/>
  <x:c r="AM48" i="3"/>
  <x:c r="AN48" i="3"/>
  <x:c r="AO48" i="3"/>
  <x:c r="AP48" i="3"/>
  <x:c r="AQ48" i="3"/>
  <x:c r="AR48" i="3"/>
  <x:c r="AS48" i="3"/>
  <x:c r="AT48" i="3"/>
  <x:c r="AU48" i="3"/>
  <x:c r="AV48" i="3"/>
  <x:c r="AW48" i="3"/>
  <x:c r="AX48" i="3"/>
  <x:c r="AY48" i="3"/>
  <x:c r="AZ48" i="3"/>
  <x:c r="BA48" i="3"/>
  <x:c r="BB48" i="3"/>
  <x:c r="BC48" i="3"/>
  <x:c r="BD48" i="3"/>
  <x:c r="BE48" i="3"/>
  <x:c r="BF48" i="3"/>
  <x:c r="BG48" i="3"/>
  <x:c r="BH48" i="3"/>
  <x:c r="BI48" i="3"/>
  <x:c r="BJ48" i="3"/>
  <x:c r="BK48" i="3"/>
  <x:c r="BL48" i="3"/>
  <x:c r="BM48" i="3"/>
  <x:c r="BN48" i="3"/>
  <x:c r="BO48" i="3"/>
  <x:c r="BP48" i="3"/>
  <x:c r="BQ48" i="3"/>
  <x:c r="BR48" i="3"/>
  <x:c r="BS48" i="3"/>
  <x:c r="BT48" i="3"/>
  <x:c r="BU48" i="3"/>
  <x:c r="BV48" i="3"/>
  <x:c r="BW48" i="3"/>
  <x:c r="BX48" i="3"/>
  <x:c r="BY48" i="3"/>
  <x:c r="BZ48" i="3"/>
  <x:c r="CA48" i="3"/>
  <x:c r="CB48" i="3"/>
  <x:c r="CC48" i="3"/>
  <x:c r="D49" i="3"/>
  <x:c r="E49" i="3"/>
  <x:c r="F49" i="3"/>
  <x:c r="G49" i="3"/>
  <x:c r="H49" i="3"/>
  <x:c r="I49" i="3"/>
  <x:c r="J49" i="3"/>
  <x:c r="K49" i="3"/>
  <x:c r="L49" i="3"/>
  <x:c r="M49" i="3"/>
  <x:c r="N49" i="3"/>
  <x:c r="O49" i="3"/>
  <x:c r="P49" i="3"/>
  <x:c r="Q49" i="3"/>
  <x:c r="R49" i="3"/>
  <x:c r="S49" i="3"/>
  <x:c r="T49" i="3"/>
  <x:c r="U49" i="3"/>
  <x:c r="V49" i="3"/>
  <x:c r="W49" i="3"/>
  <x:c r="X49" i="3"/>
  <x:c r="Y49" i="3"/>
  <x:c r="Z49" i="3"/>
  <x:c r="AA49" i="3"/>
  <x:c r="AB49" i="3"/>
  <x:c r="AC49" i="3"/>
  <x:c r="AD49" i="3"/>
  <x:c r="AE49" i="3"/>
  <x:c r="AF49" i="3"/>
  <x:c r="AG49" i="3"/>
  <x:c r="AH49" i="3"/>
  <x:c r="AI49" i="3"/>
  <x:c r="AJ49" i="3"/>
  <x:c r="AK49" i="3"/>
  <x:c r="AL49" i="3"/>
  <x:c r="AM49" i="3"/>
  <x:c r="AN49" i="3"/>
  <x:c r="AO49" i="3"/>
  <x:c r="AP49" i="3"/>
  <x:c r="AQ49" i="3"/>
  <x:c r="AR49" i="3"/>
  <x:c r="AS49" i="3"/>
  <x:c r="AT49" i="3"/>
  <x:c r="AU49" i="3"/>
  <x:c r="AV49" i="3"/>
  <x:c r="AW49" i="3"/>
  <x:c r="AX49" i="3"/>
  <x:c r="AY49" i="3"/>
  <x:c r="AZ49" i="3"/>
  <x:c r="BA49" i="3"/>
  <x:c r="BB49" i="3"/>
  <x:c r="BC49" i="3"/>
  <x:c r="BD49" i="3"/>
  <x:c r="BE49" i="3"/>
  <x:c r="BF49" i="3"/>
  <x:c r="BG49" i="3"/>
  <x:c r="BH49" i="3"/>
  <x:c r="BI49" i="3"/>
  <x:c r="BJ49" i="3"/>
  <x:c r="BK49" i="3"/>
  <x:c r="BL49" i="3"/>
  <x:c r="BM49" i="3"/>
  <x:c r="BN49" i="3"/>
  <x:c r="BO49" i="3"/>
  <x:c r="BP49" i="3"/>
  <x:c r="BQ49" i="3"/>
  <x:c r="BR49" i="3"/>
  <x:c r="BS49" i="3"/>
  <x:c r="BT49" i="3"/>
  <x:c r="BU49" i="3"/>
  <x:c r="BV49" i="3"/>
  <x:c r="BW49" i="3"/>
  <x:c r="BX49" i="3"/>
  <x:c r="BY49" i="3"/>
  <x:c r="BZ49" i="3"/>
  <x:c r="CA49" i="3"/>
  <x:c r="CB49" i="3"/>
  <x:c r="CC49" i="3"/>
  <x:c r="D50" i="3"/>
  <x:c r="E50" i="3"/>
  <x:c r="F50" i="3"/>
  <x:c r="G50" i="3"/>
  <x:c r="H50" i="3"/>
  <x:c r="I50" i="3"/>
  <x:c r="J50" i="3"/>
  <x:c r="K50" i="3"/>
  <x:c r="L50" i="3"/>
  <x:c r="M50" i="3"/>
  <x:c r="N50" i="3"/>
  <x:c r="O50" i="3"/>
  <x:c r="P50" i="3"/>
  <x:c r="Q50" i="3"/>
  <x:c r="R50" i="3"/>
  <x:c r="S50" i="3"/>
  <x:c r="T50" i="3"/>
  <x:c r="U50" i="3"/>
  <x:c r="V50" i="3"/>
  <x:c r="W50" i="3"/>
  <x:c r="X50" i="3"/>
  <x:c r="Y50" i="3"/>
  <x:c r="Z50" i="3"/>
  <x:c r="AA50" i="3"/>
  <x:c r="AB50" i="3"/>
  <x:c r="AC50" i="3"/>
  <x:c r="AD50" i="3"/>
  <x:c r="AE50" i="3"/>
  <x:c r="AF50" i="3"/>
  <x:c r="AG50" i="3"/>
  <x:c r="AH50" i="3"/>
  <x:c r="AI50" i="3"/>
  <x:c r="AJ50" i="3"/>
  <x:c r="AK50" i="3"/>
  <x:c r="AL50" i="3"/>
  <x:c r="AM50" i="3"/>
  <x:c r="AN50" i="3"/>
  <x:c r="AO50" i="3"/>
  <x:c r="AP50" i="3"/>
  <x:c r="AQ50" i="3"/>
  <x:c r="AR50" i="3"/>
  <x:c r="AS50" i="3"/>
  <x:c r="AT50" i="3"/>
  <x:c r="AU50" i="3"/>
  <x:c r="AV50" i="3"/>
  <x:c r="AW50" i="3"/>
  <x:c r="AX50" i="3"/>
  <x:c r="AY50" i="3"/>
  <x:c r="AZ50" i="3"/>
  <x:c r="BA50" i="3"/>
  <x:c r="BB50" i="3"/>
  <x:c r="BC50" i="3"/>
  <x:c r="BD50" i="3"/>
  <x:c r="BE50" i="3"/>
  <x:c r="BF50" i="3"/>
  <x:c r="BG50" i="3"/>
  <x:c r="BH50" i="3"/>
  <x:c r="BI50" i="3"/>
  <x:c r="BJ50" i="3"/>
  <x:c r="BK50" i="3"/>
  <x:c r="BL50" i="3"/>
  <x:c r="BM50" i="3"/>
  <x:c r="BN50" i="3"/>
  <x:c r="BO50" i="3"/>
  <x:c r="BP50" i="3"/>
  <x:c r="BQ50" i="3"/>
  <x:c r="BR50" i="3"/>
  <x:c r="BS50" i="3"/>
  <x:c r="BT50" i="3"/>
  <x:c r="BU50" i="3"/>
  <x:c r="BV50" i="3"/>
  <x:c r="BW50" i="3"/>
  <x:c r="BX50" i="3"/>
  <x:c r="BY50" i="3"/>
  <x:c r="BZ50" i="3"/>
  <x:c r="CA50" i="3"/>
  <x:c r="CB50" i="3"/>
  <x:c r="CC50" i="3"/>
  <x:c r="D51" i="3"/>
  <x:c r="E51" i="3"/>
  <x:c r="F51" i="3"/>
  <x:c r="G51" i="3"/>
  <x:c r="H51" i="3"/>
  <x:c r="I51" i="3"/>
  <x:c r="J51" i="3"/>
  <x:c r="K51" i="3"/>
  <x:c r="L51" i="3"/>
  <x:c r="M51" i="3"/>
  <x:c r="N51" i="3"/>
  <x:c r="O51" i="3"/>
  <x:c r="P51" i="3"/>
  <x:c r="Q51" i="3"/>
  <x:c r="R51" i="3"/>
  <x:c r="S51" i="3"/>
  <x:c r="T51" i="3"/>
  <x:c r="U51" i="3"/>
  <x:c r="V51" i="3"/>
  <x:c r="W51" i="3"/>
  <x:c r="X51" i="3"/>
  <x:c r="Y51" i="3"/>
  <x:c r="Z51" i="3"/>
  <x:c r="AA51" i="3"/>
  <x:c r="AB51" i="3"/>
  <x:c r="AC51" i="3"/>
  <x:c r="AD51" i="3"/>
  <x:c r="AE51" i="3"/>
  <x:c r="AF51" i="3"/>
  <x:c r="AG51" i="3"/>
  <x:c r="AH51" i="3"/>
  <x:c r="AI51" i="3"/>
  <x:c r="AJ51" i="3"/>
  <x:c r="AK51" i="3"/>
  <x:c r="AL51" i="3"/>
  <x:c r="AM51" i="3"/>
  <x:c r="AN51" i="3"/>
  <x:c r="AO51" i="3"/>
  <x:c r="AP51" i="3"/>
  <x:c r="AQ51" i="3"/>
  <x:c r="AR51" i="3"/>
  <x:c r="AS51" i="3"/>
  <x:c r="AT51" i="3"/>
  <x:c r="AU51" i="3"/>
  <x:c r="AV51" i="3"/>
  <x:c r="AW51" i="3"/>
  <x:c r="AX51" i="3"/>
  <x:c r="AY51" i="3"/>
  <x:c r="AZ51" i="3"/>
  <x:c r="BA51" i="3"/>
  <x:c r="BB51" i="3"/>
  <x:c r="BC51" i="3"/>
  <x:c r="BD51" i="3"/>
  <x:c r="BE51" i="3"/>
  <x:c r="BF51" i="3"/>
  <x:c r="BG51" i="3"/>
  <x:c r="BH51" i="3"/>
  <x:c r="BI51" i="3"/>
  <x:c r="BJ51" i="3"/>
  <x:c r="BK51" i="3"/>
  <x:c r="BL51" i="3"/>
  <x:c r="BM51" i="3"/>
  <x:c r="BN51" i="3"/>
  <x:c r="BO51" i="3"/>
  <x:c r="BP51" i="3"/>
  <x:c r="BQ51" i="3"/>
  <x:c r="BR51" i="3"/>
  <x:c r="BS51" i="3"/>
  <x:c r="BT51" i="3"/>
  <x:c r="BU51" i="3"/>
  <x:c r="BV51" i="3"/>
  <x:c r="BW51" i="3"/>
  <x:c r="BX51" i="3"/>
  <x:c r="BY51" i="3"/>
  <x:c r="BZ51" i="3"/>
  <x:c r="CA51" i="3"/>
  <x:c r="CB51" i="3"/>
  <x:c r="CC51" i="3"/>
  <x:c r="D52" i="3"/>
  <x:c r="E52" i="3"/>
  <x:c r="F52" i="3"/>
  <x:c r="G52" i="3"/>
  <x:c r="H52" i="3"/>
  <x:c r="I52" i="3"/>
  <x:c r="J52" i="3"/>
  <x:c r="K52" i="3"/>
  <x:c r="L52" i="3"/>
  <x:c r="M52" i="3"/>
  <x:c r="N52" i="3"/>
  <x:c r="O52" i="3"/>
  <x:c r="P52" i="3"/>
  <x:c r="Q52" i="3"/>
  <x:c r="R52" i="3"/>
  <x:c r="S52" i="3"/>
  <x:c r="T52" i="3"/>
  <x:c r="U52" i="3"/>
  <x:c r="V52" i="3"/>
  <x:c r="W52" i="3"/>
  <x:c r="X52" i="3"/>
  <x:c r="Y52" i="3"/>
  <x:c r="Z52" i="3"/>
  <x:c r="AA52" i="3"/>
  <x:c r="AB52" i="3"/>
  <x:c r="AC52" i="3"/>
  <x:c r="AD52" i="3"/>
  <x:c r="AE52" i="3"/>
  <x:c r="AF52" i="3"/>
  <x:c r="AG52" i="3"/>
  <x:c r="AH52" i="3"/>
  <x:c r="AI52" i="3"/>
  <x:c r="AJ52" i="3"/>
  <x:c r="AK52" i="3"/>
  <x:c r="AL52" i="3"/>
  <x:c r="AM52" i="3"/>
  <x:c r="AN52" i="3"/>
  <x:c r="AO52" i="3"/>
  <x:c r="AP52" i="3"/>
  <x:c r="AQ52" i="3"/>
  <x:c r="AR52" i="3"/>
  <x:c r="AS52" i="3"/>
  <x:c r="AT52" i="3"/>
  <x:c r="AU52" i="3"/>
  <x:c r="AV52" i="3"/>
  <x:c r="AW52" i="3"/>
  <x:c r="AX52" i="3"/>
  <x:c r="AY52" i="3"/>
  <x:c r="AZ52" i="3"/>
  <x:c r="BA52" i="3"/>
  <x:c r="BB52" i="3"/>
  <x:c r="BC52" i="3"/>
  <x:c r="BD52" i="3"/>
  <x:c r="BE52" i="3"/>
  <x:c r="BF52" i="3"/>
  <x:c r="BG52" i="3"/>
  <x:c r="BH52" i="3"/>
  <x:c r="BI52" i="3"/>
  <x:c r="BJ52" i="3"/>
  <x:c r="BK52" i="3"/>
  <x:c r="BL52" i="3"/>
  <x:c r="BM52" i="3"/>
  <x:c r="BN52" i="3"/>
  <x:c r="BO52" i="3"/>
  <x:c r="BP52" i="3"/>
  <x:c r="BQ52" i="3"/>
  <x:c r="BR52" i="3"/>
  <x:c r="BS52" i="3"/>
  <x:c r="BT52" i="3"/>
  <x:c r="BU52" i="3"/>
  <x:c r="BV52" i="3"/>
  <x:c r="BW52" i="3"/>
  <x:c r="BX52" i="3"/>
  <x:c r="BY52" i="3"/>
  <x:c r="BZ52" i="3"/>
  <x:c r="CA52" i="3"/>
  <x:c r="CB52" i="3"/>
  <x:c r="CC52" i="3"/>
  <x:c r="D53" i="3" a="1"/>
  <x:c r="D53" i="3"/>
  <x:c r="E53" i="3"/>
  <x:c r="F53" i="3"/>
  <x:c r="G53" i="3"/>
  <x:c r="H53" i="3"/>
  <x:c r="I53" i="3"/>
  <x:c r="J53" i="3"/>
  <x:c r="K53" i="3"/>
  <x:c r="L53" i="3"/>
  <x:c r="M53" i="3"/>
  <x:c r="N53" i="3"/>
  <x:c r="O53" i="3"/>
  <x:c r="P53" i="3"/>
  <x:c r="Q53" i="3"/>
  <x:c r="R53" i="3"/>
  <x:c r="S53" i="3"/>
  <x:c r="T53" i="3"/>
  <x:c r="U53" i="3"/>
  <x:c r="V53" i="3"/>
  <x:c r="W53" i="3"/>
  <x:c r="X53" i="3"/>
  <x:c r="Y53" i="3"/>
  <x:c r="Z53" i="3"/>
  <x:c r="AA53" i="3"/>
  <x:c r="AB53" i="3"/>
  <x:c r="AC53" i="3"/>
  <x:c r="AD53" i="3"/>
  <x:c r="AE53" i="3"/>
  <x:c r="AF53" i="3"/>
  <x:c r="AG53" i="3"/>
  <x:c r="AH53" i="3"/>
  <x:c r="AI53" i="3"/>
  <x:c r="AJ53" i="3"/>
  <x:c r="AK53" i="3"/>
  <x:c r="AL53" i="3"/>
  <x:c r="AM53" i="3"/>
  <x:c r="AN53" i="3"/>
  <x:c r="AO53" i="3"/>
  <x:c r="AP53" i="3"/>
  <x:c r="AQ53" i="3"/>
  <x:c r="AR53" i="3"/>
  <x:c r="AS53" i="3"/>
  <x:c r="AT53" i="3"/>
  <x:c r="AU53" i="3"/>
  <x:c r="AV53" i="3"/>
  <x:c r="AW53" i="3"/>
  <x:c r="AX53" i="3"/>
  <x:c r="AY53" i="3"/>
  <x:c r="AZ53" i="3"/>
  <x:c r="BA53" i="3"/>
  <x:c r="BB53" i="3"/>
  <x:c r="BC53" i="3"/>
  <x:c r="BD53" i="3"/>
  <x:c r="BE53" i="3"/>
  <x:c r="BF53" i="3"/>
  <x:c r="BG53" i="3"/>
  <x:c r="BH53" i="3"/>
  <x:c r="BI53" i="3"/>
  <x:c r="BJ53" i="3"/>
  <x:c r="BK53" i="3"/>
  <x:c r="BL53" i="3"/>
  <x:c r="BM53" i="3"/>
  <x:c r="BN53" i="3"/>
  <x:c r="BO53" i="3"/>
  <x:c r="BP53" i="3"/>
  <x:c r="BQ53" i="3"/>
  <x:c r="BR53" i="3"/>
  <x:c r="BS53" i="3"/>
  <x:c r="BT53" i="3"/>
  <x:c r="BU53" i="3"/>
  <x:c r="BV53" i="3"/>
  <x:c r="BW53" i="3"/>
  <x:c r="BX53" i="3"/>
  <x:c r="BY53" i="3"/>
  <x:c r="BZ53" i="3"/>
  <x:c r="CA53" i="3"/>
  <x:c r="CB53" i="3"/>
  <x:c r="CC53" i="3"/>
  <x:c r="D54" i="3"/>
  <x:c r="E54" i="3"/>
  <x:c r="F54" i="3"/>
  <x:c r="G54" i="3"/>
  <x:c r="H54" i="3"/>
  <x:c r="I54" i="3"/>
  <x:c r="J54" i="3"/>
  <x:c r="K54" i="3"/>
  <x:c r="L54" i="3"/>
  <x:c r="M54" i="3"/>
  <x:c r="N54" i="3"/>
  <x:c r="O54" i="3"/>
  <x:c r="P54" i="3"/>
  <x:c r="Q54" i="3"/>
  <x:c r="R54" i="3"/>
  <x:c r="S54" i="3"/>
  <x:c r="T54" i="3"/>
  <x:c r="U54" i="3"/>
  <x:c r="V54" i="3"/>
  <x:c r="W54" i="3"/>
  <x:c r="X54" i="3"/>
  <x:c r="Y54" i="3"/>
  <x:c r="Z54" i="3"/>
  <x:c r="AA54" i="3"/>
  <x:c r="AB54" i="3"/>
  <x:c r="AC54" i="3"/>
  <x:c r="AD54" i="3"/>
  <x:c r="AE54" i="3"/>
  <x:c r="AF54" i="3"/>
  <x:c r="AG54" i="3"/>
  <x:c r="AH54" i="3"/>
  <x:c r="AI54" i="3"/>
  <x:c r="AJ54" i="3"/>
  <x:c r="AK54" i="3"/>
  <x:c r="AL54" i="3"/>
  <x:c r="AM54" i="3"/>
  <x:c r="AN54" i="3"/>
  <x:c r="AO54" i="3"/>
  <x:c r="AP54" i="3"/>
  <x:c r="AQ54" i="3"/>
  <x:c r="AR54" i="3"/>
  <x:c r="AS54" i="3"/>
  <x:c r="AT54" i="3"/>
  <x:c r="AU54" i="3"/>
  <x:c r="AV54" i="3"/>
  <x:c r="AW54" i="3"/>
  <x:c r="AX54" i="3"/>
  <x:c r="AY54" i="3"/>
  <x:c r="AZ54" i="3"/>
  <x:c r="BA54" i="3"/>
  <x:c r="BB54" i="3"/>
  <x:c r="BC54" i="3"/>
  <x:c r="BD54" i="3"/>
  <x:c r="BE54" i="3"/>
  <x:c r="BF54" i="3"/>
  <x:c r="BG54" i="3"/>
  <x:c r="BH54" i="3"/>
  <x:c r="BI54" i="3"/>
  <x:c r="BJ54" i="3"/>
  <x:c r="BK54" i="3"/>
  <x:c r="BL54" i="3"/>
  <x:c r="BM54" i="3"/>
  <x:c r="BN54" i="3"/>
  <x:c r="BO54" i="3"/>
  <x:c r="BP54" i="3"/>
  <x:c r="BQ54" i="3"/>
  <x:c r="BR54" i="3"/>
  <x:c r="BS54" i="3"/>
  <x:c r="BT54" i="3"/>
  <x:c r="BU54" i="3"/>
  <x:c r="BV54" i="3"/>
  <x:c r="BW54" i="3"/>
  <x:c r="BX54" i="3"/>
  <x:c r="BY54" i="3"/>
  <x:c r="BZ54" i="3"/>
  <x:c r="CA54" i="3"/>
  <x:c r="CB54" i="3"/>
  <x:c r="CC54" i="3"/>
  <x:c r="D55" i="3" a="1"/>
  <x:c r="D55" i="3"/>
  <x:c r="E55" i="3"/>
  <x:c r="F55" i="3"/>
  <x:c r="G55" i="3"/>
  <x:c r="H55" i="3"/>
  <x:c r="I55" i="3"/>
  <x:c r="J55" i="3"/>
  <x:c r="K55" i="3"/>
  <x:c r="L55" i="3"/>
  <x:c r="M55" i="3"/>
  <x:c r="N55" i="3"/>
  <x:c r="O55" i="3"/>
  <x:c r="P55" i="3"/>
  <x:c r="Q55" i="3"/>
  <x:c r="R55" i="3"/>
  <x:c r="S55" i="3"/>
  <x:c r="T55" i="3"/>
  <x:c r="U55" i="3"/>
  <x:c r="V55" i="3"/>
  <x:c r="W55" i="3"/>
  <x:c r="X55" i="3"/>
  <x:c r="Y55" i="3"/>
  <x:c r="Z55" i="3"/>
  <x:c r="AA55" i="3"/>
  <x:c r="AB55" i="3"/>
  <x:c r="AC55" i="3"/>
  <x:c r="AD55" i="3"/>
  <x:c r="AE55" i="3"/>
  <x:c r="AF55" i="3"/>
  <x:c r="AG55" i="3"/>
  <x:c r="AH55" i="3"/>
  <x:c r="AI55" i="3"/>
  <x:c r="AJ55" i="3"/>
  <x:c r="AK55" i="3"/>
  <x:c r="AL55" i="3"/>
  <x:c r="AM55" i="3"/>
  <x:c r="AN55" i="3"/>
  <x:c r="AO55" i="3"/>
  <x:c r="AP55" i="3"/>
  <x:c r="AQ55" i="3"/>
  <x:c r="AR55" i="3"/>
  <x:c r="AS55" i="3"/>
  <x:c r="AT55" i="3"/>
  <x:c r="AU55" i="3"/>
  <x:c r="AV55" i="3"/>
  <x:c r="AW55" i="3"/>
  <x:c r="AX55" i="3"/>
  <x:c r="AY55" i="3"/>
  <x:c r="AZ55" i="3"/>
  <x:c r="BA55" i="3"/>
  <x:c r="BB55" i="3"/>
  <x:c r="BC55" i="3"/>
  <x:c r="BD55" i="3"/>
  <x:c r="BE55" i="3"/>
  <x:c r="BF55" i="3"/>
  <x:c r="BG55" i="3"/>
  <x:c r="BH55" i="3"/>
  <x:c r="BI55" i="3"/>
  <x:c r="BJ55" i="3"/>
  <x:c r="BK55" i="3"/>
  <x:c r="BL55" i="3"/>
  <x:c r="BM55" i="3"/>
  <x:c r="BN55" i="3"/>
  <x:c r="BO55" i="3"/>
  <x:c r="BP55" i="3"/>
  <x:c r="BQ55" i="3"/>
  <x:c r="BR55" i="3"/>
  <x:c r="BS55" i="3"/>
  <x:c r="BT55" i="3"/>
  <x:c r="BU55" i="3"/>
  <x:c r="BV55" i="3"/>
  <x:c r="BW55" i="3"/>
  <x:c r="BX55" i="3"/>
  <x:c r="BY55" i="3"/>
  <x:c r="BZ55" i="3"/>
  <x:c r="CA55" i="3"/>
  <x:c r="CB55" i="3"/>
  <x:c r="CC55" i="3"/>
  <x:c r="D56" i="3"/>
  <x:c r="E56" i="3"/>
  <x:c r="F56" i="3"/>
  <x:c r="G56" i="3"/>
  <x:c r="H56" i="3"/>
  <x:c r="I56" i="3"/>
  <x:c r="J56" i="3"/>
  <x:c r="K56" i="3"/>
  <x:c r="L56" i="3"/>
  <x:c r="M56" i="3"/>
  <x:c r="N56" i="3"/>
  <x:c r="O56" i="3"/>
  <x:c r="P56" i="3"/>
  <x:c r="Q56" i="3"/>
  <x:c r="R56" i="3"/>
  <x:c r="S56" i="3"/>
  <x:c r="T56" i="3"/>
  <x:c r="U56" i="3"/>
  <x:c r="V56" i="3"/>
  <x:c r="W56" i="3"/>
  <x:c r="X56" i="3"/>
  <x:c r="Y56" i="3"/>
  <x:c r="Z56" i="3"/>
  <x:c r="AA56" i="3"/>
  <x:c r="AB56" i="3"/>
  <x:c r="AC56" i="3"/>
  <x:c r="AD56" i="3"/>
  <x:c r="AE56" i="3"/>
  <x:c r="AF56" i="3"/>
  <x:c r="AG56" i="3"/>
  <x:c r="AH56" i="3"/>
  <x:c r="AI56" i="3"/>
  <x:c r="AJ56" i="3"/>
  <x:c r="AK56" i="3"/>
  <x:c r="AL56" i="3"/>
  <x:c r="AM56" i="3"/>
  <x:c r="AN56" i="3"/>
  <x:c r="AO56" i="3"/>
  <x:c r="AP56" i="3"/>
  <x:c r="AQ56" i="3"/>
  <x:c r="AR56" i="3"/>
  <x:c r="AS56" i="3"/>
  <x:c r="AT56" i="3"/>
  <x:c r="AU56" i="3"/>
  <x:c r="AV56" i="3"/>
  <x:c r="AW56" i="3"/>
  <x:c r="AX56" i="3"/>
  <x:c r="AY56" i="3"/>
  <x:c r="AZ56" i="3"/>
  <x:c r="BA56" i="3"/>
  <x:c r="BB56" i="3"/>
  <x:c r="BC56" i="3"/>
  <x:c r="BD56" i="3"/>
  <x:c r="BE56" i="3"/>
  <x:c r="BF56" i="3"/>
  <x:c r="BG56" i="3"/>
  <x:c r="BH56" i="3"/>
  <x:c r="BI56" i="3"/>
  <x:c r="BJ56" i="3"/>
  <x:c r="BK56" i="3"/>
  <x:c r="BL56" i="3"/>
  <x:c r="BM56" i="3"/>
  <x:c r="BN56" i="3"/>
  <x:c r="BO56" i="3"/>
  <x:c r="BP56" i="3"/>
  <x:c r="BQ56" i="3"/>
  <x:c r="BR56" i="3"/>
  <x:c r="BS56" i="3"/>
  <x:c r="BT56" i="3"/>
  <x:c r="BU56" i="3"/>
  <x:c r="BV56" i="3"/>
  <x:c r="BW56" i="3"/>
  <x:c r="BX56" i="3"/>
  <x:c r="BY56" i="3"/>
  <x:c r="BZ56" i="3"/>
  <x:c r="CA56" i="3"/>
  <x:c r="CB56" i="3"/>
  <x:c r="CC56" i="3"/>
  <x:c r="D59" i="3" a="1"/>
  <x:c r="D59" i="3"/>
  <x:c r="E59" i="3"/>
  <x:c r="F59" i="3"/>
  <x:c r="G59" i="3"/>
  <x:c r="H59" i="3"/>
  <x:c r="I59" i="3"/>
  <x:c r="J59" i="3"/>
  <x:c r="K59" i="3"/>
  <x:c r="L59" i="3"/>
  <x:c r="M59" i="3"/>
  <x:c r="N59" i="3"/>
  <x:c r="O59" i="3"/>
  <x:c r="P59" i="3"/>
  <x:c r="Q59" i="3"/>
  <x:c r="R59" i="3"/>
  <x:c r="S59" i="3"/>
  <x:c r="T59" i="3"/>
  <x:c r="U59" i="3"/>
  <x:c r="V59" i="3"/>
  <x:c r="W59" i="3"/>
  <x:c r="X59" i="3"/>
  <x:c r="Y59" i="3"/>
  <x:c r="Z59" i="3"/>
  <x:c r="AA59" i="3"/>
  <x:c r="AB59" i="3"/>
  <x:c r="AC59" i="3"/>
  <x:c r="AD59" i="3"/>
  <x:c r="AE59" i="3"/>
  <x:c r="AF59" i="3"/>
  <x:c r="AG59" i="3"/>
  <x:c r="AH59" i="3"/>
  <x:c r="AI59" i="3"/>
  <x:c r="AJ59" i="3"/>
  <x:c r="AK59" i="3"/>
  <x:c r="AL59" i="3"/>
  <x:c r="AM59" i="3"/>
  <x:c r="AN59" i="3"/>
  <x:c r="AO59" i="3"/>
  <x:c r="AP59" i="3"/>
  <x:c r="AQ59" i="3"/>
  <x:c r="AR59" i="3"/>
  <x:c r="AS59" i="3"/>
  <x:c r="AT59" i="3"/>
  <x:c r="AU59" i="3"/>
  <x:c r="AV59" i="3"/>
  <x:c r="AW59" i="3"/>
  <x:c r="AX59" i="3"/>
  <x:c r="AY59" i="3"/>
  <x:c r="AZ59" i="3"/>
  <x:c r="BA59" i="3"/>
  <x:c r="BB59" i="3"/>
  <x:c r="BC59" i="3"/>
  <x:c r="BD59" i="3"/>
  <x:c r="BE59" i="3"/>
  <x:c r="BF59" i="3"/>
  <x:c r="BG59" i="3"/>
  <x:c r="BH59" i="3"/>
  <x:c r="BI59" i="3"/>
  <x:c r="BJ59" i="3"/>
  <x:c r="BK59" i="3"/>
  <x:c r="BL59" i="3"/>
  <x:c r="BM59" i="3"/>
  <x:c r="BN59" i="3"/>
  <x:c r="BO59" i="3"/>
  <x:c r="BP59" i="3"/>
  <x:c r="BQ59" i="3"/>
  <x:c r="BR59" i="3"/>
  <x:c r="BS59" i="3"/>
  <x:c r="BT59" i="3"/>
  <x:c r="BU59" i="3"/>
  <x:c r="BV59" i="3"/>
  <x:c r="BW59" i="3"/>
  <x:c r="BX59" i="3"/>
  <x:c r="BY59" i="3"/>
  <x:c r="BZ59" i="3"/>
  <x:c r="CA59" i="3"/>
  <x:c r="CB59" i="3"/>
  <x:c r="CC59" i="3"/>
  <x:c r="D60" i="3" a="1"/>
  <x:c r="D60" i="3"/>
  <x:c r="E60" i="3"/>
  <x:c r="F60" i="3"/>
  <x:c r="G60" i="3"/>
  <x:c r="H60" i="3"/>
  <x:c r="I60" i="3"/>
  <x:c r="J60" i="3"/>
  <x:c r="K60" i="3"/>
  <x:c r="L60" i="3"/>
  <x:c r="M60" i="3"/>
  <x:c r="N60" i="3"/>
  <x:c r="O60" i="3"/>
  <x:c r="P60" i="3"/>
  <x:c r="Q60" i="3"/>
  <x:c r="R60" i="3"/>
  <x:c r="S60" i="3"/>
  <x:c r="T60" i="3"/>
  <x:c r="U60" i="3"/>
  <x:c r="V60" i="3"/>
  <x:c r="W60" i="3"/>
  <x:c r="X60" i="3"/>
  <x:c r="Y60" i="3"/>
  <x:c r="Z60" i="3"/>
  <x:c r="AA60" i="3"/>
  <x:c r="AB60" i="3"/>
  <x:c r="AC60" i="3"/>
  <x:c r="AD60" i="3"/>
  <x:c r="AE60" i="3"/>
  <x:c r="AF60" i="3"/>
  <x:c r="AG60" i="3"/>
  <x:c r="AH60" i="3"/>
  <x:c r="AI60" i="3"/>
  <x:c r="AJ60" i="3"/>
  <x:c r="AK60" i="3"/>
  <x:c r="AL60" i="3"/>
  <x:c r="AM60" i="3"/>
  <x:c r="AN60" i="3"/>
  <x:c r="AO60" i="3"/>
  <x:c r="AP60" i="3"/>
  <x:c r="AQ60" i="3"/>
  <x:c r="AR60" i="3"/>
  <x:c r="AS60" i="3"/>
  <x:c r="AT60" i="3"/>
  <x:c r="AU60" i="3"/>
  <x:c r="AV60" i="3"/>
  <x:c r="AW60" i="3"/>
  <x:c r="AX60" i="3"/>
  <x:c r="AY60" i="3"/>
  <x:c r="AZ60" i="3"/>
  <x:c r="BA60" i="3"/>
  <x:c r="BB60" i="3"/>
  <x:c r="BC60" i="3"/>
  <x:c r="BD60" i="3"/>
  <x:c r="BE60" i="3"/>
  <x:c r="BF60" i="3"/>
  <x:c r="BG60" i="3"/>
  <x:c r="BH60" i="3"/>
  <x:c r="BI60" i="3"/>
  <x:c r="BJ60" i="3"/>
  <x:c r="BK60" i="3"/>
  <x:c r="BL60" i="3"/>
  <x:c r="BM60" i="3"/>
  <x:c r="BN60" i="3"/>
  <x:c r="BO60" i="3"/>
  <x:c r="BP60" i="3"/>
  <x:c r="BQ60" i="3"/>
  <x:c r="BR60" i="3"/>
  <x:c r="BS60" i="3"/>
  <x:c r="BT60" i="3"/>
  <x:c r="BU60" i="3"/>
  <x:c r="BV60" i="3"/>
  <x:c r="BW60" i="3"/>
  <x:c r="BX60" i="3"/>
  <x:c r="BY60" i="3"/>
  <x:c r="BZ60" i="3"/>
  <x:c r="CA60" i="3"/>
  <x:c r="CB60" i="3"/>
  <x:c r="CC60" i="3"/>
  <x:c r="D61" i="3"/>
  <x:c r="E61" i="3"/>
  <x:c r="F61" i="3"/>
  <x:c r="G61" i="3"/>
  <x:c r="H61" i="3"/>
  <x:c r="I61" i="3"/>
  <x:c r="J61" i="3"/>
  <x:c r="K61" i="3"/>
  <x:c r="L61" i="3"/>
  <x:c r="M61" i="3"/>
  <x:c r="N61" i="3"/>
  <x:c r="O61" i="3"/>
  <x:c r="P61" i="3"/>
  <x:c r="Q61" i="3"/>
  <x:c r="R61" i="3"/>
  <x:c r="S61" i="3"/>
  <x:c r="T61" i="3"/>
  <x:c r="U61" i="3"/>
  <x:c r="V61" i="3"/>
  <x:c r="W61" i="3"/>
  <x:c r="X61" i="3"/>
  <x:c r="Y61" i="3"/>
  <x:c r="Z61" i="3"/>
  <x:c r="AA61" i="3"/>
  <x:c r="AB61" i="3"/>
  <x:c r="AC61" i="3"/>
  <x:c r="AD61" i="3"/>
  <x:c r="AE61" i="3"/>
  <x:c r="AF61" i="3"/>
  <x:c r="AG61" i="3"/>
  <x:c r="AH61" i="3"/>
  <x:c r="AI61" i="3"/>
  <x:c r="AJ61" i="3"/>
  <x:c r="AK61" i="3"/>
  <x:c r="AL61" i="3"/>
  <x:c r="AM61" i="3"/>
  <x:c r="AN61" i="3"/>
  <x:c r="AO61" i="3"/>
  <x:c r="AP61" i="3"/>
  <x:c r="AQ61" i="3"/>
  <x:c r="AR61" i="3"/>
  <x:c r="AS61" i="3"/>
  <x:c r="AT61" i="3"/>
  <x:c r="AU61" i="3"/>
  <x:c r="AV61" i="3"/>
  <x:c r="AW61" i="3"/>
  <x:c r="AX61" i="3"/>
  <x:c r="AY61" i="3"/>
  <x:c r="AZ61" i="3"/>
  <x:c r="BA61" i="3"/>
  <x:c r="BB61" i="3"/>
  <x:c r="BC61" i="3"/>
  <x:c r="BD61" i="3"/>
  <x:c r="BE61" i="3"/>
  <x:c r="BF61" i="3"/>
  <x:c r="BG61" i="3"/>
  <x:c r="BH61" i="3"/>
  <x:c r="BI61" i="3"/>
  <x:c r="BJ61" i="3"/>
  <x:c r="BK61" i="3"/>
  <x:c r="BL61" i="3"/>
  <x:c r="BM61" i="3"/>
  <x:c r="BN61" i="3"/>
  <x:c r="BO61" i="3"/>
  <x:c r="BP61" i="3"/>
  <x:c r="BQ61" i="3"/>
  <x:c r="BR61" i="3"/>
  <x:c r="BS61" i="3"/>
  <x:c r="BT61" i="3"/>
  <x:c r="BU61" i="3"/>
  <x:c r="BV61" i="3"/>
  <x:c r="BW61" i="3"/>
  <x:c r="BX61" i="3"/>
  <x:c r="BY61" i="3"/>
  <x:c r="BZ61" i="3"/>
  <x:c r="CA61" i="3"/>
  <x:c r="CB61" i="3"/>
  <x:c r="CC61" i="3"/>
  <x:c r="D62" i="3"/>
  <x:c r="E62" i="3"/>
  <x:c r="F62" i="3"/>
  <x:c r="G62" i="3"/>
  <x:c r="H62" i="3"/>
  <x:c r="I62" i="3"/>
  <x:c r="J62" i="3"/>
  <x:c r="K62" i="3"/>
  <x:c r="L62" i="3"/>
  <x:c r="M62" i="3"/>
  <x:c r="N62" i="3"/>
  <x:c r="O62" i="3"/>
  <x:c r="P62" i="3"/>
  <x:c r="Q62" i="3"/>
  <x:c r="R62" i="3"/>
  <x:c r="S62" i="3"/>
  <x:c r="T62" i="3"/>
  <x:c r="U62" i="3"/>
  <x:c r="V62" i="3"/>
  <x:c r="W62" i="3"/>
  <x:c r="X62" i="3"/>
  <x:c r="Y62" i="3"/>
  <x:c r="Z62" i="3"/>
  <x:c r="AA62" i="3"/>
  <x:c r="AB62" i="3"/>
  <x:c r="AC62" i="3"/>
  <x:c r="AD62" i="3"/>
  <x:c r="AE62" i="3"/>
  <x:c r="AF62" i="3"/>
  <x:c r="AG62" i="3"/>
  <x:c r="AH62" i="3"/>
  <x:c r="AI62" i="3"/>
  <x:c r="AJ62" i="3"/>
  <x:c r="AK62" i="3"/>
  <x:c r="AL62" i="3"/>
  <x:c r="AM62" i="3"/>
  <x:c r="AN62" i="3"/>
  <x:c r="AO62" i="3"/>
  <x:c r="AP62" i="3"/>
  <x:c r="AQ62" i="3"/>
  <x:c r="AR62" i="3"/>
  <x:c r="AS62" i="3"/>
  <x:c r="AT62" i="3"/>
  <x:c r="AU62" i="3"/>
  <x:c r="AV62" i="3"/>
  <x:c r="AW62" i="3"/>
  <x:c r="AX62" i="3"/>
  <x:c r="AY62" i="3"/>
  <x:c r="AZ62" i="3"/>
  <x:c r="BA62" i="3"/>
  <x:c r="BB62" i="3"/>
  <x:c r="BC62" i="3"/>
  <x:c r="BD62" i="3"/>
  <x:c r="BE62" i="3"/>
  <x:c r="BF62" i="3"/>
  <x:c r="BG62" i="3"/>
  <x:c r="BH62" i="3"/>
  <x:c r="BI62" i="3"/>
  <x:c r="BJ62" i="3"/>
  <x:c r="BK62" i="3"/>
  <x:c r="BL62" i="3"/>
  <x:c r="BM62" i="3"/>
  <x:c r="BN62" i="3"/>
  <x:c r="BO62" i="3"/>
  <x:c r="BP62" i="3"/>
  <x:c r="BQ62" i="3"/>
  <x:c r="BR62" i="3"/>
  <x:c r="BS62" i="3"/>
  <x:c r="BT62" i="3"/>
  <x:c r="BU62" i="3"/>
  <x:c r="BV62" i="3"/>
  <x:c r="BW62" i="3"/>
  <x:c r="BX62" i="3"/>
  <x:c r="BY62" i="3"/>
  <x:c r="BZ62" i="3"/>
  <x:c r="CA62" i="3"/>
  <x:c r="CB62" i="3"/>
  <x:c r="CC62" i="3"/>
  <x:c r="D64" i="3"/>
  <x:c r="D65" i="3"/>
  <x:c r="D66" i="3"/>
  <x:c r="D67" i="3"/>
  <x:c r="D68" i="3"/>
  <x:c r="D69" i="3"/>
</x:calcChain>
</file>

<file path=xl/sharedStrings.xml><?xml version="1.0" encoding="utf-8"?>
<x:sst xmlns:x="http://schemas.openxmlformats.org/spreadsheetml/2006/main">
  <x:si>
    <x:t>Screen Id</x:t>
  </x:si>
  <x:si>
    <x:t>PPSP0020</x:t>
  </x:si>
  <x:si>
    <x:t>Machine Name</x:t>
  </x:si>
  <x:si>
    <x:t>EGPSPC024</x:t>
  </x:si>
  <x:si>
    <x:t>Printed On</x:t>
  </x:si>
  <x:si>
    <x:t xml:space="preserve">2026-05-10 10:49:46 </x:t>
  </x:si>
  <x:si>
    <x:t>MPS Plan - Customer:[GOLDE_SK]</x:t>
  </x:si>
  <x:si>
    <x:t>Section Code</x:t>
  </x:si>
  <x:si>
    <x:t>PORT SAID MANUFACTURING(SAID)</x:t>
  </x:si>
  <x:si>
    <x:t>MPS ID</x:t>
  </x:si>
  <x:si>
    <x:t>PSD-B4_VW_W20/26_W44/27_01</x:t>
  </x:si>
  <x:si>
    <x:t>MPS Type</x:t>
  </x:si>
  <x:si>
    <x:t>Oblige</x:t>
  </x:si>
  <x:si>
    <x:t>Target Efficiency</x:t>
  </x:si>
  <x:si>
    <x:t>Facility</x:t>
  </x:si>
  <x:si>
    <x:t>PSD-B4</x:t>
  </x:si>
  <x:si>
    <x:t>Car Model</x:t>
  </x:si>
  <x:si>
    <x:t>VW</x:t>
  </x:si>
  <x:si>
    <x:t>Working Hours</x:t>
  </x:si>
  <x:si>
    <x:t>From Date</x:t>
  </x:si>
  <x:si>
    <x:t>2026/05/11</x:t>
  </x:si>
  <x:si>
    <x:t>To Date</x:t>
  </x:si>
  <x:si>
    <x:t>2027/11/07</x:t>
  </x:si>
  <x:si>
    <x:t>Total Weeks</x:t>
  </x:si>
  <x:si>
    <x:t>offset Weeks</x:t>
  </x:si>
  <x:si>
    <x:t>Facility (DOS)</x:t>
  </x:si>
  <x:si>
    <x:t>Plan Suggestion By</x:t>
  </x:si>
  <x:si>
    <x:t>TEAM</x:t>
  </x:si>
  <x:si>
    <x:t>Week Plan Offset</x:t>
  </x:si>
  <x:si>
    <x:t>Assy Std.Hr.</x:t>
  </x:si>
  <x:si>
    <x:t>PSD-B4(Shift 1)</x:t>
  </x:si>
  <x:si>
    <x:t>PSD-B4(Shift 2)</x:t>
  </x:si>
  <x:si>
    <x:t>PSD-B4(Shift 3)</x:t>
  </x:si>
  <x:si>
    <x:t>Month</x:t>
  </x:si>
  <x:si>
    <x:t>Plan Date</x:t>
  </x:si>
  <x:si>
    <x:t>Week No</x:t>
  </x:si>
  <x:si>
    <x:t>SEWS-E WD</x:t>
  </x:si>
  <x:si>
    <x:t>Cust WD</x:t>
  </x:si>
  <x:si>
    <x:t>Invt Qty</x:t>
  </x:si>
  <x:si>
    <x:t>WIP</x:t>
  </x:si>
  <x:si>
    <x:t>Sales Qty</x:t>
  </x:si>
  <x:si>
    <x:t>Avg Days</x:t>
  </x:si>
  <x:si>
    <x:t>Plan Qty</x:t>
  </x:si>
  <x:si>
    <x:t>Bottom P/Qty</x:t>
  </x:si>
  <x:si>
    <x:t>GPTC Tm.</x:t>
  </x:si>
  <x:si>
    <x:t>Cust P.P.</x:t>
  </x:si>
  <x:si>
    <x:t>Comments</x:t>
  </x:si>
  <x:si>
    <x:t>Customer Plan</x:t>
  </x:si>
  <x:si>
    <x:t>Cust. Avg. Daily Build</x:t>
  </x:si>
  <x:si>
    <x:t>Heads</x:t>
  </x:si>
  <x:si>
    <x:t>Eff %</x:t>
  </x:si>
  <x:si>
    <x:t>Week/Hrs</x:t>
  </x:si>
  <x:si>
    <x:t>Team Qty</x:t>
  </x:si>
  <x:si>
    <x:t>Total Op.</x:t>
  </x:si>
  <x:si>
    <x:t>Car %age</x:t>
  </x:si>
  <x:si>
    <x:t>TotStdTm</x:t>
  </x:si>
  <x:si>
    <x:t>Clock Hours</x:t>
  </x:si>
  <x:si>
    <x:t>May</x:t>
  </x:si>
  <x:si>
    <x:t>No Comments</x:t>
  </x:si>
  <x:si>
    <x:t>Jun</x:t>
  </x:si>
  <x:si>
    <x:t>Jul</x:t>
  </x:si>
  <x:si>
    <x:t>Aug</x:t>
  </x:si>
  <x:si>
    <x:t>Sep</x:t>
  </x:si>
  <x:si>
    <x:t>Oct</x:t>
  </x:si>
  <x:si>
    <x:t>Nov</x:t>
  </x:si>
  <x:si>
    <x:t>Dec</x:t>
  </x:si>
  <x:si>
    <x:t>Jan</x:t>
  </x:si>
  <x:si>
    <x:t>Feb</x:t>
  </x:si>
  <x:si>
    <x:t>Mar</x:t>
  </x:si>
  <x:si>
    <x:t>Apr</x:t>
  </x:si>
  <x:si>
    <x:t>Bottom Level MPS[GOLDE_SK]</x:t>
  </x:si>
  <x:si>
    <x:t xml:space="preserve">Safety Weeks </x:t>
  </x:si>
  <x:si>
    <x:t>Transit Weeks</x:t>
  </x:si>
  <x:si>
    <x:t>Efficency Var:</x:t>
  </x:si>
  <x:si>
    <x:t>Product No.</x:t>
  </x:si>
  <x:si>
    <x:t>Category</x:t>
  </x:si>
  <x:si>
    <x:t>11/05</x:t>
  </x:si>
  <x:si>
    <x:t>18/05</x:t>
  </x:si>
  <x:si>
    <x:t>25/05</x:t>
  </x:si>
  <x:si>
    <x:t>01/06</x:t>
  </x:si>
  <x:si>
    <x:t>08/06</x:t>
  </x:si>
  <x:si>
    <x:t>15/06</x:t>
  </x:si>
  <x:si>
    <x:t>22/06</x:t>
  </x:si>
  <x:si>
    <x:t>29/06</x:t>
  </x:si>
  <x:si>
    <x:t>06/07</x:t>
  </x:si>
  <x:si>
    <x:t>13/07</x:t>
  </x:si>
  <x:si>
    <x:t>20/07</x:t>
  </x:si>
  <x:si>
    <x:t>27/07</x:t>
  </x:si>
  <x:si>
    <x:t>03/08</x:t>
  </x:si>
  <x:si>
    <x:t>10/08</x:t>
  </x:si>
  <x:si>
    <x:t>17/08</x:t>
  </x:si>
  <x:si>
    <x:t>24/08</x:t>
  </x:si>
  <x:si>
    <x:t>31/08</x:t>
  </x:si>
  <x:si>
    <x:t>07/09</x:t>
  </x:si>
  <x:si>
    <x:t>14/09</x:t>
  </x:si>
  <x:si>
    <x:t>21/09</x:t>
  </x:si>
  <x:si>
    <x:t>28/09</x:t>
  </x:si>
  <x:si>
    <x:t>05/10</x:t>
  </x:si>
  <x:si>
    <x:t>12/10</x:t>
  </x:si>
  <x:si>
    <x:t>19/10</x:t>
  </x:si>
  <x:si>
    <x:t>26/10</x:t>
  </x:si>
  <x:si>
    <x:t>02/11</x:t>
  </x:si>
  <x:si>
    <x:t>09/11</x:t>
  </x:si>
  <x:si>
    <x:t>16/11</x:t>
  </x:si>
  <x:si>
    <x:t>23/11</x:t>
  </x:si>
  <x:si>
    <x:t>30/11</x:t>
  </x:si>
  <x:si>
    <x:t>07/12</x:t>
  </x:si>
  <x:si>
    <x:t>14/12</x:t>
  </x:si>
  <x:si>
    <x:t>21/12</x:t>
  </x:si>
  <x:si>
    <x:t>28/12</x:t>
  </x:si>
  <x:si>
    <x:t>04/01</x:t>
  </x:si>
  <x:si>
    <x:t>11/01</x:t>
  </x:si>
  <x:si>
    <x:t>18/01</x:t>
  </x:si>
  <x:si>
    <x:t>25/01</x:t>
  </x:si>
  <x:si>
    <x:t>01/02</x:t>
  </x:si>
  <x:si>
    <x:t>08/02</x:t>
  </x:si>
  <x:si>
    <x:t>15/02</x:t>
  </x:si>
  <x:si>
    <x:t>22/02</x:t>
  </x:si>
  <x:si>
    <x:t>01/03</x:t>
  </x:si>
  <x:si>
    <x:t>08/03</x:t>
  </x:si>
  <x:si>
    <x:t>15/03</x:t>
  </x:si>
  <x:si>
    <x:t>22/03</x:t>
  </x:si>
  <x:si>
    <x:t>29/03</x:t>
  </x:si>
  <x:si>
    <x:t>05/04</x:t>
  </x:si>
  <x:si>
    <x:t>12/04</x:t>
  </x:si>
  <x:si>
    <x:t>19/04</x:t>
  </x:si>
  <x:si>
    <x:t>26/04</x:t>
  </x:si>
  <x:si>
    <x:t>03/05</x:t>
  </x:si>
  <x:si>
    <x:t>10/05</x:t>
  </x:si>
  <x:si>
    <x:t>17/05</x:t>
  </x:si>
  <x:si>
    <x:t>24/05</x:t>
  </x:si>
  <x:si>
    <x:t>31/05</x:t>
  </x:si>
  <x:si>
    <x:t>07/06</x:t>
  </x:si>
  <x:si>
    <x:t>14/06</x:t>
  </x:si>
  <x:si>
    <x:t>21/06</x:t>
  </x:si>
  <x:si>
    <x:t>28/06</x:t>
  </x:si>
  <x:si>
    <x:t>05/07</x:t>
  </x:si>
  <x:si>
    <x:t>12/07</x:t>
  </x:si>
  <x:si>
    <x:t>19/07</x:t>
  </x:si>
  <x:si>
    <x:t>26/07</x:t>
  </x:si>
  <x:si>
    <x:t>02/08</x:t>
  </x:si>
  <x:si>
    <x:t>09/08</x:t>
  </x:si>
  <x:si>
    <x:t>16/08</x:t>
  </x:si>
  <x:si>
    <x:t>23/08</x:t>
  </x:si>
  <x:si>
    <x:t>30/08</x:t>
  </x:si>
  <x:si>
    <x:t>06/09</x:t>
  </x:si>
  <x:si>
    <x:t>13/09</x:t>
  </x:si>
  <x:si>
    <x:t>20/09</x:t>
  </x:si>
  <x:si>
    <x:t>27/09</x:t>
  </x:si>
  <x:si>
    <x:t>04/10</x:t>
  </x:si>
  <x:si>
    <x:t>11/10</x:t>
  </x:si>
  <x:si>
    <x:t>18/10</x:t>
  </x:si>
  <x:si>
    <x:t>25/10</x:t>
  </x:si>
  <x:si>
    <x:t>01/11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</x:si>
  <x:si>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</x:si>
  <x:si>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</x:si>
  <x:si>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</x:si>
  <x:si>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</x:si>
  <x:si>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</x:si>
  <x:si>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</x:si>
  <x:si>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</x:si>
  <x:si>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</x:si>
  <x:si>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</x:si>
  <x:si>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</x:si>
  <x:si>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</x:si>
  <x:si>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</x:si>
  <x:si>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</x:si>
  <x:si>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</x:si>
  <x:si>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</x:si>
  <x:si>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</x:si>
  <x:si>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</x:si>
  <x:si>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</x:si>
  <x:si>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</x:si>
  <x:si>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</x:si>
  <x:si>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</x:si>
  <x:si>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</x:si>
  <x:si>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</x:si>
  <x:si>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</x:si>
  <x:si>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</x:si>
  <x:si>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</x:si>
  <x:si>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</x:si>
  <x:si>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</x:si>
  <x:si>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</x:si>
  <x:si>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</x:si>
  <x:si>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</x:si>
  <x:si>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</x:si>
  <x:si>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</x:si>
  <x:si>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</x:si>
  <x:si>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01</x:t>
  </x:si>
  <x:si>
    <x:t>02</x:t>
  </x:si>
  <x:si>
    <x:t>03</x:t>
  </x:si>
  <x:si>
    <x:t>04</x:t>
  </x:si>
  <x:si>
    <x:t>05</x:t>
  </x:si>
  <x:si>
    <x:t>06</x:t>
  </x:si>
  <x:si>
    <x:t>07</x:t>
  </x:si>
  <x:si>
    <x:t>08</x:t>
  </x:si>
  <x:si>
    <x:t>09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</x:si>
  <x:si>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</x:si>
  <x:si>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</x:si>
  <x:si>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</x:si>
  <x:si>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</x:si>
  <x:si>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</x:si>
  <x:si>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</x:si>
  <x:si>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</x:si>
  <x:si>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</x:si>
  <x:si>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</x:si>
  <x:si>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</x:si>
  <x:si>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Days@Customer</x:t>
  </x:si>
  <x:si>
    <x:t>940716553</x:t>
  </x:si>
  <x:si>
    <x:t>C</x:t>
  </x:si>
  <x:si>
    <x:t>Tran. Pr.</x:t>
  </x:si>
  <x:si>
    <x:t>Assy ST.</x:t>
  </x:si>
  <x:si>
    <x:t>Plan</x:t>
  </x:si>
  <x:si>
    <x:t>Lead Prep ST.</x:t>
  </x:si>
  <x:si>
    <x:t>Sales</x:t>
  </x:si>
  <x:si>
    <x:t>Total ST.</x:t>
  </x:si>
  <x:si>
    <x:t>Days</x:t>
  </x:si>
  <x:si>
    <x:t>Shortage</x:t>
  </x:si>
  <x:si>
    <x:t>940716554</x:t>
  </x:si>
  <x:si>
    <x:t>Sub Total :</x:t>
  </x:si>
  <x:si>
    <x:t>Leads Demand</x:t>
  </x:si>
  <x:si>
    <x:t>Plan Efficiency</x:t>
  </x:si>
  <x:si>
    <x:t>Days@SEWSE</x:t>
  </x:si>
  <x:si>
    <x:t>MPS Prod</x:t>
  </x:si>
  <x:si>
    <x:t>Variance</x:t>
  </x:si>
  <x:si>
    <x:t>Opening Stock Value</x:t>
  </x:si>
  <x:si>
    <x:t>WIP value</x:t>
  </x:si>
  <x:si>
    <x:t>Build value</x:t>
  </x:si>
  <x:si>
    <x:t>Sales value</x:t>
  </x:si>
  <x:si>
    <x:t>Build Material Cost</x:t>
  </x:si>
  <x:si>
    <x:t>Assy Std. Hours</x:t>
  </x:si>
  <x:si>
    <x:t>Total Std. Hours</x:t>
  </x:si>
  <x:si>
    <x:t>Sales Std. Hours [Assy St.]</x:t>
  </x:si>
  <x:si>
    <x:t>Sales Std. Hours [Total St.]</x:t>
  </x:si>
  <x:si>
    <x:t xml:space="preserve">Inventory Std. Hours </x:t>
  </x:si>
  <x:si>
    <x:t>Lead Prep Std. Hours</x:t>
  </x:si>
  <x:si>
    <x:t xml:space="preserve">Assy Labour </x:t>
  </x:si>
  <x:si>
    <x:t>Hours In Week</x:t>
  </x:si>
  <x:si>
    <x:t>Worked Hours</x:t>
  </x:si>
  <x:si>
    <x:t>Efficiency Target</x:t>
  </x:si>
  <x:si>
    <x:t>No Of Boxes</x:t>
  </x:si>
  <x:si>
    <x:t>No Of Operators</x:t>
  </x:si>
  <x:si>
    <x:t xml:space="preserve">Sales Mat Cost </x:t>
  </x:si>
  <x:si>
    <x:t>Sales No of Leads</x:t>
  </x:si>
  <x:si>
    <x:t>Avegare sales Std</x:t>
  </x:si>
  <x:si>
    <x:t>Average Plan Std</x:t>
  </x:si>
  <x:si>
    <x:t>Average Sales material cost</x:t>
  </x:si>
  <x:si>
    <x:t>Average Plan material cost</x:t>
  </x:si>
  <x:si>
    <x:t>Average Sales no. of leads</x:t>
  </x:si>
  <x:si>
    <x:t>Average plan no. of leads</x:t>
  </x:si>
  <x:si>
    <x:t>Sales Weeks for AVG Std Time</x:t>
  </x:si>
  <x:si>
    <x:t>PRODUCT NO</x:t>
  </x:si>
  <x:si>
    <x:t>TOTAL QTY</x:t>
  </x:si>
  <x:si>
    <x:t>040084640D00</x:t>
  </x:si>
  <x:si>
    <x:t>04320-T0A-D000</x:t>
  </x:si>
  <x:si>
    <x:t>176-910-00</x:t>
  </x:si>
  <x:si>
    <x:t>240093953R KIT2</x:t>
  </x:si>
  <x:si>
    <x:t>240100099V</x:t>
  </x:si>
  <x:si>
    <x:t>240101334V</x:t>
  </x:si>
  <x:si>
    <x:t>240102074V</x:t>
  </x:si>
  <x:si>
    <x:t>240102447V</x:t>
  </x:si>
  <x:si>
    <x:t>240102694V</x:t>
  </x:si>
  <x:si>
    <x:t>240103300V</x:t>
  </x:si>
  <x:si>
    <x:t>240103794V</x:t>
  </x:si>
  <x:si>
    <x:t>240103796V</x:t>
  </x:si>
  <x:si>
    <x:t>240103847V</x:t>
  </x:si>
  <x:si>
    <x:t>240104109V</x:t>
  </x:si>
  <x:si>
    <x:t>240104138V</x:t>
  </x:si>
  <x:si>
    <x:t>240104192V</x:t>
  </x:si>
  <x:si>
    <x:t>240104441V</x:t>
  </x:si>
  <x:si>
    <x:t>240104775V</x:t>
  </x:si>
  <x:si>
    <x:t>240105028V</x:t>
  </x:si>
  <x:si>
    <x:t>240105258V</x:t>
  </x:si>
  <x:si>
    <x:t>240105282V</x:t>
  </x:si>
  <x:si>
    <x:t>240105495V</x:t>
  </x:si>
  <x:si>
    <x:t>240105541V</x:t>
  </x:si>
  <x:si>
    <x:t>240105577V</x:t>
  </x:si>
  <x:si>
    <x:t>240106495V</x:t>
  </x:si>
  <x:si>
    <x:t>240107032V</x:t>
  </x:si>
  <x:si>
    <x:t>240107136V</x:t>
  </x:si>
  <x:si>
    <x:t>240107369V</x:t>
  </x:si>
  <x:si>
    <x:t>240107506V</x:t>
  </x:si>
  <x:si>
    <x:t>240108474V</x:t>
  </x:si>
  <x:si>
    <x:t>240108481V</x:t>
  </x:si>
  <x:si>
    <x:t>240108511S</x:t>
  </x:si>
  <x:si>
    <x:t>240108699V</x:t>
  </x:si>
  <x:si>
    <x:t>240108823V</x:t>
  </x:si>
  <x:si>
    <x:t>240109014V</x:t>
  </x:si>
  <x:si>
    <x:t>240109397V</x:t>
  </x:si>
  <x:si>
    <x:t>240109492V</x:t>
  </x:si>
  <x:si>
    <x:t>240109881V</x:t>
  </x:si>
  <x:si>
    <x:t>240109925S</x:t>
  </x:si>
  <x:si>
    <x:t>240130367R</x:t>
  </x:si>
  <x:si>
    <x:t>240130388R</x:t>
  </x:si>
  <x:si>
    <x:t>240130487R</x:t>
  </x:si>
  <x:si>
    <x:t>240130609R</x:t>
  </x:si>
  <x:si>
    <x:t>240130720R</x:t>
  </x:si>
  <x:si>
    <x:t>240130844R</x:t>
  </x:si>
  <x:si>
    <x:t>240130886R</x:t>
  </x:si>
  <x:si>
    <x:t>240131355R</x:t>
  </x:si>
  <x:si>
    <x:t>240131520R</x:t>
  </x:si>
  <x:si>
    <x:t>240131724R</x:t>
  </x:si>
  <x:si>
    <x:t>240131891R</x:t>
  </x:si>
  <x:si>
    <x:t>240132454R</x:t>
  </x:si>
  <x:si>
    <x:t>240132669R</x:t>
  </x:si>
  <x:si>
    <x:t>240132814R</x:t>
  </x:si>
  <x:si>
    <x:t>240132824R</x:t>
  </x:si>
  <x:si>
    <x:t>240133108R</x:t>
  </x:si>
  <x:si>
    <x:t>240133592R</x:t>
  </x:si>
  <x:si>
    <x:t>240133686R</x:t>
  </x:si>
  <x:si>
    <x:t>240134322R</x:t>
  </x:si>
  <x:si>
    <x:t>240135163R</x:t>
  </x:si>
  <x:si>
    <x:t>240135286R</x:t>
  </x:si>
  <x:si>
    <x:t>240135359R</x:t>
  </x:si>
  <x:si>
    <x:t>240135667R</x:t>
  </x:si>
  <x:si>
    <x:t>240135903R</x:t>
  </x:si>
  <x:si>
    <x:t>240135932R</x:t>
  </x:si>
  <x:si>
    <x:t>240136071R</x:t>
  </x:si>
  <x:si>
    <x:t>240136104R</x:t>
  </x:si>
  <x:si>
    <x:t>240136383R</x:t>
  </x:si>
  <x:si>
    <x:t>240136468R</x:t>
  </x:si>
  <x:si>
    <x:t>240136712R</x:t>
  </x:si>
  <x:si>
    <x:t>240136885R</x:t>
  </x:si>
  <x:si>
    <x:t>240137102R</x:t>
  </x:si>
  <x:si>
    <x:t>240137155R</x:t>
  </x:si>
  <x:si>
    <x:t>240137192R</x:t>
  </x:si>
  <x:si>
    <x:t>240137524R</x:t>
  </x:si>
  <x:si>
    <x:t>240137730R</x:t>
  </x:si>
  <x:si>
    <x:t>240137749R</x:t>
  </x:si>
  <x:si>
    <x:t>240138031R</x:t>
  </x:si>
  <x:si>
    <x:t>240138384R</x:t>
  </x:si>
  <x:si>
    <x:t>240138394R</x:t>
  </x:si>
  <x:si>
    <x:t>240138487R</x:t>
  </x:si>
  <x:si>
    <x:t>240139023R</x:t>
  </x:si>
  <x:si>
    <x:t>240139297R</x:t>
  </x:si>
  <x:si>
    <x:t>240139401R</x:t>
  </x:si>
  <x:si>
    <x:t>240139547R</x:t>
  </x:si>
  <x:si>
    <x:t>240139610R</x:t>
  </x:si>
  <x:si>
    <x:t>240139999R</x:t>
  </x:si>
  <x:si>
    <x:t>240149387S</x:t>
  </x:si>
  <x:si>
    <x:t>240150535R</x:t>
  </x:si>
  <x:si>
    <x:t>240151591R</x:t>
  </x:si>
  <x:si>
    <x:t>240152246R</x:t>
  </x:si>
  <x:si>
    <x:t>240152862R</x:t>
  </x:si>
  <x:si>
    <x:t>240155171R</x:t>
  </x:si>
  <x:si>
    <x:t>240157751R</x:t>
  </x:si>
  <x:si>
    <x:t>240160017R</x:t>
  </x:si>
  <x:si>
    <x:t>240163006R</x:t>
  </x:si>
  <x:si>
    <x:t>240164411R</x:t>
  </x:si>
  <x:si>
    <x:t>240511294R</x:t>
  </x:si>
  <x:si>
    <x:t>240514509R</x:t>
  </x:si>
  <x:si>
    <x:t>240516569R</x:t>
  </x:si>
  <x:si>
    <x:t>240683215R</x:t>
  </x:si>
  <x:si>
    <x:t>240683388R</x:t>
  </x:si>
  <x:si>
    <x:t>240685480R</x:t>
  </x:si>
  <x:si>
    <x:t>240689839R</x:t>
  </x:si>
  <x:si>
    <x:t>241241487R</x:t>
  </x:si>
  <x:si>
    <x:t>241244211R</x:t>
  </x:si>
  <x:si>
    <x:t>241246090R</x:t>
  </x:si>
  <x:si>
    <x:t>241247058R</x:t>
  </x:si>
  <x:si>
    <x:t>241248216R</x:t>
  </x:si>
  <x:si>
    <x:t>241249983R</x:t>
  </x:si>
  <x:si>
    <x:t>241250315R</x:t>
  </x:si>
  <x:si>
    <x:t>241251198R</x:t>
  </x:si>
  <x:si>
    <x:t>241251876R</x:t>
  </x:si>
  <x:si>
    <x:t>241252728R</x:t>
  </x:si>
  <x:si>
    <x:t>241256076R</x:t>
  </x:si>
  <x:si>
    <x:t>241256359R</x:t>
  </x:si>
  <x:si>
    <x:t>241259968R</x:t>
  </x:si>
  <x:si>
    <x:t>241261133R</x:t>
  </x:si>
  <x:si>
    <x:t>241261256R</x:t>
  </x:si>
  <x:si>
    <x:t>241261503R</x:t>
  </x:si>
  <x:si>
    <x:t>241262037R</x:t>
  </x:si>
  <x:si>
    <x:t>241267635R</x:t>
  </x:si>
  <x:si>
    <x:t>241273786R</x:t>
  </x:si>
  <x:si>
    <x:t>241274088R</x:t>
  </x:si>
  <x:si>
    <x:t>241274347R</x:t>
  </x:si>
  <x:si>
    <x:t>241277443R</x:t>
  </x:si>
  <x:si>
    <x:t>241279529R</x:t>
  </x:si>
  <x:si>
    <x:t>241602378R</x:t>
  </x:si>
  <x:si>
    <x:t>241603391R</x:t>
  </x:si>
  <x:si>
    <x:t>241604109R</x:t>
  </x:si>
  <x:si>
    <x:t>241604761R</x:t>
  </x:si>
  <x:si>
    <x:t>241606037R</x:t>
  </x:si>
  <x:si>
    <x:t>241606780R</x:t>
  </x:si>
  <x:si>
    <x:t>241630851S</x:t>
  </x:si>
  <x:si>
    <x:t>241630855S</x:t>
  </x:si>
  <x:si>
    <x:t>241630947S</x:t>
  </x:si>
  <x:si>
    <x:t>241631202S</x:t>
  </x:si>
  <x:si>
    <x:t>241631246S</x:t>
  </x:si>
  <x:si>
    <x:t>241631611S</x:t>
  </x:si>
  <x:si>
    <x:t>241631684S</x:t>
  </x:si>
  <x:si>
    <x:t>241631708S</x:t>
  </x:si>
  <x:si>
    <x:t>241631880S</x:t>
  </x:si>
  <x:si>
    <x:t>241632202S</x:t>
  </x:si>
  <x:si>
    <x:t>241632236S</x:t>
  </x:si>
  <x:si>
    <x:t>241632414S</x:t>
  </x:si>
  <x:si>
    <x:t>241632428S</x:t>
  </x:si>
  <x:si>
    <x:t>241632454S</x:t>
  </x:si>
  <x:si>
    <x:t>241632650S</x:t>
  </x:si>
  <x:si>
    <x:t>241632697S</x:t>
  </x:si>
  <x:si>
    <x:t>241632890S</x:t>
  </x:si>
  <x:si>
    <x:t>241632984S</x:t>
  </x:si>
  <x:si>
    <x:t>241633366S</x:t>
  </x:si>
  <x:si>
    <x:t>241633577S</x:t>
  </x:si>
  <x:si>
    <x:t>241633597S</x:t>
  </x:si>
  <x:si>
    <x:t>241633634S</x:t>
  </x:si>
  <x:si>
    <x:t>241633681S</x:t>
  </x:si>
  <x:si>
    <x:t>241633707S</x:t>
  </x:si>
  <x:si>
    <x:t>241633857S</x:t>
  </x:si>
  <x:si>
    <x:t>241633861S</x:t>
  </x:si>
  <x:si>
    <x:t>241634046S</x:t>
  </x:si>
  <x:si>
    <x:t>241634159S</x:t>
  </x:si>
  <x:si>
    <x:t>241634230S</x:t>
  </x:si>
  <x:si>
    <x:t>241634296S</x:t>
  </x:si>
  <x:si>
    <x:t>241634360S</x:t>
  </x:si>
  <x:si>
    <x:t>241634861S</x:t>
  </x:si>
  <x:si>
    <x:t>241635039S</x:t>
  </x:si>
  <x:si>
    <x:t>241635275S</x:t>
  </x:si>
  <x:si>
    <x:t>241635543S</x:t>
  </x:si>
  <x:si>
    <x:t>241635691S</x:t>
  </x:si>
  <x:si>
    <x:t>241635982S</x:t>
  </x:si>
  <x:si>
    <x:t>241636372S</x:t>
  </x:si>
  <x:si>
    <x:t>241636438S</x:t>
  </x:si>
  <x:si>
    <x:t>241636786S</x:t>
  </x:si>
  <x:si>
    <x:t>241636818S</x:t>
  </x:si>
  <x:si>
    <x:t>241637085S</x:t>
  </x:si>
  <x:si>
    <x:t>241637163S</x:t>
  </x:si>
  <x:si>
    <x:t>241637537S</x:t>
  </x:si>
  <x:si>
    <x:t>241637808S</x:t>
  </x:si>
  <x:si>
    <x:t>241638227S</x:t>
  </x:si>
  <x:si>
    <x:t>241638383S</x:t>
  </x:si>
  <x:si>
    <x:t>241638466S</x:t>
  </x:si>
  <x:si>
    <x:t>241638552S</x:t>
  </x:si>
  <x:si>
    <x:t>241638702S</x:t>
  </x:si>
  <x:si>
    <x:t>241638875S</x:t>
  </x:si>
  <x:si>
    <x:t>241639074S</x:t>
  </x:si>
  <x:si>
    <x:t>241639136S</x:t>
  </x:si>
  <x:si>
    <x:t>241639351S</x:t>
  </x:si>
  <x:si>
    <x:t>241639394S</x:t>
  </x:si>
  <x:si>
    <x:t>241639545S</x:t>
  </x:si>
  <x:si>
    <x:t>241639869S</x:t>
  </x:si>
  <x:si>
    <x:t>241639913S</x:t>
  </x:si>
  <x:si>
    <x:t>253A91823R</x:t>
  </x:si>
  <x:si>
    <x:t>253A94282R</x:t>
  </x:si>
  <x:si>
    <x:t>253A98127R</x:t>
  </x:si>
  <x:si>
    <x:t>32100-K0B-D100</x:t>
  </x:si>
  <x:si>
    <x:t>32100-K0R-AF01</x:t>
  </x:si>
  <x:si>
    <x:t>32100-K0R-AG01</x:t>
  </x:si>
  <x:si>
    <x:t>32100-K1B-DC01</x:t>
  </x:si>
  <x:si>
    <x:t>32100-K1B-DD01</x:t>
  </x:si>
  <x:si>
    <x:t>32100-K1BN-DD05</x:t>
  </x:si>
  <x:si>
    <x:t>32100-K1W-DK00</x:t>
  </x:si>
  <x:si>
    <x:t>32100-K2L-DD01</x:t>
  </x:si>
  <x:si>
    <x:t>32100-K2L-DG01</x:t>
  </x:si>
  <x:si>
    <x:t>32100-K40-D502</x:t>
  </x:si>
  <x:si>
    <x:t>32100-K40-D602</x:t>
  </x:si>
  <x:si>
    <x:t>32100-TV8-G104</x:t>
  </x:si>
  <x:si>
    <x:t>32101-K1W-DJ00</x:t>
  </x:si>
  <x:si>
    <x:t>32102-K0R-A000</x:t>
  </x:si>
  <x:si>
    <x:t>32104-K1W-D200</x:t>
  </x:si>
  <x:si>
    <x:t>32107-K1B-T001</x:t>
  </x:si>
  <x:si>
    <x:t>32107-K40-F600</x:t>
  </x:si>
  <x:si>
    <x:t>32107-TGG-A420</x:t>
  </x:si>
  <x:si>
    <x:t>32108-K1B-T001</x:t>
  </x:si>
  <x:si>
    <x:t>32108-K40-F600</x:t>
  </x:si>
  <x:si>
    <x:t>32117-SWW-S413</x:t>
  </x:si>
  <x:si>
    <x:t>32117-TEA-P001</x:t>
  </x:si>
  <x:si>
    <x:t>32200-TFK-P720</x:t>
  </x:si>
  <x:si>
    <x:t>32200-TGG-C021</x:t>
  </x:si>
  <x:si>
    <x:t>32200-TGG-E731</x:t>
  </x:si>
  <x:si>
    <x:t>32200-TGG-F501</x:t>
  </x:si>
  <x:si>
    <x:t>32200-TGG-L322</x:t>
  </x:si>
  <x:si>
    <x:t>32200-TGG-L722</x:t>
  </x:si>
  <x:si>
    <x:t>32200-TGG-S201</x:t>
  </x:si>
  <x:si>
    <x:t>32251-K0R-D100</x:t>
  </x:si>
  <x:si>
    <x:t>32251-K0W-JA00</x:t>
  </x:si>
  <x:si>
    <x:t>32251-K2L-D100</x:t>
  </x:si>
  <x:si>
    <x:t>32251-K40-F700</x:t>
  </x:si>
  <x:si>
    <x:t>32600-T1G-G000</x:t>
  </x:si>
  <x:si>
    <x:t>32600-TV2-E001</x:t>
  </x:si>
  <x:si>
    <x:t>403880324S</x:t>
  </x:si>
  <x:si>
    <x:t>403881555S</x:t>
  </x:si>
  <x:si>
    <x:t>403881814S</x:t>
  </x:si>
  <x:si>
    <x:t>403882479S</x:t>
  </x:si>
  <x:si>
    <x:t>403882678S</x:t>
  </x:si>
  <x:si>
    <x:t>403883836S</x:t>
  </x:si>
  <x:si>
    <x:t>403883860S</x:t>
  </x:si>
  <x:si>
    <x:t>403884655S</x:t>
  </x:si>
  <x:si>
    <x:t>403884756S</x:t>
  </x:si>
  <x:si>
    <x:t>403884916S</x:t>
  </x:si>
  <x:si>
    <x:t>403885744S</x:t>
  </x:si>
  <x:si>
    <x:t>403885847S</x:t>
  </x:si>
  <x:si>
    <x:t>403886191S</x:t>
  </x:si>
  <x:si>
    <x:t>403886422S</x:t>
  </x:si>
  <x:si>
    <x:t>403886511S</x:t>
  </x:si>
  <x:si>
    <x:t>403886664S</x:t>
  </x:si>
  <x:si>
    <x:t>403887576S</x:t>
  </x:si>
  <x:si>
    <x:t>403887706S</x:t>
  </x:si>
  <x:si>
    <x:t>403887896S</x:t>
  </x:si>
  <x:si>
    <x:t>403888062S</x:t>
  </x:si>
  <x:si>
    <x:t>403889088S</x:t>
  </x:si>
  <x:si>
    <x:t>403889960S</x:t>
  </x:si>
  <x:si>
    <x:t>4172749</x:t>
  </x:si>
  <x:si>
    <x:t>4172773</x:t>
  </x:si>
  <x:si>
    <x:t>4172800</x:t>
  </x:si>
  <x:si>
    <x:t>4172825</x:t>
  </x:si>
  <x:si>
    <x:t>4172826</x:t>
  </x:si>
  <x:si>
    <x:t>4264989</x:t>
  </x:si>
  <x:si>
    <x:t>4429348</x:t>
  </x:si>
  <x:si>
    <x:t>4429349</x:t>
  </x:si>
  <x:si>
    <x:t>4429351</x:t>
  </x:si>
  <x:si>
    <x:t>4429352</x:t>
  </x:si>
  <x:si>
    <x:t>4429355</x:t>
  </x:si>
  <x:si>
    <x:t>4429356</x:t>
  </x:si>
  <x:si>
    <x:t>4429358</x:t>
  </x:si>
  <x:si>
    <x:t>451070H01000</x:t>
  </x:si>
  <x:si>
    <x:t>4754918</x:t>
  </x:si>
  <x:si>
    <x:t>4817100</x:t>
  </x:si>
  <x:si>
    <x:t>4817101</x:t>
  </x:si>
  <x:si>
    <x:t>4817103</x:t>
  </x:si>
  <x:si>
    <x:t>4817114</x:t>
  </x:si>
  <x:si>
    <x:t>4817124</x:t>
  </x:si>
  <x:si>
    <x:t>4817131</x:t>
  </x:si>
  <x:si>
    <x:t>4817134</x:t>
  </x:si>
  <x:si>
    <x:t>4898631</x:t>
  </x:si>
  <x:si>
    <x:t>4898632</x:t>
  </x:si>
  <x:si>
    <x:t>4898640</x:t>
  </x:si>
  <x:si>
    <x:t>4898644</x:t>
  </x:si>
  <x:si>
    <x:t>5073058</x:t>
  </x:si>
  <x:si>
    <x:t>5073059</x:t>
  </x:si>
  <x:si>
    <x:t>5080294</x:t>
  </x:si>
  <x:si>
    <x:t>5080431</x:t>
  </x:si>
  <x:si>
    <x:t>5180032</x:t>
  </x:si>
  <x:si>
    <x:t>5755217</x:t>
  </x:si>
  <x:si>
    <x:t>6718202</x:t>
  </x:si>
  <x:si>
    <x:t>6718207</x:t>
  </x:si>
  <x:si>
    <x:t>6718208</x:t>
  </x:si>
  <x:si>
    <x:t>6718233</x:t>
  </x:si>
  <x:si>
    <x:t>6718251</x:t>
  </x:si>
  <x:si>
    <x:t>6737895</x:t>
  </x:si>
  <x:si>
    <x:t>8211505A3100</x:t>
  </x:si>
  <x:si>
    <x:t>82119F424000</x:t>
  </x:si>
  <x:si>
    <x:t>82119F425000</x:t>
  </x:si>
  <x:si>
    <x:t>82119KK38000</x:t>
  </x:si>
  <x:si>
    <x:t>82119KK39000</x:t>
  </x:si>
  <x:si>
    <x:t>8211AKK01000</x:t>
  </x:si>
  <x:si>
    <x:t>8211AKK03000</x:t>
  </x:si>
  <x:si>
    <x:t>8211HKKJ3000</x:t>
  </x:si>
  <x:si>
    <x:t>8211HKKU4000</x:t>
  </x:si>
  <x:si>
    <x:t>8211HKKU5000</x:t>
  </x:si>
  <x:si>
    <x:t>821210DX6000</x:t>
  </x:si>
  <x:si>
    <x:t>821210H55000</x:t>
  </x:si>
  <x:si>
    <x:t>821210H61000</x:t>
  </x:si>
  <x:si>
    <x:t>821210U22000</x:t>
  </x:si>
  <x:si>
    <x:t>821210U23000</x:t>
  </x:si>
  <x:si>
    <x:t>821210ZJ3000</x:t>
  </x:si>
  <x:si>
    <x:t>821210ZX3000</x:t>
  </x:si>
  <x:si>
    <x:t>82121F445000</x:t>
  </x:si>
  <x:si>
    <x:t>82121K035000</x:t>
  </x:si>
  <x:si>
    <x:t>821230H03000</x:t>
  </x:si>
  <x:si>
    <x:t>82123F405000</x:t>
  </x:si>
  <x:si>
    <x:t>821250D03000</x:t>
  </x:si>
  <x:si>
    <x:t>82125F402000</x:t>
  </x:si>
  <x:si>
    <x:t>82126F401000</x:t>
  </x:si>
  <x:si>
    <x:t>82126K003000</x:t>
  </x:si>
  <x:si>
    <x:t>82127F401000</x:t>
  </x:si>
  <x:si>
    <x:t>821390232000</x:t>
  </x:si>
  <x:si>
    <x:t>821390233000</x:t>
  </x:si>
  <x:si>
    <x:t>821440216000</x:t>
  </x:si>
  <x:si>
    <x:t>82146F462000</x:t>
  </x:si>
  <x:si>
    <x:t>82146F474000</x:t>
  </x:si>
  <x:si>
    <x:t>82146F477000</x:t>
  </x:si>
  <x:si>
    <x:t>82146F4E9000</x:t>
  </x:si>
  <x:si>
    <x:t>82146F4F0000</x:t>
  </x:si>
  <x:si>
    <x:t>82146F4J2000</x:t>
  </x:si>
  <x:si>
    <x:t>82146F4J5000</x:t>
  </x:si>
  <x:si>
    <x:t>82146F4J6000</x:t>
  </x:si>
  <x:si>
    <x:t>82146F4K3000</x:t>
  </x:si>
  <x:si>
    <x:t>82146F4K5000</x:t>
  </x:si>
  <x:si>
    <x:t>82146F4K6000</x:t>
  </x:si>
  <x:si>
    <x:t>82146F4K6100</x:t>
  </x:si>
  <x:si>
    <x:t>82146F4K9000</x:t>
  </x:si>
  <x:si>
    <x:t>82146F4L4000</x:t>
  </x:si>
  <x:si>
    <x:t>82146F4L5000</x:t>
  </x:si>
  <x:si>
    <x:t>82146F4L7100</x:t>
  </x:si>
  <x:si>
    <x:t>82146F4M3000</x:t>
  </x:si>
  <x:si>
    <x:t>82146F4M8000</x:t>
  </x:si>
  <x:si>
    <x:t>82153F419000</x:t>
  </x:si>
  <x:si>
    <x:t>82153F421000</x:t>
  </x:si>
  <x:si>
    <x:t>82153F435000</x:t>
  </x:si>
  <x:si>
    <x:t>82154F419000</x:t>
  </x:si>
  <x:si>
    <x:t>82154F421000</x:t>
  </x:si>
  <x:si>
    <x:t>82154F422000</x:t>
  </x:si>
  <x:si>
    <x:t>82154F437000</x:t>
  </x:si>
  <x:si>
    <x:t>82163K003000</x:t>
  </x:si>
  <x:si>
    <x:t>82165F405000</x:t>
  </x:si>
  <x:si>
    <x:t>821710H08000</x:t>
  </x:si>
  <x:si>
    <x:t>821720H05000</x:t>
  </x:si>
  <x:si>
    <x:t>821720H06000</x:t>
  </x:si>
  <x:si>
    <x:t>82183F401000</x:t>
  </x:si>
  <x:si>
    <x:t>82183F406000</x:t>
  </x:si>
  <x:si>
    <x:t>82183KK08000</x:t>
  </x:si>
  <x:si>
    <x:t>82184F4E7000</x:t>
  </x:si>
  <x:si>
    <x:t>82184F4M1000</x:t>
  </x:si>
  <x:si>
    <x:t>82219F401000</x:t>
  </x:si>
  <x:si>
    <x:t>82219K003000</x:t>
  </x:si>
  <x:si>
    <x:t>82219K004000</x:t>
  </x:si>
  <x:si>
    <x:t>82412F401000</x:t>
  </x:si>
  <x:si>
    <x:t>826210D05000</x:t>
  </x:si>
  <x:si>
    <x:t>828210D08000</x:t>
  </x:si>
  <x:si>
    <x:t>828240207000</x:t>
  </x:si>
  <x:si>
    <x:t>828240208000</x:t>
  </x:si>
  <x:si>
    <x:t>828240H12000</x:t>
  </x:si>
  <x:si>
    <x:t>861C70201000</x:t>
  </x:si>
  <x:si>
    <x:t>890C00203000</x:t>
  </x:si>
  <x:si>
    <x:t>890C00204000</x:t>
  </x:si>
  <x:si>
    <x:t>890C00H01000</x:t>
  </x:si>
  <x:si>
    <x:t>890C00H02000</x:t>
  </x:si>
  <x:si>
    <x:t>890C0F401000</x:t>
  </x:si>
  <x:si>
    <x:t>890C0F402000</x:t>
  </x:si>
  <x:si>
    <x:t>890C0F421000</x:t>
  </x:si>
  <x:si>
    <x:t>890C0F422000</x:t>
  </x:si>
  <x:si>
    <x:t>890C0K001000</x:t>
  </x:si>
  <x:si>
    <x:t>890C0K002000</x:t>
  </x:si>
  <x:si>
    <x:t>895160229000</x:t>
  </x:si>
  <x:si>
    <x:t>895160230000</x:t>
  </x:si>
  <x:si>
    <x:t>909800915200</x:t>
  </x:si>
  <x:si>
    <x:t>CZ246480-7021</x:t>
  </x:si>
  <x:si>
    <x:t>CZ246510-7400</x:t>
  </x:si>
  <x:si>
    <x:t>G96B1F402000</x:t>
  </x:si>
  <x:si>
    <x:t>G96B2F402000</x:t>
  </x:si>
  <x:si>
    <x:t>G96B3F401000</x:t>
  </x:si>
  <x:si>
    <x:t>WK20</x:t>
  </x:si>
  <x:si>
    <x:t>WK21</x:t>
  </x:si>
  <x:si>
    <x:t>5759549</x:t>
  </x:si>
  <x:si>
    <x:t>6167996</x:t>
  </x:si>
  <x:si>
    <x:t>6168001</x:t>
  </x:si>
  <x:si>
    <x:t>6718227</x:t>
  </x:si>
  <x:si>
    <x:t>6718248</x:t>
  </x:si>
  <x:si>
    <x:t>6737904</x:t>
  </x:si>
  <x:si>
    <x:t>6737910</x:t>
  </x:si>
  <x:si>
    <x:t>4898626</x:t>
  </x:si>
  <x:si>
    <x:t>4898628</x:t>
  </x:si>
  <x:si>
    <x:t>4898629</x:t>
  </x:si>
  <x:si>
    <x:t>4898638</x:t>
  </x:si>
  <x:si>
    <x:t>4898643</x:t>
  </x:si>
  <x:si>
    <x:t>4898645</x:t>
  </x:si>
  <x:si>
    <x:t>4898647</x:t>
  </x:si>
  <x:si>
    <x:t>4898611</x:t>
  </x:si>
  <x:si>
    <x:t>4898633</x:t>
  </x:si>
  <x:si>
    <x:t>4898635</x:t>
  </x:si>
  <x:si>
    <x:t>4898648</x:t>
  </x:si>
  <x:si>
    <x:t>4901370</x:t>
  </x:si>
  <x:si>
    <x:t>5543427</x:t>
  </x:si>
  <x:si>
    <x:t>5543428</x:t>
  </x:si>
  <x:si>
    <x:t>5951382</x:t>
  </x:si>
  <x:si>
    <x:t>5951384</x:t>
  </x:si>
  <x:si>
    <x:t>6718211</x:t>
  </x:si>
  <x:si>
    <x:t>4172750</x:t>
  </x:si>
  <x:si>
    <x:t>4172753</x:t>
  </x:si>
  <x:si>
    <x:t>4172755</x:t>
  </x:si>
  <x:si>
    <x:t>4172770</x:t>
  </x:si>
  <x:si>
    <x:t>4755038</x:t>
  </x:si>
  <x:si>
    <x:t>4755081</x:t>
  </x:si>
  <x:si>
    <x:t>4817115</x:t>
  </x:si>
  <x:si>
    <x:t>5073060</x:t>
  </x:si>
  <x:si>
    <x:t>5073061</x:t>
  </x:si>
  <x:si>
    <x:t>5080198</x:t>
  </x:si>
  <x:si>
    <x:t>5080263</x:t>
  </x:si>
  <x:si>
    <x:t>5080268</x:t>
  </x:si>
  <x:si>
    <x:t>5080285</x:t>
  </x:si>
  <x:si>
    <x:t>5080299</x:t>
  </x:si>
  <x:si>
    <x:t>5080375</x:t>
  </x:si>
  <x:si>
    <x:t>5180031</x:t>
  </x:si>
  <x:si>
    <x:t>5180033</x:t>
  </x:si>
  <x:si>
    <x:t>4172784</x:t>
  </x:si>
  <x:si>
    <x:t>4172797</x:t>
  </x:si>
  <x:si>
    <x:t>4172806</x:t>
  </x:si>
  <x:si>
    <x:t>4172820</x:t>
  </x:si>
  <x:si>
    <x:t>4172821</x:t>
  </x:si>
  <x:si>
    <x:t>4755146</x:t>
  </x:si>
  <x:si>
    <x:t>4817129</x:t>
  </x:si>
  <x:si>
    <x:t>4817130</x:t>
  </x:si>
  <x:si>
    <x:t>4817136</x:t>
  </x:si>
  <x:si>
    <x:t>5073064</x:t>
  </x:si>
  <x:si>
    <x:t>5080417</x:t>
  </x:si>
  <x:si>
    <x:t>5080443</x:t>
  </x:si>
  <x:si>
    <x:t>5080446</x:t>
  </x:si>
  <x:si>
    <x:t>5080450</x:t>
  </x:si>
  <x:si>
    <x:t>5180039</x:t>
  </x:si>
  <x:si>
    <x:t>5180040</x:t>
  </x:si>
  <x:si>
    <x:t>5180041</x:t>
  </x:si>
  <x:si>
    <x:t>7506630</x:t>
  </x:si>
  <x:si>
    <x:t>WK 20</x:t>
  </x:si>
  <x:si>
    <x:t>WK 21</x:t>
  </x:si>
  <x:si>
    <x:t>WK 22</x:t>
  </x:si>
  <x:si>
    <x:t>WK 23</x:t>
  </x:si>
  <x:si>
    <x:t>WK 24</x:t>
  </x:si>
  <x:si>
    <x:t>WK 25</x:t>
  </x:si>
  <x:si>
    <x:t>WK 26</x:t>
  </x:si>
  <x:si>
    <x:t>WK 27</x:t>
  </x:si>
  <x:si>
    <x:t>WK 28</x:t>
  </x:si>
  <x:si>
    <x:t>WK 29</x:t>
  </x:si>
  <x:si>
    <x:t>WK 30</x:t>
  </x:si>
  <x:si>
    <x:t>WK 31</x:t>
  </x:si>
  <x:si>
    <x:t>WK 32</x:t>
  </x:si>
  <x:si>
    <x:t>WK 33</x:t>
  </x:si>
  <x:si>
    <x:t>WK 34</x:t>
  </x:si>
  <x:si>
    <x:t>WK 35</x:t>
  </x:si>
  <x:si>
    <x:t>WK 36</x:t>
  </x:si>
  <x:si>
    <x:t>WK 37</x:t>
  </x:si>
  <x:si>
    <x:t>WK 38</x:t>
  </x:si>
  <x:si>
    <x:t>WK 39</x:t>
  </x:si>
  <x:si>
    <x:t>WK 40</x:t>
  </x:si>
  <x:si>
    <x:t>WK 41</x:t>
  </x:si>
  <x:si>
    <x:t>WK 42</x:t>
  </x:si>
  <x:si>
    <x:t>WK 43</x:t>
  </x:si>
  <x:si>
    <x:t>WK 44</x:t>
  </x:si>
  <x:si>
    <x:t>WK 45</x:t>
  </x:si>
  <x:si>
    <x:t>WK 46</x:t>
  </x:si>
  <x:si>
    <x:t>WK 47</x:t>
  </x:si>
  <x:si>
    <x:t>WK 48</x:t>
  </x:si>
  <x:si>
    <x:t>WK 49</x:t>
  </x:si>
  <x:si>
    <x:t>WK 50</x:t>
  </x:si>
  <x:si>
    <x:t>WK 51</x:t>
  </x:si>
  <x:si>
    <x:t>WK 52</x:t>
  </x:si>
  <x:si>
    <x:t>WK 53</x:t>
  </x:si>
  <x:si>
    <x:t>WK 01</x:t>
  </x:si>
  <x:si>
    <x:t>WK 02</x:t>
  </x:si>
  <x:si>
    <x:t>WK 03</x:t>
  </x:si>
  <x:si>
    <x:t>WK 04</x:t>
  </x:si>
  <x:si>
    <x:t>WK 05</x:t>
  </x:si>
  <x:si>
    <x:t>WK 06</x:t>
  </x:si>
  <x:si>
    <x:t>WK 07</x:t>
  </x:si>
  <x:si>
    <x:t>WK 08</x:t>
  </x:si>
  <x:si>
    <x:t>WK 09</x:t>
  </x:si>
  <x:si>
    <x:t>WK 10</x:t>
  </x:si>
  <x:si>
    <x:t>WK 11</x:t>
  </x:si>
  <x:si>
    <x:t>WK 12</x:t>
  </x:si>
  <x:si>
    <x:t>WK 13</x:t>
  </x:si>
  <x:si>
    <x:t>WK 14</x:t>
  </x:si>
  <x:si>
    <x:t>WK 15</x:t>
  </x:si>
  <x:si>
    <x:t>WK 16</x:t>
  </x:si>
  <x:si>
    <x:t>WK 17</x:t>
  </x:si>
  <x:si>
    <x:t>WK 18</x:t>
  </x:si>
  <x:si>
    <x:t>WK 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</x:si>
</x:sst>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0.0"/>
    <x:numFmt numFmtId="165" formatCode="0.0%"/>
    <x:numFmt numFmtId="166" formatCode="@"/>
  </x:numFmts>
  <x:fonts count="13" x14ac:knownFonts="1">
    <x:font>
      <x:sz val="10"/>
      <x:name val="Tahoma"/>
    </x:font>
    <x:font>
      <x:sz val="10"/>
      <x:name val="Tahoma"/>
      <x:family val="2"/>
    </x:font>
    <x:font>
      <x:b/>
      <x:sz val="10"/>
      <x:name val="Tahoma"/>
      <x:family val="2"/>
    </x:font>
    <x:font>
      <x:b/>
      <x:sz val="10"/>
      <x:color indexed="18"/>
      <x:name val="Tahoma"/>
      <x:family val="2"/>
    </x:font>
    <x:font>
      <x:sz val="10"/>
      <x:color indexed="21"/>
      <x:name val="Tahoma"/>
    </x:font>
    <x:font>
      <x:sz val="10"/>
      <x:color indexed="21"/>
      <x:name val="Tahoma"/>
      <x:family val="2"/>
    </x:font>
    <x:font>
      <x:sz val="10"/>
      <x:color indexed="10"/>
      <x:name val="Tahoma"/>
      <x:family val="2"/>
    </x:font>
    <x:font>
      <x:b/>
      <x:sz val="10"/>
      <x:color indexed="17"/>
      <x:name val="Tahoma"/>
      <x:family val="2"/>
    </x:font>
    <x:font>
      <x:b/>
      <x:sz val="10"/>
      <x:color indexed="10"/>
      <x:name val="Tahoma"/>
      <x:family val="2"/>
    </x:font>
    <x:font>
      <x:b/>
      <x:sz val="10"/>
      <x:color indexed="20"/>
      <x:name val="Tahoma"/>
      <x:family val="2"/>
    </x:font>
    <x:font>
      <x:b/>
      <x:sz val="10"/>
      <x:color indexed="40"/>
      <x:name val="Tahoma"/>
      <x:family val="2"/>
    </x:font>
    <x:font>
      <x:b/>
      <x:sz val="10"/>
      <x:color indexed="62"/>
      <x:name val="Tahoma"/>
      <x:family val="2"/>
    </x:font>
    <x:font>
      <x:vertAlign val="baseline"/>
      <x:sz val="11"/>
      <x:color rgb="FF000000"/>
      <x:name val="Calibri"/>
      <x:family val="2"/>
    </x:font>
  </x:fonts>
  <x:fills count="22">
    <x:fill>
      <x:patternFill patternType="none"/>
    </x:fill>
    <x:fill>
      <x:patternFill patternType="gray125"/>
    </x:fill>
    <x:fill>
      <x:patternFill patternType="solid">
        <x:fgColor indexed="65"/>
        <x:bgColor indexed="64"/>
      </x:patternFill>
    </x:fill>
    <x:fill>
      <x:patternFill patternType="solid">
        <x:fgColor indexed="19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14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1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rgb="FFFFC000"/>
      </x:patternFill>
    </x:fill>
    <x:fill>
      <x:patternFill patternType="solid">
        <x:fgColor theme="4" tint="0.7999816888943144"/>
      </x:patternFill>
    </x:fill>
    <x:fill>
      <x:patternFill patternType="solid">
        <x:fgColor rgb="FFFFFF00"/>
      </x:patternFill>
    </x:fill>
    <x:fill>
      <x:patternFill patternType="solid">
        <x:fgColor theme="3" tint="0.7999816888943144"/>
      </x:patternFill>
    </x:fill>
    <x:fill>
      <x:patternFill patternType="solid">
        <x:fgColor rgb="FFFF99FF"/>
      </x:patternFill>
    </x:fill>
    <x:fill>
      <x:patternFill patternType="solid">
        <x:fgColor rgb="FF92D050"/>
      </x:patternFill>
    </x:fill>
    <x:fill>
      <x:patternFill patternType="solid">
        <x:fgColor theme="7" tint="0.5999938962981048"/>
      </x:patternFill>
    </x:fill>
    <x:fill>
      <x:patternFill patternType="solid">
        <x:fgColor rgb="FFD3D3D3"/>
      </x:patternFill>
    </x:fill>
    <x:fill>
      <x:patternFill patternType="solid">
        <x:fgColor rgb="FFADD8E6"/>
      </x:patternFill>
    </x:fill>
    <x:fill>
      <x:patternFill patternType="solid">
        <x:fgColor rgb="FFC6EFCE"/>
      </x:patternFill>
    </x:fill>
    <x:fill>
      <x:patternFill patternType="solid">
        <x:fgColor rgb="FFFFD5AA"/>
      </x:patternFill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</x:borders>
  <x:cellStyleXfs count="59">
    <x:xf numFmtId="0" fontId="0" fillId="0" borderId="0"/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1" quotePrefix="1" applyNumberFormat="1" applyFill="0" applyBorder="1" applyAlignment="1" applyProtection="1">
      <x:protection locked="1" hidden="0"/>
    </x:xf>
    <x:xf numFmtId="0" fontId="2" fillId="10" borderId="6" applyNumberFormat="1" applyFill="0" applyBorder="1" applyAlignment="1" applyProtection="1">
      <x:protection locked="1" hidden="0"/>
    </x:xf>
    <x:xf numFmtId="0" fontId="2" fillId="10" borderId="7" applyNumberFormat="1" applyFill="0" applyBorder="1" applyAlignment="1" applyProtection="1">
      <x:protection locked="1" hidden="0"/>
    </x:xf>
    <x:xf numFmtId="0" fontId="2" fillId="10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9" fontId="0" fillId="4" borderId="1" applyNumberFormat="1" applyFill="0" applyBorder="1" applyAlignment="1" applyProtection="1">
      <x:protection locked="1" hidden="0"/>
    </x:xf>
    <x:xf numFmtId="0" fontId="0" fillId="4" borderId="1" quotePrefix="1" applyNumberFormat="1" applyFill="0" applyBorder="1" applyAlignment="1" applyProtection="1">
      <x:protection locked="1" hidden="0"/>
    </x:xf>
    <x:xf numFmtId="0" fontId="0" fillId="9" borderId="2" applyNumberFormat="1" applyFill="0" applyBorder="1" applyAlignment="1" applyProtection="1">
      <x:protection locked="1" hidden="0"/>
    </x:xf>
    <x:xf numFmtId="0" fontId="0" fillId="9" borderId="9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  <x:xf numFmtId="9" fontId="0" fillId="0" borderId="1" applyNumberFormat="1" applyFill="1" applyBorder="1" applyAlignment="1" applyProtection="1">
      <x:protection locked="1" hidden="0"/>
    </x:xf>
    <x:xf numFmtId="0" fontId="0" fillId="11" borderId="1" applyNumberFormat="1" applyFill="0" applyBorder="1" applyAlignment="1" applyProtection="1">
      <x:protection locked="1" hidden="0"/>
    </x:xf>
    <x:xf numFmtId="0" fontId="0" fillId="12" borderId="1" applyNumberFormat="1" applyFill="0" applyBorder="1" applyAlignment="1" applyProtection="1">
      <x:protection locked="1" hidden="0"/>
    </x:xf>
    <x:xf numFmtId="0" fontId="0" fillId="13" borderId="1" applyNumberFormat="1" applyFill="0" applyBorder="1" applyAlignment="1" applyProtection="1">
      <x:protection locked="1" hidden="0"/>
    </x:xf>
    <x:xf numFmtId="9" fontId="0" fillId="13" borderId="1" applyNumberFormat="1" applyFill="0" applyBorder="1" applyAlignment="1" applyProtection="1">
      <x:protection locked="1" hidden="0"/>
    </x:xf>
    <x:xf numFmtId="0" fontId="0" fillId="14" borderId="1" applyNumberFormat="1" applyFill="0" applyBorder="1" applyAlignment="1" applyProtection="1">
      <x:protection locked="1" hidden="0"/>
    </x:xf>
    <x:xf numFmtId="0" fontId="0" fillId="15" borderId="1" applyNumberFormat="1" applyFill="0" applyBorder="1" applyAlignment="1" applyProtection="1">
      <x:protection locked="1" hidden="0"/>
    </x:xf>
    <x:xf numFmtId="9" fontId="0" fillId="15" borderId="1" applyNumberFormat="1" applyFill="0" applyBorder="1" applyAlignment="1" applyProtection="1">
      <x:protection locked="1" hidden="0"/>
    </x:xf>
    <x:xf numFmtId="0" fontId="0" fillId="16" borderId="1" applyNumberFormat="1" applyFill="0" applyBorder="1" applyAlignment="1" applyProtection="1">
      <x:protection locked="1" hidden="0"/>
    </x:xf>
    <x:xf numFmtId="9" fontId="0" fillId="16" borderId="1" applyNumberFormat="1" applyFill="0" applyBorder="1" applyAlignment="1" applyProtection="1">
      <x:protection locked="1" hidden="0"/>
    </x:xf>
    <x:xf numFmtId="0" fontId="0" fillId="17" borderId="1" applyNumberFormat="1" applyFill="0" applyBorder="1" applyAlignment="1" applyProtection="1">
      <x:protection locked="1" hidden="0"/>
    </x:xf>
    <x:xf numFmtId="9" fontId="0" fillId="17" borderId="1" applyNumberFormat="1" applyFill="0" applyBorder="1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0" fontId="0" fillId="8" borderId="1" applyNumberFormat="1" applyFill="0" applyBorder="1" applyAlignment="1" applyProtection="1">
      <x:protection locked="1" hidden="0"/>
    </x:xf>
    <x:xf numFmtId="9" fontId="0" fillId="8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" quotePrefix="1" applyNumberFormat="1" applyFill="1" applyBorder="1" applyAlignment="1" applyProtection="1">
      <x:protection locked="1" hidden="0"/>
    </x:xf>
    <x:xf numFmtId="49" fontId="2" fillId="5" borderId="2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65" fontId="8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9" fontId="11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0" fillId="18" borderId="1" applyNumberFormat="1" applyFill="0" applyBorder="1" applyAlignment="1" applyProtection="1">
      <x:protection locked="1" hidden="0"/>
    </x:xf>
    <x:xf numFmtId="0" fontId="0" fillId="19" borderId="0" applyNumberFormat="1" applyFill="0" applyBorder="0" applyAlignment="1" applyProtection="1">
      <x:protection locked="1" hidden="0"/>
    </x:xf>
    <x:xf numFmtId="0" fontId="0" fillId="20" borderId="0" applyNumberFormat="1" applyFill="0" applyBorder="0" applyAlignment="1" applyProtection="1">
      <x:protection locked="1" hidden="0"/>
    </x:xf>
    <x:xf numFmtId="0" fontId="0" fillId="21" borderId="0" applyNumberFormat="1" applyFill="0" applyBorder="0" applyAlignment="1" applyProtection="1">
      <x:protection locked="1" hidden="0"/>
    </x:xf>
  </x:cellStyleXfs>
  <x:cellXfs count="106">
    <x:xf numFmtId="0" fontId="0" fillId="0" borderId="0" xfId="0"/>
    <x:xf numFmtId="9" fontId="1" fillId="4" borderId="1" xfId="0" applyNumberFormat="1" applyFont="1" applyFill="1" applyBorder="1"/>
    <x:xf numFmtId="0" fontId="1" fillId="5" borderId="1" xfId="0" applyFont="1" applyFill="1" applyBorder="1" applyAlignment="1">
      <x:alignment horizontal="center" vertical="center" wrapText="1"/>
    </x:xf>
    <x:xf numFmtId="0" fontId="1" fillId="6" borderId="1" xfId="0" applyFont="1" applyFill="1" applyBorder="1" applyAlignment="1">
      <x:alignment horizontal="center" vertical="center"/>
    </x:xf>
    <x:xf numFmtId="0" fontId="1" fillId="7" borderId="1" xfId="0" applyFont="1" applyFill="1" applyBorder="1" applyAlignment="1">
      <x:alignment horizontal="center" vertical="center"/>
    </x:xf>
    <x:xf numFmtId="0" fontId="0" fillId="0" borderId="1" xfId="0" applyBorder="1"/>
    <x:xf numFmtId="9" fontId="0" fillId="0" borderId="1" xfId="0" applyNumberFormat="1" applyBorder="1"/>
    <x:xf numFmtId="1" fontId="0" fillId="0" borderId="1" xfId="0" applyNumberFormat="1" applyBorder="1"/>
    <x:xf numFmtId="0" fontId="2" fillId="2" borderId="1" xfId="0" applyFont="1" applyFill="1" applyBorder="1"/>
    <x:xf numFmtId="0" fontId="3" fillId="2" borderId="1" xfId="0" applyFont="1" applyFill="1" applyBorder="1"/>
    <x:xf numFmtId="0" fontId="2" fillId="2" borderId="1" xfId="0" quotePrefix="1" applyFont="1" applyFill="1" applyBorder="1"/>
    <x:xf numFmtId="0" fontId="4" fillId="0" borderId="0" xfId="0" applyFont="1" applyAlignment="1">
      <x:alignment horizontal="center" vertical="center"/>
    </x:xf>
    <x:xf numFmtId="0" fontId="2" fillId="5" borderId="2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  <x:xf numFmtId="0" fontId="5" fillId="2" borderId="3" xfId="0" applyFont="1" applyFill="1" applyBorder="1" applyAlignment="1">
      <x:alignment horizontal="center" vertical="center"/>
    </x:xf>
    <x:xf numFmtId="0" fontId="8" fillId="2" borderId="1" xfId="0" applyFont="1" applyFill="1" applyBorder="1"/>
    <x:xf numFmtId="0" fontId="7" fillId="2" borderId="1" xfId="0" applyFont="1" applyFill="1" applyBorder="1"/>
    <x:xf numFmtId="0" fontId="0" fillId="0" borderId="0" xfId="0" applyNumberFormat="1" applyFont="1" applyFill="1" applyBorder="1" applyAlignment="1"/>
    <x:xf numFmtId="0" fontId="4" fillId="0" borderId="1" xfId="0" applyFont="1" applyBorder="1" applyAlignment="1">
      <x:alignment horizontal="center" vertical="center"/>
    </x:xf>
    <x:xf numFmtId="0" fontId="0" fillId="8" borderId="1" xfId="0" applyFill="1" applyBorder="1"/>
    <x:xf numFmtId="0" fontId="2" fillId="2" borderId="2" xfId="0" applyFont="1" applyFill="1" applyBorder="1"/>
    <x:xf numFmtId="0" fontId="0" fillId="0" borderId="0" xfId="0" applyBorder="1"/>
    <x:xf numFmtId="0" fontId="9" fillId="2" borderId="1" xfId="0" applyNumberFormat="1" applyFont="1" applyFill="1" applyBorder="1" applyAlignment="1"/>
    <x:xf numFmtId="0" fontId="10" fillId="2" borderId="1" xfId="0" applyFont="1" applyFill="1" applyBorder="1"/>
    <x:xf numFmtId="0" fontId="7" fillId="0" borderId="0" xfId="0" applyFont="1"/>
    <x:xf numFmtId="0" fontId="0" fillId="0" borderId="1" xfId="0" applyBorder="1" applyAlignment="1">
      <x:alignment horizontal="right"/>
    </x:xf>
    <x:xf numFmtId="9" fontId="11" fillId="2" borderId="1" xfId="0" applyNumberFormat="1" applyFont="1" applyFill="1" applyBorder="1"/>
    <x:xf numFmtId="9" fontId="0" fillId="8" borderId="1" xfId="0" applyNumberFormat="1" applyFill="1" applyBorder="1"/>
    <x:xf numFmtId="165" fontId="8" fillId="2" borderId="1" xfId="0" applyNumberFormat="1" applyFont="1" applyFill="1" applyBorder="1"/>
    <x:xf numFmtId="164" fontId="2" fillId="2" borderId="1" xfId="0" applyNumberFormat="1" applyFont="1" applyFill="1" applyBorder="1"/>
    <x:xf numFmtId="0" fontId="1" fillId="2" borderId="1" xfId="0" applyFont="1" applyFill="1" applyBorder="1"/>
    <x:xf numFmtId="0" fontId="1" fillId="4" borderId="1" xfId="0" applyFont="1" applyFill="1" applyBorder="1"/>
    <x:xf numFmtId="0" fontId="1" fillId="4" borderId="1" xfId="0" quotePrefix="1" applyFont="1" applyFill="1" applyBorder="1"/>
    <x:xf numFmtId="0" fontId="1" fillId="3" borderId="1" xfId="0" applyFont="1" applyFill="1" applyBorder="1"/>
    <x:xf numFmtId="0" fontId="3" fillId="2" borderId="1" xfId="0" quotePrefix="1" applyFont="1" applyFill="1" applyBorder="1"/>
    <x:xf numFmtId="0" fontId="0" fillId="0" borderId="0" xfId="0" applyFill="1"/>
    <x:xf numFmtId="0" fontId="4" fillId="0" borderId="1" xfId="0" applyFont="1" applyFill="1" applyBorder="1" applyAlignment="1">
      <x:alignment horizontal="center" vertical="center"/>
    </x:xf>
    <x:xf numFmtId="9" fontId="0" fillId="0" borderId="0" xfId="0" applyNumberFormat="1"/>
    <x:xf numFmtId="14" fontId="1" fillId="2" borderId="1" xfId="0" applyNumberFormat="1" applyFont="1" applyFill="1" applyBorder="1"/>
    <x:xf numFmtId="0" fontId="1" fillId="9" borderId="2" xfId="0" applyFont="1" applyFill="1" applyBorder="1" applyAlignment="1">
      <x:alignment horizontal="center" vertical="center"/>
    </x:xf>
    <x:xf numFmtId="0" fontId="1" fillId="9" borderId="9" xfId="0" applyFont="1" applyFill="1" applyBorder="1" applyAlignment="1">
      <x:alignment horizontal="center" vertical="center"/>
    </x:xf>
    <x:xf numFmtId="0" fontId="1" fillId="2" borderId="1" xfId="0" applyFont="1" applyFill="1" applyBorder="1"/>
    <x:xf numFmtId="0" fontId="1" fillId="4" borderId="1" xfId="0" applyFont="1" applyFill="1" applyBorder="1"/>
    <x:xf numFmtId="0" fontId="1" fillId="4" borderId="1" xfId="0" quotePrefix="1" applyFont="1" applyFill="1" applyBorder="1"/>
    <x:xf numFmtId="0" fontId="2" fillId="10" borderId="6" xfId="0" applyFont="1" applyFill="1" applyBorder="1" applyAlignment="1">
      <x:alignment horizontal="center" vertical="center"/>
    </x:xf>
    <x:xf numFmtId="0" fontId="2" fillId="10" borderId="7" xfId="0" applyFont="1" applyFill="1" applyBorder="1" applyAlignment="1">
      <x:alignment horizontal="center" vertical="center"/>
    </x:xf>
    <x:xf numFmtId="0" fontId="2" fillId="10" borderId="8" xfId="0" applyFont="1" applyFill="1" applyBorder="1" applyAlignment="1">
      <x:alignment horizontal="center" vertical="center"/>
    </x:xf>
    <x:xf numFmtId="0" fontId="1" fillId="2" borderId="4" xfId="0" applyFont="1" applyFill="1" applyBorder="1"/>
    <x:xf numFmtId="0" fontId="1" fillId="2" borderId="5" xfId="0" applyFont="1" applyFill="1" applyBorder="1"/>
    <x:xf numFmtId="0" fontId="1" fillId="3" borderId="1" xfId="0" applyFont="1" applyFill="1" applyBorder="1"/>
    <x:xf numFmtId="0" fontId="1" fillId="3" borderId="1" xfId="0" quotePrefix="1" applyFont="1" applyFill="1" applyBorder="1"/>
    <x:xf numFmtId="0" fontId="1" fillId="3" borderId="1" xfId="0" quotePrefix="1" applyFont="1" applyFill="1" applyBorder="1" applyAlignment="1">
      <x:alignment horizontal="center"/>
    </x:xf>
    <x:xf numFmtId="49" fontId="2" fillId="5" borderId="2" xfId="0" applyNumberFormat="1" applyFont="1" applyFill="1" applyBorder="1"/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quotePrefix="1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10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10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10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quotePrefix="1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9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1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6">
    <x:dxf>
      <x:fill>
        <x:patternFill patternType="solid">
          <x:fgColor auto="1"/>
          <x:bgColor indexed="22"/>
        </x:patternFill>
      </x:fill>
    </x:dxf>
    <x:dxf>
      <x:fill>
        <x:patternFill patternType="solid">
          <x:fgColor auto="1"/>
          <x:bgColor indexed="43"/>
        </x:patternFill>
      </x:fill>
    </x:dxf>
    <x:dxf>
      <x:fill>
        <x:patternFill patternType="solid">
          <x:fgColor auto="1"/>
          <x:bgColor indexed="10"/>
        </x:patternFill>
      </x:fill>
    </x:dxf>
    <x:dxf>
      <x:font>
        <x:b/>
        <x:color indexed="10"/>
      </x:font>
    </x:dxf>
    <x:dxf>
      <x:fill>
        <x:patternFill patternType="solid">
          <x:fgColor auto="1"/>
          <x:bgColor indexed="23"/>
        </x:patternFill>
      </x:fill>
    </x:dxf>
    <x:dxf>
      <x:font>
        <x:color indexed="9"/>
      </x:font>
      <x:fill>
        <x:patternFill patternType="solid">
          <x:fgColor auto="1"/>
          <x:bgColor indexed="1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58A5A3-160E-4E9E-92E7-B63F5DE9E3CA}" mc:Ignorable="x14ac xr xr2 xr3">
  <x:sheetPr>
    <x:outlinePr summaryBelow="1" summaryRight="1"/>
  </x:sheetPr>
  <x:dimension ref="B1:AI90"/>
  <x:sheetViews>
    <x:sheetView workbookViewId="0">
      <x:selection activeCell="B11" sqref="B11"/>
    </x:sheetView>
  </x:sheetViews>
  <x:sheetFormatPr defaultRowHeight="12.75" x14ac:dyDescent="0.2"/>
  <x:cols>
    <x:col min="1" max="1" width="9.140625" style="0" customWidth="1"/>
    <x:col min="2" max="2" width="6" style="0" bestFit="1" customWidth="1"/>
    <x:col min="3" max="4" width="10.425781" style="0" bestFit="1" customWidth="1"/>
    <x:col min="5" max="5" width="7.710938" style="0" bestFit="1" customWidth="1"/>
    <x:col min="6" max="6" width="8.570312" style="0" customWidth="1"/>
    <x:col min="7" max="7" width="7.285156" style="0" bestFit="1" customWidth="1"/>
    <x:col min="8" max="8" width="4.285156" style="0" bestFit="1" customWidth="1"/>
    <x:col min="9" max="9" width="8.710938" style="0" bestFit="1" customWidth="1"/>
    <x:col min="10" max="10" width="8.425781" style="0" bestFit="1" customWidth="1"/>
    <x:col min="11" max="11" width="7.710938" style="0" bestFit="1" customWidth="1"/>
    <x:col min="12" max="12" width="6.710938" style="0" bestFit="1" customWidth="1"/>
    <x:col min="13" max="13" width="7" style="0" bestFit="1" customWidth="1"/>
    <x:col min="14" max="14" width="5.425781" style="0" bestFit="1" customWidth="1"/>
    <x:col min="15" max="15" width="9.140625" style="0" customWidth="1"/>
    <x:col min="16" max="16" width="12.425781" style="0" bestFit="1" customWidth="1"/>
    <x:col min="17" max="17" width="8.855469" style="0" bestFit="1" customWidth="1"/>
    <x:col min="18" max="18" width="9.285156" style="0" bestFit="1" customWidth="1"/>
    <x:col min="19" max="19" width="6" style="0" bestFit="1" customWidth="1"/>
    <x:col min="20" max="20" width="5.425781" style="0" bestFit="1" customWidth="1"/>
    <x:col min="21" max="22" width="9" style="0" bestFit="1" customWidth="1"/>
    <x:col min="23" max="23" width="8.570312" style="0" bestFit="1" customWidth="1"/>
    <x:col min="24" max="24" width="9.140625" style="0" customWidth="1"/>
    <x:col min="25" max="25" width="5" style="0" bestFit="1" customWidth="1"/>
    <x:col min="26" max="26" width="11.710938" style="0" bestFit="1" customWidth="1"/>
  </x:cols>
  <x:sheetData>
    <x:row r="1" spans="1:35" x14ac:dyDescent="0.2">
      <x:c r="B1" s="54" t="s">
        <x:v>0</x:v>
      </x:c>
      <x:c r="C1" s="55"/>
      <x:c r="D1" s="56" t="s">
        <x:v>1</x:v>
      </x:c>
      <x:c r="E1" s="56"/>
      <x:c r="F1" s="54" t="s">
        <x:v>2</x:v>
      </x:c>
      <x:c r="G1" s="55"/>
      <x:c r="H1" s="56" t="s">
        <x:v>3</x:v>
      </x:c>
      <x:c r="I1" s="56"/>
      <x:c r="J1" s="54" t="s">
        <x:v>4</x:v>
      </x:c>
      <x:c r="K1" s="55"/>
      <x:c r="L1" s="57" t="s">
        <x:v>5</x:v>
      </x:c>
      <x:c r="M1" s="56"/>
      <x:c r="N1" s="56"/>
    </x:row>
    <x:row r="2" spans="1:35" ht="13.5" customHeight="1" x14ac:dyDescent="0.25"/>
    <x:row r="3" spans="1:35" ht="13.5" customHeight="1" x14ac:dyDescent="0.25">
      <x:c r="B3" s="58" t="s">
        <x:v>6</x:v>
      </x:c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60"/>
    </x:row>
    <x:row r="5" spans="1:35" x14ac:dyDescent="0.2">
      <x:c r="B5" s="5" t="s">
        <x:v>7</x:v>
      </x:c>
      <x:c r="C5" s="5"/>
      <x:c r="D5" s="61" t="s">
        <x:v>8</x:v>
      </x:c>
      <x:c r="E5" s="61"/>
      <x:c r="F5" s="61"/>
      <x:c r="G5" s="61"/>
      <x:c r="H5" s="61"/>
      <x:c r="I5" s="61"/>
      <x:c r="J5" s="5"/>
      <x:c r="K5" s="5"/>
      <x:c r="L5" s="5"/>
      <x:c r="M5" s="5"/>
      <x:c r="N5" s="5"/>
      <x:c r="O5" s="5"/>
      <x:c r="P5" s="5"/>
    </x:row>
    <x:row r="6" spans="1:35" x14ac:dyDescent="0.2">
      <x:c r="B6" s="5" t="s">
        <x:v>9</x:v>
      </x:c>
      <x:c r="C6" s="5"/>
      <x:c r="D6" s="61" t="s">
        <x:v>10</x:v>
      </x:c>
      <x:c r="E6" s="61"/>
      <x:c r="F6" s="61"/>
      <x:c r="G6" s="61"/>
      <x:c r="H6" s="61"/>
      <x:c r="I6" s="61"/>
      <x:c r="J6" s="5" t="s">
        <x:v>11</x:v>
      </x:c>
      <x:c r="K6" s="5"/>
      <x:c r="L6" s="61" t="s">
        <x:v>12</x:v>
      </x:c>
      <x:c r="M6" s="61"/>
      <x:c r="N6" s="5" t="s">
        <x:v>13</x:v>
      </x:c>
      <x:c r="O6" s="5"/>
      <x:c r="P6" s="62">
        <x:v>0.93</x:v>
      </x:c>
    </x:row>
    <x:row r="7" spans="1:35" x14ac:dyDescent="0.2">
      <x:c r="B7" s="5" t="s">
        <x:v>14</x:v>
      </x:c>
      <x:c r="C7" s="5"/>
      <x:c r="D7" s="61" t="s">
        <x:v>15</x:v>
      </x:c>
      <x:c r="E7" s="61"/>
      <x:c r="F7" s="61"/>
      <x:c r="G7" s="61"/>
      <x:c r="H7" s="61"/>
      <x:c r="I7" s="61"/>
      <x:c r="J7" s="5" t="s">
        <x:v>16</x:v>
      </x:c>
      <x:c r="K7" s="5"/>
      <x:c r="L7" s="61" t="s">
        <x:v>17</x:v>
      </x:c>
      <x:c r="M7" s="61"/>
      <x:c r="N7" s="5" t="s">
        <x:v>18</x:v>
      </x:c>
      <x:c r="O7" s="5"/>
      <x:c r="P7" s="61">
        <x:v>7</x:v>
      </x:c>
    </x:row>
    <x:row r="8" spans="1:35" x14ac:dyDescent="0.2">
      <x:c r="B8" s="5" t="s">
        <x:v>19</x:v>
      </x:c>
      <x:c r="C8" s="5"/>
      <x:c r="D8" s="63" t="s">
        <x:v>20</x:v>
      </x:c>
      <x:c r="E8" s="5" t="s">
        <x:v>21</x:v>
      </x:c>
      <x:c r="F8" s="5"/>
      <x:c r="G8" s="63" t="s">
        <x:v>22</x:v>
      </x:c>
      <x:c r="H8" s="61"/>
      <x:c r="I8" s="61"/>
      <x:c r="J8" s="5" t="s">
        <x:v>23</x:v>
      </x:c>
      <x:c r="K8" s="5"/>
      <x:c r="L8" s="61">
        <x:v>78</x:v>
      </x:c>
      <x:c r="M8" s="61"/>
      <x:c r="N8" s="5" t="s">
        <x:v>24</x:v>
      </x:c>
      <x:c r="O8" s="5"/>
      <x:c r="P8" s="5">
        <x:v>3</x:v>
      </x:c>
    </x:row>
    <x:row r="9" spans="1:35" x14ac:dyDescent="0.2">
      <x:c r="B9" s="5" t="s">
        <x:v>25</x:v>
      </x:c>
      <x:c r="C9" s="5"/>
      <x:c r="D9" s="61">
        <x:v>25</x:v>
      </x:c>
      <x:c r="E9" s="5" t="s">
        <x:v>26</x:v>
      </x:c>
      <x:c r="F9" s="5"/>
      <x:c r="G9" s="61" t="s">
        <x:v>27</x:v>
      </x:c>
      <x:c r="H9" s="61"/>
      <x:c r="I9" s="61"/>
      <x:c r="J9" s="5" t="s">
        <x:v>28</x:v>
      </x:c>
      <x:c r="K9" s="5"/>
      <x:c r="L9" s="61">
        <x:v>99</x:v>
      </x:c>
      <x:c r="M9" s="61"/>
      <x:c r="N9" s="5" t="s">
        <x:v>29</x:v>
      </x:c>
      <x:c r="O9" s="5"/>
      <x:c r="P9" s="61">
        <x:v>1.76</x:v>
      </x:c>
    </x:row>
    <x:row r="10" spans="1:35" x14ac:dyDescent="0.2">
      <x:c r="S10" s="64" t="s">
        <x:v>30</x:v>
      </x:c>
      <x:c r="T10" s="64"/>
      <x:c r="U10" s="64"/>
      <x:c r="V10" s="65"/>
      <x:c r="W10" s="64" t="s">
        <x:v>31</x:v>
      </x:c>
      <x:c r="X10" s="64"/>
      <x:c r="Y10" s="64"/>
      <x:c r="Z10" s="65"/>
      <x:c r="AA10" s="64" t="s">
        <x:v>32</x:v>
      </x:c>
      <x:c r="AB10" s="64"/>
      <x:c r="AC10" s="64"/>
      <x:c r="AD10" s="64"/>
    </x:row>
    <x:row r="11" spans="1:35" ht="34.5" customHeight="1" x14ac:dyDescent="0.2">
      <x:c r="B11" s="66" t="s">
        <x:v>33</x:v>
      </x:c>
      <x:c r="C11" s="66" t="s">
        <x:v>34</x:v>
      </x:c>
      <x:c r="D11" s="66" t="s">
        <x:v>35</x:v>
      </x:c>
      <x:c r="E11" s="66" t="s">
        <x:v>36</x:v>
      </x:c>
      <x:c r="F11" s="66" t="s">
        <x:v>37</x:v>
      </x:c>
      <x:c r="G11" s="66" t="s">
        <x:v>38</x:v>
      </x:c>
      <x:c r="H11" s="66" t="s">
        <x:v>39</x:v>
      </x:c>
      <x:c r="I11" s="66" t="s">
        <x:v>40</x:v>
      </x:c>
      <x:c r="J11" s="66" t="s">
        <x:v>41</x:v>
      </x:c>
      <x:c r="K11" s="66" t="s">
        <x:v>42</x:v>
      </x:c>
      <x:c r="L11" s="66" t="s">
        <x:v>43</x:v>
      </x:c>
      <x:c r="M11" s="66" t="s">
        <x:v>29</x:v>
      </x:c>
      <x:c r="N11" s="66" t="s">
        <x:v>44</x:v>
      </x:c>
      <x:c r="O11" s="66" t="s">
        <x:v>45</x:v>
      </x:c>
      <x:c r="P11" s="66" t="s">
        <x:v>46</x:v>
      </x:c>
      <x:c r="Q11" s="66" t="s">
        <x:v>47</x:v>
      </x:c>
      <x:c r="R11" s="66" t="s">
        <x:v>48</x:v>
      </x:c>
      <x:c r="S11" s="67" t="s">
        <x:v>49</x:v>
      </x:c>
      <x:c r="T11" s="67" t="s">
        <x:v>50</x:v>
      </x:c>
      <x:c r="U11" s="67" t="s">
        <x:v>51</x:v>
      </x:c>
      <x:c r="V11" s="67" t="s">
        <x:v>52</x:v>
      </x:c>
      <x:c r="W11" s="67" t="s">
        <x:v>49</x:v>
      </x:c>
      <x:c r="X11" s="67" t="s">
        <x:v>50</x:v>
      </x:c>
      <x:c r="Y11" s="67" t="s">
        <x:v>51</x:v>
      </x:c>
      <x:c r="Z11" s="67" t="s">
        <x:v>52</x:v>
      </x:c>
      <x:c r="AA11" s="67" t="s">
        <x:v>49</x:v>
      </x:c>
      <x:c r="AB11" s="67" t="s">
        <x:v>50</x:v>
      </x:c>
      <x:c r="AC11" s="67" t="s">
        <x:v>51</x:v>
      </x:c>
      <x:c r="AD11" s="67" t="s">
        <x:v>52</x:v>
      </x:c>
      <x:c r="AE11" s="68" t="s">
        <x:v>53</x:v>
      </x:c>
      <x:c r="AF11" s="68" t="s">
        <x:v>54</x:v>
      </x:c>
      <x:c r="AG11" s="68" t="s">
        <x:v>55</x:v>
      </x:c>
      <x:c r="AH11" s="68" t="s">
        <x:v>56</x:v>
      </x:c>
      <x:c r="AI11" s="68" t="s">
        <x:v>50</x:v>
      </x:c>
    </x:row>
    <x:row r="12" spans="1:35" x14ac:dyDescent="0.2">
      <x:c r="B12" s="5" t="s">
        <x:v>57</x:v>
      </x:c>
      <x:c r="C12" s="69">
        <x:v>46153</x:v>
      </x:c>
      <x:c r="D12" s="5">
        <x:v>20</x:v>
      </x:c>
      <x:c r="E12" s="5">
        <x:v>6</x:v>
      </x:c>
      <x:c r="F12" s="5">
        <x:v>5</x:v>
      </x:c>
      <x:c r="G12" s="7">
        <x:f>'B-PSD-B4'!D29</x:f>
      </x:c>
      <x:c r="H12" s="5">
        <x:f>'B-PSD-B4'!D30</x:f>
      </x:c>
      <x:c r="I12" s="5">
        <x:f>'B-PSD-B4'!D32</x:f>
      </x:c>
      <x:c r="J12" s="26">
        <x:f>IF(I12=0,"N/S",ROUND( ( ((G12) * 1)/I12)*F12,1))</x:f>
      </x:c>
      <x:c r="K12" s="5">
        <x:f>V12+Z12+AD12</x:f>
      </x:c>
      <x:c r="L12" s="5">
        <x:f t="array" ref="L12:L89">TRANSPOSE('B-PSD-B4'!D31:CC31)</x:f>
      </x:c>
      <x:c r="M12" s="5">
        <x:f>'B-PSD-B4'!$D$64</x:f>
      </x:c>
      <x:c r="N12" s="5">
        <x:v>0</x:v>
      </x:c>
      <x:c r="O12" s="5">
        <x:v>5</x:v>
      </x:c>
      <x:c r="P12" s="5" t="s">
        <x:v>58</x:v>
      </x:c>
      <x:c r="Q12" s="5">
        <x:v>0</x:v>
      </x:c>
      <x:c r="R12" s="5">
        <x:f>IF(F12=0,0,ROUND(I12/F12,0))</x:f>
      </x:c>
      <x:c r="S12" s="5">
        <x:v>17</x:v>
      </x:c>
      <x:c r="T12" s="6">
        <x:v>0.93</x:v>
      </x:c>
      <x:c r="U12" s="5">
        <x:f>E12*7-N12</x:f>
      </x:c>
      <x:c r="V12" s="5">
        <x:f>ROUND(((S12*T12*U12)/M12),0)</x:f>
      </x:c>
      <x:c r="W12" s="5">
        <x:v>0</x:v>
      </x:c>
      <x:c r="X12" s="6">
        <x:v>0</x:v>
      </x:c>
      <x:c r="Y12" s="5">
        <x:f>U12</x:f>
      </x:c>
      <x:c r="Z12" s="5">
        <x:f>ROUND(((W12*X12*Y12)/M12),0)</x:f>
      </x:c>
      <x:c r="AA12" s="7">
        <x:v>0</x:v>
      </x:c>
      <x:c r="AB12" s="6">
        <x:v>0</x:v>
      </x:c>
      <x:c r="AC12" s="5">
        <x:f>E12*7-N12</x:f>
      </x:c>
      <x:c r="AD12" s="5">
        <x:f>ROUND(((AA12*AB12*AC12)/M12),0)</x:f>
      </x:c>
      <x:c r="AE12" s="7">
        <x:f>S12+W12+AA12</x:f>
      </x:c>
      <x:c r="AF12" s="5"/>
      <x:c r="AG12" s="7">
        <x:f>K12*M12</x:f>
      </x:c>
      <x:c r="AH12" s="7">
        <x:f>S12*U12+W12*Y12+AA12*AC12</x:f>
      </x:c>
      <x:c r="AI12" s="6">
        <x:f>IF(AH12=0,0,AG12/AH12)</x:f>
      </x:c>
    </x:row>
    <x:row r="13" spans="1:35" x14ac:dyDescent="0.2">
      <x:c r="B13" s="5" t="s">
        <x:v>57</x:v>
      </x:c>
      <x:c r="C13" s="69">
        <x:v>46160</x:v>
      </x:c>
      <x:c r="D13" s="5">
        <x:v>21</x:v>
      </x:c>
      <x:c r="E13" s="70">
        <x:v>4</x:v>
      </x:c>
      <x:c r="F13" s="5">
        <x:v>5</x:v>
      </x:c>
      <x:c r="G13" s="7">
        <x:f>(G12+H12-I12)</x:f>
      </x:c>
      <x:c r="H13" s="5">
        <x:v>0</x:v>
      </x:c>
      <x:c r="I13" s="5">
        <x:f>'B-PSD-B4'!E32</x:f>
      </x:c>
      <x:c r="J13" s="26">
        <x:f>IF(I13=0,"N/S",ROUND( ( ((G13) * 1)/I13)*F13,1))</x:f>
      </x:c>
      <x:c r="K13" s="5">
        <x:f>V13+Z13+AD13</x:f>
      </x:c>
      <x:c r="L13" s="5"/>
      <x:c r="M13" s="5">
        <x:f>'B-PSD-B4'!$D$64</x:f>
      </x:c>
      <x:c r="N13" s="5">
        <x:v>0</x:v>
      </x:c>
      <x:c r="O13" s="5">
        <x:v>5</x:v>
      </x:c>
      <x:c r="P13" s="5" t="s">
        <x:v>58</x:v>
      </x:c>
      <x:c r="Q13" s="5">
        <x:v>0</x:v>
      </x:c>
      <x:c r="R13" s="5">
        <x:f>IF(F13=0,0,ROUND(I13/F13,0))</x:f>
      </x:c>
      <x:c r="S13" s="5">
        <x:v>17</x:v>
      </x:c>
      <x:c r="T13" s="6">
        <x:v>0.93</x:v>
      </x:c>
      <x:c r="U13" s="5">
        <x:f>E13*7-N13</x:f>
      </x:c>
      <x:c r="V13" s="5">
        <x:f>ROUND(((S13*T13*U13)/M13),0)</x:f>
      </x:c>
      <x:c r="W13" s="5">
        <x:v>0</x:v>
      </x:c>
      <x:c r="X13" s="6">
        <x:v>0</x:v>
      </x:c>
      <x:c r="Y13" s="5">
        <x:f>U13</x:f>
      </x:c>
      <x:c r="Z13" s="5">
        <x:f>ROUND(((W13*X13*Y13)/M13),0)</x:f>
      </x:c>
      <x:c r="AA13" s="7">
        <x:v>0</x:v>
      </x:c>
      <x:c r="AB13" s="6">
        <x:v>0</x:v>
      </x:c>
      <x:c r="AC13" s="5">
        <x:f>E13*7-N13</x:f>
      </x:c>
      <x:c r="AD13" s="5">
        <x:f>ROUND(((AA13*AB13*AC13)/M13),0)</x:f>
      </x:c>
      <x:c r="AE13" s="7">
        <x:f>S13+W13+AA13</x:f>
      </x:c>
      <x:c r="AF13" s="5"/>
      <x:c r="AG13" s="5">
        <x:f>K13*M13</x:f>
      </x:c>
      <x:c r="AH13" s="5">
        <x:f>S13*U13+W13*Y13+AA13*AC13</x:f>
      </x:c>
      <x:c r="AI13" s="6">
        <x:f>IF(AH13=0,0,AG13/AH13)</x:f>
      </x:c>
    </x:row>
    <x:row r="14" spans="1:35" x14ac:dyDescent="0.2">
      <x:c r="B14" s="5" t="s">
        <x:v>57</x:v>
      </x:c>
      <x:c r="C14" s="69">
        <x:v>46167</x:v>
      </x:c>
      <x:c r="D14" s="5">
        <x:v>22</x:v>
      </x:c>
      <x:c r="E14" s="71">
        <x:v>3</x:v>
      </x:c>
      <x:c r="F14" s="5">
        <x:v>5</x:v>
      </x:c>
      <x:c r="G14" s="7">
        <x:f>(G13+H13-I13)</x:f>
      </x:c>
      <x:c r="H14" s="5">
        <x:v>0</x:v>
      </x:c>
      <x:c r="I14" s="5">
        <x:f>'B-PSD-B4'!F32</x:f>
      </x:c>
      <x:c r="J14" s="26">
        <x:f>IF(I14=0,"N/S",ROUND( ( ((G14) * 1)/I14)*F14,1))</x:f>
      </x:c>
      <x:c r="K14" s="5">
        <x:f>V14+Z14+AD14</x:f>
      </x:c>
      <x:c r="L14" s="5"/>
      <x:c r="M14" s="5">
        <x:f>'B-PSD-B4'!$D$64</x:f>
      </x:c>
      <x:c r="N14" s="5">
        <x:v>0</x:v>
      </x:c>
      <x:c r="O14" s="5">
        <x:v>5</x:v>
      </x:c>
      <x:c r="P14" s="5" t="s">
        <x:v>58</x:v>
      </x:c>
      <x:c r="Q14" s="5">
        <x:v>0</x:v>
      </x:c>
      <x:c r="R14" s="5">
        <x:f>IF(F14=0,0,ROUND(I14/F14,0))</x:f>
      </x:c>
      <x:c r="S14" s="5">
        <x:v>17</x:v>
      </x:c>
      <x:c r="T14" s="6">
        <x:v>0.93</x:v>
      </x:c>
      <x:c r="U14" s="5">
        <x:f>E14*7-N14</x:f>
      </x:c>
      <x:c r="V14" s="5">
        <x:f>ROUND(((S14*T14*U14)/M14),0)</x:f>
      </x:c>
      <x:c r="W14" s="5">
        <x:v>0</x:v>
      </x:c>
      <x:c r="X14" s="6">
        <x:v>0</x:v>
      </x:c>
      <x:c r="Y14" s="5">
        <x:f>U14</x:f>
      </x:c>
      <x:c r="Z14" s="5">
        <x:f>ROUND(((W14*X14*Y14)/M14),0)</x:f>
      </x:c>
      <x:c r="AA14" s="5">
        <x:v>0</x:v>
      </x:c>
      <x:c r="AB14" s="6">
        <x:v>0</x:v>
      </x:c>
      <x:c r="AC14" s="5">
        <x:f>E14*7-N14</x:f>
      </x:c>
      <x:c r="AD14" s="5">
        <x:f>ROUND(((AA14*AB14*AC14)/M14),0)</x:f>
      </x:c>
      <x:c r="AE14" s="7">
        <x:f>S14+W14+AA14</x:f>
      </x:c>
      <x:c r="AF14" s="5"/>
      <x:c r="AG14" s="5">
        <x:f>K14*M14</x:f>
      </x:c>
      <x:c r="AH14" s="5">
        <x:f>S14*U14+W14*Y14+AA14*AC14</x:f>
      </x:c>
      <x:c r="AI14" s="6">
        <x:f>IF(AH14=0,0,AG14/AH14)</x:f>
      </x:c>
    </x:row>
    <x:row r="15" spans="1:35" x14ac:dyDescent="0.2">
      <x:c r="B15" s="5" t="s">
        <x:v>59</x:v>
      </x:c>
      <x:c r="C15" s="69">
        <x:v>46174</x:v>
      </x:c>
      <x:c r="D15" s="5">
        <x:v>23</x:v>
      </x:c>
      <x:c r="E15" s="71">
        <x:v>5</x:v>
      </x:c>
      <x:c r="F15" s="5">
        <x:v>5</x:v>
      </x:c>
      <x:c r="G15" s="7">
        <x:f>(G14+H14-I14)</x:f>
      </x:c>
      <x:c r="H15" s="5">
        <x:v>0</x:v>
      </x:c>
      <x:c r="I15" s="5">
        <x:f>'B-PSD-B4'!G32</x:f>
      </x:c>
      <x:c r="J15" s="26">
        <x:f>IF(I15=0,"N/S",ROUND( ( ((G15) * 1)/I15)*F15,1))</x:f>
      </x:c>
      <x:c r="K15" s="5">
        <x:f>V15+Z15+AD15</x:f>
      </x:c>
      <x:c r="L15" s="5"/>
      <x:c r="M15" s="5">
        <x:f>'B-PSD-B4'!$D$64</x:f>
      </x:c>
      <x:c r="N15" s="5">
        <x:v>0</x:v>
      </x:c>
      <x:c r="O15" s="5">
        <x:v>6</x:v>
      </x:c>
      <x:c r="P15" s="5" t="s">
        <x:v>58</x:v>
      </x:c>
      <x:c r="Q15" s="5">
        <x:v>0</x:v>
      </x:c>
      <x:c r="R15" s="5">
        <x:f>IF(F15=0,0,ROUND(I15/F15,0))</x:f>
      </x:c>
      <x:c r="S15" s="5">
        <x:v>17</x:v>
      </x:c>
      <x:c r="T15" s="6">
        <x:v>0.93</x:v>
      </x:c>
      <x:c r="U15" s="5">
        <x:f>E15*7-N15</x:f>
      </x:c>
      <x:c r="V15" s="5">
        <x:f>ROUND(((S15*T15*U15)/M15),0)</x:f>
      </x:c>
      <x:c r="W15" s="5">
        <x:v>0</x:v>
      </x:c>
      <x:c r="X15" s="6">
        <x:v>0</x:v>
      </x:c>
      <x:c r="Y15" s="5">
        <x:f>U15</x:f>
      </x:c>
      <x:c r="Z15" s="5">
        <x:f>ROUND(((W15*X15*Y15)/M15),0)</x:f>
      </x:c>
      <x:c r="AA15" s="5">
        <x:v>0</x:v>
      </x:c>
      <x:c r="AB15" s="6">
        <x:v>0</x:v>
      </x:c>
      <x:c r="AC15" s="5">
        <x:f>E15*7-N15</x:f>
      </x:c>
      <x:c r="AD15" s="5">
        <x:f>ROUND(((AA15*AB15*AC15)/M15),0)</x:f>
      </x:c>
      <x:c r="AE15" s="7">
        <x:f>S15+W15+AA15</x:f>
      </x:c>
      <x:c r="AF15" s="5"/>
      <x:c r="AG15" s="5">
        <x:f>K15*M15</x:f>
      </x:c>
      <x:c r="AH15" s="5">
        <x:f>S15*U15+W15*Y15+AA15*AC15</x:f>
      </x:c>
      <x:c r="AI15" s="6">
        <x:f>IF(AH15=0,0,AG15/AH15)</x:f>
      </x:c>
    </x:row>
    <x:row r="16" spans="1:35" x14ac:dyDescent="0.2">
      <x:c r="B16" s="5" t="s">
        <x:v>59</x:v>
      </x:c>
      <x:c r="C16" s="69">
        <x:v>46181</x:v>
      </x:c>
      <x:c r="D16" s="5">
        <x:v>24</x:v>
      </x:c>
      <x:c r="E16" s="5">
        <x:v>6</x:v>
      </x:c>
      <x:c r="F16" s="5">
        <x:v>5</x:v>
      </x:c>
      <x:c r="G16" s="7">
        <x:f>(G15+H15-I15+K12)</x:f>
      </x:c>
      <x:c r="H16" s="5">
        <x:v>0</x:v>
      </x:c>
      <x:c r="I16" s="5">
        <x:f>'B-PSD-B4'!H32</x:f>
      </x:c>
      <x:c r="J16" s="26">
        <x:f>IF(I16=0,"N/S",ROUND( ( ((G16) * 1)/I16)*F16,1))</x:f>
      </x:c>
      <x:c r="K16" s="5">
        <x:f>V16+Z16+AD16</x:f>
      </x:c>
      <x:c r="L16" s="5"/>
      <x:c r="M16" s="5">
        <x:f>'B-PSD-B4'!$D$64</x:f>
      </x:c>
      <x:c r="N16" s="5">
        <x:v>0</x:v>
      </x:c>
      <x:c r="O16" s="5">
        <x:v>6</x:v>
      </x:c>
      <x:c r="P16" s="5" t="s">
        <x:v>58</x:v>
      </x:c>
      <x:c r="Q16" s="5">
        <x:v>0</x:v>
      </x:c>
      <x:c r="R16" s="5">
        <x:f>IF(F16=0,0,ROUND(I16/F16,0))</x:f>
      </x:c>
      <x:c r="S16" s="5">
        <x:v>17</x:v>
      </x:c>
      <x:c r="T16" s="6">
        <x:v>0.93</x:v>
      </x:c>
      <x:c r="U16" s="5">
        <x:f>E16*7-N16</x:f>
      </x:c>
      <x:c r="V16" s="5">
        <x:f>ROUND(((S16*T16*U16)/M16),0)</x:f>
      </x:c>
      <x:c r="W16" s="5">
        <x:v>0</x:v>
      </x:c>
      <x:c r="X16" s="6">
        <x:v>0</x:v>
      </x:c>
      <x:c r="Y16" s="5">
        <x:f>U16</x:f>
      </x:c>
      <x:c r="Z16" s="5">
        <x:f>ROUND(((W16*X16*Y16)/M16),0)</x:f>
      </x:c>
      <x:c r="AA16" s="5">
        <x:v>0</x:v>
      </x:c>
      <x:c r="AB16" s="6">
        <x:v>0</x:v>
      </x:c>
      <x:c r="AC16" s="5">
        <x:f>E16*7-N16</x:f>
      </x:c>
      <x:c r="AD16" s="5">
        <x:f>ROUND(((AA16*AB16*AC16)/M16),0)</x:f>
      </x:c>
      <x:c r="AE16" s="7">
        <x:f>S16+W16+AA16</x:f>
      </x:c>
      <x:c r="AF16" s="5"/>
      <x:c r="AG16" s="5">
        <x:f>K16*M16</x:f>
      </x:c>
      <x:c r="AH16" s="5">
        <x:f>S16*U16+W16*Y16+AA16*AC16</x:f>
      </x:c>
      <x:c r="AI16" s="6">
        <x:f>IF(AH16=0,0,AG16/AH16)</x:f>
      </x:c>
    </x:row>
    <x:row r="17" spans="1:35" x14ac:dyDescent="0.2">
      <x:c r="B17" s="5" t="s">
        <x:v>59</x:v>
      </x:c>
      <x:c r="C17" s="69">
        <x:v>46188</x:v>
      </x:c>
      <x:c r="D17" s="5">
        <x:v>25</x:v>
      </x:c>
      <x:c r="E17" s="5">
        <x:v>5</x:v>
      </x:c>
      <x:c r="F17" s="5">
        <x:v>5</x:v>
      </x:c>
      <x:c r="G17" s="7">
        <x:f>(G16+H16-I16+K13)</x:f>
      </x:c>
      <x:c r="H17" s="5">
        <x:v>0</x:v>
      </x:c>
      <x:c r="I17" s="5">
        <x:f>'B-PSD-B4'!I32</x:f>
      </x:c>
      <x:c r="J17" s="26">
        <x:f>IF(I17=0,"N/S",ROUND( ( ((G17) * 1)/I17)*F17,1))</x:f>
      </x:c>
      <x:c r="K17" s="5">
        <x:f>V17+Z17+AD17</x:f>
      </x:c>
      <x:c r="L17" s="5"/>
      <x:c r="M17" s="5">
        <x:f>'B-PSD-B4'!$D$64</x:f>
      </x:c>
      <x:c r="N17" s="5">
        <x:v>0</x:v>
      </x:c>
      <x:c r="O17" s="5">
        <x:v>6</x:v>
      </x:c>
      <x:c r="P17" s="5" t="s">
        <x:v>58</x:v>
      </x:c>
      <x:c r="Q17" s="5">
        <x:v>0</x:v>
      </x:c>
      <x:c r="R17" s="5">
        <x:f>IF(F17=0,0,ROUND(I17/F17,0))</x:f>
      </x:c>
      <x:c r="S17" s="72">
        <x:v>15</x:v>
      </x:c>
      <x:c r="T17" s="73">
        <x:v>0.93</x:v>
      </x:c>
      <x:c r="U17" s="72">
        <x:f>E17*7-N17</x:f>
      </x:c>
      <x:c r="V17" s="72">
        <x:f>ROUND(((S17*T17*U17)/M17),0)</x:f>
      </x:c>
      <x:c r="W17" s="5">
        <x:v>0</x:v>
      </x:c>
      <x:c r="X17" s="6">
        <x:v>0</x:v>
      </x:c>
      <x:c r="Y17" s="5">
        <x:f>U17</x:f>
      </x:c>
      <x:c r="Z17" s="5">
        <x:f>ROUND(((W17*X17*Y17)/M17),0)</x:f>
      </x:c>
      <x:c r="AA17" s="5">
        <x:v>0</x:v>
      </x:c>
      <x:c r="AB17" s="6">
        <x:v>0</x:v>
      </x:c>
      <x:c r="AC17" s="5">
        <x:f>E17*7-N17</x:f>
      </x:c>
      <x:c r="AD17" s="5">
        <x:f>ROUND(((AA17*AB17*AC17)/M17),0)</x:f>
      </x:c>
      <x:c r="AE17" s="7">
        <x:f>S17+W17+AA17</x:f>
      </x:c>
      <x:c r="AF17" s="5"/>
      <x:c r="AG17" s="5">
        <x:f>K17*M17</x:f>
      </x:c>
      <x:c r="AH17" s="5">
        <x:f>S17*U17+W17*Y17+AA17*AC17</x:f>
      </x:c>
      <x:c r="AI17" s="6">
        <x:f>IF(AH17=0,0,AG17/AH17)</x:f>
      </x:c>
    </x:row>
    <x:row r="18" spans="1:35" x14ac:dyDescent="0.2">
      <x:c r="B18" s="5" t="s">
        <x:v>59</x:v>
      </x:c>
      <x:c r="C18" s="69">
        <x:v>46195</x:v>
      </x:c>
      <x:c r="D18" s="5">
        <x:v>26</x:v>
      </x:c>
      <x:c r="E18" s="71">
        <x:v>6</x:v>
      </x:c>
      <x:c r="F18" s="5">
        <x:v>5</x:v>
      </x:c>
      <x:c r="G18" s="7">
        <x:f>(G17+H17-I17+K14)</x:f>
      </x:c>
      <x:c r="H18" s="5">
        <x:v>0</x:v>
      </x:c>
      <x:c r="I18" s="5">
        <x:f>'B-PSD-B4'!J32</x:f>
      </x:c>
      <x:c r="J18" s="26">
        <x:f>IF(I18=0,"N/S",ROUND( ( ((G18) * 1)/I18)*F18,1))</x:f>
      </x:c>
      <x:c r="K18" s="5">
        <x:f>V18+Z18+AD18</x:f>
      </x:c>
      <x:c r="L18" s="5"/>
      <x:c r="M18" s="5">
        <x:f>'B-PSD-B4'!$D$64</x:f>
      </x:c>
      <x:c r="N18" s="5">
        <x:v>0</x:v>
      </x:c>
      <x:c r="O18" s="5">
        <x:v>6</x:v>
      </x:c>
      <x:c r="P18" s="5" t="s">
        <x:v>58</x:v>
      </x:c>
      <x:c r="Q18" s="5">
        <x:v>0</x:v>
      </x:c>
      <x:c r="R18" s="5">
        <x:f>IF(F18=0,0,ROUND(I18/F18,0))</x:f>
      </x:c>
      <x:c r="S18" s="5">
        <x:v>15</x:v>
      </x:c>
      <x:c r="T18" s="6">
        <x:v>0.93</x:v>
      </x:c>
      <x:c r="U18" s="5">
        <x:f>E18*7-N18</x:f>
      </x:c>
      <x:c r="V18" s="5">
        <x:f>ROUND(((S18*T18*U18)/M18),0)</x:f>
      </x:c>
      <x:c r="W18" s="5">
        <x:v>0</x:v>
      </x:c>
      <x:c r="X18" s="6">
        <x:v>0</x:v>
      </x:c>
      <x:c r="Y18" s="5">
        <x:f>U18</x:f>
      </x:c>
      <x:c r="Z18" s="5">
        <x:f>ROUND(((W18*X18*Y18)/M18),0)</x:f>
      </x:c>
      <x:c r="AA18" s="5">
        <x:v>0</x:v>
      </x:c>
      <x:c r="AB18" s="6">
        <x:v>0</x:v>
      </x:c>
      <x:c r="AC18" s="5">
        <x:f>E18*7-N18</x:f>
      </x:c>
      <x:c r="AD18" s="5">
        <x:f>ROUND(((AA18*AB18*AC18)/M18),0)</x:f>
      </x:c>
      <x:c r="AE18" s="7">
        <x:f>S18+W18+AA18</x:f>
      </x:c>
      <x:c r="AF18" s="5"/>
      <x:c r="AG18" s="5">
        <x:f>K18*M18</x:f>
      </x:c>
      <x:c r="AH18" s="5">
        <x:f>S18*U18+W18*Y18+AA18*AC18</x:f>
      </x:c>
      <x:c r="AI18" s="6">
        <x:f>IF(AH18=0,0,AG18/AH18)</x:f>
      </x:c>
    </x:row>
    <x:row r="19" spans="1:35" x14ac:dyDescent="0.2">
      <x:c r="B19" s="5" t="s">
        <x:v>59</x:v>
      </x:c>
      <x:c r="C19" s="69">
        <x:v>46202</x:v>
      </x:c>
      <x:c r="D19" s="5">
        <x:v>27</x:v>
      </x:c>
      <x:c r="E19" s="5">
        <x:v>5</x:v>
      </x:c>
      <x:c r="F19" s="5">
        <x:v>5</x:v>
      </x:c>
      <x:c r="G19" s="7">
        <x:f>(G18+H18-I18+K15)</x:f>
      </x:c>
      <x:c r="H19" s="5">
        <x:v>0</x:v>
      </x:c>
      <x:c r="I19" s="5">
        <x:f>'B-PSD-B4'!K32</x:f>
      </x:c>
      <x:c r="J19" s="26">
        <x:f>IF(I19=0,"N/S",ROUND( ( ((G19) * 1)/I19)*F19,1))</x:f>
      </x:c>
      <x:c r="K19" s="5">
        <x:f>V19+Z19+AD19</x:f>
      </x:c>
      <x:c r="L19" s="5"/>
      <x:c r="M19" s="5">
        <x:f>'B-PSD-B4'!$D$64</x:f>
      </x:c>
      <x:c r="N19" s="5">
        <x:v>0</x:v>
      </x:c>
      <x:c r="O19" s="5">
        <x:v>6</x:v>
      </x:c>
      <x:c r="P19" s="5" t="s">
        <x:v>58</x:v>
      </x:c>
      <x:c r="Q19" s="5">
        <x:v>0</x:v>
      </x:c>
      <x:c r="R19" s="5">
        <x:f>IF(F19=0,0,ROUND(I19/F19,0))</x:f>
      </x:c>
      <x:c r="S19" s="5">
        <x:v>15</x:v>
      </x:c>
      <x:c r="T19" s="6">
        <x:v>0.93</x:v>
      </x:c>
      <x:c r="U19" s="5">
        <x:f>E19*7-N19</x:f>
      </x:c>
      <x:c r="V19" s="5">
        <x:f>ROUND(((S19*T19*U19)/M19),0)</x:f>
      </x:c>
      <x:c r="W19" s="5">
        <x:v>0</x:v>
      </x:c>
      <x:c r="X19" s="6">
        <x:v>0</x:v>
      </x:c>
      <x:c r="Y19" s="5">
        <x:f>U19</x:f>
      </x:c>
      <x:c r="Z19" s="5">
        <x:f>ROUND(((W19*X19*Y19)/M19),0)</x:f>
      </x:c>
      <x:c r="AA19" s="5">
        <x:v>0</x:v>
      </x:c>
      <x:c r="AB19" s="6">
        <x:v>0</x:v>
      </x:c>
      <x:c r="AC19" s="5">
        <x:f>E19*7-N19</x:f>
      </x:c>
      <x:c r="AD19" s="5">
        <x:f>ROUND(((AA19*AB19*AC19)/M19),0)</x:f>
      </x:c>
      <x:c r="AE19" s="7">
        <x:f>S19+W19+AA19</x:f>
      </x:c>
      <x:c r="AF19" s="5"/>
      <x:c r="AG19" s="5">
        <x:f>K19*M19</x:f>
      </x:c>
      <x:c r="AH19" s="5">
        <x:f>S19*U19+W19*Y19+AA19*AC19</x:f>
      </x:c>
      <x:c r="AI19" s="6">
        <x:f>IF(AH19=0,0,AG19/AH19)</x:f>
      </x:c>
    </x:row>
    <x:row r="20" spans="1:35" x14ac:dyDescent="0.2">
      <x:c r="B20" s="5" t="s">
        <x:v>60</x:v>
      </x:c>
      <x:c r="C20" s="69">
        <x:v>46209</x:v>
      </x:c>
      <x:c r="D20" s="5">
        <x:v>28</x:v>
      </x:c>
      <x:c r="E20" s="5">
        <x:v>6</x:v>
      </x:c>
      <x:c r="F20" s="5">
        <x:v>5</x:v>
      </x:c>
      <x:c r="G20" s="7">
        <x:f>(G19+H19-I19+K16)</x:f>
      </x:c>
      <x:c r="H20" s="5">
        <x:v>0</x:v>
      </x:c>
      <x:c r="I20" s="5">
        <x:f>'B-PSD-B4'!L32</x:f>
      </x:c>
      <x:c r="J20" s="26">
        <x:f>IF(I20=0,"N/S",ROUND( ( ((G20) * 1)/I20)*F20,1))</x:f>
      </x:c>
      <x:c r="K20" s="5">
        <x:f>V20+Z20+AD20</x:f>
      </x:c>
      <x:c r="L20" s="5"/>
      <x:c r="M20" s="5">
        <x:f>'B-PSD-B4'!$D$64</x:f>
      </x:c>
      <x:c r="N20" s="5">
        <x:v>0</x:v>
      </x:c>
      <x:c r="O20" s="5">
        <x:v>7</x:v>
      </x:c>
      <x:c r="P20" s="5" t="s">
        <x:v>58</x:v>
      </x:c>
      <x:c r="Q20" s="5">
        <x:v>0</x:v>
      </x:c>
      <x:c r="R20" s="5">
        <x:f>IF(F20=0,0,ROUND(I20/F20,0))</x:f>
      </x:c>
      <x:c r="S20" s="5">
        <x:v>15</x:v>
      </x:c>
      <x:c r="T20" s="6">
        <x:v>0.93</x:v>
      </x:c>
      <x:c r="U20" s="5">
        <x:f>E20*7-N20</x:f>
      </x:c>
      <x:c r="V20" s="5">
        <x:f>ROUND(((S20*T20*U20)/M20),0)</x:f>
      </x:c>
      <x:c r="W20" s="5">
        <x:v>0</x:v>
      </x:c>
      <x:c r="X20" s="6">
        <x:v>0</x:v>
      </x:c>
      <x:c r="Y20" s="5">
        <x:f>U20</x:f>
      </x:c>
      <x:c r="Z20" s="5">
        <x:f>ROUND(((W20*X20*Y20)/M20),0)</x:f>
      </x:c>
      <x:c r="AA20" s="5">
        <x:v>0</x:v>
      </x:c>
      <x:c r="AB20" s="6">
        <x:v>0</x:v>
      </x:c>
      <x:c r="AC20" s="5">
        <x:f>E20*7-N20</x:f>
      </x:c>
      <x:c r="AD20" s="5">
        <x:f>ROUND(((AA20*AB20*AC20)/M20),0)</x:f>
      </x:c>
      <x:c r="AE20" s="7">
        <x:f>S20+W20+AA20</x:f>
      </x:c>
      <x:c r="AF20" s="5"/>
      <x:c r="AG20" s="5">
        <x:f>K20*M20</x:f>
      </x:c>
      <x:c r="AH20" s="5">
        <x:f>S20*U20+W20*Y20+AA20*AC20</x:f>
      </x:c>
      <x:c r="AI20" s="6">
        <x:f>IF(AH20=0,0,AG20/AH20)</x:f>
      </x:c>
    </x:row>
    <x:row r="21" spans="1:35" x14ac:dyDescent="0.2">
      <x:c r="B21" s="5" t="s">
        <x:v>60</x:v>
      </x:c>
      <x:c r="C21" s="69">
        <x:v>46216</x:v>
      </x:c>
      <x:c r="D21" s="5">
        <x:v>29</x:v>
      </x:c>
      <x:c r="E21" s="72">
        <x:v>0</x:v>
      </x:c>
      <x:c r="F21" s="5">
        <x:v>5</x:v>
      </x:c>
      <x:c r="G21" s="7">
        <x:f>(G20+H20-I20+K17)</x:f>
      </x:c>
      <x:c r="H21" s="5">
        <x:v>0</x:v>
      </x:c>
      <x:c r="I21" s="5">
        <x:f>'B-PSD-B4'!M32</x:f>
      </x:c>
      <x:c r="J21" s="26">
        <x:f>IF(I21=0,"N/S",ROUND( ( ((G21) * 1)/I21)*F21,1))</x:f>
      </x:c>
      <x:c r="K21" s="5">
        <x:f>V21+Z21+AD21</x:f>
      </x:c>
      <x:c r="L21" s="5"/>
      <x:c r="M21" s="5">
        <x:f>'B-PSD-B4'!$D$64</x:f>
      </x:c>
      <x:c r="N21" s="5">
        <x:v>0</x:v>
      </x:c>
      <x:c r="O21" s="5">
        <x:v>7</x:v>
      </x:c>
      <x:c r="P21" s="5" t="s">
        <x:v>58</x:v>
      </x:c>
      <x:c r="Q21" s="5">
        <x:v>0</x:v>
      </x:c>
      <x:c r="R21" s="5">
        <x:f>IF(F21=0,0,ROUND(I21/F21,0))</x:f>
      </x:c>
      <x:c r="S21" s="5">
        <x:v>15</x:v>
      </x:c>
      <x:c r="T21" s="6">
        <x:v>0.93</x:v>
      </x:c>
      <x:c r="U21" s="5">
        <x:f>E21*7-N21</x:f>
      </x:c>
      <x:c r="V21" s="5">
        <x:f>ROUND(((S21*T21*U21)/M21),0)</x:f>
      </x:c>
      <x:c r="W21" s="5">
        <x:v>0</x:v>
      </x:c>
      <x:c r="X21" s="6">
        <x:v>0</x:v>
      </x:c>
      <x:c r="Y21" s="5">
        <x:f>U21</x:f>
      </x:c>
      <x:c r="Z21" s="5">
        <x:f>ROUND(((W21*X21*Y21)/M21),0)</x:f>
      </x:c>
      <x:c r="AA21" s="5">
        <x:v>0</x:v>
      </x:c>
      <x:c r="AB21" s="6">
        <x:v>0</x:v>
      </x:c>
      <x:c r="AC21" s="5">
        <x:f>E21*7-N21</x:f>
      </x:c>
      <x:c r="AD21" s="5">
        <x:f>ROUND(((AA21*AB21*AC21)/M21),0)</x:f>
      </x:c>
      <x:c r="AE21" s="7">
        <x:f>S21+W21+AA21</x:f>
      </x:c>
      <x:c r="AF21" s="5"/>
      <x:c r="AG21" s="5">
        <x:f>K21*M21</x:f>
      </x:c>
      <x:c r="AH21" s="5">
        <x:f>S21*U21+W21*Y21+AA21*AC21</x:f>
      </x:c>
      <x:c r="AI21" s="6">
        <x:f>IF(AH21=0,0,AG21/AH21)</x:f>
      </x:c>
    </x:row>
    <x:row r="22" spans="1:35" x14ac:dyDescent="0.2">
      <x:c r="B22" s="5" t="s">
        <x:v>60</x:v>
      </x:c>
      <x:c r="C22" s="69">
        <x:v>46223</x:v>
      </x:c>
      <x:c r="D22" s="5">
        <x:v>30</x:v>
      </x:c>
      <x:c r="E22" s="72">
        <x:v>0</x:v>
      </x:c>
      <x:c r="F22" s="5">
        <x:v>5</x:v>
      </x:c>
      <x:c r="G22" s="7">
        <x:f>(G21+H21-I21+K18)</x:f>
      </x:c>
      <x:c r="H22" s="5">
        <x:v>0</x:v>
      </x:c>
      <x:c r="I22" s="5">
        <x:f>'B-PSD-B4'!N32</x:f>
      </x:c>
      <x:c r="J22" s="26">
        <x:f>IF(I22=0,"N/S",ROUND( ( ((G22) * 1)/I22)*F22,1))</x:f>
      </x:c>
      <x:c r="K22" s="5">
        <x:f>V22+Z22+AD22</x:f>
      </x:c>
      <x:c r="L22" s="5"/>
      <x:c r="M22" s="5">
        <x:f>'B-PSD-B4'!$D$64</x:f>
      </x:c>
      <x:c r="N22" s="5">
        <x:v>0</x:v>
      </x:c>
      <x:c r="O22" s="5">
        <x:v>7</x:v>
      </x:c>
      <x:c r="P22" s="5" t="s">
        <x:v>58</x:v>
      </x:c>
      <x:c r="Q22" s="5">
        <x:v>0</x:v>
      </x:c>
      <x:c r="R22" s="5">
        <x:f>IF(F22=0,0,ROUND(I22/F22,0))</x:f>
      </x:c>
      <x:c r="S22" s="5">
        <x:v>15</x:v>
      </x:c>
      <x:c r="T22" s="6">
        <x:v>0.93</x:v>
      </x:c>
      <x:c r="U22" s="5">
        <x:f>E22*7-N22</x:f>
      </x:c>
      <x:c r="V22" s="5">
        <x:f>ROUND(((S22*T22*U22)/M22),0)</x:f>
      </x:c>
      <x:c r="W22" s="5">
        <x:v>0</x:v>
      </x:c>
      <x:c r="X22" s="6">
        <x:v>0</x:v>
      </x:c>
      <x:c r="Y22" s="5">
        <x:f>U22</x:f>
      </x:c>
      <x:c r="Z22" s="5">
        <x:f>ROUND(((W22*X22*Y22)/M22),0)</x:f>
      </x:c>
      <x:c r="AA22" s="5">
        <x:v>0</x:v>
      </x:c>
      <x:c r="AB22" s="6">
        <x:v>0</x:v>
      </x:c>
      <x:c r="AC22" s="5">
        <x:f>E22*7-N22</x:f>
      </x:c>
      <x:c r="AD22" s="5">
        <x:f>ROUND(((AA22*AB22*AC22)/M22),0)</x:f>
      </x:c>
      <x:c r="AE22" s="7">
        <x:f>S22+W22+AA22</x:f>
      </x:c>
      <x:c r="AF22" s="5"/>
      <x:c r="AG22" s="5">
        <x:f>K22*M22</x:f>
      </x:c>
      <x:c r="AH22" s="5">
        <x:f>S22*U22+W22*Y22+AA22*AC22</x:f>
      </x:c>
      <x:c r="AI22" s="6">
        <x:f>IF(AH22=0,0,AG22/AH22)</x:f>
      </x:c>
    </x:row>
    <x:row r="23" spans="1:35" x14ac:dyDescent="0.2">
      <x:c r="B23" s="5" t="s">
        <x:v>60</x:v>
      </x:c>
      <x:c r="C23" s="69">
        <x:v>46230</x:v>
      </x:c>
      <x:c r="D23" s="5">
        <x:v>31</x:v>
      </x:c>
      <x:c r="E23" s="5">
        <x:v>6</x:v>
      </x:c>
      <x:c r="F23" s="5">
        <x:v>0</x:v>
      </x:c>
      <x:c r="G23" s="7">
        <x:f>(G22+H22-I22+K19)</x:f>
      </x:c>
      <x:c r="H23" s="5">
        <x:v>0</x:v>
      </x:c>
      <x:c r="I23" s="5">
        <x:f>'B-PSD-B4'!O32</x:f>
      </x:c>
      <x:c r="J23" s="26">
        <x:f>IF(I23=0,"N/S",ROUND( ( ((G23) * 1)/I23)*F23,1))</x:f>
      </x:c>
      <x:c r="K23" s="5">
        <x:f>V23+Z23+AD23</x:f>
      </x:c>
      <x:c r="L23" s="5"/>
      <x:c r="M23" s="5">
        <x:f>'B-PSD-B4'!$D$64</x:f>
      </x:c>
      <x:c r="N23" s="5">
        <x:v>0</x:v>
      </x:c>
      <x:c r="O23" s="5">
        <x:v>7</x:v>
      </x:c>
      <x:c r="P23" s="5" t="s">
        <x:v>58</x:v>
      </x:c>
      <x:c r="Q23" s="5">
        <x:v>0</x:v>
      </x:c>
      <x:c r="R23" s="5">
        <x:f>IF(F23=0,0,ROUND(I23/F23,0))</x:f>
      </x:c>
      <x:c r="S23" s="5">
        <x:v>15</x:v>
      </x:c>
      <x:c r="T23" s="6">
        <x:v>0.93</x:v>
      </x:c>
      <x:c r="U23" s="5">
        <x:f>E23*7-N23</x:f>
      </x:c>
      <x:c r="V23" s="5">
        <x:f>ROUND(((S23*T23*U23)/M23),0)</x:f>
      </x:c>
      <x:c r="W23" s="5">
        <x:v>0</x:v>
      </x:c>
      <x:c r="X23" s="6">
        <x:v>0</x:v>
      </x:c>
      <x:c r="Y23" s="5">
        <x:f>U23</x:f>
      </x:c>
      <x:c r="Z23" s="5">
        <x:f>ROUND(((W23*X23*Y23)/M23),0)</x:f>
      </x:c>
      <x:c r="AA23" s="5">
        <x:v>0</x:v>
      </x:c>
      <x:c r="AB23" s="6">
        <x:v>0</x:v>
      </x:c>
      <x:c r="AC23" s="5">
        <x:f>E23*7-N23</x:f>
      </x:c>
      <x:c r="AD23" s="5">
        <x:f>ROUND(((AA23*AB23*AC23)/M23),0)</x:f>
      </x:c>
      <x:c r="AE23" s="7">
        <x:f>S23+W23+AA23</x:f>
      </x:c>
      <x:c r="AF23" s="5">
        <x:f>ROUND( ((SUM(I22:I23)*1)/SUM(Q22:Q23)*100),1)</x:f>
      </x:c>
      <x:c r="AG23" s="5">
        <x:f>K23*M23</x:f>
      </x:c>
      <x:c r="AH23" s="5">
        <x:f>S23*U23+W23*Y23+AA23*AC23</x:f>
      </x:c>
      <x:c r="AI23" s="6">
        <x:f>IF(AH23=0,0,AG23/AH23)</x:f>
      </x:c>
    </x:row>
    <x:row r="24" spans="1:35" x14ac:dyDescent="0.2">
      <x:c r="B24" s="5" t="s">
        <x:v>61</x:v>
      </x:c>
      <x:c r="C24" s="69">
        <x:v>46237</x:v>
      </x:c>
      <x:c r="D24" s="5">
        <x:v>32</x:v>
      </x:c>
      <x:c r="E24" s="74">
        <x:v>6</x:v>
      </x:c>
      <x:c r="F24" s="5">
        <x:v>5</x:v>
      </x:c>
      <x:c r="G24" s="7">
        <x:f>(G23+H23-I23+K20)</x:f>
      </x:c>
      <x:c r="H24" s="5">
        <x:v>0</x:v>
      </x:c>
      <x:c r="I24" s="5">
        <x:f>'B-PSD-B4'!P32</x:f>
      </x:c>
      <x:c r="J24" s="26">
        <x:f>IF(I24=0,"N/S",ROUND( ( ((G24) * 1)/I24)*F24,1))</x:f>
      </x:c>
      <x:c r="K24" s="5">
        <x:f>V24+Z24+AD24</x:f>
      </x:c>
      <x:c r="L24" s="5"/>
      <x:c r="M24" s="5">
        <x:f>'B-PSD-B4'!$D$64</x:f>
      </x:c>
      <x:c r="N24" s="5">
        <x:v>0</x:v>
      </x:c>
      <x:c r="O24" s="5">
        <x:v>8</x:v>
      </x:c>
      <x:c r="P24" s="5" t="s">
        <x:v>58</x:v>
      </x:c>
      <x:c r="Q24" s="5">
        <x:v>0</x:v>
      </x:c>
      <x:c r="R24" s="5">
        <x:f>IF(F24=0,0,ROUND(I24/F24,0))</x:f>
      </x:c>
      <x:c r="S24" s="5">
        <x:v>15</x:v>
      </x:c>
      <x:c r="T24" s="6">
        <x:v>0.93</x:v>
      </x:c>
      <x:c r="U24" s="5">
        <x:f>E24*7-N24</x:f>
      </x:c>
      <x:c r="V24" s="5">
        <x:f>ROUND(((S24*T24*U24)/M24),0)</x:f>
      </x:c>
      <x:c r="W24" s="5">
        <x:v>0</x:v>
      </x:c>
      <x:c r="X24" s="6">
        <x:v>0</x:v>
      </x:c>
      <x:c r="Y24" s="5">
        <x:f>U24</x:f>
      </x:c>
      <x:c r="Z24" s="5">
        <x:f>ROUND(((W24*X24*Y24)/M24),0)</x:f>
      </x:c>
      <x:c r="AA24" s="5">
        <x:v>0</x:v>
      </x:c>
      <x:c r="AB24" s="6">
        <x:v>0</x:v>
      </x:c>
      <x:c r="AC24" s="5">
        <x:f>E24*7-N24</x:f>
      </x:c>
      <x:c r="AD24" s="5">
        <x:f>ROUND(((AA24*AB24*AC24)/M24),0)</x:f>
      </x:c>
      <x:c r="AE24" s="7">
        <x:f>S24+W24+AA24</x:f>
      </x:c>
      <x:c r="AF24" s="5">
        <x:f>ROUND( ((SUM(I23:I24)*1)/SUM(Q23:Q24)*100),1)</x:f>
      </x:c>
      <x:c r="AG24" s="5">
        <x:f>K24*M24</x:f>
      </x:c>
      <x:c r="AH24" s="5">
        <x:f>S24*U24+W24*Y24+AA24*AC24</x:f>
      </x:c>
      <x:c r="AI24" s="6">
        <x:f>IF(AH24=0,0,AG24/AH24)</x:f>
      </x:c>
    </x:row>
    <x:row r="25" spans="1:35" x14ac:dyDescent="0.2">
      <x:c r="B25" s="5" t="s">
        <x:v>61</x:v>
      </x:c>
      <x:c r="C25" s="69">
        <x:v>46244</x:v>
      </x:c>
      <x:c r="D25" s="5">
        <x:v>33</x:v>
      </x:c>
      <x:c r="E25" s="74">
        <x:v>6</x:v>
      </x:c>
      <x:c r="F25" s="5">
        <x:v>5</x:v>
      </x:c>
      <x:c r="G25" s="7">
        <x:f>(G24+H24-I24+K21)</x:f>
      </x:c>
      <x:c r="H25" s="5">
        <x:v>0</x:v>
      </x:c>
      <x:c r="I25" s="5">
        <x:f>'B-PSD-B4'!Q32</x:f>
      </x:c>
      <x:c r="J25" s="26">
        <x:f>IF(I25=0,"N/S",ROUND( ( ((G25) * 1)/I25)*F25,1))</x:f>
      </x:c>
      <x:c r="K25" s="5">
        <x:f>V25+Z25+AD25</x:f>
      </x:c>
      <x:c r="L25" s="5"/>
      <x:c r="M25" s="5">
        <x:f>'B-PSD-B4'!$D$64</x:f>
      </x:c>
      <x:c r="N25" s="5">
        <x:v>0</x:v>
      </x:c>
      <x:c r="O25" s="5">
        <x:v>8</x:v>
      </x:c>
      <x:c r="P25" s="5" t="s">
        <x:v>58</x:v>
      </x:c>
      <x:c r="Q25" s="5">
        <x:v>0</x:v>
      </x:c>
      <x:c r="R25" s="5">
        <x:f>IF(F25=0,0,ROUND(I25/F25,0))</x:f>
      </x:c>
      <x:c r="S25" s="5">
        <x:v>15</x:v>
      </x:c>
      <x:c r="T25" s="6">
        <x:v>0.93</x:v>
      </x:c>
      <x:c r="U25" s="5">
        <x:f>E25*7-N25</x:f>
      </x:c>
      <x:c r="V25" s="5">
        <x:f>ROUND(((S25*T25*U25)/M25),0)</x:f>
      </x:c>
      <x:c r="W25" s="5">
        <x:v>0</x:v>
      </x:c>
      <x:c r="X25" s="6">
        <x:v>0</x:v>
      </x:c>
      <x:c r="Y25" s="5">
        <x:f>U25</x:f>
      </x:c>
      <x:c r="Z25" s="5">
        <x:f>ROUND(((W25*X25*Y25)/M25),0)</x:f>
      </x:c>
      <x:c r="AA25" s="5">
        <x:v>0</x:v>
      </x:c>
      <x:c r="AB25" s="6">
        <x:v>0</x:v>
      </x:c>
      <x:c r="AC25" s="5">
        <x:f>E25*7-N25</x:f>
      </x:c>
      <x:c r="AD25" s="5">
        <x:f>ROUND(((AA25*AB25*AC25)/M25),0)</x:f>
      </x:c>
      <x:c r="AE25" s="7">
        <x:f>S25+W25+AA25</x:f>
      </x:c>
      <x:c r="AF25" s="5">
        <x:f>ROUND( ((SUM(I24:I25)*1)/SUM(Q24:Q25)*100),1)</x:f>
      </x:c>
      <x:c r="AG25" s="5">
        <x:f>K25*M25</x:f>
      </x:c>
      <x:c r="AH25" s="5">
        <x:f>S25*U25+W25*Y25+AA25*AC25</x:f>
      </x:c>
      <x:c r="AI25" s="6">
        <x:f>IF(AH25=0,0,AG25/AH25)</x:f>
      </x:c>
    </x:row>
    <x:row r="26" spans="1:35" x14ac:dyDescent="0.2">
      <x:c r="B26" s="5" t="s">
        <x:v>61</x:v>
      </x:c>
      <x:c r="C26" s="69">
        <x:v>46251</x:v>
      </x:c>
      <x:c r="D26" s="5">
        <x:v>34</x:v>
      </x:c>
      <x:c r="E26" s="5">
        <x:v>6</x:v>
      </x:c>
      <x:c r="F26" s="5">
        <x:v>5</x:v>
      </x:c>
      <x:c r="G26" s="7">
        <x:f>(G25+H25-I25+K22)</x:f>
      </x:c>
      <x:c r="H26" s="5">
        <x:v>0</x:v>
      </x:c>
      <x:c r="I26" s="5">
        <x:f>'B-PSD-B4'!R32</x:f>
      </x:c>
      <x:c r="J26" s="26">
        <x:f>IF(I26=0,"N/S",ROUND( ( ((G26) * 1)/I26)*F26,1))</x:f>
      </x:c>
      <x:c r="K26" s="5">
        <x:f>V26+Z26+AD26</x:f>
      </x:c>
      <x:c r="L26" s="5"/>
      <x:c r="M26" s="5">
        <x:f>'B-PSD-B4'!$D$64</x:f>
      </x:c>
      <x:c r="N26" s="5">
        <x:v>0</x:v>
      </x:c>
      <x:c r="O26" s="5">
        <x:v>8</x:v>
      </x:c>
      <x:c r="P26" s="5" t="s">
        <x:v>58</x:v>
      </x:c>
      <x:c r="Q26" s="5">
        <x:v>0</x:v>
      </x:c>
      <x:c r="R26" s="5">
        <x:f>IF(F26=0,0,ROUND(I26/F26,0))</x:f>
      </x:c>
      <x:c r="S26" s="5">
        <x:v>15</x:v>
      </x:c>
      <x:c r="T26" s="6">
        <x:v>0.93</x:v>
      </x:c>
      <x:c r="U26" s="5">
        <x:f>E26*7-N26</x:f>
      </x:c>
      <x:c r="V26" s="5">
        <x:f>ROUND(((S26*T26*U26)/M26),0)</x:f>
      </x:c>
      <x:c r="W26" s="75">
        <x:v>15</x:v>
      </x:c>
      <x:c r="X26" s="76">
        <x:v>0.1</x:v>
      </x:c>
      <x:c r="Y26" s="75">
        <x:f>U26</x:f>
      </x:c>
      <x:c r="Z26" s="75">
        <x:f>ROUND(((W26*X26*Y26)/M26),0)</x:f>
      </x:c>
      <x:c r="AA26" s="5">
        <x:v>0</x:v>
      </x:c>
      <x:c r="AB26" s="6">
        <x:v>0</x:v>
      </x:c>
      <x:c r="AC26" s="5">
        <x:f>E26*7-N26</x:f>
      </x:c>
      <x:c r="AD26" s="5">
        <x:f>ROUND(((AA26*AB26*AC26)/M26),0)</x:f>
      </x:c>
      <x:c r="AE26" s="7">
        <x:f>S26+W26+AA26</x:f>
      </x:c>
      <x:c r="AF26" s="5">
        <x:f>ROUND( ((SUM(I25:I26)*1)/SUM(Q25:Q26)*100),1)</x:f>
      </x:c>
      <x:c r="AG26" s="5">
        <x:f>K26*M26</x:f>
      </x:c>
      <x:c r="AH26" s="5">
        <x:f>S26*U26+W26*Y26+AA26*AC26</x:f>
      </x:c>
      <x:c r="AI26" s="6">
        <x:f>IF(AH26=0,0,AG26/AH26)</x:f>
      </x:c>
    </x:row>
    <x:row r="27" spans="1:35" x14ac:dyDescent="0.2">
      <x:c r="B27" s="5" t="s">
        <x:v>61</x:v>
      </x:c>
      <x:c r="C27" s="69">
        <x:v>46258</x:v>
      </x:c>
      <x:c r="D27" s="5">
        <x:v>35</x:v>
      </x:c>
      <x:c r="E27" s="5">
        <x:v>5</x:v>
      </x:c>
      <x:c r="F27" s="5">
        <x:v>5</x:v>
      </x:c>
      <x:c r="G27" s="7">
        <x:f>(G26+H26-I26+K23)</x:f>
      </x:c>
      <x:c r="H27" s="5">
        <x:v>0</x:v>
      </x:c>
      <x:c r="I27" s="5">
        <x:f>'B-PSD-B4'!S32</x:f>
      </x:c>
      <x:c r="J27" s="26">
        <x:f>IF(I27=0,"N/S",ROUND( ( ((G27) * 1)/I27)*F27,1))</x:f>
      </x:c>
      <x:c r="K27" s="5">
        <x:f>V27+Z27+AD27</x:f>
      </x:c>
      <x:c r="L27" s="5"/>
      <x:c r="M27" s="5">
        <x:f>'B-PSD-B4'!$D$64</x:f>
      </x:c>
      <x:c r="N27" s="5">
        <x:v>0</x:v>
      </x:c>
      <x:c r="O27" s="5">
        <x:v>8</x:v>
      </x:c>
      <x:c r="P27" s="5" t="s">
        <x:v>58</x:v>
      </x:c>
      <x:c r="Q27" s="5">
        <x:v>0</x:v>
      </x:c>
      <x:c r="R27" s="5">
        <x:f>IF(F27=0,0,ROUND(I27/F27,0))</x:f>
      </x:c>
      <x:c r="S27" s="5">
        <x:v>15</x:v>
      </x:c>
      <x:c r="T27" s="6">
        <x:v>0.93</x:v>
      </x:c>
      <x:c r="U27" s="5">
        <x:f>E27*7-N27</x:f>
      </x:c>
      <x:c r="V27" s="5">
        <x:f>ROUND(((S27*T27*U27)/M27),0)</x:f>
      </x:c>
      <x:c r="W27" s="77">
        <x:v>15</x:v>
      </x:c>
      <x:c r="X27" s="78">
        <x:v>0.1</x:v>
      </x:c>
      <x:c r="Y27" s="77">
        <x:f>U27</x:f>
      </x:c>
      <x:c r="Z27" s="77">
        <x:f>ROUND(((W27*X27*Y27)/M27),0)</x:f>
      </x:c>
      <x:c r="AA27" s="5">
        <x:v>0</x:v>
      </x:c>
      <x:c r="AB27" s="6">
        <x:v>0</x:v>
      </x:c>
      <x:c r="AC27" s="5">
        <x:f>E27*7-N27</x:f>
      </x:c>
      <x:c r="AD27" s="5">
        <x:f>ROUND(((AA27*AB27*AC27)/M27),0)</x:f>
      </x:c>
      <x:c r="AE27" s="7">
        <x:f>S27+W27+AA27</x:f>
      </x:c>
      <x:c r="AF27" s="5">
        <x:f>ROUND( ((SUM(I26:I27)*1)/SUM(Q26:Q27)*100),1)</x:f>
      </x:c>
      <x:c r="AG27" s="5">
        <x:f>K27*M27</x:f>
      </x:c>
      <x:c r="AH27" s="5">
        <x:f>S27*U27+W27*Y27+AA27*AC27</x:f>
      </x:c>
      <x:c r="AI27" s="6">
        <x:f>IF(AH27=0,0,AG27/AH27)</x:f>
      </x:c>
    </x:row>
    <x:row r="28" spans="1:35" x14ac:dyDescent="0.2">
      <x:c r="B28" s="5" t="s">
        <x:v>61</x:v>
      </x:c>
      <x:c r="C28" s="69">
        <x:v>46265</x:v>
      </x:c>
      <x:c r="D28" s="5">
        <x:v>36</x:v>
      </x:c>
      <x:c r="E28" s="5">
        <x:v>6</x:v>
      </x:c>
      <x:c r="F28" s="5">
        <x:v>5</x:v>
      </x:c>
      <x:c r="G28" s="7">
        <x:f>(G27+H27-I27+K24)</x:f>
      </x:c>
      <x:c r="H28" s="5">
        <x:v>0</x:v>
      </x:c>
      <x:c r="I28" s="5">
        <x:f>'B-PSD-B4'!T32</x:f>
      </x:c>
      <x:c r="J28" s="26">
        <x:f>IF(I28=0,"N/S",ROUND( ( ((G28) * 1)/I28)*F28,1))</x:f>
      </x:c>
      <x:c r="K28" s="5">
        <x:f>V28+Z28+AD28</x:f>
      </x:c>
      <x:c r="L28" s="5"/>
      <x:c r="M28" s="5">
        <x:f>'B-PSD-B4'!$D$64</x:f>
      </x:c>
      <x:c r="N28" s="5">
        <x:v>0</x:v>
      </x:c>
      <x:c r="O28" s="5">
        <x:v>8</x:v>
      </x:c>
      <x:c r="P28" s="5" t="s">
        <x:v>58</x:v>
      </x:c>
      <x:c r="Q28" s="5">
        <x:v>0</x:v>
      </x:c>
      <x:c r="R28" s="5">
        <x:f>IF(F28=0,0,ROUND(I28/F28,0))</x:f>
      </x:c>
      <x:c r="S28" s="5">
        <x:v>15</x:v>
      </x:c>
      <x:c r="T28" s="6">
        <x:v>0.93</x:v>
      </x:c>
      <x:c r="U28" s="5">
        <x:f>E28*7-N28</x:f>
      </x:c>
      <x:c r="V28" s="5">
        <x:f>ROUND(((S28*T28*U28)/M28),0)</x:f>
      </x:c>
      <x:c r="W28" s="5">
        <x:v>15</x:v>
      </x:c>
      <x:c r="X28" s="6">
        <x:v>0.2</x:v>
      </x:c>
      <x:c r="Y28" s="5">
        <x:f>U28</x:f>
      </x:c>
      <x:c r="Z28" s="5">
        <x:f>ROUND(((W28*X28*Y28)/M28),0)</x:f>
      </x:c>
      <x:c r="AA28" s="5">
        <x:v>0</x:v>
      </x:c>
      <x:c r="AB28" s="6">
        <x:v>0</x:v>
      </x:c>
      <x:c r="AC28" s="5">
        <x:f>E28*7-N28</x:f>
      </x:c>
      <x:c r="AD28" s="5">
        <x:f>ROUND(((AA28*AB28*AC28)/M28),0)</x:f>
      </x:c>
      <x:c r="AE28" s="7">
        <x:f>S28+W28+AA28</x:f>
      </x:c>
      <x:c r="AF28" s="5">
        <x:f>ROUND( ((SUM(I27:I28)*1)/SUM(Q27:Q28)*100),1)</x:f>
      </x:c>
      <x:c r="AG28" s="5">
        <x:f>K28*M28</x:f>
      </x:c>
      <x:c r="AH28" s="5">
        <x:f>S28*U28+W28*Y28+AA28*AC28</x:f>
      </x:c>
      <x:c r="AI28" s="6">
        <x:f>IF(AH28=0,0,AG28/AH28)</x:f>
      </x:c>
    </x:row>
    <x:row r="29" spans="1:35" x14ac:dyDescent="0.2">
      <x:c r="B29" s="5" t="s">
        <x:v>62</x:v>
      </x:c>
      <x:c r="C29" s="69">
        <x:v>46272</x:v>
      </x:c>
      <x:c r="D29" s="5">
        <x:v>37</x:v>
      </x:c>
      <x:c r="E29" s="5">
        <x:v>6</x:v>
      </x:c>
      <x:c r="F29" s="5">
        <x:v>5</x:v>
      </x:c>
      <x:c r="G29" s="7">
        <x:f>(G28+H28-I28+K25)</x:f>
      </x:c>
      <x:c r="H29" s="5">
        <x:v>0</x:v>
      </x:c>
      <x:c r="I29" s="5">
        <x:f>'B-PSD-B4'!U32</x:f>
      </x:c>
      <x:c r="J29" s="26">
        <x:f>IF(I29=0,"N/S",ROUND( ( ((G29) * 1)/I29)*F29,1))</x:f>
      </x:c>
      <x:c r="K29" s="5">
        <x:f>V29+Z29+AD29</x:f>
      </x:c>
      <x:c r="L29" s="5"/>
      <x:c r="M29" s="5">
        <x:f>'B-PSD-B4'!$D$64</x:f>
      </x:c>
      <x:c r="N29" s="5">
        <x:v>0</x:v>
      </x:c>
      <x:c r="O29" s="5">
        <x:v>9</x:v>
      </x:c>
      <x:c r="P29" s="5" t="s">
        <x:v>58</x:v>
      </x:c>
      <x:c r="Q29" s="5">
        <x:v>0</x:v>
      </x:c>
      <x:c r="R29" s="5">
        <x:f>IF(F29=0,0,ROUND(I29/F29,0))</x:f>
      </x:c>
      <x:c r="S29" s="5">
        <x:v>15</x:v>
      </x:c>
      <x:c r="T29" s="6">
        <x:v>0.93</x:v>
      </x:c>
      <x:c r="U29" s="5">
        <x:f>E29*7-N29</x:f>
      </x:c>
      <x:c r="V29" s="5">
        <x:f>ROUND(((S29*T29*U29)/M29),0)</x:f>
      </x:c>
      <x:c r="W29" s="5">
        <x:v>15</x:v>
      </x:c>
      <x:c r="X29" s="6">
        <x:v>0.3</x:v>
      </x:c>
      <x:c r="Y29" s="5">
        <x:f>U29</x:f>
      </x:c>
      <x:c r="Z29" s="5">
        <x:f>ROUND(((W29*X29*Y29)/M29),0)</x:f>
      </x:c>
      <x:c r="AA29" s="5">
        <x:v>0</x:v>
      </x:c>
      <x:c r="AB29" s="6">
        <x:v>0</x:v>
      </x:c>
      <x:c r="AC29" s="5">
        <x:f>E29*7-N29</x:f>
      </x:c>
      <x:c r="AD29" s="5">
        <x:f>ROUND(((AA29*AB29*AC29)/M29),0)</x:f>
      </x:c>
      <x:c r="AE29" s="7">
        <x:f>S29+W29+AA29</x:f>
      </x:c>
      <x:c r="AF29" s="5">
        <x:f>ROUND( ((SUM(I28:I29)*1)/SUM(Q28:Q29)*100),1)</x:f>
      </x:c>
      <x:c r="AG29" s="5">
        <x:f>K29*M29</x:f>
      </x:c>
      <x:c r="AH29" s="5">
        <x:f>S29*U29+W29*Y29+AA29*AC29</x:f>
      </x:c>
      <x:c r="AI29" s="6">
        <x:f>IF(AH29=0,0,AG29/AH29)</x:f>
      </x:c>
    </x:row>
    <x:row r="30" spans="1:35" x14ac:dyDescent="0.2">
      <x:c r="B30" s="5" t="s">
        <x:v>62</x:v>
      </x:c>
      <x:c r="C30" s="69">
        <x:v>46279</x:v>
      </x:c>
      <x:c r="D30" s="5">
        <x:v>38</x:v>
      </x:c>
      <x:c r="E30" s="5">
        <x:v>6</x:v>
      </x:c>
      <x:c r="F30" s="5">
        <x:v>5</x:v>
      </x:c>
      <x:c r="G30" s="7">
        <x:f>(G29+H29-I29+K26)</x:f>
      </x:c>
      <x:c r="H30" s="5">
        <x:v>0</x:v>
      </x:c>
      <x:c r="I30" s="5">
        <x:f>'B-PSD-B4'!V32</x:f>
      </x:c>
      <x:c r="J30" s="26">
        <x:f>IF(I30=0,"N/S",ROUND( ( ((G30) * 1)/I30)*F30,1))</x:f>
      </x:c>
      <x:c r="K30" s="5">
        <x:f>V30+Z30+AD30</x:f>
      </x:c>
      <x:c r="L30" s="5"/>
      <x:c r="M30" s="5">
        <x:f>'B-PSD-B4'!$D$64</x:f>
      </x:c>
      <x:c r="N30" s="5">
        <x:v>0</x:v>
      </x:c>
      <x:c r="O30" s="5">
        <x:v>9</x:v>
      </x:c>
      <x:c r="P30" s="5" t="s">
        <x:v>58</x:v>
      </x:c>
      <x:c r="Q30" s="5">
        <x:v>0</x:v>
      </x:c>
      <x:c r="R30" s="5">
        <x:f>IF(F30=0,0,ROUND(I30/F30,0))</x:f>
      </x:c>
      <x:c r="S30" s="5">
        <x:v>15</x:v>
      </x:c>
      <x:c r="T30" s="6">
        <x:v>0.93</x:v>
      </x:c>
      <x:c r="U30" s="5">
        <x:f>E30*7-N30</x:f>
      </x:c>
      <x:c r="V30" s="5">
        <x:f>ROUND(((S30*T30*U30)/M30),0)</x:f>
      </x:c>
      <x:c r="W30" s="5">
        <x:v>15</x:v>
      </x:c>
      <x:c r="X30" s="6">
        <x:v>0.4</x:v>
      </x:c>
      <x:c r="Y30" s="5">
        <x:f>U30</x:f>
      </x:c>
      <x:c r="Z30" s="5">
        <x:f>ROUND(((W30*X30*Y30)/M30),0)</x:f>
      </x:c>
      <x:c r="AA30" s="5">
        <x:v>0</x:v>
      </x:c>
      <x:c r="AB30" s="6">
        <x:v>0</x:v>
      </x:c>
      <x:c r="AC30" s="5">
        <x:f>E30*7-N30</x:f>
      </x:c>
      <x:c r="AD30" s="5">
        <x:f>ROUND(((AA30*AB30*AC30)/M30),0)</x:f>
      </x:c>
      <x:c r="AE30" s="7">
        <x:f>S30+W30+AA30</x:f>
      </x:c>
      <x:c r="AF30" s="5">
        <x:f>ROUND( ((SUM(I29:I30)*1)/SUM(Q29:Q30)*100),1)</x:f>
      </x:c>
      <x:c r="AG30" s="5">
        <x:f>K30*M30</x:f>
      </x:c>
      <x:c r="AH30" s="5">
        <x:f>S30*U30+W30*Y30+AA30*AC30</x:f>
      </x:c>
      <x:c r="AI30" s="6">
        <x:f>IF(AH30=0,0,AG30/AH30)</x:f>
      </x:c>
    </x:row>
    <x:row r="31" spans="1:35" x14ac:dyDescent="0.2">
      <x:c r="B31" s="5" t="s">
        <x:v>62</x:v>
      </x:c>
      <x:c r="C31" s="69">
        <x:v>46286</x:v>
      </x:c>
      <x:c r="D31" s="5">
        <x:v>39</x:v>
      </x:c>
      <x:c r="E31" s="5">
        <x:v>4</x:v>
      </x:c>
      <x:c r="F31" s="5">
        <x:v>5</x:v>
      </x:c>
      <x:c r="G31" s="7">
        <x:f>(G30+H30-I30+K27)</x:f>
      </x:c>
      <x:c r="H31" s="5">
        <x:v>0</x:v>
      </x:c>
      <x:c r="I31" s="5">
        <x:f>'B-PSD-B4'!W32</x:f>
      </x:c>
      <x:c r="J31" s="26">
        <x:f>IF(I31=0,"N/S",ROUND( ( ((G31) * 1)/I31)*F31,1))</x:f>
      </x:c>
      <x:c r="K31" s="5">
        <x:f>V31+Z31+AD31</x:f>
      </x:c>
      <x:c r="L31" s="5"/>
      <x:c r="M31" s="5">
        <x:f>'B-PSD-B4'!$D$64</x:f>
      </x:c>
      <x:c r="N31" s="5">
        <x:v>0</x:v>
      </x:c>
      <x:c r="O31" s="5">
        <x:v>9</x:v>
      </x:c>
      <x:c r="P31" s="5" t="s">
        <x:v>58</x:v>
      </x:c>
      <x:c r="Q31" s="5">
        <x:v>0</x:v>
      </x:c>
      <x:c r="R31" s="5">
        <x:f>IF(F31=0,0,ROUND(I31/F31,0))</x:f>
      </x:c>
      <x:c r="S31" s="5">
        <x:v>15</x:v>
      </x:c>
      <x:c r="T31" s="6">
        <x:v>0.93</x:v>
      </x:c>
      <x:c r="U31" s="5">
        <x:f>E31*7-N31</x:f>
      </x:c>
      <x:c r="V31" s="5">
        <x:f>ROUND(((S31*T31*U31)/M31),0)</x:f>
      </x:c>
      <x:c r="W31" s="5">
        <x:v>15</x:v>
      </x:c>
      <x:c r="X31" s="6">
        <x:v>0.5</x:v>
      </x:c>
      <x:c r="Y31" s="5">
        <x:f>U31</x:f>
      </x:c>
      <x:c r="Z31" s="5">
        <x:f>ROUND(((W31*X31*Y31)/M31),0)</x:f>
      </x:c>
      <x:c r="AA31" s="5">
        <x:v>0</x:v>
      </x:c>
      <x:c r="AB31" s="6">
        <x:v>0</x:v>
      </x:c>
      <x:c r="AC31" s="5">
        <x:f>E31*7-N31</x:f>
      </x:c>
      <x:c r="AD31" s="5">
        <x:f>ROUND(((AA31*AB31*AC31)/M31),0)</x:f>
      </x:c>
      <x:c r="AE31" s="7">
        <x:f>S31+W31+AA31</x:f>
      </x:c>
      <x:c r="AF31" s="5">
        <x:f>ROUND( ((SUM(I30:I31)*1)/SUM(Q30:Q31)*100),1)</x:f>
      </x:c>
      <x:c r="AG31" s="5">
        <x:f>K31*M31</x:f>
      </x:c>
      <x:c r="AH31" s="5">
        <x:f>S31*U31+W31*Y31+AA31*AC31</x:f>
      </x:c>
      <x:c r="AI31" s="6">
        <x:f>IF(AH31=0,0,AG31/AH31)</x:f>
      </x:c>
    </x:row>
    <x:row r="32" spans="1:35" x14ac:dyDescent="0.2">
      <x:c r="B32" s="5" t="s">
        <x:v>62</x:v>
      </x:c>
      <x:c r="C32" s="69">
        <x:v>46293</x:v>
      </x:c>
      <x:c r="D32" s="5">
        <x:v>40</x:v>
      </x:c>
      <x:c r="E32" s="5">
        <x:v>5</x:v>
      </x:c>
      <x:c r="F32" s="5">
        <x:v>5</x:v>
      </x:c>
      <x:c r="G32" s="7">
        <x:f>(G31+H31-I31+K28)</x:f>
      </x:c>
      <x:c r="H32" s="5">
        <x:v>0</x:v>
      </x:c>
      <x:c r="I32" s="5">
        <x:f>'B-PSD-B4'!X32</x:f>
      </x:c>
      <x:c r="J32" s="26">
        <x:f>IF(I32=0,"N/S",ROUND( ( ((G32) * 1)/I32)*F32,1))</x:f>
      </x:c>
      <x:c r="K32" s="5">
        <x:f>V32+Z32+AD32</x:f>
      </x:c>
      <x:c r="L32" s="5"/>
      <x:c r="M32" s="5">
        <x:f>'B-PSD-B4'!$D$64</x:f>
      </x:c>
      <x:c r="N32" s="5">
        <x:v>0</x:v>
      </x:c>
      <x:c r="O32" s="5">
        <x:v>9</x:v>
      </x:c>
      <x:c r="P32" s="5" t="s">
        <x:v>58</x:v>
      </x:c>
      <x:c r="Q32" s="5">
        <x:v>0</x:v>
      </x:c>
      <x:c r="R32" s="5">
        <x:f>IF(F32=0,0,ROUND(I32/F32,0))</x:f>
      </x:c>
      <x:c r="S32" s="5">
        <x:v>15</x:v>
      </x:c>
      <x:c r="T32" s="6">
        <x:v>0.93</x:v>
      </x:c>
      <x:c r="U32" s="5">
        <x:f>E32*7-N32</x:f>
      </x:c>
      <x:c r="V32" s="5">
        <x:f>ROUND(((S32*T32*U32)/M32),0)</x:f>
      </x:c>
      <x:c r="W32" s="5">
        <x:v>15</x:v>
      </x:c>
      <x:c r="X32" s="6">
        <x:v>0.6</x:v>
      </x:c>
      <x:c r="Y32" s="5">
        <x:f>U32</x:f>
      </x:c>
      <x:c r="Z32" s="5">
        <x:f>ROUND(((W32*X32*Y32)/M32),0)</x:f>
      </x:c>
      <x:c r="AA32" s="5">
        <x:v>0</x:v>
      </x:c>
      <x:c r="AB32" s="6">
        <x:v>0</x:v>
      </x:c>
      <x:c r="AC32" s="5">
        <x:f>E32*7-N32</x:f>
      </x:c>
      <x:c r="AD32" s="5">
        <x:f>ROUND(((AA32*AB32*AC32)/M32),0)</x:f>
      </x:c>
      <x:c r="AE32" s="7">
        <x:f>S32+W32+AA32</x:f>
      </x:c>
      <x:c r="AF32" s="5">
        <x:f>ROUND( ((SUM(I31:I32)*1)/SUM(Q31:Q32)*100),1)</x:f>
      </x:c>
      <x:c r="AG32" s="5">
        <x:f>K32*M32</x:f>
      </x:c>
      <x:c r="AH32" s="5">
        <x:f>S32*U32+W32*Y32+AA32*AC32</x:f>
      </x:c>
      <x:c r="AI32" s="6">
        <x:f>IF(AH32=0,0,AG32/AH32)</x:f>
      </x:c>
    </x:row>
    <x:row r="33" spans="1:35" x14ac:dyDescent="0.2">
      <x:c r="B33" s="5" t="s">
        <x:v>63</x:v>
      </x:c>
      <x:c r="C33" s="69">
        <x:v>46300</x:v>
      </x:c>
      <x:c r="D33" s="5">
        <x:v>41</x:v>
      </x:c>
      <x:c r="E33" s="5">
        <x:v>5</x:v>
      </x:c>
      <x:c r="F33" s="5">
        <x:v>5</x:v>
      </x:c>
      <x:c r="G33" s="7">
        <x:f>(G32+H32-I32+K29)</x:f>
      </x:c>
      <x:c r="H33" s="5">
        <x:v>0</x:v>
      </x:c>
      <x:c r="I33" s="5">
        <x:f>'B-PSD-B4'!Y32</x:f>
      </x:c>
      <x:c r="J33" s="26">
        <x:f>IF(I33=0,"N/S",ROUND( ( ((G33) * 1)/I33)*F33,1))</x:f>
      </x:c>
      <x:c r="K33" s="5">
        <x:f>V33+Z33+AD33</x:f>
      </x:c>
      <x:c r="L33" s="5"/>
      <x:c r="M33" s="5">
        <x:f>'B-PSD-B4'!$D$64</x:f>
      </x:c>
      <x:c r="N33" s="5">
        <x:v>0</x:v>
      </x:c>
      <x:c r="O33" s="5">
        <x:v>10</x:v>
      </x:c>
      <x:c r="P33" s="5" t="s">
        <x:v>58</x:v>
      </x:c>
      <x:c r="Q33" s="5">
        <x:v>0</x:v>
      </x:c>
      <x:c r="R33" s="5">
        <x:f>IF(F33=0,0,ROUND(I33/F33,0))</x:f>
      </x:c>
      <x:c r="S33" s="5">
        <x:v>15</x:v>
      </x:c>
      <x:c r="T33" s="6">
        <x:v>0.93</x:v>
      </x:c>
      <x:c r="U33" s="5">
        <x:f>E33*7-N33</x:f>
      </x:c>
      <x:c r="V33" s="5">
        <x:f>ROUND(((S33*T33*U33)/M33),0)</x:f>
      </x:c>
      <x:c r="W33" s="5">
        <x:v>15</x:v>
      </x:c>
      <x:c r="X33" s="6">
        <x:v>0.75</x:v>
      </x:c>
      <x:c r="Y33" s="5">
        <x:f>U33</x:f>
      </x:c>
      <x:c r="Z33" s="5">
        <x:f>ROUND(((W33*X33*Y33)/M33),0)</x:f>
      </x:c>
      <x:c r="AA33" s="5">
        <x:v>0</x:v>
      </x:c>
      <x:c r="AB33" s="6">
        <x:v>0</x:v>
      </x:c>
      <x:c r="AC33" s="5">
        <x:f>E33*7-N33</x:f>
      </x:c>
      <x:c r="AD33" s="5">
        <x:f>ROUND(((AA33*AB33*AC33)/M33),0)</x:f>
      </x:c>
      <x:c r="AE33" s="7">
        <x:f>S33+W33+AA33</x:f>
      </x:c>
      <x:c r="AF33" s="5">
        <x:f>ROUND( ((SUM(I32:I33)*1)/SUM(Q32:Q33)*100),1)</x:f>
      </x:c>
      <x:c r="AG33" s="5">
        <x:f>K33*M33</x:f>
      </x:c>
      <x:c r="AH33" s="5">
        <x:f>S33*U33+W33*Y33+AA33*AC33</x:f>
      </x:c>
      <x:c r="AI33" s="6">
        <x:f>IF(AH33=0,0,AG33/AH33)</x:f>
      </x:c>
    </x:row>
    <x:row r="34" spans="1:35" x14ac:dyDescent="0.2">
      <x:c r="B34" s="5" t="s">
        <x:v>63</x:v>
      </x:c>
      <x:c r="C34" s="69">
        <x:v>46307</x:v>
      </x:c>
      <x:c r="D34" s="5">
        <x:v>42</x:v>
      </x:c>
      <x:c r="E34" s="5">
        <x:v>6</x:v>
      </x:c>
      <x:c r="F34" s="5">
        <x:v>5</x:v>
      </x:c>
      <x:c r="G34" s="7">
        <x:f>(G33+H33-I33+K30)</x:f>
      </x:c>
      <x:c r="H34" s="5">
        <x:v>0</x:v>
      </x:c>
      <x:c r="I34" s="5">
        <x:f>'B-PSD-B4'!Z32</x:f>
      </x:c>
      <x:c r="J34" s="26">
        <x:f>IF(I34=0,"N/S",ROUND( ( ((G34) * 1)/I34)*F34,1))</x:f>
      </x:c>
      <x:c r="K34" s="5">
        <x:f>V34+Z34+AD34</x:f>
      </x:c>
      <x:c r="L34" s="5"/>
      <x:c r="M34" s="5">
        <x:f>'B-PSD-B4'!$D$64</x:f>
      </x:c>
      <x:c r="N34" s="5">
        <x:v>0</x:v>
      </x:c>
      <x:c r="O34" s="5">
        <x:v>10</x:v>
      </x:c>
      <x:c r="P34" s="5" t="s">
        <x:v>58</x:v>
      </x:c>
      <x:c r="Q34" s="5">
        <x:v>0</x:v>
      </x:c>
      <x:c r="R34" s="5">
        <x:f>IF(F34=0,0,ROUND(I34/F34,0))</x:f>
      </x:c>
      <x:c r="S34" s="5">
        <x:v>15</x:v>
      </x:c>
      <x:c r="T34" s="6">
        <x:v>0.93</x:v>
      </x:c>
      <x:c r="U34" s="5">
        <x:f>E34*7-N34</x:f>
      </x:c>
      <x:c r="V34" s="5">
        <x:f>ROUND(((S34*T34*U34)/M34),0)</x:f>
      </x:c>
      <x:c r="W34" s="5">
        <x:v>15</x:v>
      </x:c>
      <x:c r="X34" s="6">
        <x:v>0.85</x:v>
      </x:c>
      <x:c r="Y34" s="5">
        <x:f>U34</x:f>
      </x:c>
      <x:c r="Z34" s="5">
        <x:f>ROUND(((W34*X34*Y34)/M34),0)</x:f>
      </x:c>
      <x:c r="AA34" s="5">
        <x:v>0</x:v>
      </x:c>
      <x:c r="AB34" s="6">
        <x:v>0</x:v>
      </x:c>
      <x:c r="AC34" s="5">
        <x:f>E34*7-N34</x:f>
      </x:c>
      <x:c r="AD34" s="5">
        <x:f>ROUND(((AA34*AB34*AC34)/M34),0)</x:f>
      </x:c>
      <x:c r="AE34" s="7">
        <x:f>S34+W34+AA34</x:f>
      </x:c>
      <x:c r="AF34" s="5">
        <x:f>ROUND( ((SUM(I33:I34)*1)/SUM(Q33:Q34)*100),1)</x:f>
      </x:c>
      <x:c r="AG34" s="5">
        <x:f>K34*M34</x:f>
      </x:c>
      <x:c r="AH34" s="5">
        <x:f>S34*U34+W34*Y34+AA34*AC34</x:f>
      </x:c>
      <x:c r="AI34" s="6">
        <x:f>IF(AH34=0,0,AG34/AH34)</x:f>
      </x:c>
    </x:row>
    <x:row r="35" spans="1:35" x14ac:dyDescent="0.2">
      <x:c r="B35" s="5" t="s">
        <x:v>63</x:v>
      </x:c>
      <x:c r="C35" s="69">
        <x:v>46314</x:v>
      </x:c>
      <x:c r="D35" s="5">
        <x:v>43</x:v>
      </x:c>
      <x:c r="E35" s="5">
        <x:v>6</x:v>
      </x:c>
      <x:c r="F35" s="5">
        <x:v>5</x:v>
      </x:c>
      <x:c r="G35" s="7">
        <x:f>(G34+H34-I34+K31)</x:f>
      </x:c>
      <x:c r="H35" s="5">
        <x:v>0</x:v>
      </x:c>
      <x:c r="I35" s="5">
        <x:f>'B-PSD-B4'!AA32</x:f>
      </x:c>
      <x:c r="J35" s="26">
        <x:f>IF(I35=0,"N/S",ROUND( ( ((G35) * 1)/I35)*F35,1))</x:f>
      </x:c>
      <x:c r="K35" s="5">
        <x:f>V35+Z35+AD35</x:f>
      </x:c>
      <x:c r="L35" s="5"/>
      <x:c r="M35" s="5">
        <x:f>'B-PSD-B4'!$D$64</x:f>
      </x:c>
      <x:c r="N35" s="5">
        <x:v>0</x:v>
      </x:c>
      <x:c r="O35" s="5">
        <x:v>10</x:v>
      </x:c>
      <x:c r="P35" s="5" t="s">
        <x:v>58</x:v>
      </x:c>
      <x:c r="Q35" s="5">
        <x:v>0</x:v>
      </x:c>
      <x:c r="R35" s="5">
        <x:f>IF(F35=0,0,ROUND(I35/F35,0))</x:f>
      </x:c>
      <x:c r="S35" s="5">
        <x:v>15</x:v>
      </x:c>
      <x:c r="T35" s="6">
        <x:v>0.93</x:v>
      </x:c>
      <x:c r="U35" s="5">
        <x:f>E35*7-N35</x:f>
      </x:c>
      <x:c r="V35" s="5">
        <x:f>ROUND(((S35*T35*U35)/M35),0)</x:f>
      </x:c>
      <x:c r="W35" s="5">
        <x:v>15</x:v>
      </x:c>
      <x:c r="X35" s="6">
        <x:v>0.93</x:v>
      </x:c>
      <x:c r="Y35" s="5">
        <x:f>U35</x:f>
      </x:c>
      <x:c r="Z35" s="5">
        <x:f>ROUND(((W35*X35*Y35)/M35),0)</x:f>
      </x:c>
      <x:c r="AA35" s="5">
        <x:v>0</x:v>
      </x:c>
      <x:c r="AB35" s="6">
        <x:v>0</x:v>
      </x:c>
      <x:c r="AC35" s="5">
        <x:f>E35*7-N35</x:f>
      </x:c>
      <x:c r="AD35" s="5">
        <x:f>ROUND(((AA35*AB35*AC35)/M35),0)</x:f>
      </x:c>
      <x:c r="AE35" s="7">
        <x:f>S35+W35+AA35</x:f>
      </x:c>
      <x:c r="AF35" s="5">
        <x:f>ROUND( ((SUM(I34:I35)*1)/SUM(Q34:Q35)*100),1)</x:f>
      </x:c>
      <x:c r="AG35" s="5">
        <x:f>K35*M35</x:f>
      </x:c>
      <x:c r="AH35" s="5">
        <x:f>S35*U35+W35*Y35+AA35*AC35</x:f>
      </x:c>
      <x:c r="AI35" s="6">
        <x:f>IF(AH35=0,0,AG35/AH35)</x:f>
      </x:c>
    </x:row>
    <x:row r="36" spans="1:35" x14ac:dyDescent="0.2">
      <x:c r="B36" s="5" t="s">
        <x:v>63</x:v>
      </x:c>
      <x:c r="C36" s="69">
        <x:v>46321</x:v>
      </x:c>
      <x:c r="D36" s="5">
        <x:v>44</x:v>
      </x:c>
      <x:c r="E36" s="5">
        <x:v>6</x:v>
      </x:c>
      <x:c r="F36" s="5">
        <x:v>5</x:v>
      </x:c>
      <x:c r="G36" s="7">
        <x:f>(G35+H35-I35+K32)</x:f>
      </x:c>
      <x:c r="H36" s="5">
        <x:v>0</x:v>
      </x:c>
      <x:c r="I36" s="5">
        <x:f>'B-PSD-B4'!AB32</x:f>
      </x:c>
      <x:c r="J36" s="26">
        <x:f>IF(I36=0,"N/S",ROUND( ( ((G36) * 1)/I36)*F36,1))</x:f>
      </x:c>
      <x:c r="K36" s="5">
        <x:f>V36+Z36+AD36</x:f>
      </x:c>
      <x:c r="L36" s="5"/>
      <x:c r="M36" s="5">
        <x:f>'B-PSD-B4'!$D$64</x:f>
      </x:c>
      <x:c r="N36" s="5">
        <x:v>0</x:v>
      </x:c>
      <x:c r="O36" s="5">
        <x:v>10</x:v>
      </x:c>
      <x:c r="P36" s="5" t="s">
        <x:v>58</x:v>
      </x:c>
      <x:c r="Q36" s="5">
        <x:v>0</x:v>
      </x:c>
      <x:c r="R36" s="5">
        <x:f>IF(F36=0,0,ROUND(I36/F36,0))</x:f>
      </x:c>
      <x:c r="S36" s="5">
        <x:v>15</x:v>
      </x:c>
      <x:c r="T36" s="6">
        <x:v>0.93</x:v>
      </x:c>
      <x:c r="U36" s="5">
        <x:f>E36*7-N36</x:f>
      </x:c>
      <x:c r="V36" s="5">
        <x:f>ROUND(((S36*T36*U36)/M36),0)</x:f>
      </x:c>
      <x:c r="W36" s="5">
        <x:v>15</x:v>
      </x:c>
      <x:c r="X36" s="6">
        <x:v>0.93</x:v>
      </x:c>
      <x:c r="Y36" s="5">
        <x:f>U36</x:f>
      </x:c>
      <x:c r="Z36" s="5">
        <x:f>ROUND(((W36*X36*Y36)/M36),0)</x:f>
      </x:c>
      <x:c r="AA36" s="5">
        <x:v>0</x:v>
      </x:c>
      <x:c r="AB36" s="6">
        <x:v>0</x:v>
      </x:c>
      <x:c r="AC36" s="5">
        <x:f>E36*7-N36</x:f>
      </x:c>
      <x:c r="AD36" s="5">
        <x:f>ROUND(((AA36*AB36*AC36)/M36),0)</x:f>
      </x:c>
      <x:c r="AE36" s="7">
        <x:f>S36+W36+AA36</x:f>
      </x:c>
      <x:c r="AF36" s="5">
        <x:f>ROUND( ((SUM(I35:I36)*1)/SUM(Q35:Q36)*100),1)</x:f>
      </x:c>
      <x:c r="AG36" s="5">
        <x:f>K36*M36</x:f>
      </x:c>
      <x:c r="AH36" s="5">
        <x:f>S36*U36+W36*Y36+AA36*AC36</x:f>
      </x:c>
      <x:c r="AI36" s="6">
        <x:f>IF(AH36=0,0,AG36/AH36)</x:f>
      </x:c>
    </x:row>
    <x:row r="37" spans="1:35" x14ac:dyDescent="0.2">
      <x:c r="B37" s="5" t="s">
        <x:v>64</x:v>
      </x:c>
      <x:c r="C37" s="69">
        <x:v>46328</x:v>
      </x:c>
      <x:c r="D37" s="5">
        <x:v>45</x:v>
      </x:c>
      <x:c r="E37" s="5">
        <x:v>6</x:v>
      </x:c>
      <x:c r="F37" s="5">
        <x:v>5</x:v>
      </x:c>
      <x:c r="G37" s="7">
        <x:f>(G36+H36-I36+K33)</x:f>
      </x:c>
      <x:c r="H37" s="5">
        <x:v>0</x:v>
      </x:c>
      <x:c r="I37" s="5">
        <x:f>'B-PSD-B4'!AC32</x:f>
      </x:c>
      <x:c r="J37" s="26">
        <x:f>IF(I37=0,"N/S",ROUND( ( ((G37) * 1)/I37)*F37,1))</x:f>
      </x:c>
      <x:c r="K37" s="5">
        <x:f>V37+Z37+AD37</x:f>
      </x:c>
      <x:c r="L37" s="5"/>
      <x:c r="M37" s="5">
        <x:f>'B-PSD-B4'!$D$64</x:f>
      </x:c>
      <x:c r="N37" s="5">
        <x:v>0</x:v>
      </x:c>
      <x:c r="O37" s="5">
        <x:v>11</x:v>
      </x:c>
      <x:c r="P37" s="5" t="s">
        <x:v>58</x:v>
      </x:c>
      <x:c r="Q37" s="5">
        <x:v>0</x:v>
      </x:c>
      <x:c r="R37" s="5">
        <x:f>IF(F37=0,0,ROUND(I37/F37,0))</x:f>
      </x:c>
      <x:c r="S37" s="5">
        <x:v>15</x:v>
      </x:c>
      <x:c r="T37" s="6">
        <x:v>0.93</x:v>
      </x:c>
      <x:c r="U37" s="5">
        <x:f>E37*7-N37</x:f>
      </x:c>
      <x:c r="V37" s="5">
        <x:f>ROUND(((S37*T37*U37)/M37),0)</x:f>
      </x:c>
      <x:c r="W37" s="5">
        <x:v>15</x:v>
      </x:c>
      <x:c r="X37" s="6">
        <x:v>0.93</x:v>
      </x:c>
      <x:c r="Y37" s="5">
        <x:f>U37</x:f>
      </x:c>
      <x:c r="Z37" s="5">
        <x:f>ROUND(((W37*X37*Y37)/M37),0)</x:f>
      </x:c>
      <x:c r="AA37" s="5">
        <x:v>0</x:v>
      </x:c>
      <x:c r="AB37" s="6">
        <x:v>0</x:v>
      </x:c>
      <x:c r="AC37" s="5">
        <x:f>E37*7-N37</x:f>
      </x:c>
      <x:c r="AD37" s="5">
        <x:f>ROUND(((AA37*AB37*AC37)/M37),0)</x:f>
      </x:c>
      <x:c r="AE37" s="7">
        <x:f>S37+W37+AA37</x:f>
      </x:c>
      <x:c r="AF37" s="5">
        <x:f>ROUND( ((SUM(I36:I37)*1)/SUM(Q36:Q37)*100),1)</x:f>
      </x:c>
      <x:c r="AG37" s="5">
        <x:f>K37*M37</x:f>
      </x:c>
      <x:c r="AH37" s="5">
        <x:f>S37*U37+W37*Y37+AA37*AC37</x:f>
      </x:c>
      <x:c r="AI37" s="6">
        <x:f>IF(AH37=0,0,AG37/AH37)</x:f>
      </x:c>
    </x:row>
    <x:row r="38" spans="1:35" x14ac:dyDescent="0.2">
      <x:c r="B38" s="5" t="s">
        <x:v>64</x:v>
      </x:c>
      <x:c r="C38" s="69">
        <x:v>46335</x:v>
      </x:c>
      <x:c r="D38" s="5">
        <x:v>46</x:v>
      </x:c>
      <x:c r="E38" s="5">
        <x:v>6</x:v>
      </x:c>
      <x:c r="F38" s="5">
        <x:v>5</x:v>
      </x:c>
      <x:c r="G38" s="7">
        <x:f>(G37+H37-I37+K34)</x:f>
      </x:c>
      <x:c r="H38" s="5">
        <x:v>0</x:v>
      </x:c>
      <x:c r="I38" s="5">
        <x:f>'B-PSD-B4'!AD32</x:f>
      </x:c>
      <x:c r="J38" s="26">
        <x:f>IF(I38=0,"N/S",ROUND( ( ((G38) * 1)/I38)*F38,1))</x:f>
      </x:c>
      <x:c r="K38" s="5">
        <x:f>V38+Z38+AD38</x:f>
      </x:c>
      <x:c r="L38" s="5"/>
      <x:c r="M38" s="5">
        <x:f>'B-PSD-B4'!$D$64</x:f>
      </x:c>
      <x:c r="N38" s="5">
        <x:v>0</x:v>
      </x:c>
      <x:c r="O38" s="5">
        <x:v>11</x:v>
      </x:c>
      <x:c r="P38" s="5" t="s">
        <x:v>58</x:v>
      </x:c>
      <x:c r="Q38" s="5">
        <x:v>0</x:v>
      </x:c>
      <x:c r="R38" s="5">
        <x:f>IF(F38=0,0,ROUND(I38/F38,0))</x:f>
      </x:c>
      <x:c r="S38" s="5">
        <x:v>16</x:v>
      </x:c>
      <x:c r="T38" s="6">
        <x:v>0.93</x:v>
      </x:c>
      <x:c r="U38" s="5">
        <x:f>E38*7-N38</x:f>
      </x:c>
      <x:c r="V38" s="5">
        <x:f>ROUND(((S38*T38*U38)/M38),0)</x:f>
      </x:c>
      <x:c r="W38" s="5">
        <x:v>16</x:v>
      </x:c>
      <x:c r="X38" s="6">
        <x:v>0.93</x:v>
      </x:c>
      <x:c r="Y38" s="5">
        <x:f>U38</x:f>
      </x:c>
      <x:c r="Z38" s="5">
        <x:f>ROUND(((W38*X38*Y38)/M38),0)</x:f>
      </x:c>
      <x:c r="AA38" s="5">
        <x:v>0</x:v>
      </x:c>
      <x:c r="AB38" s="6">
        <x:v>0</x:v>
      </x:c>
      <x:c r="AC38" s="5">
        <x:f>E38*7-N38</x:f>
      </x:c>
      <x:c r="AD38" s="5">
        <x:f>ROUND(((AA38*AB38*AC38)/M38),0)</x:f>
      </x:c>
      <x:c r="AE38" s="7">
        <x:f>S38+W38+AA38</x:f>
      </x:c>
      <x:c r="AF38" s="5">
        <x:f>ROUND( ((SUM(I37:I38)*1)/SUM(Q37:Q38)*100),1)</x:f>
      </x:c>
      <x:c r="AG38" s="5">
        <x:f>K38*M38</x:f>
      </x:c>
      <x:c r="AH38" s="5">
        <x:f>S38*U38+W38*Y38+AA38*AC38</x:f>
      </x:c>
      <x:c r="AI38" s="6">
        <x:f>IF(AH38=0,0,AG38/AH38)</x:f>
      </x:c>
    </x:row>
    <x:row r="39" spans="1:35" x14ac:dyDescent="0.2">
      <x:c r="B39" s="5" t="s">
        <x:v>64</x:v>
      </x:c>
      <x:c r="C39" s="69">
        <x:v>46342</x:v>
      </x:c>
      <x:c r="D39" s="5">
        <x:v>47</x:v>
      </x:c>
      <x:c r="E39" s="5">
        <x:v>6</x:v>
      </x:c>
      <x:c r="F39" s="5">
        <x:v>5</x:v>
      </x:c>
      <x:c r="G39" s="7">
        <x:f>(G38+H38-I38+K35)</x:f>
      </x:c>
      <x:c r="H39" s="5">
        <x:v>0</x:v>
      </x:c>
      <x:c r="I39" s="5">
        <x:f>'B-PSD-B4'!AE32</x:f>
      </x:c>
      <x:c r="J39" s="26">
        <x:f>IF(I39=0,"N/S",ROUND( ( ((G39) * 1)/I39)*F39,1))</x:f>
      </x:c>
      <x:c r="K39" s="5">
        <x:f>V39+Z39+AD39</x:f>
      </x:c>
      <x:c r="L39" s="5"/>
      <x:c r="M39" s="5">
        <x:f>'B-PSD-B4'!$D$64</x:f>
      </x:c>
      <x:c r="N39" s="5">
        <x:v>0</x:v>
      </x:c>
      <x:c r="O39" s="5">
        <x:v>11</x:v>
      </x:c>
      <x:c r="P39" s="5" t="s">
        <x:v>58</x:v>
      </x:c>
      <x:c r="Q39" s="5">
        <x:v>0</x:v>
      </x:c>
      <x:c r="R39" s="5">
        <x:f>IF(F39=0,0,ROUND(I39/F39,0))</x:f>
      </x:c>
      <x:c r="S39" s="5">
        <x:v>16</x:v>
      </x:c>
      <x:c r="T39" s="6">
        <x:v>0.93</x:v>
      </x:c>
      <x:c r="U39" s="5">
        <x:f>E39*7-N39</x:f>
      </x:c>
      <x:c r="V39" s="5">
        <x:f>ROUND(((S39*T39*U39)/M39),0)</x:f>
      </x:c>
      <x:c r="W39" s="5">
        <x:v>16</x:v>
      </x:c>
      <x:c r="X39" s="6">
        <x:v>0.93</x:v>
      </x:c>
      <x:c r="Y39" s="5">
        <x:f>U39</x:f>
      </x:c>
      <x:c r="Z39" s="5">
        <x:f>ROUND(((W39*X39*Y39)/M39),0)</x:f>
      </x:c>
      <x:c r="AA39" s="5">
        <x:v>0</x:v>
      </x:c>
      <x:c r="AB39" s="6">
        <x:v>0</x:v>
      </x:c>
      <x:c r="AC39" s="5">
        <x:f>E39*7-N39</x:f>
      </x:c>
      <x:c r="AD39" s="5">
        <x:f>ROUND(((AA39*AB39*AC39)/M39),0)</x:f>
      </x:c>
      <x:c r="AE39" s="7">
        <x:f>S39+W39+AA39</x:f>
      </x:c>
      <x:c r="AF39" s="5">
        <x:f>ROUND( ((SUM(I38:I39)*1)/SUM(Q38:Q39)*100),1)</x:f>
      </x:c>
      <x:c r="AG39" s="5">
        <x:f>K39*M39</x:f>
      </x:c>
      <x:c r="AH39" s="5">
        <x:f>S39*U39+W39*Y39+AA39*AC39</x:f>
      </x:c>
      <x:c r="AI39" s="6">
        <x:f>IF(AH39=0,0,AG39/AH39)</x:f>
      </x:c>
    </x:row>
    <x:row r="40" spans="1:35" x14ac:dyDescent="0.2">
      <x:c r="B40" s="5" t="s">
        <x:v>64</x:v>
      </x:c>
      <x:c r="C40" s="69">
        <x:v>46349</x:v>
      </x:c>
      <x:c r="D40" s="5">
        <x:v>48</x:v>
      </x:c>
      <x:c r="E40" s="5">
        <x:v>6</x:v>
      </x:c>
      <x:c r="F40" s="5">
        <x:v>5</x:v>
      </x:c>
      <x:c r="G40" s="7">
        <x:f>(G39+H39-I39+K36)</x:f>
      </x:c>
      <x:c r="H40" s="5">
        <x:v>0</x:v>
      </x:c>
      <x:c r="I40" s="5">
        <x:f>'B-PSD-B4'!AF32</x:f>
      </x:c>
      <x:c r="J40" s="26">
        <x:f>IF(I40=0,"N/S",ROUND( ( ((G40) * 1)/I40)*F40,1))</x:f>
      </x:c>
      <x:c r="K40" s="5">
        <x:f>V40+Z40+AD40</x:f>
      </x:c>
      <x:c r="L40" s="5"/>
      <x:c r="M40" s="5">
        <x:f>'B-PSD-B4'!$D$64</x:f>
      </x:c>
      <x:c r="N40" s="5">
        <x:v>0</x:v>
      </x:c>
      <x:c r="O40" s="5">
        <x:v>11</x:v>
      </x:c>
      <x:c r="P40" s="5" t="s">
        <x:v>58</x:v>
      </x:c>
      <x:c r="Q40" s="5">
        <x:v>0</x:v>
      </x:c>
      <x:c r="R40" s="5">
        <x:f>IF(F40=0,0,ROUND(I40/F40,0))</x:f>
      </x:c>
      <x:c r="S40" s="5">
        <x:v>16</x:v>
      </x:c>
      <x:c r="T40" s="6">
        <x:v>0.93</x:v>
      </x:c>
      <x:c r="U40" s="5">
        <x:f>E40*7-N40</x:f>
      </x:c>
      <x:c r="V40" s="5">
        <x:f>ROUND(((S40*T40*U40)/M40),0)</x:f>
      </x:c>
      <x:c r="W40" s="5">
        <x:v>16</x:v>
      </x:c>
      <x:c r="X40" s="6">
        <x:v>0.93</x:v>
      </x:c>
      <x:c r="Y40" s="5">
        <x:f>U40</x:f>
      </x:c>
      <x:c r="Z40" s="5">
        <x:f>ROUND(((W40*X40*Y40)/M40),0)</x:f>
      </x:c>
      <x:c r="AA40" s="5">
        <x:v>0</x:v>
      </x:c>
      <x:c r="AB40" s="6">
        <x:v>0</x:v>
      </x:c>
      <x:c r="AC40" s="5">
        <x:f>E40*7-N40</x:f>
      </x:c>
      <x:c r="AD40" s="5">
        <x:f>ROUND(((AA40*AB40*AC40)/M40),0)</x:f>
      </x:c>
      <x:c r="AE40" s="7">
        <x:f>S40+W40+AA40</x:f>
      </x:c>
      <x:c r="AF40" s="5">
        <x:f>ROUND( ((SUM(I39:I40)*1)/SUM(Q39:Q40)*100),1)</x:f>
      </x:c>
      <x:c r="AG40" s="5">
        <x:f>K40*M40</x:f>
      </x:c>
      <x:c r="AH40" s="5">
        <x:f>S40*U40+W40*Y40+AA40*AC40</x:f>
      </x:c>
      <x:c r="AI40" s="6">
        <x:f>IF(AH40=0,0,AG40/AH40)</x:f>
      </x:c>
    </x:row>
    <x:row r="41" spans="1:35" x14ac:dyDescent="0.2">
      <x:c r="B41" s="5" t="s">
        <x:v>64</x:v>
      </x:c>
      <x:c r="C41" s="69">
        <x:v>46356</x:v>
      </x:c>
      <x:c r="D41" s="5">
        <x:v>49</x:v>
      </x:c>
      <x:c r="E41" s="5">
        <x:v>6</x:v>
      </x:c>
      <x:c r="F41" s="5">
        <x:v>5</x:v>
      </x:c>
      <x:c r="G41" s="7">
        <x:f>(G40+H40-I40+K37)</x:f>
      </x:c>
      <x:c r="H41" s="5">
        <x:v>0</x:v>
      </x:c>
      <x:c r="I41" s="5">
        <x:f>'B-PSD-B4'!AG32</x:f>
      </x:c>
      <x:c r="J41" s="26">
        <x:f>IF(I41=0,"N/S",ROUND( ( ((G41) * 1)/I41)*F41,1))</x:f>
      </x:c>
      <x:c r="K41" s="5">
        <x:f>V41+Z41+AD41</x:f>
      </x:c>
      <x:c r="L41" s="5"/>
      <x:c r="M41" s="5">
        <x:f>'B-PSD-B4'!$D$64</x:f>
      </x:c>
      <x:c r="N41" s="5">
        <x:v>0</x:v>
      </x:c>
      <x:c r="O41" s="5">
        <x:v>11</x:v>
      </x:c>
      <x:c r="P41" s="5" t="s">
        <x:v>58</x:v>
      </x:c>
      <x:c r="Q41" s="5">
        <x:v>0</x:v>
      </x:c>
      <x:c r="R41" s="5">
        <x:f>IF(F41=0,0,ROUND(I41/F41,0))</x:f>
      </x:c>
      <x:c r="S41" s="5">
        <x:v>16</x:v>
      </x:c>
      <x:c r="T41" s="6">
        <x:v>0.93</x:v>
      </x:c>
      <x:c r="U41" s="5">
        <x:f>E41*7-N41</x:f>
      </x:c>
      <x:c r="V41" s="5">
        <x:f>ROUND(((S41*T41*U41)/M41),0)</x:f>
      </x:c>
      <x:c r="W41" s="5">
        <x:v>16</x:v>
      </x:c>
      <x:c r="X41" s="6">
        <x:v>0.93</x:v>
      </x:c>
      <x:c r="Y41" s="5">
        <x:f>U41</x:f>
      </x:c>
      <x:c r="Z41" s="5">
        <x:f>ROUND(((W41*X41*Y41)/M41),0)</x:f>
      </x:c>
      <x:c r="AA41" s="5">
        <x:v>0</x:v>
      </x:c>
      <x:c r="AB41" s="6">
        <x:v>0</x:v>
      </x:c>
      <x:c r="AC41" s="5">
        <x:f>E41*7-N41</x:f>
      </x:c>
      <x:c r="AD41" s="5">
        <x:f>ROUND(((AA41*AB41*AC41)/M41),0)</x:f>
      </x:c>
      <x:c r="AE41" s="7">
        <x:f>S41+W41+AA41</x:f>
      </x:c>
      <x:c r="AF41" s="5">
        <x:f>ROUND( ((SUM(I40:I41)*1)/SUM(Q40:Q41)*100),1)</x:f>
      </x:c>
      <x:c r="AG41" s="5">
        <x:f>K41*M41</x:f>
      </x:c>
      <x:c r="AH41" s="5">
        <x:f>S41*U41+W41*Y41+AA41*AC41</x:f>
      </x:c>
      <x:c r="AI41" s="6">
        <x:f>IF(AH41=0,0,AG41/AH41)</x:f>
      </x:c>
    </x:row>
    <x:row r="42" spans="1:35" x14ac:dyDescent="0.2">
      <x:c r="B42" s="5" t="s">
        <x:v>65</x:v>
      </x:c>
      <x:c r="C42" s="69">
        <x:v>46363</x:v>
      </x:c>
      <x:c r="D42" s="5">
        <x:v>50</x:v>
      </x:c>
      <x:c r="E42" s="5">
        <x:v>6</x:v>
      </x:c>
      <x:c r="F42" s="5">
        <x:v>5</x:v>
      </x:c>
      <x:c r="G42" s="7">
        <x:f>(G41+H41-I41+K38)</x:f>
      </x:c>
      <x:c r="H42" s="5">
        <x:v>0</x:v>
      </x:c>
      <x:c r="I42" s="5">
        <x:f>'B-PSD-B4'!AH32</x:f>
      </x:c>
      <x:c r="J42" s="26">
        <x:f>IF(I42=0,"N/S",ROUND( ( ((G42) * 1)/I42)*F42,1))</x:f>
      </x:c>
      <x:c r="K42" s="5">
        <x:f>V42+Z42+AD42</x:f>
      </x:c>
      <x:c r="L42" s="5"/>
      <x:c r="M42" s="5">
        <x:f>'B-PSD-B4'!$D$64</x:f>
      </x:c>
      <x:c r="N42" s="5">
        <x:v>0</x:v>
      </x:c>
      <x:c r="O42" s="5">
        <x:v>12</x:v>
      </x:c>
      <x:c r="P42" s="5" t="s">
        <x:v>58</x:v>
      </x:c>
      <x:c r="Q42" s="5">
        <x:v>0</x:v>
      </x:c>
      <x:c r="R42" s="5">
        <x:f>IF(F42=0,0,ROUND(I42/F42,0))</x:f>
      </x:c>
      <x:c r="S42" s="5">
        <x:v>16</x:v>
      </x:c>
      <x:c r="T42" s="6">
        <x:v>0.93</x:v>
      </x:c>
      <x:c r="U42" s="5">
        <x:f>E42*7-N42</x:f>
      </x:c>
      <x:c r="V42" s="5">
        <x:f>ROUND(((S42*T42*U42)/M42),0)</x:f>
      </x:c>
      <x:c r="W42" s="5">
        <x:v>16</x:v>
      </x:c>
      <x:c r="X42" s="6">
        <x:v>0.93</x:v>
      </x:c>
      <x:c r="Y42" s="5">
        <x:f>U42</x:f>
      </x:c>
      <x:c r="Z42" s="5">
        <x:f>ROUND(((W42*X42*Y42)/M42),0)</x:f>
      </x:c>
      <x:c r="AA42" s="5">
        <x:v>0</x:v>
      </x:c>
      <x:c r="AB42" s="6">
        <x:v>0</x:v>
      </x:c>
      <x:c r="AC42" s="5">
        <x:f>E42*7-N42</x:f>
      </x:c>
      <x:c r="AD42" s="5">
        <x:f>ROUND(((AA42*AB42*AC42)/M42),0)</x:f>
      </x:c>
      <x:c r="AE42" s="7">
        <x:f>S42+W42+AA42</x:f>
      </x:c>
      <x:c r="AF42" s="5">
        <x:f>ROUND( ((SUM(I41:I42)*1)/SUM(Q41:Q42)*100),1)</x:f>
      </x:c>
      <x:c r="AG42" s="5">
        <x:f>K42*M42</x:f>
      </x:c>
      <x:c r="AH42" s="5">
        <x:f>S42*U42+W42*Y42+AA42*AC42</x:f>
      </x:c>
      <x:c r="AI42" s="6">
        <x:f>IF(AH42=0,0,AG42/AH42)</x:f>
      </x:c>
    </x:row>
    <x:row r="43" spans="1:35" x14ac:dyDescent="0.2">
      <x:c r="B43" s="5" t="s">
        <x:v>65</x:v>
      </x:c>
      <x:c r="C43" s="69">
        <x:v>46370</x:v>
      </x:c>
      <x:c r="D43" s="5">
        <x:v>51</x:v>
      </x:c>
      <x:c r="E43" s="5">
        <x:v>6</x:v>
      </x:c>
      <x:c r="F43" s="5">
        <x:v>5</x:v>
      </x:c>
      <x:c r="G43" s="7">
        <x:f>(G42+H42-I42+K39)</x:f>
      </x:c>
      <x:c r="H43" s="5">
        <x:v>0</x:v>
      </x:c>
      <x:c r="I43" s="5">
        <x:f>'B-PSD-B4'!AI32</x:f>
      </x:c>
      <x:c r="J43" s="26">
        <x:f>IF(I43=0,"N/S",ROUND( ( ((G43) * 1)/I43)*F43,1))</x:f>
      </x:c>
      <x:c r="K43" s="5">
        <x:f>V43+Z43+AD43</x:f>
      </x:c>
      <x:c r="L43" s="5"/>
      <x:c r="M43" s="5">
        <x:f>'B-PSD-B4'!$D$64</x:f>
      </x:c>
      <x:c r="N43" s="5">
        <x:v>0</x:v>
      </x:c>
      <x:c r="O43" s="5">
        <x:v>12</x:v>
      </x:c>
      <x:c r="P43" s="5" t="s">
        <x:v>58</x:v>
      </x:c>
      <x:c r="Q43" s="5">
        <x:v>0</x:v>
      </x:c>
      <x:c r="R43" s="5">
        <x:f>IF(F43=0,0,ROUND(I43/F43,0))</x:f>
      </x:c>
      <x:c r="S43" s="5">
        <x:v>16</x:v>
      </x:c>
      <x:c r="T43" s="6">
        <x:v>0.93</x:v>
      </x:c>
      <x:c r="U43" s="5">
        <x:f>E43*7-N43</x:f>
      </x:c>
      <x:c r="V43" s="5">
        <x:f>ROUND(((S43*T43*U43)/M43),0)</x:f>
      </x:c>
      <x:c r="W43" s="5">
        <x:v>16</x:v>
      </x:c>
      <x:c r="X43" s="6">
        <x:v>0.93</x:v>
      </x:c>
      <x:c r="Y43" s="5">
        <x:f>U43</x:f>
      </x:c>
      <x:c r="Z43" s="5">
        <x:f>ROUND(((W43*X43*Y43)/M43),0)</x:f>
      </x:c>
      <x:c r="AA43" s="5">
        <x:v>0</x:v>
      </x:c>
      <x:c r="AB43" s="6">
        <x:v>0</x:v>
      </x:c>
      <x:c r="AC43" s="5">
        <x:f>E43*7-N43</x:f>
      </x:c>
      <x:c r="AD43" s="5">
        <x:f>ROUND(((AA43*AB43*AC43)/M43),0)</x:f>
      </x:c>
      <x:c r="AE43" s="7">
        <x:f>S43+W43+AA43</x:f>
      </x:c>
      <x:c r="AF43" s="5">
        <x:f>ROUND( ((SUM(I42:I43)*1)/SUM(Q42:Q43)*100),1)</x:f>
      </x:c>
      <x:c r="AG43" s="5">
        <x:f>K43*M43</x:f>
      </x:c>
      <x:c r="AH43" s="5">
        <x:f>S43*U43+W43*Y43+AA43*AC43</x:f>
      </x:c>
      <x:c r="AI43" s="6">
        <x:f>IF(AH43=0,0,AG43/AH43)</x:f>
      </x:c>
    </x:row>
    <x:row r="44" spans="1:35" x14ac:dyDescent="0.2">
      <x:c r="B44" s="5" t="s">
        <x:v>65</x:v>
      </x:c>
      <x:c r="C44" s="69">
        <x:v>46377</x:v>
      </x:c>
      <x:c r="D44" s="5">
        <x:v>52</x:v>
      </x:c>
      <x:c r="E44" s="5">
        <x:v>6</x:v>
      </x:c>
      <x:c r="F44" s="5">
        <x:v>0</x:v>
      </x:c>
      <x:c r="G44" s="7">
        <x:f>(G43+H43-I43+K40)</x:f>
      </x:c>
      <x:c r="H44" s="5">
        <x:v>0</x:v>
      </x:c>
      <x:c r="I44" s="5">
        <x:f>'B-PSD-B4'!AJ32</x:f>
      </x:c>
      <x:c r="J44" s="26">
        <x:f>IF(I44=0,"N/S",ROUND( ( ((G44) * 1)/I44)*F44,1))</x:f>
      </x:c>
      <x:c r="K44" s="5">
        <x:f>V44+Z44+AD44</x:f>
      </x:c>
      <x:c r="L44" s="5"/>
      <x:c r="M44" s="5">
        <x:f>'B-PSD-B4'!$D$64</x:f>
      </x:c>
      <x:c r="N44" s="5">
        <x:v>0</x:v>
      </x:c>
      <x:c r="O44" s="5">
        <x:v>12</x:v>
      </x:c>
      <x:c r="P44" s="5" t="s">
        <x:v>58</x:v>
      </x:c>
      <x:c r="Q44" s="5">
        <x:v>0</x:v>
      </x:c>
      <x:c r="R44" s="5">
        <x:f>IF(F44=0,0,ROUND(I44/F44,0))</x:f>
      </x:c>
      <x:c r="S44" s="5">
        <x:v>16</x:v>
      </x:c>
      <x:c r="T44" s="6">
        <x:v>0.93</x:v>
      </x:c>
      <x:c r="U44" s="5">
        <x:f>E44*7-N44</x:f>
      </x:c>
      <x:c r="V44" s="5">
        <x:f>ROUND(((S44*T44*U44)/M44),0)</x:f>
      </x:c>
      <x:c r="W44" s="5">
        <x:v>16</x:v>
      </x:c>
      <x:c r="X44" s="6">
        <x:v>0.93</x:v>
      </x:c>
      <x:c r="Y44" s="5">
        <x:f>U44</x:f>
      </x:c>
      <x:c r="Z44" s="5">
        <x:f>ROUND(((W44*X44*Y44)/M44),0)</x:f>
      </x:c>
      <x:c r="AA44" s="5">
        <x:v>0</x:v>
      </x:c>
      <x:c r="AB44" s="6">
        <x:v>0</x:v>
      </x:c>
      <x:c r="AC44" s="5">
        <x:f>E44*7-N44</x:f>
      </x:c>
      <x:c r="AD44" s="5">
        <x:f>ROUND(((AA44*AB44*AC44)/M44),0)</x:f>
      </x:c>
      <x:c r="AE44" s="7">
        <x:f>S44+W44+AA44</x:f>
      </x:c>
      <x:c r="AF44" s="5">
        <x:f>ROUND( ((SUM(I43:I44)*1)/SUM(Q43:Q44)*100),1)</x:f>
      </x:c>
      <x:c r="AG44" s="5">
        <x:f>K44*M44</x:f>
      </x:c>
      <x:c r="AH44" s="5">
        <x:f>S44*U44+W44*Y44+AA44*AC44</x:f>
      </x:c>
      <x:c r="AI44" s="6">
        <x:f>IF(AH44=0,0,AG44/AH44)</x:f>
      </x:c>
    </x:row>
    <x:row r="45" spans="1:35" x14ac:dyDescent="0.2">
      <x:c r="B45" s="5" t="s">
        <x:v>65</x:v>
      </x:c>
      <x:c r="C45" s="69">
        <x:v>46384</x:v>
      </x:c>
      <x:c r="D45" s="5">
        <x:v>53</x:v>
      </x:c>
      <x:c r="E45" s="5">
        <x:v>0</x:v>
      </x:c>
      <x:c r="F45" s="5">
        <x:v>0</x:v>
      </x:c>
      <x:c r="G45" s="7">
        <x:f>(G44+H44-I44+K41)</x:f>
      </x:c>
      <x:c r="H45" s="5">
        <x:v>0</x:v>
      </x:c>
      <x:c r="I45" s="5">
        <x:f>'B-PSD-B4'!AK32</x:f>
      </x:c>
      <x:c r="J45" s="26">
        <x:f>IF(I45=0,"N/S",ROUND( ( ((G45) * 1)/I45)*F45,1))</x:f>
      </x:c>
      <x:c r="K45" s="5">
        <x:f>V45+Z45+AD45</x:f>
      </x:c>
      <x:c r="L45" s="5"/>
      <x:c r="M45" s="5">
        <x:f>'B-PSD-B4'!$D$64</x:f>
      </x:c>
      <x:c r="N45" s="5">
        <x:v>0</x:v>
      </x:c>
      <x:c r="O45" s="5">
        <x:v>12</x:v>
      </x:c>
      <x:c r="P45" s="5" t="s">
        <x:v>58</x:v>
      </x:c>
      <x:c r="Q45" s="5">
        <x:v>0</x:v>
      </x:c>
      <x:c r="R45" s="5">
        <x:f>IF(F45=0,0,ROUND(I45/F45,0))</x:f>
      </x:c>
      <x:c r="S45" s="5">
        <x:v>16</x:v>
      </x:c>
      <x:c r="T45" s="6">
        <x:v>0.93</x:v>
      </x:c>
      <x:c r="U45" s="5">
        <x:f>E45*7-N45</x:f>
      </x:c>
      <x:c r="V45" s="5">
        <x:f>ROUND(((S45*T45*U45)/M45),0)</x:f>
      </x:c>
      <x:c r="W45" s="5">
        <x:v>16</x:v>
      </x:c>
      <x:c r="X45" s="6">
        <x:v>0.93</x:v>
      </x:c>
      <x:c r="Y45" s="5">
        <x:f>U45</x:f>
      </x:c>
      <x:c r="Z45" s="5">
        <x:f>ROUND(((W45*X45*Y45)/M45),0)</x:f>
      </x:c>
      <x:c r="AA45" s="5">
        <x:v>0</x:v>
      </x:c>
      <x:c r="AB45" s="6">
        <x:v>0</x:v>
      </x:c>
      <x:c r="AC45" s="5">
        <x:f>E45*7-N45</x:f>
      </x:c>
      <x:c r="AD45" s="5">
        <x:f>ROUND(((AA45*AB45*AC45)/M45),0)</x:f>
      </x:c>
      <x:c r="AE45" s="7">
        <x:f>S45+W45+AA45</x:f>
      </x:c>
      <x:c r="AF45" s="5">
        <x:f>ROUND( ((SUM(I44:I45)*1)/SUM(Q44:Q45)*100),1)</x:f>
      </x:c>
      <x:c r="AG45" s="5">
        <x:f>K45*M45</x:f>
      </x:c>
      <x:c r="AH45" s="5">
        <x:f>S45*U45+W45*Y45+AA45*AC45</x:f>
      </x:c>
      <x:c r="AI45" s="6">
        <x:f>IF(AH45=0,0,AG45/AH45)</x:f>
      </x:c>
    </x:row>
    <x:row r="46" spans="1:35" x14ac:dyDescent="0.2">
      <x:c r="B46" s="5" t="s">
        <x:v>66</x:v>
      </x:c>
      <x:c r="C46" s="69">
        <x:v>46391</x:v>
      </x:c>
      <x:c r="D46" s="5">
        <x:v>1</x:v>
      </x:c>
      <x:c r="E46" s="5">
        <x:v>6</x:v>
      </x:c>
      <x:c r="F46" s="5">
        <x:v>5</x:v>
      </x:c>
      <x:c r="G46" s="7">
        <x:f>(G45+H45-I45+K42)</x:f>
      </x:c>
      <x:c r="H46" s="5">
        <x:v>0</x:v>
      </x:c>
      <x:c r="I46" s="5">
        <x:f>'B-PSD-B4'!AL32</x:f>
      </x:c>
      <x:c r="J46" s="26">
        <x:f>IF(I46=0,"N/S",ROUND( ( ((G46) * 1)/I46)*F46,1))</x:f>
      </x:c>
      <x:c r="K46" s="5">
        <x:f>V46+Z46+AD46</x:f>
      </x:c>
      <x:c r="L46" s="5"/>
      <x:c r="M46" s="5">
        <x:f>'B-PSD-B4'!$D$64</x:f>
      </x:c>
      <x:c r="N46" s="5">
        <x:v>0</x:v>
      </x:c>
      <x:c r="O46" s="5">
        <x:v>1</x:v>
      </x:c>
      <x:c r="P46" s="5" t="s">
        <x:v>58</x:v>
      </x:c>
      <x:c r="Q46" s="5">
        <x:v>0</x:v>
      </x:c>
      <x:c r="R46" s="5">
        <x:f>IF(F46=0,0,ROUND(I46/F46,0))</x:f>
      </x:c>
      <x:c r="S46" s="5">
        <x:v>16</x:v>
      </x:c>
      <x:c r="T46" s="6">
        <x:v>0.93</x:v>
      </x:c>
      <x:c r="U46" s="5">
        <x:f>E46*7-N46</x:f>
      </x:c>
      <x:c r="V46" s="5">
        <x:f>ROUND(((S46*T46*U46)/M46),0)</x:f>
      </x:c>
      <x:c r="W46" s="5">
        <x:v>16</x:v>
      </x:c>
      <x:c r="X46" s="6">
        <x:v>0.93</x:v>
      </x:c>
      <x:c r="Y46" s="5">
        <x:f>U46</x:f>
      </x:c>
      <x:c r="Z46" s="5">
        <x:f>ROUND(((W46*X46*Y46)/M46),0)</x:f>
      </x:c>
      <x:c r="AA46" s="5">
        <x:v>0</x:v>
      </x:c>
      <x:c r="AB46" s="6">
        <x:v>0</x:v>
      </x:c>
      <x:c r="AC46" s="5">
        <x:f>E46*7-N46</x:f>
      </x:c>
      <x:c r="AD46" s="5">
        <x:f>ROUND(((AA46*AB46*AC46)/M46),0)</x:f>
      </x:c>
      <x:c r="AE46" s="7">
        <x:f>S46+W46+AA46</x:f>
      </x:c>
      <x:c r="AF46" s="5">
        <x:f>ROUND( ((SUM(I45:I46)*1)/SUM(Q45:Q46)*100),1)</x:f>
      </x:c>
      <x:c r="AG46" s="5">
        <x:f>K46*M46</x:f>
      </x:c>
      <x:c r="AH46" s="5">
        <x:f>S46*U46+W46*Y46+AA46*AC46</x:f>
      </x:c>
      <x:c r="AI46" s="6">
        <x:f>IF(AH46=0,0,AG46/AH46)</x:f>
      </x:c>
    </x:row>
    <x:row r="47" spans="1:35" x14ac:dyDescent="0.2">
      <x:c r="B47" s="5" t="s">
        <x:v>66</x:v>
      </x:c>
      <x:c r="C47" s="69">
        <x:v>46398</x:v>
      </x:c>
      <x:c r="D47" s="5">
        <x:v>2</x:v>
      </x:c>
      <x:c r="E47" s="5">
        <x:v>4</x:v>
      </x:c>
      <x:c r="F47" s="5">
        <x:v>5</x:v>
      </x:c>
      <x:c r="G47" s="7">
        <x:f>(G46+H46-I46+K43)</x:f>
      </x:c>
      <x:c r="H47" s="5">
        <x:v>0</x:v>
      </x:c>
      <x:c r="I47" s="5">
        <x:f>'B-PSD-B4'!AM32</x:f>
      </x:c>
      <x:c r="J47" s="26">
        <x:f>IF(I47=0,"N/S",ROUND( ( ((G47) * 1)/I47)*F47,1))</x:f>
      </x:c>
      <x:c r="K47" s="5">
        <x:f>V47+Z47+AD47</x:f>
      </x:c>
      <x:c r="L47" s="5"/>
      <x:c r="M47" s="5">
        <x:f>'B-PSD-B4'!$D$64</x:f>
      </x:c>
      <x:c r="N47" s="5">
        <x:v>0</x:v>
      </x:c>
      <x:c r="O47" s="5">
        <x:v>1</x:v>
      </x:c>
      <x:c r="P47" s="5" t="s">
        <x:v>58</x:v>
      </x:c>
      <x:c r="Q47" s="5">
        <x:v>0</x:v>
      </x:c>
      <x:c r="R47" s="5">
        <x:f>IF(F47=0,0,ROUND(I47/F47,0))</x:f>
      </x:c>
      <x:c r="S47" s="5">
        <x:v>16</x:v>
      </x:c>
      <x:c r="T47" s="6">
        <x:v>0.93</x:v>
      </x:c>
      <x:c r="U47" s="5">
        <x:f>E47*7-N47</x:f>
      </x:c>
      <x:c r="V47" s="5">
        <x:f>ROUND(((S47*T47*U47)/M47),0)</x:f>
      </x:c>
      <x:c r="W47" s="5">
        <x:v>16</x:v>
      </x:c>
      <x:c r="X47" s="6">
        <x:v>0.93</x:v>
      </x:c>
      <x:c r="Y47" s="5">
        <x:f>U47</x:f>
      </x:c>
      <x:c r="Z47" s="5">
        <x:f>ROUND(((W47*X47*Y47)/M47),0)</x:f>
      </x:c>
      <x:c r="AA47" s="5">
        <x:v>0</x:v>
      </x:c>
      <x:c r="AB47" s="6">
        <x:v>0</x:v>
      </x:c>
      <x:c r="AC47" s="5">
        <x:f>E47*7-N47</x:f>
      </x:c>
      <x:c r="AD47" s="5">
        <x:f>ROUND(((AA47*AB47*AC47)/M47),0)</x:f>
      </x:c>
      <x:c r="AE47" s="7">
        <x:f>S47+W47+AA47</x:f>
      </x:c>
      <x:c r="AF47" s="5">
        <x:f>ROUND( ((SUM(I46:I47)*1)/SUM(Q46:Q47)*100),1)</x:f>
      </x:c>
      <x:c r="AG47" s="5">
        <x:f>K47*M47</x:f>
      </x:c>
      <x:c r="AH47" s="5">
        <x:f>S47*U47+W47*Y47+AA47*AC47</x:f>
      </x:c>
      <x:c r="AI47" s="6">
        <x:f>IF(AH47=0,0,AG47/AH47)</x:f>
      </x:c>
    </x:row>
    <x:row r="48" spans="1:35" x14ac:dyDescent="0.2">
      <x:c r="B48" s="5" t="s">
        <x:v>66</x:v>
      </x:c>
      <x:c r="C48" s="69">
        <x:v>46405</x:v>
      </x:c>
      <x:c r="D48" s="5">
        <x:v>3</x:v>
      </x:c>
      <x:c r="E48" s="5">
        <x:v>6</x:v>
      </x:c>
      <x:c r="F48" s="5">
        <x:v>5</x:v>
      </x:c>
      <x:c r="G48" s="7">
        <x:f>(G47+H47-I47+K44)</x:f>
      </x:c>
      <x:c r="H48" s="5">
        <x:v>0</x:v>
      </x:c>
      <x:c r="I48" s="5">
        <x:f>'B-PSD-B4'!AN32</x:f>
      </x:c>
      <x:c r="J48" s="26">
        <x:f>IF(I48=0,"N/S",ROUND( ( ((G48) * 1)/I48)*F48,1))</x:f>
      </x:c>
      <x:c r="K48" s="5">
        <x:f>V48+Z48+AD48</x:f>
      </x:c>
      <x:c r="L48" s="5"/>
      <x:c r="M48" s="5">
        <x:f>'B-PSD-B4'!$D$64</x:f>
      </x:c>
      <x:c r="N48" s="5">
        <x:v>0</x:v>
      </x:c>
      <x:c r="O48" s="5">
        <x:v>1</x:v>
      </x:c>
      <x:c r="P48" s="5" t="s">
        <x:v>58</x:v>
      </x:c>
      <x:c r="Q48" s="5">
        <x:v>0</x:v>
      </x:c>
      <x:c r="R48" s="5">
        <x:f>IF(F48=0,0,ROUND(I48/F48,0))</x:f>
      </x:c>
      <x:c r="S48" s="5">
        <x:v>16</x:v>
      </x:c>
      <x:c r="T48" s="6">
        <x:v>0.93</x:v>
      </x:c>
      <x:c r="U48" s="5">
        <x:f>E48*7-N48</x:f>
      </x:c>
      <x:c r="V48" s="5">
        <x:f>ROUND(((S48*T48*U48)/M48),0)</x:f>
      </x:c>
      <x:c r="W48" s="5">
        <x:v>16</x:v>
      </x:c>
      <x:c r="X48" s="6">
        <x:v>0.93</x:v>
      </x:c>
      <x:c r="Y48" s="5">
        <x:f>U48</x:f>
      </x:c>
      <x:c r="Z48" s="5">
        <x:f>ROUND(((W48*X48*Y48)/M48),0)</x:f>
      </x:c>
      <x:c r="AA48" s="5">
        <x:v>0</x:v>
      </x:c>
      <x:c r="AB48" s="6">
        <x:v>0</x:v>
      </x:c>
      <x:c r="AC48" s="5">
        <x:f>E48*7-N48</x:f>
      </x:c>
      <x:c r="AD48" s="5">
        <x:f>ROUND(((AA48*AB48*AC48)/M48),0)</x:f>
      </x:c>
      <x:c r="AE48" s="7">
        <x:f>S48+W48+AA48</x:f>
      </x:c>
      <x:c r="AF48" s="5">
        <x:f>ROUND( ((SUM(I47:I48)*1)/SUM(Q47:Q48)*100),1)</x:f>
      </x:c>
      <x:c r="AG48" s="5">
        <x:f>K48*M48</x:f>
      </x:c>
      <x:c r="AH48" s="5">
        <x:f>S48*U48+W48*Y48+AA48*AC48</x:f>
      </x:c>
      <x:c r="AI48" s="6">
        <x:f>IF(AH48=0,0,AG48/AH48)</x:f>
      </x:c>
    </x:row>
    <x:row r="49" spans="1:35" x14ac:dyDescent="0.2">
      <x:c r="B49" s="5" t="s">
        <x:v>66</x:v>
      </x:c>
      <x:c r="C49" s="69">
        <x:v>46412</x:v>
      </x:c>
      <x:c r="D49" s="5">
        <x:v>4</x:v>
      </x:c>
      <x:c r="E49" s="5">
        <x:v>6</x:v>
      </x:c>
      <x:c r="F49" s="5">
        <x:v>5</x:v>
      </x:c>
      <x:c r="G49" s="7">
        <x:f>(G48+H48-I48+K45)</x:f>
      </x:c>
      <x:c r="H49" s="5">
        <x:v>0</x:v>
      </x:c>
      <x:c r="I49" s="5">
        <x:f>'B-PSD-B4'!AO32</x:f>
      </x:c>
      <x:c r="J49" s="26">
        <x:f>IF(I49=0,"N/S",ROUND( ( ((G49) * 1)/I49)*F49,1))</x:f>
      </x:c>
      <x:c r="K49" s="5">
        <x:f>V49+Z49+AD49</x:f>
      </x:c>
      <x:c r="L49" s="5"/>
      <x:c r="M49" s="5">
        <x:f>'B-PSD-B4'!$D$64</x:f>
      </x:c>
      <x:c r="N49" s="5">
        <x:v>0</x:v>
      </x:c>
      <x:c r="O49" s="5">
        <x:v>1</x:v>
      </x:c>
      <x:c r="P49" s="5" t="s">
        <x:v>58</x:v>
      </x:c>
      <x:c r="Q49" s="5">
        <x:v>0</x:v>
      </x:c>
      <x:c r="R49" s="5">
        <x:f>IF(F49=0,0,ROUND(I49/F49,0))</x:f>
      </x:c>
      <x:c r="S49" s="5">
        <x:v>16</x:v>
      </x:c>
      <x:c r="T49" s="6">
        <x:v>0.93</x:v>
      </x:c>
      <x:c r="U49" s="5">
        <x:f>E49*7-N49</x:f>
      </x:c>
      <x:c r="V49" s="5">
        <x:f>ROUND(((S49*T49*U49)/M49),0)</x:f>
      </x:c>
      <x:c r="W49" s="5">
        <x:v>16</x:v>
      </x:c>
      <x:c r="X49" s="6">
        <x:v>0.93</x:v>
      </x:c>
      <x:c r="Y49" s="5">
        <x:f>U49</x:f>
      </x:c>
      <x:c r="Z49" s="5">
        <x:f>ROUND(((W49*X49*Y49)/M49),0)</x:f>
      </x:c>
      <x:c r="AA49" s="5">
        <x:v>0</x:v>
      </x:c>
      <x:c r="AB49" s="6">
        <x:v>0</x:v>
      </x:c>
      <x:c r="AC49" s="5">
        <x:f>E49*7-N49</x:f>
      </x:c>
      <x:c r="AD49" s="5">
        <x:f>ROUND(((AA49*AB49*AC49)/M49),0)</x:f>
      </x:c>
      <x:c r="AE49" s="7">
        <x:f>S49+W49+AA49</x:f>
      </x:c>
      <x:c r="AF49" s="5">
        <x:f>ROUND( ((SUM(I48:I49)*1)/SUM(Q48:Q49)*100),1)</x:f>
      </x:c>
      <x:c r="AG49" s="5">
        <x:f>K49*M49</x:f>
      </x:c>
      <x:c r="AH49" s="5">
        <x:f>S49*U49+W49*Y49+AA49*AC49</x:f>
      </x:c>
      <x:c r="AI49" s="6">
        <x:f>IF(AH49=0,0,AG49/AH49)</x:f>
      </x:c>
    </x:row>
    <x:row r="50" spans="1:35" x14ac:dyDescent="0.2">
      <x:c r="B50" s="5" t="s">
        <x:v>67</x:v>
      </x:c>
      <x:c r="C50" s="69">
        <x:v>46419</x:v>
      </x:c>
      <x:c r="D50" s="5">
        <x:v>5</x:v>
      </x:c>
      <x:c r="E50" s="5">
        <x:v>5</x:v>
      </x:c>
      <x:c r="F50" s="5">
        <x:v>5</x:v>
      </x:c>
      <x:c r="G50" s="7">
        <x:f>(G49+H49-I49+K46)</x:f>
      </x:c>
      <x:c r="H50" s="5">
        <x:v>0</x:v>
      </x:c>
      <x:c r="I50" s="5">
        <x:f>'B-PSD-B4'!AP32</x:f>
      </x:c>
      <x:c r="J50" s="26">
        <x:f>IF(I50=0,"N/S",ROUND( ( ((G50) * 1)/I50)*F50,1))</x:f>
      </x:c>
      <x:c r="K50" s="5">
        <x:f>V50+Z50+AD50</x:f>
      </x:c>
      <x:c r="L50" s="5"/>
      <x:c r="M50" s="5">
        <x:f>'B-PSD-B4'!$D$64</x:f>
      </x:c>
      <x:c r="N50" s="5">
        <x:v>0</x:v>
      </x:c>
      <x:c r="O50" s="5">
        <x:v>2</x:v>
      </x:c>
      <x:c r="P50" s="5" t="s">
        <x:v>58</x:v>
      </x:c>
      <x:c r="Q50" s="5">
        <x:v>0</x:v>
      </x:c>
      <x:c r="R50" s="5">
        <x:f>IF(F50=0,0,ROUND(I50/F50,0))</x:f>
      </x:c>
      <x:c r="S50" s="5">
        <x:v>16</x:v>
      </x:c>
      <x:c r="T50" s="6">
        <x:v>0.93</x:v>
      </x:c>
      <x:c r="U50" s="5">
        <x:f>E50*7-N50</x:f>
      </x:c>
      <x:c r="V50" s="5">
        <x:f>ROUND(((S50*T50*U50)/M50),0)</x:f>
      </x:c>
      <x:c r="W50" s="5">
        <x:v>16</x:v>
      </x:c>
      <x:c r="X50" s="6">
        <x:v>0.93</x:v>
      </x:c>
      <x:c r="Y50" s="5">
        <x:f>U50</x:f>
      </x:c>
      <x:c r="Z50" s="5">
        <x:f>ROUND(((W50*X50*Y50)/M50),0)</x:f>
      </x:c>
      <x:c r="AA50" s="5">
        <x:v>0</x:v>
      </x:c>
      <x:c r="AB50" s="6">
        <x:v>0</x:v>
      </x:c>
      <x:c r="AC50" s="5">
        <x:f>E50*7-N50</x:f>
      </x:c>
      <x:c r="AD50" s="5">
        <x:f>ROUND(((AA50*AB50*AC50)/M50),0)</x:f>
      </x:c>
      <x:c r="AE50" s="7">
        <x:f>S50+W50+AA50</x:f>
      </x:c>
      <x:c r="AF50" s="5">
        <x:f>ROUND( ((SUM(I49:I50)*1)/SUM(Q49:Q50)*100),1)</x:f>
      </x:c>
      <x:c r="AG50" s="5">
        <x:f>K50*M50</x:f>
      </x:c>
      <x:c r="AH50" s="5">
        <x:f>S50*U50+W50*Y50+AA50*AC50</x:f>
      </x:c>
      <x:c r="AI50" s="6">
        <x:f>IF(AH50=0,0,AG50/AH50)</x:f>
      </x:c>
    </x:row>
    <x:row r="51" spans="1:35" x14ac:dyDescent="0.2">
      <x:c r="B51" s="5" t="s">
        <x:v>67</x:v>
      </x:c>
      <x:c r="C51" s="69">
        <x:v>46426</x:v>
      </x:c>
      <x:c r="D51" s="5">
        <x:v>6</x:v>
      </x:c>
      <x:c r="E51" s="5">
        <x:v>6</x:v>
      </x:c>
      <x:c r="F51" s="5">
        <x:v>5</x:v>
      </x:c>
      <x:c r="G51" s="7">
        <x:f>(G50+H50-I50+K47)</x:f>
      </x:c>
      <x:c r="H51" s="5">
        <x:v>0</x:v>
      </x:c>
      <x:c r="I51" s="5">
        <x:f>'B-PSD-B4'!AQ32</x:f>
      </x:c>
      <x:c r="J51" s="26">
        <x:f>IF(I51=0,"N/S",ROUND( ( ((G51) * 1)/I51)*F51,1))</x:f>
      </x:c>
      <x:c r="K51" s="5">
        <x:f>V51+Z51+AD51</x:f>
      </x:c>
      <x:c r="L51" s="5"/>
      <x:c r="M51" s="5">
        <x:f>'B-PSD-B4'!$D$64</x:f>
      </x:c>
      <x:c r="N51" s="5">
        <x:v>0</x:v>
      </x:c>
      <x:c r="O51" s="5">
        <x:v>2</x:v>
      </x:c>
      <x:c r="P51" s="5" t="s">
        <x:v>58</x:v>
      </x:c>
      <x:c r="Q51" s="5">
        <x:v>0</x:v>
      </x:c>
      <x:c r="R51" s="5">
        <x:f>IF(F51=0,0,ROUND(I51/F51,0))</x:f>
      </x:c>
      <x:c r="S51" s="5">
        <x:v>16</x:v>
      </x:c>
      <x:c r="T51" s="6">
        <x:v>0.93</x:v>
      </x:c>
      <x:c r="U51" s="5">
        <x:f>E51*7-N51</x:f>
      </x:c>
      <x:c r="V51" s="5">
        <x:f>ROUND(((S51*T51*U51)/M51),0)</x:f>
      </x:c>
      <x:c r="W51" s="5">
        <x:v>16</x:v>
      </x:c>
      <x:c r="X51" s="6">
        <x:v>0.93</x:v>
      </x:c>
      <x:c r="Y51" s="5">
        <x:f>U51</x:f>
      </x:c>
      <x:c r="Z51" s="5">
        <x:f>ROUND(((W51*X51*Y51)/M51),0)</x:f>
      </x:c>
      <x:c r="AA51" s="5">
        <x:v>0</x:v>
      </x:c>
      <x:c r="AB51" s="6">
        <x:v>0</x:v>
      </x:c>
      <x:c r="AC51" s="5">
        <x:f>E51*7-N51</x:f>
      </x:c>
      <x:c r="AD51" s="5">
        <x:f>ROUND(((AA51*AB51*AC51)/M51),0)</x:f>
      </x:c>
      <x:c r="AE51" s="7">
        <x:f>S51+W51+AA51</x:f>
      </x:c>
      <x:c r="AF51" s="5">
        <x:f>ROUND( ((SUM(I50:I51)*1)/SUM(Q50:Q51)*100),1)</x:f>
      </x:c>
      <x:c r="AG51" s="5">
        <x:f>K51*M51</x:f>
      </x:c>
      <x:c r="AH51" s="5">
        <x:f>S51*U51+W51*Y51+AA51*AC51</x:f>
      </x:c>
      <x:c r="AI51" s="6">
        <x:f>IF(AH51=0,0,AG51/AH51)</x:f>
      </x:c>
    </x:row>
    <x:row r="52" spans="1:35" x14ac:dyDescent="0.2">
      <x:c r="B52" s="5" t="s">
        <x:v>67</x:v>
      </x:c>
      <x:c r="C52" s="69">
        <x:v>46433</x:v>
      </x:c>
      <x:c r="D52" s="5">
        <x:v>7</x:v>
      </x:c>
      <x:c r="E52" s="79">
        <x:v>5</x:v>
      </x:c>
      <x:c r="F52" s="5">
        <x:v>5</x:v>
      </x:c>
      <x:c r="G52" s="7">
        <x:f>(G51+H51-I51+K48)</x:f>
      </x:c>
      <x:c r="H52" s="5">
        <x:v>0</x:v>
      </x:c>
      <x:c r="I52" s="5">
        <x:f>'B-PSD-B4'!AR32</x:f>
      </x:c>
      <x:c r="J52" s="26">
        <x:f>IF(I52=0,"N/S",ROUND( ( ((G52) * 1)/I52)*F52,1))</x:f>
      </x:c>
      <x:c r="K52" s="5">
        <x:f>V52+Z52+AD52</x:f>
      </x:c>
      <x:c r="L52" s="5"/>
      <x:c r="M52" s="5">
        <x:f>'B-PSD-B4'!$D$64</x:f>
      </x:c>
      <x:c r="N52" s="5">
        <x:v>0</x:v>
      </x:c>
      <x:c r="O52" s="5">
        <x:v>2</x:v>
      </x:c>
      <x:c r="P52" s="5" t="s">
        <x:v>58</x:v>
      </x:c>
      <x:c r="Q52" s="5">
        <x:v>0</x:v>
      </x:c>
      <x:c r="R52" s="5">
        <x:f>IF(F52=0,0,ROUND(I52/F52,0))</x:f>
      </x:c>
      <x:c r="S52" s="79">
        <x:v>16</x:v>
      </x:c>
      <x:c r="T52" s="80">
        <x:v>0.93</x:v>
      </x:c>
      <x:c r="U52" s="79">
        <x:f>E52*3.75-N52</x:f>
      </x:c>
      <x:c r="V52" s="79">
        <x:f>ROUND(((S52*T52*U52)/M52),0)</x:f>
      </x:c>
      <x:c r="W52" s="79">
        <x:v>16</x:v>
      </x:c>
      <x:c r="X52" s="80">
        <x:v>0.93</x:v>
      </x:c>
      <x:c r="Y52" s="79">
        <x:f>U52</x:f>
      </x:c>
      <x:c r="Z52" s="79">
        <x:f>ROUND(((W52*X52*Y52)/M52),0)</x:f>
      </x:c>
      <x:c r="AA52" s="79">
        <x:v>0</x:v>
      </x:c>
      <x:c r="AB52" s="80">
        <x:v>0</x:v>
      </x:c>
      <x:c r="AC52" s="79">
        <x:f>E52*7-N52</x:f>
      </x:c>
      <x:c r="AD52" s="79">
        <x:f>ROUND(((AA52*AB52*AC52)/M52),0)</x:f>
      </x:c>
      <x:c r="AE52" s="7">
        <x:f>S52+W52+AA52</x:f>
      </x:c>
      <x:c r="AF52" s="5">
        <x:f>ROUND( ((SUM(I51:I52)*1)/SUM(Q51:Q52)*100),1)</x:f>
      </x:c>
      <x:c r="AG52" s="5">
        <x:f>K52*M52</x:f>
      </x:c>
      <x:c r="AH52" s="5">
        <x:f>S52*U52+W52*Y52+AA52*AC52</x:f>
      </x:c>
      <x:c r="AI52" s="6">
        <x:f>IF(AH52=0,0,AG52/AH52)</x:f>
      </x:c>
    </x:row>
    <x:row r="53" spans="1:35" x14ac:dyDescent="0.2">
      <x:c r="B53" s="5" t="s">
        <x:v>67</x:v>
      </x:c>
      <x:c r="C53" s="69">
        <x:v>46440</x:v>
      </x:c>
      <x:c r="D53" s="5">
        <x:v>8</x:v>
      </x:c>
      <x:c r="E53" s="79">
        <x:v>6</x:v>
      </x:c>
      <x:c r="F53" s="5">
        <x:v>5</x:v>
      </x:c>
      <x:c r="G53" s="7">
        <x:f>(G52+H52-I52+K49)</x:f>
      </x:c>
      <x:c r="H53" s="5">
        <x:v>0</x:v>
      </x:c>
      <x:c r="I53" s="5">
        <x:f>'B-PSD-B4'!AS32</x:f>
      </x:c>
      <x:c r="J53" s="26">
        <x:f>IF(I53=0,"N/S",ROUND( ( ((G53) * 1)/I53)*F53,1))</x:f>
      </x:c>
      <x:c r="K53" s="5">
        <x:f>V53+Z53+AD53</x:f>
      </x:c>
      <x:c r="L53" s="5"/>
      <x:c r="M53" s="5">
        <x:f>'B-PSD-B4'!$D$64</x:f>
      </x:c>
      <x:c r="N53" s="5">
        <x:v>0</x:v>
      </x:c>
      <x:c r="O53" s="5">
        <x:v>2</x:v>
      </x:c>
      <x:c r="P53" s="5" t="s">
        <x:v>58</x:v>
      </x:c>
      <x:c r="Q53" s="5">
        <x:v>0</x:v>
      </x:c>
      <x:c r="R53" s="5">
        <x:f>IF(F53=0,0,ROUND(I53/F53,0))</x:f>
      </x:c>
      <x:c r="S53" s="79">
        <x:v>16</x:v>
      </x:c>
      <x:c r="T53" s="80">
        <x:v>0.93</x:v>
      </x:c>
      <x:c r="U53" s="79">
        <x:f>E53*3.75-N53</x:f>
      </x:c>
      <x:c r="V53" s="79">
        <x:f>ROUND(((S53*T53*U53)/M53),0)</x:f>
      </x:c>
      <x:c r="W53" s="79">
        <x:v>16</x:v>
      </x:c>
      <x:c r="X53" s="80">
        <x:v>0.93</x:v>
      </x:c>
      <x:c r="Y53" s="79">
        <x:f>U53</x:f>
      </x:c>
      <x:c r="Z53" s="79">
        <x:f>ROUND(((W53*X53*Y53)/M53),0)</x:f>
      </x:c>
      <x:c r="AA53" s="79">
        <x:v>0</x:v>
      </x:c>
      <x:c r="AB53" s="80">
        <x:v>0</x:v>
      </x:c>
      <x:c r="AC53" s="79">
        <x:f>E53*7-N53</x:f>
      </x:c>
      <x:c r="AD53" s="79">
        <x:f>ROUND(((AA53*AB53*AC53)/M53),0)</x:f>
      </x:c>
      <x:c r="AE53" s="7">
        <x:f>S53+W53+AA53</x:f>
      </x:c>
      <x:c r="AF53" s="5">
        <x:f>ROUND( ((SUM(I52:I53)*1)/SUM(Q52:Q53)*100),1)</x:f>
      </x:c>
      <x:c r="AG53" s="5">
        <x:f>K53*M53</x:f>
      </x:c>
      <x:c r="AH53" s="5">
        <x:f>S53*U53+W53*Y53+AA53*AC53</x:f>
      </x:c>
      <x:c r="AI53" s="6">
        <x:f>IF(AH53=0,0,AG53/AH53)</x:f>
      </x:c>
    </x:row>
    <x:row r="54" spans="1:35" x14ac:dyDescent="0.2">
      <x:c r="B54" s="5" t="s">
        <x:v>68</x:v>
      </x:c>
      <x:c r="C54" s="69">
        <x:v>46447</x:v>
      </x:c>
      <x:c r="D54" s="5">
        <x:v>9</x:v>
      </x:c>
      <x:c r="E54" s="79">
        <x:v>6</x:v>
      </x:c>
      <x:c r="F54" s="5">
        <x:v>5</x:v>
      </x:c>
      <x:c r="G54" s="7">
        <x:f>(G53+H53-I53+K50)</x:f>
      </x:c>
      <x:c r="H54" s="5">
        <x:v>0</x:v>
      </x:c>
      <x:c r="I54" s="5">
        <x:f>'B-PSD-B4'!AT32</x:f>
      </x:c>
      <x:c r="J54" s="26">
        <x:f>IF(I54=0,"N/S",ROUND( ( ((G54) * 1)/I54)*F54,1))</x:f>
      </x:c>
      <x:c r="K54" s="5">
        <x:f>V54+Z54+AD54</x:f>
      </x:c>
      <x:c r="L54" s="5"/>
      <x:c r="M54" s="5">
        <x:f>'B-PSD-B4'!$D$64</x:f>
      </x:c>
      <x:c r="N54" s="5">
        <x:v>0</x:v>
      </x:c>
      <x:c r="O54" s="5">
        <x:v>3</x:v>
      </x:c>
      <x:c r="P54" s="5" t="s">
        <x:v>58</x:v>
      </x:c>
      <x:c r="Q54" s="5">
        <x:v>0</x:v>
      </x:c>
      <x:c r="R54" s="5">
        <x:f>IF(F54=0,0,ROUND(I54/F54,0))</x:f>
      </x:c>
      <x:c r="S54" s="79">
        <x:v>16</x:v>
      </x:c>
      <x:c r="T54" s="80">
        <x:v>0.93</x:v>
      </x:c>
      <x:c r="U54" s="79">
        <x:f>E54*3.75-N54</x:f>
      </x:c>
      <x:c r="V54" s="79">
        <x:f>ROUND(((S54*T54*U54)/M54),0)</x:f>
      </x:c>
      <x:c r="W54" s="79">
        <x:v>16</x:v>
      </x:c>
      <x:c r="X54" s="80">
        <x:v>0.93</x:v>
      </x:c>
      <x:c r="Y54" s="79">
        <x:f>U54</x:f>
      </x:c>
      <x:c r="Z54" s="79">
        <x:f>ROUND(((W54*X54*Y54)/M54),0)</x:f>
      </x:c>
      <x:c r="AA54" s="79">
        <x:v>0</x:v>
      </x:c>
      <x:c r="AB54" s="80">
        <x:v>0</x:v>
      </x:c>
      <x:c r="AC54" s="79">
        <x:f>E54*7-N54</x:f>
      </x:c>
      <x:c r="AD54" s="79">
        <x:f>ROUND(((AA54*AB54*AC54)/M54),0)</x:f>
      </x:c>
      <x:c r="AE54" s="7">
        <x:f>S54+W54+AA54</x:f>
      </x:c>
      <x:c r="AF54" s="5">
        <x:f>ROUND( ((SUM(I53:I54)*1)/SUM(Q53:Q54)*100),1)</x:f>
      </x:c>
      <x:c r="AG54" s="5">
        <x:f>K54*M54</x:f>
      </x:c>
      <x:c r="AH54" s="5">
        <x:f>S54*U54+W54*Y54+AA54*AC54</x:f>
      </x:c>
      <x:c r="AI54" s="6">
        <x:f>IF(AH54=0,0,AG54/AH54)</x:f>
      </x:c>
    </x:row>
    <x:row r="55" spans="1:35" x14ac:dyDescent="0.2">
      <x:c r="B55" s="5" t="s">
        <x:v>68</x:v>
      </x:c>
      <x:c r="C55" s="69">
        <x:v>46454</x:v>
      </x:c>
      <x:c r="D55" s="5">
        <x:v>10</x:v>
      </x:c>
      <x:c r="E55" s="79">
        <x:v>6</x:v>
      </x:c>
      <x:c r="F55" s="5">
        <x:v>5</x:v>
      </x:c>
      <x:c r="G55" s="7">
        <x:f>(G54+H54-I54+K51)</x:f>
      </x:c>
      <x:c r="H55" s="5">
        <x:v>0</x:v>
      </x:c>
      <x:c r="I55" s="5">
        <x:f>'B-PSD-B4'!AU32</x:f>
      </x:c>
      <x:c r="J55" s="26">
        <x:f>IF(I55=0,"N/S",ROUND( ( ((G55) * 1)/I55)*F55,1))</x:f>
      </x:c>
      <x:c r="K55" s="5">
        <x:f>V55+Z55+AD55</x:f>
      </x:c>
      <x:c r="L55" s="5"/>
      <x:c r="M55" s="5">
        <x:f>'B-PSD-B4'!$D$64</x:f>
      </x:c>
      <x:c r="N55" s="5">
        <x:v>0</x:v>
      </x:c>
      <x:c r="O55" s="5">
        <x:v>3</x:v>
      </x:c>
      <x:c r="P55" s="5" t="s">
        <x:v>58</x:v>
      </x:c>
      <x:c r="Q55" s="5">
        <x:v>0</x:v>
      </x:c>
      <x:c r="R55" s="5">
        <x:f>IF(F55=0,0,ROUND(I55/F55,0))</x:f>
      </x:c>
      <x:c r="S55" s="79">
        <x:v>16</x:v>
      </x:c>
      <x:c r="T55" s="80">
        <x:v>0.93</x:v>
      </x:c>
      <x:c r="U55" s="79">
        <x:f>E55*3.75-N55</x:f>
      </x:c>
      <x:c r="V55" s="79">
        <x:f>ROUND(((S55*T55*U55)/M55),0)</x:f>
      </x:c>
      <x:c r="W55" s="79">
        <x:v>16</x:v>
      </x:c>
      <x:c r="X55" s="80">
        <x:v>0.93</x:v>
      </x:c>
      <x:c r="Y55" s="79">
        <x:f>U55</x:f>
      </x:c>
      <x:c r="Z55" s="79">
        <x:f>ROUND(((W55*X55*Y55)/M55),0)</x:f>
      </x:c>
      <x:c r="AA55" s="79">
        <x:v>0</x:v>
      </x:c>
      <x:c r="AB55" s="80">
        <x:v>0</x:v>
      </x:c>
      <x:c r="AC55" s="79">
        <x:f>E55*7-N55</x:f>
      </x:c>
      <x:c r="AD55" s="79">
        <x:f>ROUND(((AA55*AB55*AC55)/M55),0)</x:f>
      </x:c>
      <x:c r="AE55" s="7">
        <x:f>S55+W55+AA55</x:f>
      </x:c>
      <x:c r="AF55" s="5">
        <x:f>ROUND( ((SUM(I54:I55)*1)/SUM(Q54:Q55)*100),1)</x:f>
      </x:c>
      <x:c r="AG55" s="5">
        <x:f>K55*M55</x:f>
      </x:c>
      <x:c r="AH55" s="5">
        <x:f>S55*U55+W55*Y55+AA55*AC55</x:f>
      </x:c>
      <x:c r="AI55" s="6">
        <x:f>IF(AH55=0,0,AG55/AH55)</x:f>
      </x:c>
    </x:row>
    <x:row r="56" spans="1:35" x14ac:dyDescent="0.2">
      <x:c r="B56" s="5" t="s">
        <x:v>68</x:v>
      </x:c>
      <x:c r="C56" s="69">
        <x:v>46461</x:v>
      </x:c>
      <x:c r="D56" s="5">
        <x:v>11</x:v>
      </x:c>
      <x:c r="E56" s="79">
        <x:v>3</x:v>
      </x:c>
      <x:c r="F56" s="5">
        <x:v>5</x:v>
      </x:c>
      <x:c r="G56" s="7">
        <x:f>(G55+H55-I55+K52)</x:f>
      </x:c>
      <x:c r="H56" s="5">
        <x:v>0</x:v>
      </x:c>
      <x:c r="I56" s="5">
        <x:f>'B-PSD-B4'!AV32</x:f>
      </x:c>
      <x:c r="J56" s="26">
        <x:f>IF(I56=0,"N/S",ROUND( ( ((G56) * 1)/I56)*F56,1))</x:f>
      </x:c>
      <x:c r="K56" s="5">
        <x:f>V56+Z56+AD56</x:f>
      </x:c>
      <x:c r="L56" s="5"/>
      <x:c r="M56" s="5">
        <x:f>'B-PSD-B4'!$D$64</x:f>
      </x:c>
      <x:c r="N56" s="5">
        <x:v>0</x:v>
      </x:c>
      <x:c r="O56" s="5">
        <x:v>3</x:v>
      </x:c>
      <x:c r="P56" s="5" t="s">
        <x:v>58</x:v>
      </x:c>
      <x:c r="Q56" s="5">
        <x:v>0</x:v>
      </x:c>
      <x:c r="R56" s="5">
        <x:f>IF(F56=0,0,ROUND(I56/F56,0))</x:f>
      </x:c>
      <x:c r="S56" s="79">
        <x:v>16</x:v>
      </x:c>
      <x:c r="T56" s="80">
        <x:v>0.93</x:v>
      </x:c>
      <x:c r="U56" s="79">
        <x:f>E56*3.75-N56</x:f>
      </x:c>
      <x:c r="V56" s="79">
        <x:f>ROUND(((S56*T56*U56)/M56),0)</x:f>
      </x:c>
      <x:c r="W56" s="79">
        <x:v>16</x:v>
      </x:c>
      <x:c r="X56" s="80">
        <x:v>0.93</x:v>
      </x:c>
      <x:c r="Y56" s="79">
        <x:f>U56</x:f>
      </x:c>
      <x:c r="Z56" s="79">
        <x:f>ROUND(((W56*X56*Y56)/M56),0)</x:f>
      </x:c>
      <x:c r="AA56" s="79">
        <x:v>0</x:v>
      </x:c>
      <x:c r="AB56" s="80">
        <x:v>0</x:v>
      </x:c>
      <x:c r="AC56" s="79">
        <x:f>E56*7-N56</x:f>
      </x:c>
      <x:c r="AD56" s="79">
        <x:f>ROUND(((AA56*AB56*AC56)/M56),0)</x:f>
      </x:c>
      <x:c r="AE56" s="7">
        <x:f>S56+W56+AA56</x:f>
      </x:c>
      <x:c r="AF56" s="5">
        <x:f>ROUND( ((SUM(I55:I56)*1)/SUM(Q55:Q56)*100),1)</x:f>
      </x:c>
      <x:c r="AG56" s="5">
        <x:f>K56*M56</x:f>
      </x:c>
      <x:c r="AH56" s="5">
        <x:f>S56*U56+W56*Y56+AA56*AC56</x:f>
      </x:c>
      <x:c r="AI56" s="6">
        <x:f>IF(AH56=0,0,AG56/AH56)</x:f>
      </x:c>
    </x:row>
    <x:row r="57" spans="1:35" x14ac:dyDescent="0.2">
      <x:c r="B57" s="5" t="s">
        <x:v>68</x:v>
      </x:c>
      <x:c r="C57" s="69">
        <x:v>46468</x:v>
      </x:c>
      <x:c r="D57" s="5">
        <x:v>12</x:v>
      </x:c>
      <x:c r="E57" s="5">
        <x:v>4</x:v>
      </x:c>
      <x:c r="F57" s="5">
        <x:v>5</x:v>
      </x:c>
      <x:c r="G57" s="7">
        <x:f>(G56+H56-I56+K53)</x:f>
      </x:c>
      <x:c r="H57" s="5">
        <x:v>0</x:v>
      </x:c>
      <x:c r="I57" s="5">
        <x:f>'B-PSD-B4'!AW32</x:f>
      </x:c>
      <x:c r="J57" s="26">
        <x:f>IF(I57=0,"N/S",ROUND( ( ((G57) * 1)/I57)*F57,1))</x:f>
      </x:c>
      <x:c r="K57" s="5">
        <x:f>V57+Z57+AD57</x:f>
      </x:c>
      <x:c r="L57" s="5"/>
      <x:c r="M57" s="5">
        <x:f>'B-PSD-B4'!$D$64</x:f>
      </x:c>
      <x:c r="N57" s="5">
        <x:v>0</x:v>
      </x:c>
      <x:c r="O57" s="5">
        <x:v>3</x:v>
      </x:c>
      <x:c r="P57" s="5" t="s">
        <x:v>58</x:v>
      </x:c>
      <x:c r="Q57" s="5">
        <x:v>0</x:v>
      </x:c>
      <x:c r="R57" s="5">
        <x:f>IF(F57=0,0,ROUND(I57/F57,0))</x:f>
      </x:c>
      <x:c r="S57" s="5">
        <x:v>16</x:v>
      </x:c>
      <x:c r="T57" s="6">
        <x:v>0.93</x:v>
      </x:c>
      <x:c r="U57" s="5">
        <x:f>E57*7-N57</x:f>
      </x:c>
      <x:c r="V57" s="5">
        <x:f>ROUND(((S57*T57*U57)/M57),0)</x:f>
      </x:c>
      <x:c r="W57" s="5">
        <x:v>16</x:v>
      </x:c>
      <x:c r="X57" s="6">
        <x:v>0.93</x:v>
      </x:c>
      <x:c r="Y57" s="5">
        <x:f>U57</x:f>
      </x:c>
      <x:c r="Z57" s="5">
        <x:f>ROUND(((W57*X57*Y57)/M57),0)</x:f>
      </x:c>
      <x:c r="AA57" s="5">
        <x:v>0</x:v>
      </x:c>
      <x:c r="AB57" s="6">
        <x:v>0</x:v>
      </x:c>
      <x:c r="AC57" s="5">
        <x:f>E57*7-N57</x:f>
      </x:c>
      <x:c r="AD57" s="5">
        <x:f>ROUND(((AA57*AB57*AC57)/M57),0)</x:f>
      </x:c>
      <x:c r="AE57" s="7">
        <x:f>S57+W57+AA57</x:f>
      </x:c>
      <x:c r="AF57" s="5">
        <x:f>ROUND( ((SUM(I56:I57)*1)/SUM(Q56:Q57)*100),1)</x:f>
      </x:c>
      <x:c r="AG57" s="5">
        <x:f>K57*M57</x:f>
      </x:c>
      <x:c r="AH57" s="5">
        <x:f>S57*U57+W57*Y57+AA57*AC57</x:f>
      </x:c>
      <x:c r="AI57" s="6">
        <x:f>IF(AH57=0,0,AG57/AH57)</x:f>
      </x:c>
    </x:row>
    <x:row r="58" spans="1:35" x14ac:dyDescent="0.2">
      <x:c r="B58" s="5" t="s">
        <x:v>68</x:v>
      </x:c>
      <x:c r="C58" s="69">
        <x:v>46475</x:v>
      </x:c>
      <x:c r="D58" s="5">
        <x:v>13</x:v>
      </x:c>
      <x:c r="E58" s="5">
        <x:v>6</x:v>
      </x:c>
      <x:c r="F58" s="5">
        <x:v>5</x:v>
      </x:c>
      <x:c r="G58" s="7">
        <x:f>(G57+H57-I57+K54)</x:f>
      </x:c>
      <x:c r="H58" s="5">
        <x:v>0</x:v>
      </x:c>
      <x:c r="I58" s="5">
        <x:f>'B-PSD-B4'!AX32</x:f>
      </x:c>
      <x:c r="J58" s="26">
        <x:f>IF(I58=0,"N/S",ROUND( ( ((G58) * 1)/I58)*F58,1))</x:f>
      </x:c>
      <x:c r="K58" s="5">
        <x:f>V58+Z58+AD58</x:f>
      </x:c>
      <x:c r="L58" s="5"/>
      <x:c r="M58" s="5">
        <x:f>'B-PSD-B4'!$D$64</x:f>
      </x:c>
      <x:c r="N58" s="5">
        <x:v>0</x:v>
      </x:c>
      <x:c r="O58" s="5">
        <x:v>3</x:v>
      </x:c>
      <x:c r="P58" s="5" t="s">
        <x:v>58</x:v>
      </x:c>
      <x:c r="Q58" s="5">
        <x:v>0</x:v>
      </x:c>
      <x:c r="R58" s="5">
        <x:f>IF(F58=0,0,ROUND(I58/F58,0))</x:f>
      </x:c>
      <x:c r="S58" s="5">
        <x:v>16</x:v>
      </x:c>
      <x:c r="T58" s="6">
        <x:v>0.93</x:v>
      </x:c>
      <x:c r="U58" s="5">
        <x:f>E58*7-N58</x:f>
      </x:c>
      <x:c r="V58" s="5">
        <x:f>ROUND(((S58*T58*U58)/M58),0)</x:f>
      </x:c>
      <x:c r="W58" s="5">
        <x:v>16</x:v>
      </x:c>
      <x:c r="X58" s="6">
        <x:v>0.93</x:v>
      </x:c>
      <x:c r="Y58" s="5">
        <x:f>U58</x:f>
      </x:c>
      <x:c r="Z58" s="5">
        <x:f>ROUND(((W58*X58*Y58)/M58),0)</x:f>
      </x:c>
      <x:c r="AA58" s="5">
        <x:v>0</x:v>
      </x:c>
      <x:c r="AB58" s="6">
        <x:v>0</x:v>
      </x:c>
      <x:c r="AC58" s="5">
        <x:f>E58*7-N58</x:f>
      </x:c>
      <x:c r="AD58" s="5">
        <x:f>ROUND(((AA58*AB58*AC58)/M58),0)</x:f>
      </x:c>
      <x:c r="AE58" s="7">
        <x:f>S58+W58+AA58</x:f>
      </x:c>
      <x:c r="AF58" s="5">
        <x:f>ROUND( ((SUM(I57:I58)*1)/SUM(Q57:Q58)*100),1)</x:f>
      </x:c>
      <x:c r="AG58" s="5">
        <x:f>K58*M58</x:f>
      </x:c>
      <x:c r="AH58" s="5">
        <x:f>S58*U58+W58*Y58+AA58*AC58</x:f>
      </x:c>
      <x:c r="AI58" s="6">
        <x:f>IF(AH58=0,0,AG58/AH58)</x:f>
      </x:c>
    </x:row>
    <x:row r="59" spans="1:35" x14ac:dyDescent="0.2">
      <x:c r="B59" s="5" t="s">
        <x:v>69</x:v>
      </x:c>
      <x:c r="C59" s="69">
        <x:v>46482</x:v>
      </x:c>
      <x:c r="D59" s="5">
        <x:v>14</x:v>
      </x:c>
      <x:c r="E59" s="5">
        <x:v>4</x:v>
      </x:c>
      <x:c r="F59" s="5">
        <x:v>5</x:v>
      </x:c>
      <x:c r="G59" s="7">
        <x:f>(G58+H58-I58+K55)</x:f>
      </x:c>
      <x:c r="H59" s="5">
        <x:v>0</x:v>
      </x:c>
      <x:c r="I59" s="5">
        <x:f>'B-PSD-B4'!AY32</x:f>
      </x:c>
      <x:c r="J59" s="26">
        <x:f>IF(I59=0,"N/S",ROUND( ( ((G59) * 1)/I59)*F59,1))</x:f>
      </x:c>
      <x:c r="K59" s="5">
        <x:f>V59+Z59+AD59</x:f>
      </x:c>
      <x:c r="L59" s="5"/>
      <x:c r="M59" s="5">
        <x:f>'B-PSD-B4'!$D$64</x:f>
      </x:c>
      <x:c r="N59" s="5">
        <x:v>0</x:v>
      </x:c>
      <x:c r="O59" s="5">
        <x:v>4</x:v>
      </x:c>
      <x:c r="P59" s="5" t="s">
        <x:v>58</x:v>
      </x:c>
      <x:c r="Q59" s="5">
        <x:v>0</x:v>
      </x:c>
      <x:c r="R59" s="5">
        <x:f>IF(F59=0,0,ROUND(I59/F59,0))</x:f>
      </x:c>
      <x:c r="S59" s="5">
        <x:v>16</x:v>
      </x:c>
      <x:c r="T59" s="6">
        <x:v>0.93</x:v>
      </x:c>
      <x:c r="U59" s="5">
        <x:f>E59*7-N59</x:f>
      </x:c>
      <x:c r="V59" s="5">
        <x:f>ROUND(((S59*T59*U59)/M59),0)</x:f>
      </x:c>
      <x:c r="W59" s="5">
        <x:v>16</x:v>
      </x:c>
      <x:c r="X59" s="6">
        <x:v>0.93</x:v>
      </x:c>
      <x:c r="Y59" s="5">
        <x:f>U59</x:f>
      </x:c>
      <x:c r="Z59" s="5">
        <x:f>ROUND(((W59*X59*Y59)/M59),0)</x:f>
      </x:c>
      <x:c r="AA59" s="5">
        <x:v>0</x:v>
      </x:c>
      <x:c r="AB59" s="6">
        <x:v>0</x:v>
      </x:c>
      <x:c r="AC59" s="5">
        <x:f>E59*7-N59</x:f>
      </x:c>
      <x:c r="AD59" s="5">
        <x:f>ROUND(((AA59*AB59*AC59)/M59),0)</x:f>
      </x:c>
      <x:c r="AE59" s="7">
        <x:f>S59+W59+AA59</x:f>
      </x:c>
      <x:c r="AF59" s="5">
        <x:f>ROUND( ((SUM(I58:I59)*1)/SUM(Q58:Q59)*100),1)</x:f>
      </x:c>
      <x:c r="AG59" s="5">
        <x:f>K59*M59</x:f>
      </x:c>
      <x:c r="AH59" s="5">
        <x:f>S59*U59+W59*Y59+AA59*AC59</x:f>
      </x:c>
      <x:c r="AI59" s="6">
        <x:f>IF(AH59=0,0,AG59/AH59)</x:f>
      </x:c>
    </x:row>
    <x:row r="60" spans="1:35" x14ac:dyDescent="0.2">
      <x:c r="B60" s="5" t="s">
        <x:v>69</x:v>
      </x:c>
      <x:c r="C60" s="69">
        <x:v>46489</x:v>
      </x:c>
      <x:c r="D60" s="5">
        <x:v>15</x:v>
      </x:c>
      <x:c r="E60" s="5">
        <x:v>6</x:v>
      </x:c>
      <x:c r="F60" s="5">
        <x:v>5</x:v>
      </x:c>
      <x:c r="G60" s="7">
        <x:f>(G59+H59-I59+K56)</x:f>
      </x:c>
      <x:c r="H60" s="5">
        <x:v>0</x:v>
      </x:c>
      <x:c r="I60" s="5">
        <x:f>'B-PSD-B4'!AZ32</x:f>
      </x:c>
      <x:c r="J60" s="26">
        <x:f>IF(I60=0,"N/S",ROUND( ( ((G60) * 1)/I60)*F60,1))</x:f>
      </x:c>
      <x:c r="K60" s="5">
        <x:f>V60+Z60+AD60</x:f>
      </x:c>
      <x:c r="L60" s="5"/>
      <x:c r="M60" s="5">
        <x:f>'B-PSD-B4'!$D$64</x:f>
      </x:c>
      <x:c r="N60" s="5">
        <x:v>0</x:v>
      </x:c>
      <x:c r="O60" s="5">
        <x:v>4</x:v>
      </x:c>
      <x:c r="P60" s="5" t="s">
        <x:v>58</x:v>
      </x:c>
      <x:c r="Q60" s="5">
        <x:v>0</x:v>
      </x:c>
      <x:c r="R60" s="5">
        <x:f>IF(F60=0,0,ROUND(I60/F60,0))</x:f>
      </x:c>
      <x:c r="S60" s="5">
        <x:v>16</x:v>
      </x:c>
      <x:c r="T60" s="6">
        <x:v>0.93</x:v>
      </x:c>
      <x:c r="U60" s="5">
        <x:f>E60*7-N60</x:f>
      </x:c>
      <x:c r="V60" s="5">
        <x:f>ROUND(((S60*T60*U60)/M60),0)</x:f>
      </x:c>
      <x:c r="W60" s="5">
        <x:v>16</x:v>
      </x:c>
      <x:c r="X60" s="6">
        <x:v>0.93</x:v>
      </x:c>
      <x:c r="Y60" s="5">
        <x:f>U60</x:f>
      </x:c>
      <x:c r="Z60" s="5">
        <x:f>ROUND(((W60*X60*Y60)/M60),0)</x:f>
      </x:c>
      <x:c r="AA60" s="5">
        <x:v>0</x:v>
      </x:c>
      <x:c r="AB60" s="6">
        <x:v>0</x:v>
      </x:c>
      <x:c r="AC60" s="5">
        <x:f>E60*7-N60</x:f>
      </x:c>
      <x:c r="AD60" s="5">
        <x:f>ROUND(((AA60*AB60*AC60)/M60),0)</x:f>
      </x:c>
      <x:c r="AE60" s="7">
        <x:f>S60+W60+AA60</x:f>
      </x:c>
      <x:c r="AF60" s="5">
        <x:f>ROUND( ((SUM(I59:I60)*1)/SUM(Q59:Q60)*100),1)</x:f>
      </x:c>
      <x:c r="AG60" s="5">
        <x:f>K60*M60</x:f>
      </x:c>
      <x:c r="AH60" s="5">
        <x:f>S60*U60+W60*Y60+AA60*AC60</x:f>
      </x:c>
      <x:c r="AI60" s="6">
        <x:f>IF(AH60=0,0,AG60/AH60)</x:f>
      </x:c>
    </x:row>
    <x:row r="61" spans="1:35" x14ac:dyDescent="0.2">
      <x:c r="B61" s="5" t="s">
        <x:v>69</x:v>
      </x:c>
      <x:c r="C61" s="69">
        <x:v>46496</x:v>
      </x:c>
      <x:c r="D61" s="5">
        <x:v>16</x:v>
      </x:c>
      <x:c r="E61" s="5">
        <x:v>6</x:v>
      </x:c>
      <x:c r="F61" s="5">
        <x:v>5</x:v>
      </x:c>
      <x:c r="G61" s="7">
        <x:f>(G60+H60-I60+K57)</x:f>
      </x:c>
      <x:c r="H61" s="5">
        <x:v>0</x:v>
      </x:c>
      <x:c r="I61" s="5">
        <x:f>'B-PSD-B4'!BA32</x:f>
      </x:c>
      <x:c r="J61" s="26">
        <x:f>IF(I61=0,"N/S",ROUND( ( ((G61) * 1)/I61)*F61,1))</x:f>
      </x:c>
      <x:c r="K61" s="5">
        <x:f>V61+Z61+AD61</x:f>
      </x:c>
      <x:c r="L61" s="5"/>
      <x:c r="M61" s="5">
        <x:f>'B-PSD-B4'!$D$64</x:f>
      </x:c>
      <x:c r="N61" s="5">
        <x:v>0</x:v>
      </x:c>
      <x:c r="O61" s="5">
        <x:v>4</x:v>
      </x:c>
      <x:c r="P61" s="5" t="s">
        <x:v>58</x:v>
      </x:c>
      <x:c r="Q61" s="5">
        <x:v>0</x:v>
      </x:c>
      <x:c r="R61" s="5">
        <x:f>IF(F61=0,0,ROUND(I61/F61,0))</x:f>
      </x:c>
      <x:c r="S61" s="5">
        <x:v>16</x:v>
      </x:c>
      <x:c r="T61" s="6">
        <x:v>0.93</x:v>
      </x:c>
      <x:c r="U61" s="5">
        <x:f>E61*7-N61</x:f>
      </x:c>
      <x:c r="V61" s="5">
        <x:f>ROUND(((S61*T61*U61)/M61),0)</x:f>
      </x:c>
      <x:c r="W61" s="5">
        <x:v>16</x:v>
      </x:c>
      <x:c r="X61" s="6">
        <x:v>0.93</x:v>
      </x:c>
      <x:c r="Y61" s="5">
        <x:f>U61</x:f>
      </x:c>
      <x:c r="Z61" s="5">
        <x:f>ROUND(((W61*X61*Y61)/M61),0)</x:f>
      </x:c>
      <x:c r="AA61" s="5">
        <x:v>0</x:v>
      </x:c>
      <x:c r="AB61" s="6">
        <x:v>0</x:v>
      </x:c>
      <x:c r="AC61" s="5">
        <x:f>E61*7-N61</x:f>
      </x:c>
      <x:c r="AD61" s="5">
        <x:f>ROUND(((AA61*AB61*AC61)/M61),0)</x:f>
      </x:c>
      <x:c r="AE61" s="7">
        <x:f>S61+W61+AA61</x:f>
      </x:c>
      <x:c r="AF61" s="5">
        <x:f>ROUND( ((SUM(I60:I61)*1)/SUM(Q60:Q61)*100),1)</x:f>
      </x:c>
      <x:c r="AG61" s="5">
        <x:f>K61*M61</x:f>
      </x:c>
      <x:c r="AH61" s="5">
        <x:f>S61*U61+W61*Y61+AA61*AC61</x:f>
      </x:c>
      <x:c r="AI61" s="6">
        <x:f>IF(AH61=0,0,AG61/AH61)</x:f>
      </x:c>
    </x:row>
    <x:row r="62" spans="1:35" x14ac:dyDescent="0.2">
      <x:c r="B62" s="5" t="s">
        <x:v>69</x:v>
      </x:c>
      <x:c r="C62" s="69">
        <x:v>46503</x:v>
      </x:c>
      <x:c r="D62" s="5">
        <x:v>17</x:v>
      </x:c>
      <x:c r="E62" s="5">
        <x:v>3</x:v>
      </x:c>
      <x:c r="F62" s="5">
        <x:v>5</x:v>
      </x:c>
      <x:c r="G62" s="7">
        <x:f>(G61+H61-I61+K58)</x:f>
      </x:c>
      <x:c r="H62" s="5">
        <x:v>0</x:v>
      </x:c>
      <x:c r="I62" s="5">
        <x:f>'B-PSD-B4'!BB32</x:f>
      </x:c>
      <x:c r="J62" s="26">
        <x:f>IF(I62=0,"N/S",ROUND( ( ((G62) * 1)/I62)*F62,1))</x:f>
      </x:c>
      <x:c r="K62" s="5">
        <x:f>V62+Z62+AD62</x:f>
      </x:c>
      <x:c r="L62" s="5"/>
      <x:c r="M62" s="5">
        <x:f>'B-PSD-B4'!$D$64</x:f>
      </x:c>
      <x:c r="N62" s="5">
        <x:v>0</x:v>
      </x:c>
      <x:c r="O62" s="5">
        <x:v>4</x:v>
      </x:c>
      <x:c r="P62" s="5" t="s">
        <x:v>58</x:v>
      </x:c>
      <x:c r="Q62" s="5">
        <x:v>0</x:v>
      </x:c>
      <x:c r="R62" s="5">
        <x:f>IF(F62=0,0,ROUND(I62/F62,0))</x:f>
      </x:c>
      <x:c r="S62" s="5">
        <x:v>16</x:v>
      </x:c>
      <x:c r="T62" s="6">
        <x:v>0.93</x:v>
      </x:c>
      <x:c r="U62" s="5">
        <x:f>E62*7-N62</x:f>
      </x:c>
      <x:c r="V62" s="5">
        <x:f>ROUND(((S62*T62*U62)/M62),0)</x:f>
      </x:c>
      <x:c r="W62" s="5">
        <x:v>16</x:v>
      </x:c>
      <x:c r="X62" s="6">
        <x:v>0.93</x:v>
      </x:c>
      <x:c r="Y62" s="5">
        <x:f>U62</x:f>
      </x:c>
      <x:c r="Z62" s="5">
        <x:f>ROUND(((W62*X62*Y62)/M62),0)</x:f>
      </x:c>
      <x:c r="AA62" s="5">
        <x:v>0</x:v>
      </x:c>
      <x:c r="AB62" s="6">
        <x:v>0</x:v>
      </x:c>
      <x:c r="AC62" s="5">
        <x:f>E62*7-N62</x:f>
      </x:c>
      <x:c r="AD62" s="5">
        <x:f>ROUND(((AA62*AB62*AC62)/M62),0)</x:f>
      </x:c>
      <x:c r="AE62" s="7">
        <x:f>S62+W62+AA62</x:f>
      </x:c>
      <x:c r="AF62" s="5">
        <x:f>ROUND( ((SUM(I61:I62)*1)/SUM(Q61:Q62)*100),1)</x:f>
      </x:c>
      <x:c r="AG62" s="5">
        <x:f>K62*M62</x:f>
      </x:c>
      <x:c r="AH62" s="5">
        <x:f>S62*U62+W62*Y62+AA62*AC62</x:f>
      </x:c>
      <x:c r="AI62" s="6">
        <x:f>IF(AH62=0,0,AG62/AH62)</x:f>
      </x:c>
    </x:row>
    <x:row r="63" spans="1:35" x14ac:dyDescent="0.2">
      <x:c r="B63" s="5" t="s">
        <x:v>57</x:v>
      </x:c>
      <x:c r="C63" s="69">
        <x:v>46510</x:v>
      </x:c>
      <x:c r="D63" s="5">
        <x:v>18</x:v>
      </x:c>
      <x:c r="E63" s="5">
        <x:v>6</x:v>
      </x:c>
      <x:c r="F63" s="5">
        <x:v>5</x:v>
      </x:c>
      <x:c r="G63" s="7">
        <x:f>(G62+H62-I62+K59)</x:f>
      </x:c>
      <x:c r="H63" s="5">
        <x:v>0</x:v>
      </x:c>
      <x:c r="I63" s="5">
        <x:f>'B-PSD-B4'!BC32</x:f>
      </x:c>
      <x:c r="J63" s="26">
        <x:f>IF(I63=0,"N/S",ROUND( ( ((G63) * 1)/I63)*F63,1))</x:f>
      </x:c>
      <x:c r="K63" s="5">
        <x:f>V63+Z63+AD63</x:f>
      </x:c>
      <x:c r="L63" s="5"/>
      <x:c r="M63" s="5">
        <x:f>'B-PSD-B4'!$D$64</x:f>
      </x:c>
      <x:c r="N63" s="5">
        <x:v>0</x:v>
      </x:c>
      <x:c r="O63" s="5">
        <x:v>5</x:v>
      </x:c>
      <x:c r="P63" s="5" t="s">
        <x:v>58</x:v>
      </x:c>
      <x:c r="Q63" s="5">
        <x:v>0</x:v>
      </x:c>
      <x:c r="R63" s="5">
        <x:f>IF(F63=0,0,ROUND(I63/F63,0))</x:f>
      </x:c>
      <x:c r="S63" s="5">
        <x:v>16</x:v>
      </x:c>
      <x:c r="T63" s="6">
        <x:v>0.93</x:v>
      </x:c>
      <x:c r="U63" s="5">
        <x:f>E63*7-N63</x:f>
      </x:c>
      <x:c r="V63" s="5">
        <x:f>ROUND(((S63*T63*U63)/M63),0)</x:f>
      </x:c>
      <x:c r="W63" s="5">
        <x:v>16</x:v>
      </x:c>
      <x:c r="X63" s="6">
        <x:v>0.93</x:v>
      </x:c>
      <x:c r="Y63" s="5">
        <x:f>U63</x:f>
      </x:c>
      <x:c r="Z63" s="5">
        <x:f>ROUND(((W63*X63*Y63)/M63),0)</x:f>
      </x:c>
      <x:c r="AA63" s="5">
        <x:v>0</x:v>
      </x:c>
      <x:c r="AB63" s="6">
        <x:v>0</x:v>
      </x:c>
      <x:c r="AC63" s="5">
        <x:f>E63*7-N63</x:f>
      </x:c>
      <x:c r="AD63" s="5">
        <x:f>ROUND(((AA63*AB63*AC63)/M63),0)</x:f>
      </x:c>
      <x:c r="AE63" s="7">
        <x:f>S63+W63+AA63</x:f>
      </x:c>
      <x:c r="AF63" s="5">
        <x:f>ROUND( ((SUM(I62:I63)*1)/SUM(Q62:Q63)*100),1)</x:f>
      </x:c>
      <x:c r="AG63" s="5">
        <x:f>K63*M63</x:f>
      </x:c>
      <x:c r="AH63" s="5">
        <x:f>S63*U63+W63*Y63+AA63*AC63</x:f>
      </x:c>
      <x:c r="AI63" s="6">
        <x:f>IF(AH63=0,0,AG63/AH63)</x:f>
      </x:c>
    </x:row>
    <x:row r="64" spans="1:35" x14ac:dyDescent="0.2">
      <x:c r="B64" s="5" t="s">
        <x:v>57</x:v>
      </x:c>
      <x:c r="C64" s="69">
        <x:v>46517</x:v>
      </x:c>
      <x:c r="D64" s="5">
        <x:v>19</x:v>
      </x:c>
      <x:c r="E64" s="5">
        <x:v>3</x:v>
      </x:c>
      <x:c r="F64" s="5">
        <x:v>5</x:v>
      </x:c>
      <x:c r="G64" s="7">
        <x:f>(G63+H63-I63+K60)</x:f>
      </x:c>
      <x:c r="H64" s="5">
        <x:v>0</x:v>
      </x:c>
      <x:c r="I64" s="5">
        <x:f>'B-PSD-B4'!BD32</x:f>
      </x:c>
      <x:c r="J64" s="26">
        <x:f>IF(I64=0,"N/S",ROUND( ( ((G64) * 1)/I64)*F64,1))</x:f>
      </x:c>
      <x:c r="K64" s="5">
        <x:f>V64+Z64+AD64</x:f>
      </x:c>
      <x:c r="L64" s="5"/>
      <x:c r="M64" s="5">
        <x:f>'B-PSD-B4'!$D$64</x:f>
      </x:c>
      <x:c r="N64" s="5">
        <x:v>0</x:v>
      </x:c>
      <x:c r="O64" s="5">
        <x:v>5</x:v>
      </x:c>
      <x:c r="P64" s="5" t="s">
        <x:v>58</x:v>
      </x:c>
      <x:c r="Q64" s="5">
        <x:v>0</x:v>
      </x:c>
      <x:c r="R64" s="5">
        <x:f>IF(F64=0,0,ROUND(I64/F64,0))</x:f>
      </x:c>
      <x:c r="S64" s="5">
        <x:v>16</x:v>
      </x:c>
      <x:c r="T64" s="6">
        <x:v>0.93</x:v>
      </x:c>
      <x:c r="U64" s="5">
        <x:f>E64*7-N64</x:f>
      </x:c>
      <x:c r="V64" s="5">
        <x:f>ROUND(((S64*T64*U64)/M64),0)</x:f>
      </x:c>
      <x:c r="W64" s="5">
        <x:v>16</x:v>
      </x:c>
      <x:c r="X64" s="6">
        <x:v>0.93</x:v>
      </x:c>
      <x:c r="Y64" s="5">
        <x:f>U64</x:f>
      </x:c>
      <x:c r="Z64" s="5">
        <x:f>ROUND(((W64*X64*Y64)/M64),0)</x:f>
      </x:c>
      <x:c r="AA64" s="5">
        <x:v>0</x:v>
      </x:c>
      <x:c r="AB64" s="6">
        <x:v>0</x:v>
      </x:c>
      <x:c r="AC64" s="5">
        <x:f>E64*7-N64</x:f>
      </x:c>
      <x:c r="AD64" s="5">
        <x:f>ROUND(((AA64*AB64*AC64)/M64),0)</x:f>
      </x:c>
      <x:c r="AE64" s="7">
        <x:f>S64+W64+AA64</x:f>
      </x:c>
      <x:c r="AF64" s="5">
        <x:f>ROUND( ((SUM(I63:I64)*1)/SUM(Q63:Q64)*100),1)</x:f>
      </x:c>
      <x:c r="AG64" s="5">
        <x:f>K64*M64</x:f>
      </x:c>
      <x:c r="AH64" s="5">
        <x:f>S64*U64+W64*Y64+AA64*AC64</x:f>
      </x:c>
      <x:c r="AI64" s="6">
        <x:f>IF(AH64=0,0,AG64/AH64)</x:f>
      </x:c>
    </x:row>
    <x:row r="65" spans="1:35" x14ac:dyDescent="0.2">
      <x:c r="B65" s="5" t="s">
        <x:v>57</x:v>
      </x:c>
      <x:c r="C65" s="69">
        <x:v>46524</x:v>
      </x:c>
      <x:c r="D65" s="5">
        <x:v>20</x:v>
      </x:c>
      <x:c r="E65" s="5">
        <x:v>6</x:v>
      </x:c>
      <x:c r="F65" s="5">
        <x:v>5</x:v>
      </x:c>
      <x:c r="G65" s="7">
        <x:f>(G64+H64-I64+K61)</x:f>
      </x:c>
      <x:c r="H65" s="5">
        <x:v>0</x:v>
      </x:c>
      <x:c r="I65" s="5">
        <x:f>'B-PSD-B4'!BE32</x:f>
      </x:c>
      <x:c r="J65" s="26">
        <x:f>IF(I65=0,"N/S",ROUND( ( ((G65) * 1)/I65)*F65,1))</x:f>
      </x:c>
      <x:c r="K65" s="5">
        <x:f>V65+Z65+AD65</x:f>
      </x:c>
      <x:c r="L65" s="5"/>
      <x:c r="M65" s="5">
        <x:f>'B-PSD-B4'!$D$64</x:f>
      </x:c>
      <x:c r="N65" s="5">
        <x:v>0</x:v>
      </x:c>
      <x:c r="O65" s="5">
        <x:v>5</x:v>
      </x:c>
      <x:c r="P65" s="5" t="s">
        <x:v>58</x:v>
      </x:c>
      <x:c r="Q65" s="5">
        <x:v>0</x:v>
      </x:c>
      <x:c r="R65" s="5">
        <x:f>IF(F65=0,0,ROUND(I65/F65,0))</x:f>
      </x:c>
      <x:c r="S65" s="5">
        <x:v>16</x:v>
      </x:c>
      <x:c r="T65" s="6">
        <x:v>0.93</x:v>
      </x:c>
      <x:c r="U65" s="5">
        <x:f>E65*7-N65</x:f>
      </x:c>
      <x:c r="V65" s="5">
        <x:f>ROUND(((S65*T65*U65)/M65),0)</x:f>
      </x:c>
      <x:c r="W65" s="5">
        <x:v>16</x:v>
      </x:c>
      <x:c r="X65" s="6">
        <x:v>0.93</x:v>
      </x:c>
      <x:c r="Y65" s="5">
        <x:f>U65</x:f>
      </x:c>
      <x:c r="Z65" s="5">
        <x:f>ROUND(((W65*X65*Y65)/M65),0)</x:f>
      </x:c>
      <x:c r="AA65" s="5">
        <x:v>0</x:v>
      </x:c>
      <x:c r="AB65" s="6">
        <x:v>0</x:v>
      </x:c>
      <x:c r="AC65" s="5">
        <x:f>E65*7-N65</x:f>
      </x:c>
      <x:c r="AD65" s="5">
        <x:f>ROUND(((AA65*AB65*AC65)/M65),0)</x:f>
      </x:c>
      <x:c r="AE65" s="7">
        <x:f>S65+W65+AA65</x:f>
      </x:c>
      <x:c r="AF65" s="5">
        <x:f>ROUND( ((SUM(I64:I65)*1)/SUM(Q64:Q65)*100),1)</x:f>
      </x:c>
      <x:c r="AG65" s="5">
        <x:f>K65*M65</x:f>
      </x:c>
      <x:c r="AH65" s="5">
        <x:f>S65*U65+W65*Y65+AA65*AC65</x:f>
      </x:c>
      <x:c r="AI65" s="6">
        <x:f>IF(AH65=0,0,AG65/AH65)</x:f>
      </x:c>
    </x:row>
    <x:row r="66" spans="1:35" x14ac:dyDescent="0.2">
      <x:c r="B66" s="5" t="s">
        <x:v>57</x:v>
      </x:c>
      <x:c r="C66" s="69">
        <x:v>46531</x:v>
      </x:c>
      <x:c r="D66" s="5">
        <x:v>21</x:v>
      </x:c>
      <x:c r="E66" s="5">
        <x:v>6</x:v>
      </x:c>
      <x:c r="F66" s="5">
        <x:v>5</x:v>
      </x:c>
      <x:c r="G66" s="7">
        <x:f>(G65+H65-I65+K62)</x:f>
      </x:c>
      <x:c r="H66" s="5">
        <x:v>0</x:v>
      </x:c>
      <x:c r="I66" s="5">
        <x:f>'B-PSD-B4'!BF32</x:f>
      </x:c>
      <x:c r="J66" s="26">
        <x:f>IF(I66=0,"N/S",ROUND( ( ((G66) * 1)/I66)*F66,1))</x:f>
      </x:c>
      <x:c r="K66" s="5">
        <x:f>V66+Z66+AD66</x:f>
      </x:c>
      <x:c r="L66" s="5"/>
      <x:c r="M66" s="5">
        <x:f>'B-PSD-B4'!$D$64</x:f>
      </x:c>
      <x:c r="N66" s="5">
        <x:v>0</x:v>
      </x:c>
      <x:c r="O66" s="5">
        <x:v>5</x:v>
      </x:c>
      <x:c r="P66" s="5" t="s">
        <x:v>58</x:v>
      </x:c>
      <x:c r="Q66" s="5">
        <x:v>0</x:v>
      </x:c>
      <x:c r="R66" s="5">
        <x:f>IF(F66=0,0,ROUND(I66/F66,0))</x:f>
      </x:c>
      <x:c r="S66" s="5">
        <x:v>16</x:v>
      </x:c>
      <x:c r="T66" s="6">
        <x:v>0.93</x:v>
      </x:c>
      <x:c r="U66" s="5">
        <x:f>E66*7-N66</x:f>
      </x:c>
      <x:c r="V66" s="5">
        <x:f>ROUND(((S66*T66*U66)/M66),0)</x:f>
      </x:c>
      <x:c r="W66" s="5">
        <x:v>16</x:v>
      </x:c>
      <x:c r="X66" s="6">
        <x:v>0.93</x:v>
      </x:c>
      <x:c r="Y66" s="5">
        <x:f>U66</x:f>
      </x:c>
      <x:c r="Z66" s="5">
        <x:f>ROUND(((W66*X66*Y66)/M66),0)</x:f>
      </x:c>
      <x:c r="AA66" s="5">
        <x:v>0</x:v>
      </x:c>
      <x:c r="AB66" s="6">
        <x:v>0</x:v>
      </x:c>
      <x:c r="AC66" s="5">
        <x:f>E66*7-N66</x:f>
      </x:c>
      <x:c r="AD66" s="5">
        <x:f>ROUND(((AA66*AB66*AC66)/M66),0)</x:f>
      </x:c>
      <x:c r="AE66" s="7">
        <x:f>S66+W66+AA66</x:f>
      </x:c>
      <x:c r="AF66" s="5">
        <x:f>ROUND( ((SUM(I65:I66)*1)/SUM(Q65:Q66)*100),1)</x:f>
      </x:c>
      <x:c r="AG66" s="5">
        <x:f>K66*M66</x:f>
      </x:c>
      <x:c r="AH66" s="5">
        <x:f>S66*U66+W66*Y66+AA66*AC66</x:f>
      </x:c>
      <x:c r="AI66" s="6">
        <x:f>IF(AH66=0,0,AG66/AH66)</x:f>
      </x:c>
    </x:row>
    <x:row r="67" spans="1:35" x14ac:dyDescent="0.2">
      <x:c r="B67" s="5" t="s">
        <x:v>57</x:v>
      </x:c>
      <x:c r="C67" s="69">
        <x:v>46538</x:v>
      </x:c>
      <x:c r="D67" s="5">
        <x:v>22</x:v>
      </x:c>
      <x:c r="E67" s="5">
        <x:v>6</x:v>
      </x:c>
      <x:c r="F67" s="5">
        <x:v>5</x:v>
      </x:c>
      <x:c r="G67" s="7">
        <x:f>(G66+H66-I66+K63)</x:f>
      </x:c>
      <x:c r="H67" s="5">
        <x:v>0</x:v>
      </x:c>
      <x:c r="I67" s="5">
        <x:f>'B-PSD-B4'!BG32</x:f>
      </x:c>
      <x:c r="J67" s="26">
        <x:f>IF(I67=0,"N/S",ROUND( ( ((G67) * 1)/I67)*F67,1))</x:f>
      </x:c>
      <x:c r="K67" s="5">
        <x:f>V67+Z67+AD67</x:f>
      </x:c>
      <x:c r="L67" s="5"/>
      <x:c r="M67" s="5">
        <x:f>'B-PSD-B4'!$D$64</x:f>
      </x:c>
      <x:c r="N67" s="5">
        <x:v>0</x:v>
      </x:c>
      <x:c r="O67" s="5">
        <x:v>5</x:v>
      </x:c>
      <x:c r="P67" s="5" t="s">
        <x:v>58</x:v>
      </x:c>
      <x:c r="Q67" s="5">
        <x:v>0</x:v>
      </x:c>
      <x:c r="R67" s="5">
        <x:f>IF(F67=0,0,ROUND(I67/F67,0))</x:f>
      </x:c>
      <x:c r="S67" s="5">
        <x:v>16</x:v>
      </x:c>
      <x:c r="T67" s="6">
        <x:v>0.93</x:v>
      </x:c>
      <x:c r="U67" s="5">
        <x:f>E67*7-N67</x:f>
      </x:c>
      <x:c r="V67" s="5">
        <x:f>ROUND(((S67*T67*U67)/M67),0)</x:f>
      </x:c>
      <x:c r="W67" s="5">
        <x:v>16</x:v>
      </x:c>
      <x:c r="X67" s="6">
        <x:v>0.93</x:v>
      </x:c>
      <x:c r="Y67" s="5">
        <x:f>U67</x:f>
      </x:c>
      <x:c r="Z67" s="5">
        <x:f>ROUND(((W67*X67*Y67)/M67),0)</x:f>
      </x:c>
      <x:c r="AA67" s="5">
        <x:v>0</x:v>
      </x:c>
      <x:c r="AB67" s="6">
        <x:v>0</x:v>
      </x:c>
      <x:c r="AC67" s="5">
        <x:f>E67*7-N67</x:f>
      </x:c>
      <x:c r="AD67" s="5">
        <x:f>ROUND(((AA67*AB67*AC67)/M67),0)</x:f>
      </x:c>
      <x:c r="AE67" s="7">
        <x:f>S67+W67+AA67</x:f>
      </x:c>
      <x:c r="AF67" s="5">
        <x:f>ROUND( ((SUM(I66:I67)*1)/SUM(Q66:Q67)*100),1)</x:f>
      </x:c>
      <x:c r="AG67" s="5">
        <x:f>K67*M67</x:f>
      </x:c>
      <x:c r="AH67" s="5">
        <x:f>S67*U67+W67*Y67+AA67*AC67</x:f>
      </x:c>
      <x:c r="AI67" s="6">
        <x:f>IF(AH67=0,0,AG67/AH67)</x:f>
      </x:c>
    </x:row>
    <x:row r="68" spans="1:35" x14ac:dyDescent="0.2">
      <x:c r="B68" s="5" t="s">
        <x:v>59</x:v>
      </x:c>
      <x:c r="C68" s="69">
        <x:v>46545</x:v>
      </x:c>
      <x:c r="D68" s="5">
        <x:v>23</x:v>
      </x:c>
      <x:c r="E68" s="5">
        <x:v>6</x:v>
      </x:c>
      <x:c r="F68" s="5">
        <x:v>5</x:v>
      </x:c>
      <x:c r="G68" s="7">
        <x:f>(G67+H67-I67+K64)</x:f>
      </x:c>
      <x:c r="H68" s="5">
        <x:v>0</x:v>
      </x:c>
      <x:c r="I68" s="5">
        <x:f>'B-PSD-B4'!BH32</x:f>
      </x:c>
      <x:c r="J68" s="26">
        <x:f>IF(I68=0,"N/S",ROUND( ( ((G68) * 1)/I68)*F68,1))</x:f>
      </x:c>
      <x:c r="K68" s="5">
        <x:f>V68+Z68+AD68</x:f>
      </x:c>
      <x:c r="L68" s="5"/>
      <x:c r="M68" s="5">
        <x:f>'B-PSD-B4'!$D$64</x:f>
      </x:c>
      <x:c r="N68" s="5">
        <x:v>0</x:v>
      </x:c>
      <x:c r="O68" s="5">
        <x:v>6</x:v>
      </x:c>
      <x:c r="P68" s="5" t="s">
        <x:v>58</x:v>
      </x:c>
      <x:c r="Q68" s="5">
        <x:v>0</x:v>
      </x:c>
      <x:c r="R68" s="5">
        <x:f>IF(F68=0,0,ROUND(I68/F68,0))</x:f>
      </x:c>
      <x:c r="S68" s="5">
        <x:v>16</x:v>
      </x:c>
      <x:c r="T68" s="6">
        <x:v>0.93</x:v>
      </x:c>
      <x:c r="U68" s="5">
        <x:f>E68*7-N68</x:f>
      </x:c>
      <x:c r="V68" s="5">
        <x:f>ROUND(((S68*T68*U68)/M68),0)</x:f>
      </x:c>
      <x:c r="W68" s="5">
        <x:v>16</x:v>
      </x:c>
      <x:c r="X68" s="6">
        <x:v>0.93</x:v>
      </x:c>
      <x:c r="Y68" s="5">
        <x:f>U68</x:f>
      </x:c>
      <x:c r="Z68" s="5">
        <x:f>ROUND(((W68*X68*Y68)/M68),0)</x:f>
      </x:c>
      <x:c r="AA68" s="5">
        <x:v>0</x:v>
      </x:c>
      <x:c r="AB68" s="6">
        <x:v>0</x:v>
      </x:c>
      <x:c r="AC68" s="5">
        <x:f>E68*7-N68</x:f>
      </x:c>
      <x:c r="AD68" s="5">
        <x:f>ROUND(((AA68*AB68*AC68)/M68),0)</x:f>
      </x:c>
      <x:c r="AE68" s="7">
        <x:f>S68+W68+AA68</x:f>
      </x:c>
      <x:c r="AF68" s="5">
        <x:f>ROUND( ((SUM(I67:I68)*1)/SUM(Q67:Q68)*100),1)</x:f>
      </x:c>
      <x:c r="AG68" s="5">
        <x:f>K68*M68</x:f>
      </x:c>
      <x:c r="AH68" s="5">
        <x:f>S68*U68+W68*Y68+AA68*AC68</x:f>
      </x:c>
      <x:c r="AI68" s="6">
        <x:f>IF(AH68=0,0,AG68/AH68)</x:f>
      </x:c>
    </x:row>
    <x:row r="69" spans="1:35" x14ac:dyDescent="0.2">
      <x:c r="B69" s="5" t="s">
        <x:v>59</x:v>
      </x:c>
      <x:c r="C69" s="69">
        <x:v>46552</x:v>
      </x:c>
      <x:c r="D69" s="5">
        <x:v>24</x:v>
      </x:c>
      <x:c r="E69" s="5">
        <x:v>5</x:v>
      </x:c>
      <x:c r="F69" s="5">
        <x:v>5</x:v>
      </x:c>
      <x:c r="G69" s="7">
        <x:f>(G68+H68-I68+K65)</x:f>
      </x:c>
      <x:c r="H69" s="5">
        <x:v>0</x:v>
      </x:c>
      <x:c r="I69" s="5">
        <x:f>'B-PSD-B4'!BI32</x:f>
      </x:c>
      <x:c r="J69" s="26">
        <x:f>IF(I69=0,"N/S",ROUND( ( ((G69) * 1)/I69)*F69,1))</x:f>
      </x:c>
      <x:c r="K69" s="5">
        <x:f>V69+Z69+AD69</x:f>
      </x:c>
      <x:c r="L69" s="5"/>
      <x:c r="M69" s="5">
        <x:f>'B-PSD-B4'!$D$64</x:f>
      </x:c>
      <x:c r="N69" s="5">
        <x:v>0</x:v>
      </x:c>
      <x:c r="O69" s="5">
        <x:v>6</x:v>
      </x:c>
      <x:c r="P69" s="5" t="s">
        <x:v>58</x:v>
      </x:c>
      <x:c r="Q69" s="5">
        <x:v>0</x:v>
      </x:c>
      <x:c r="R69" s="5">
        <x:f>IF(F69=0,0,ROUND(I69/F69,0))</x:f>
      </x:c>
      <x:c r="S69" s="5">
        <x:v>16</x:v>
      </x:c>
      <x:c r="T69" s="6">
        <x:v>0.93</x:v>
      </x:c>
      <x:c r="U69" s="5">
        <x:f>E69*7-N69</x:f>
      </x:c>
      <x:c r="V69" s="5">
        <x:f>ROUND(((S69*T69*U69)/M69),0)</x:f>
      </x:c>
      <x:c r="W69" s="5">
        <x:v>16</x:v>
      </x:c>
      <x:c r="X69" s="6">
        <x:v>0.93</x:v>
      </x:c>
      <x:c r="Y69" s="5">
        <x:f>U69</x:f>
      </x:c>
      <x:c r="Z69" s="5">
        <x:f>ROUND(((W69*X69*Y69)/M69),0)</x:f>
      </x:c>
      <x:c r="AA69" s="5">
        <x:v>0</x:v>
      </x:c>
      <x:c r="AB69" s="6">
        <x:v>0</x:v>
      </x:c>
      <x:c r="AC69" s="5">
        <x:f>E69*7-N69</x:f>
      </x:c>
      <x:c r="AD69" s="5">
        <x:f>ROUND(((AA69*AB69*AC69)/M69),0)</x:f>
      </x:c>
      <x:c r="AE69" s="7">
        <x:f>S69+W69+AA69</x:f>
      </x:c>
      <x:c r="AF69" s="5">
        <x:f>ROUND( ((SUM(I68:I69)*1)/SUM(Q68:Q69)*100),1)</x:f>
      </x:c>
      <x:c r="AG69" s="5">
        <x:f>K69*M69</x:f>
      </x:c>
      <x:c r="AH69" s="5">
        <x:f>S69*U69+W69*Y69+AA69*AC69</x:f>
      </x:c>
      <x:c r="AI69" s="6">
        <x:f>IF(AH69=0,0,AG69/AH69)</x:f>
      </x:c>
    </x:row>
    <x:row r="70" spans="1:35" x14ac:dyDescent="0.2">
      <x:c r="B70" s="5" t="s">
        <x:v>59</x:v>
      </x:c>
      <x:c r="C70" s="69">
        <x:v>46559</x:v>
      </x:c>
      <x:c r="D70" s="5">
        <x:v>25</x:v>
      </x:c>
      <x:c r="E70" s="5">
        <x:v>6</x:v>
      </x:c>
      <x:c r="F70" s="5">
        <x:v>5</x:v>
      </x:c>
      <x:c r="G70" s="7">
        <x:f>(G69+H69-I69+K66)</x:f>
      </x:c>
      <x:c r="H70" s="5">
        <x:v>0</x:v>
      </x:c>
      <x:c r="I70" s="5">
        <x:f>'B-PSD-B4'!BJ32</x:f>
      </x:c>
      <x:c r="J70" s="26">
        <x:f>IF(I70=0,"N/S",ROUND( ( ((G70) * 1)/I70)*F70,1))</x:f>
      </x:c>
      <x:c r="K70" s="5">
        <x:f>V70+Z70+AD70</x:f>
      </x:c>
      <x:c r="L70" s="5"/>
      <x:c r="M70" s="5">
        <x:f>'B-PSD-B4'!$D$64</x:f>
      </x:c>
      <x:c r="N70" s="5">
        <x:v>0</x:v>
      </x:c>
      <x:c r="O70" s="5">
        <x:v>6</x:v>
      </x:c>
      <x:c r="P70" s="5" t="s">
        <x:v>58</x:v>
      </x:c>
      <x:c r="Q70" s="5">
        <x:v>0</x:v>
      </x:c>
      <x:c r="R70" s="5">
        <x:f>IF(F70=0,0,ROUND(I70/F70,0))</x:f>
      </x:c>
      <x:c r="S70" s="5">
        <x:v>16</x:v>
      </x:c>
      <x:c r="T70" s="6">
        <x:v>0.93</x:v>
      </x:c>
      <x:c r="U70" s="5">
        <x:f>E70*7-N70</x:f>
      </x:c>
      <x:c r="V70" s="5">
        <x:f>ROUND(((S70*T70*U70)/M70),0)</x:f>
      </x:c>
      <x:c r="W70" s="5">
        <x:v>16</x:v>
      </x:c>
      <x:c r="X70" s="6">
        <x:v>0.93</x:v>
      </x:c>
      <x:c r="Y70" s="5">
        <x:f>U70</x:f>
      </x:c>
      <x:c r="Z70" s="5">
        <x:f>ROUND(((W70*X70*Y70)/M70),0)</x:f>
      </x:c>
      <x:c r="AA70" s="5">
        <x:v>0</x:v>
      </x:c>
      <x:c r="AB70" s="6">
        <x:v>0</x:v>
      </x:c>
      <x:c r="AC70" s="5">
        <x:f>E70*7-N70</x:f>
      </x:c>
      <x:c r="AD70" s="5">
        <x:f>ROUND(((AA70*AB70*AC70)/M70),0)</x:f>
      </x:c>
      <x:c r="AE70" s="7">
        <x:f>S70+W70+AA70</x:f>
      </x:c>
      <x:c r="AF70" s="5">
        <x:f>ROUND( ((SUM(I69:I70)*1)/SUM(Q69:Q70)*100),1)</x:f>
      </x:c>
      <x:c r="AG70" s="5">
        <x:f>K70*M70</x:f>
      </x:c>
      <x:c r="AH70" s="5">
        <x:f>S70*U70+W70*Y70+AA70*AC70</x:f>
      </x:c>
      <x:c r="AI70" s="6">
        <x:f>IF(AH70=0,0,AG70/AH70)</x:f>
      </x:c>
    </x:row>
    <x:row r="71" spans="1:35" x14ac:dyDescent="0.2">
      <x:c r="B71" s="5" t="s">
        <x:v>59</x:v>
      </x:c>
      <x:c r="C71" s="69">
        <x:v>46566</x:v>
      </x:c>
      <x:c r="D71" s="5">
        <x:v>26</x:v>
      </x:c>
      <x:c r="E71" s="5">
        <x:v>4</x:v>
      </x:c>
      <x:c r="F71" s="5">
        <x:v>5</x:v>
      </x:c>
      <x:c r="G71" s="7">
        <x:f>(G70+H70-I70+K67)</x:f>
      </x:c>
      <x:c r="H71" s="5">
        <x:v>0</x:v>
      </x:c>
      <x:c r="I71" s="5">
        <x:f>'B-PSD-B4'!BK32</x:f>
      </x:c>
      <x:c r="J71" s="26">
        <x:f>IF(I71=0,"N/S",ROUND( ( ((G71) * 1)/I71)*F71,1))</x:f>
      </x:c>
      <x:c r="K71" s="5">
        <x:f>V71+Z71+AD71</x:f>
      </x:c>
      <x:c r="L71" s="5"/>
      <x:c r="M71" s="5">
        <x:f>'B-PSD-B4'!$D$64</x:f>
      </x:c>
      <x:c r="N71" s="5">
        <x:v>0</x:v>
      </x:c>
      <x:c r="O71" s="5">
        <x:v>6</x:v>
      </x:c>
      <x:c r="P71" s="5" t="s">
        <x:v>58</x:v>
      </x:c>
      <x:c r="Q71" s="5">
        <x:v>0</x:v>
      </x:c>
      <x:c r="R71" s="5">
        <x:f>IF(F71=0,0,ROUND(I71/F71,0))</x:f>
      </x:c>
      <x:c r="S71" s="5">
        <x:v>16</x:v>
      </x:c>
      <x:c r="T71" s="6">
        <x:v>0.93</x:v>
      </x:c>
      <x:c r="U71" s="5">
        <x:f>E71*7-N71</x:f>
      </x:c>
      <x:c r="V71" s="5">
        <x:f>ROUND(((S71*T71*U71)/M71),0)</x:f>
      </x:c>
      <x:c r="W71" s="5">
        <x:v>16</x:v>
      </x:c>
      <x:c r="X71" s="6">
        <x:v>0.93</x:v>
      </x:c>
      <x:c r="Y71" s="5">
        <x:f>U71</x:f>
      </x:c>
      <x:c r="Z71" s="5">
        <x:f>ROUND(((W71*X71*Y71)/M71),0)</x:f>
      </x:c>
      <x:c r="AA71" s="5">
        <x:v>0</x:v>
      </x:c>
      <x:c r="AB71" s="6">
        <x:v>0</x:v>
      </x:c>
      <x:c r="AC71" s="5">
        <x:f>E71*7-N71</x:f>
      </x:c>
      <x:c r="AD71" s="5">
        <x:f>ROUND(((AA71*AB71*AC71)/M71),0)</x:f>
      </x:c>
      <x:c r="AE71" s="7">
        <x:f>S71+W71+AA71</x:f>
      </x:c>
      <x:c r="AF71" s="5">
        <x:f>ROUND( ((SUM(I70:I71)*1)/SUM(Q70:Q71)*100),1)</x:f>
      </x:c>
      <x:c r="AG71" s="5">
        <x:f>K71*M71</x:f>
      </x:c>
      <x:c r="AH71" s="5">
        <x:f>S71*U71+W71*Y71+AA71*AC71</x:f>
      </x:c>
      <x:c r="AI71" s="6">
        <x:f>IF(AH71=0,0,AG71/AH71)</x:f>
      </x:c>
    </x:row>
    <x:row r="72" spans="1:35" x14ac:dyDescent="0.2">
      <x:c r="B72" s="5" t="s">
        <x:v>60</x:v>
      </x:c>
      <x:c r="C72" s="69">
        <x:v>46573</x:v>
      </x:c>
      <x:c r="D72" s="5">
        <x:v>27</x:v>
      </x:c>
      <x:c r="E72" s="5">
        <x:v>1</x:v>
      </x:c>
      <x:c r="F72" s="5">
        <x:v>5</x:v>
      </x:c>
      <x:c r="G72" s="7">
        <x:f>(G71+H71-I71+K68)</x:f>
      </x:c>
      <x:c r="H72" s="5">
        <x:v>0</x:v>
      </x:c>
      <x:c r="I72" s="5">
        <x:f>'B-PSD-B4'!BL32</x:f>
      </x:c>
      <x:c r="J72" s="26">
        <x:f>IF(I72=0,"N/S",ROUND( ( ((G72) * 1)/I72)*F72,1))</x:f>
      </x:c>
      <x:c r="K72" s="5">
        <x:f>V72+Z72+AD72</x:f>
      </x:c>
      <x:c r="L72" s="5"/>
      <x:c r="M72" s="5">
        <x:f>'B-PSD-B4'!$D$64</x:f>
      </x:c>
      <x:c r="N72" s="5">
        <x:v>0</x:v>
      </x:c>
      <x:c r="O72" s="5">
        <x:v>7</x:v>
      </x:c>
      <x:c r="P72" s="5" t="s">
        <x:v>58</x:v>
      </x:c>
      <x:c r="Q72" s="5">
        <x:v>0</x:v>
      </x:c>
      <x:c r="R72" s="5">
        <x:f>IF(F72=0,0,ROUND(I72/F72,0))</x:f>
      </x:c>
      <x:c r="S72" s="5">
        <x:v>16</x:v>
      </x:c>
      <x:c r="T72" s="6">
        <x:v>0.93</x:v>
      </x:c>
      <x:c r="U72" s="5">
        <x:f>E72*7-N72</x:f>
      </x:c>
      <x:c r="V72" s="5">
        <x:f>ROUND(((S72*T72*U72)/M72),0)</x:f>
      </x:c>
      <x:c r="W72" s="5">
        <x:v>16</x:v>
      </x:c>
      <x:c r="X72" s="6">
        <x:v>0.93</x:v>
      </x:c>
      <x:c r="Y72" s="5">
        <x:f>U72</x:f>
      </x:c>
      <x:c r="Z72" s="5">
        <x:f>ROUND(((W72*X72*Y72)/M72),0)</x:f>
      </x:c>
      <x:c r="AA72" s="5">
        <x:v>0</x:v>
      </x:c>
      <x:c r="AB72" s="6">
        <x:v>0</x:v>
      </x:c>
      <x:c r="AC72" s="5">
        <x:f>E72*7-N72</x:f>
      </x:c>
      <x:c r="AD72" s="5">
        <x:f>ROUND(((AA72*AB72*AC72)/M72),0)</x:f>
      </x:c>
      <x:c r="AE72" s="7">
        <x:f>S72+W72+AA72</x:f>
      </x:c>
      <x:c r="AF72" s="5">
        <x:f>ROUND( ((SUM(I71:I72)*1)/SUM(Q71:Q72)*100),1)</x:f>
      </x:c>
      <x:c r="AG72" s="5">
        <x:f>K72*M72</x:f>
      </x:c>
      <x:c r="AH72" s="5">
        <x:f>S72*U72+W72*Y72+AA72*AC72</x:f>
      </x:c>
      <x:c r="AI72" s="6">
        <x:f>IF(AH72=0,0,AG72/AH72)</x:f>
      </x:c>
    </x:row>
    <x:row r="73" spans="1:35" x14ac:dyDescent="0.2">
      <x:c r="B73" s="5" t="s">
        <x:v>60</x:v>
      </x:c>
      <x:c r="C73" s="69">
        <x:v>46580</x:v>
      </x:c>
      <x:c r="D73" s="5">
        <x:v>28</x:v>
      </x:c>
      <x:c r="E73" s="5">
        <x:v>6</x:v>
      </x:c>
      <x:c r="F73" s="5">
        <x:v>5</x:v>
      </x:c>
      <x:c r="G73" s="7">
        <x:f>(G72+H72-I72+K69)</x:f>
      </x:c>
      <x:c r="H73" s="5">
        <x:v>0</x:v>
      </x:c>
      <x:c r="I73" s="5">
        <x:f>'B-PSD-B4'!BM32</x:f>
      </x:c>
      <x:c r="J73" s="26">
        <x:f>IF(I73=0,"N/S",ROUND( ( ((G73) * 1)/I73)*F73,1))</x:f>
      </x:c>
      <x:c r="K73" s="5">
        <x:f>V73+Z73+AD73</x:f>
      </x:c>
      <x:c r="L73" s="5"/>
      <x:c r="M73" s="5">
        <x:f>'B-PSD-B4'!$D$64</x:f>
      </x:c>
      <x:c r="N73" s="5">
        <x:v>0</x:v>
      </x:c>
      <x:c r="O73" s="5">
        <x:v>7</x:v>
      </x:c>
      <x:c r="P73" s="5" t="s">
        <x:v>58</x:v>
      </x:c>
      <x:c r="Q73" s="5">
        <x:v>0</x:v>
      </x:c>
      <x:c r="R73" s="5">
        <x:f>IF(F73=0,0,ROUND(I73/F73,0))</x:f>
      </x:c>
      <x:c r="S73" s="5">
        <x:v>16</x:v>
      </x:c>
      <x:c r="T73" s="6">
        <x:v>0.93</x:v>
      </x:c>
      <x:c r="U73" s="5">
        <x:f>E73*7-N73</x:f>
      </x:c>
      <x:c r="V73" s="5">
        <x:f>ROUND(((S73*T73*U73)/M73),0)</x:f>
      </x:c>
      <x:c r="W73" s="5">
        <x:v>16</x:v>
      </x:c>
      <x:c r="X73" s="6">
        <x:v>0.93</x:v>
      </x:c>
      <x:c r="Y73" s="5">
        <x:f>U73</x:f>
      </x:c>
      <x:c r="Z73" s="5">
        <x:f>ROUND(((W73*X73*Y73)/M73),0)</x:f>
      </x:c>
      <x:c r="AA73" s="5">
        <x:v>0</x:v>
      </x:c>
      <x:c r="AB73" s="6">
        <x:v>0</x:v>
      </x:c>
      <x:c r="AC73" s="5">
        <x:f>E73*7-N73</x:f>
      </x:c>
      <x:c r="AD73" s="5">
        <x:f>ROUND(((AA73*AB73*AC73)/M73),0)</x:f>
      </x:c>
      <x:c r="AE73" s="7">
        <x:f>S73+W73+AA73</x:f>
      </x:c>
      <x:c r="AF73" s="5">
        <x:f>ROUND( ((SUM(I72:I73)*1)/SUM(Q72:Q73)*100),1)</x:f>
      </x:c>
      <x:c r="AG73" s="5">
        <x:f>K73*M73</x:f>
      </x:c>
      <x:c r="AH73" s="5">
        <x:f>S73*U73+W73*Y73+AA73*AC73</x:f>
      </x:c>
      <x:c r="AI73" s="6">
        <x:f>IF(AH73=0,0,AG73/AH73)</x:f>
      </x:c>
    </x:row>
    <x:row r="74" spans="1:35" x14ac:dyDescent="0.2">
      <x:c r="B74" s="5" t="s">
        <x:v>60</x:v>
      </x:c>
      <x:c r="C74" s="69">
        <x:v>46587</x:v>
      </x:c>
      <x:c r="D74" s="5">
        <x:v>29</x:v>
      </x:c>
      <x:c r="E74" s="5">
        <x:v>6</x:v>
      </x:c>
      <x:c r="F74" s="5">
        <x:v>5</x:v>
      </x:c>
      <x:c r="G74" s="7">
        <x:f>(G73+H73-I73+K70)</x:f>
      </x:c>
      <x:c r="H74" s="5">
        <x:v>0</x:v>
      </x:c>
      <x:c r="I74" s="5">
        <x:f>'B-PSD-B4'!BN32</x:f>
      </x:c>
      <x:c r="J74" s="26">
        <x:f>IF(I74=0,"N/S",ROUND( ( ((G74) * 1)/I74)*F74,1))</x:f>
      </x:c>
      <x:c r="K74" s="5">
        <x:f>V74+Z74+AD74</x:f>
      </x:c>
      <x:c r="L74" s="5"/>
      <x:c r="M74" s="5">
        <x:f>'B-PSD-B4'!$D$64</x:f>
      </x:c>
      <x:c r="N74" s="5">
        <x:v>0</x:v>
      </x:c>
      <x:c r="O74" s="5">
        <x:v>7</x:v>
      </x:c>
      <x:c r="P74" s="5" t="s">
        <x:v>58</x:v>
      </x:c>
      <x:c r="Q74" s="5">
        <x:v>0</x:v>
      </x:c>
      <x:c r="R74" s="5">
        <x:f>IF(F74=0,0,ROUND(I74/F74,0))</x:f>
      </x:c>
      <x:c r="S74" s="5">
        <x:v>16</x:v>
      </x:c>
      <x:c r="T74" s="6">
        <x:v>0.93</x:v>
      </x:c>
      <x:c r="U74" s="5">
        <x:f>E74*7-N74</x:f>
      </x:c>
      <x:c r="V74" s="5">
        <x:f>ROUND(((S74*T74*U74)/M74),0)</x:f>
      </x:c>
      <x:c r="W74" s="5">
        <x:v>16</x:v>
      </x:c>
      <x:c r="X74" s="6">
        <x:v>0.93</x:v>
      </x:c>
      <x:c r="Y74" s="5">
        <x:f>U74</x:f>
      </x:c>
      <x:c r="Z74" s="5">
        <x:f>ROUND(((W74*X74*Y74)/M74),0)</x:f>
      </x:c>
      <x:c r="AA74" s="5">
        <x:v>0</x:v>
      </x:c>
      <x:c r="AB74" s="6">
        <x:v>0</x:v>
      </x:c>
      <x:c r="AC74" s="5">
        <x:f>E74*7-N74</x:f>
      </x:c>
      <x:c r="AD74" s="5">
        <x:f>ROUND(((AA74*AB74*AC74)/M74),0)</x:f>
      </x:c>
      <x:c r="AE74" s="7">
        <x:f>S74+W74+AA74</x:f>
      </x:c>
      <x:c r="AF74" s="5">
        <x:f>ROUND( ((SUM(I73:I74)*1)/SUM(Q73:Q74)*100),1)</x:f>
      </x:c>
      <x:c r="AG74" s="5">
        <x:f>K74*M74</x:f>
      </x:c>
      <x:c r="AH74" s="5">
        <x:f>S74*U74+W74*Y74+AA74*AC74</x:f>
      </x:c>
      <x:c r="AI74" s="6">
        <x:f>IF(AH74=0,0,AG74/AH74)</x:f>
      </x:c>
    </x:row>
    <x:row r="75" spans="1:35" x14ac:dyDescent="0.2">
      <x:c r="B75" s="5" t="s">
        <x:v>60</x:v>
      </x:c>
      <x:c r="C75" s="69">
        <x:v>46594</x:v>
      </x:c>
      <x:c r="D75" s="5">
        <x:v>30</x:v>
      </x:c>
      <x:c r="E75" s="5">
        <x:v>5</x:v>
      </x:c>
      <x:c r="F75" s="5">
        <x:v>5</x:v>
      </x:c>
      <x:c r="G75" s="7">
        <x:f>(G74+H74-I74+K71)</x:f>
      </x:c>
      <x:c r="H75" s="5">
        <x:v>0</x:v>
      </x:c>
      <x:c r="I75" s="5">
        <x:f>'B-PSD-B4'!BO32</x:f>
      </x:c>
      <x:c r="J75" s="26">
        <x:f>IF(I75=0,"N/S",ROUND( ( ((G75) * 1)/I75)*F75,1))</x:f>
      </x:c>
      <x:c r="K75" s="5">
        <x:f>V75+Z75+AD75</x:f>
      </x:c>
      <x:c r="L75" s="5"/>
      <x:c r="M75" s="5">
        <x:f>'B-PSD-B4'!$D$64</x:f>
      </x:c>
      <x:c r="N75" s="5">
        <x:v>0</x:v>
      </x:c>
      <x:c r="O75" s="5">
        <x:v>7</x:v>
      </x:c>
      <x:c r="P75" s="5" t="s">
        <x:v>58</x:v>
      </x:c>
      <x:c r="Q75" s="5">
        <x:v>0</x:v>
      </x:c>
      <x:c r="R75" s="5">
        <x:f>IF(F75=0,0,ROUND(I75/F75,0))</x:f>
      </x:c>
      <x:c r="S75" s="5">
        <x:v>16</x:v>
      </x:c>
      <x:c r="T75" s="6">
        <x:v>0.93</x:v>
      </x:c>
      <x:c r="U75" s="5">
        <x:f>E75*7-N75</x:f>
      </x:c>
      <x:c r="V75" s="5">
        <x:f>ROUND(((S75*T75*U75)/M75),0)</x:f>
      </x:c>
      <x:c r="W75" s="5">
        <x:v>16</x:v>
      </x:c>
      <x:c r="X75" s="6">
        <x:v>0.93</x:v>
      </x:c>
      <x:c r="Y75" s="5">
        <x:f>U75</x:f>
      </x:c>
      <x:c r="Z75" s="5">
        <x:f>ROUND(((W75*X75*Y75)/M75),0)</x:f>
      </x:c>
      <x:c r="AA75" s="5">
        <x:v>0</x:v>
      </x:c>
      <x:c r="AB75" s="6">
        <x:v>0</x:v>
      </x:c>
      <x:c r="AC75" s="5">
        <x:f>E75*7-N75</x:f>
      </x:c>
      <x:c r="AD75" s="5">
        <x:f>ROUND(((AA75*AB75*AC75)/M75),0)</x:f>
      </x:c>
      <x:c r="AE75" s="7">
        <x:f>S75+W75+AA75</x:f>
      </x:c>
      <x:c r="AF75" s="5">
        <x:f>ROUND( ((SUM(I74:I75)*1)/SUM(Q74:Q75)*100),1)</x:f>
      </x:c>
      <x:c r="AG75" s="5">
        <x:f>K75*M75</x:f>
      </x:c>
      <x:c r="AH75" s="5">
        <x:f>S75*U75+W75*Y75+AA75*AC75</x:f>
      </x:c>
      <x:c r="AI75" s="6">
        <x:f>IF(AH75=0,0,AG75/AH75)</x:f>
      </x:c>
    </x:row>
    <x:row r="76" spans="1:35" x14ac:dyDescent="0.2">
      <x:c r="B76" s="5" t="s">
        <x:v>61</x:v>
      </x:c>
      <x:c r="C76" s="69">
        <x:v>46601</x:v>
      </x:c>
      <x:c r="D76" s="5">
        <x:v>31</x:v>
      </x:c>
      <x:c r="E76" s="5">
        <x:v>6</x:v>
      </x:c>
      <x:c r="F76" s="5">
        <x:v>5</x:v>
      </x:c>
      <x:c r="G76" s="7">
        <x:f>(G75+H75-I75+K72)</x:f>
      </x:c>
      <x:c r="H76" s="5">
        <x:v>0</x:v>
      </x:c>
      <x:c r="I76" s="5">
        <x:f>'B-PSD-B4'!BP32</x:f>
      </x:c>
      <x:c r="J76" s="26">
        <x:f>IF(I76=0,"N/S",ROUND( ( ((G76) * 1)/I76)*F76,1))</x:f>
      </x:c>
      <x:c r="K76" s="5">
        <x:f>V76+Z76+AD76</x:f>
      </x:c>
      <x:c r="L76" s="5"/>
      <x:c r="M76" s="5">
        <x:f>'B-PSD-B4'!$D$64</x:f>
      </x:c>
      <x:c r="N76" s="5">
        <x:v>0</x:v>
      </x:c>
      <x:c r="O76" s="5">
        <x:v>8</x:v>
      </x:c>
      <x:c r="P76" s="5" t="s">
        <x:v>58</x:v>
      </x:c>
      <x:c r="Q76" s="5">
        <x:v>0</x:v>
      </x:c>
      <x:c r="R76" s="5">
        <x:f>IF(F76=0,0,ROUND(I76/F76,0))</x:f>
      </x:c>
      <x:c r="S76" s="5">
        <x:v>16</x:v>
      </x:c>
      <x:c r="T76" s="6">
        <x:v>0.93</x:v>
      </x:c>
      <x:c r="U76" s="5">
        <x:f>E76*7-N76</x:f>
      </x:c>
      <x:c r="V76" s="5">
        <x:f>ROUND(((S76*T76*U76)/M76),0)</x:f>
      </x:c>
      <x:c r="W76" s="5">
        <x:v>16</x:v>
      </x:c>
      <x:c r="X76" s="6">
        <x:v>0.93</x:v>
      </x:c>
      <x:c r="Y76" s="5">
        <x:f>U76</x:f>
      </x:c>
      <x:c r="Z76" s="5">
        <x:f>ROUND(((W76*X76*Y76)/M76),0)</x:f>
      </x:c>
      <x:c r="AA76" s="5">
        <x:v>0</x:v>
      </x:c>
      <x:c r="AB76" s="6">
        <x:v>0</x:v>
      </x:c>
      <x:c r="AC76" s="5">
        <x:f>E76*7-N76</x:f>
      </x:c>
      <x:c r="AD76" s="5">
        <x:f>ROUND(((AA76*AB76*AC76)/M76),0)</x:f>
      </x:c>
      <x:c r="AE76" s="7">
        <x:f>S76+W76+AA76</x:f>
      </x:c>
      <x:c r="AF76" s="5">
        <x:f>ROUND( ((SUM(I75:I76)*1)/SUM(Q75:Q76)*100),1)</x:f>
      </x:c>
      <x:c r="AG76" s="5">
        <x:f>K76*M76</x:f>
      </x:c>
      <x:c r="AH76" s="5">
        <x:f>S76*U76+W76*Y76+AA76*AC76</x:f>
      </x:c>
      <x:c r="AI76" s="6">
        <x:f>IF(AH76=0,0,AG76/AH76)</x:f>
      </x:c>
    </x:row>
    <x:row r="77" spans="1:35" x14ac:dyDescent="0.2">
      <x:c r="B77" s="5" t="s">
        <x:v>61</x:v>
      </x:c>
      <x:c r="C77" s="69">
        <x:v>46608</x:v>
      </x:c>
      <x:c r="D77" s="5">
        <x:v>32</x:v>
      </x:c>
      <x:c r="E77" s="5">
        <x:v>0</x:v>
      </x:c>
      <x:c r="F77" s="5">
        <x:v>5</x:v>
      </x:c>
      <x:c r="G77" s="7">
        <x:f>(G76+H76-I76+K73)</x:f>
      </x:c>
      <x:c r="H77" s="5">
        <x:v>0</x:v>
      </x:c>
      <x:c r="I77" s="5">
        <x:f>'B-PSD-B4'!BQ32</x:f>
      </x:c>
      <x:c r="J77" s="26">
        <x:f>IF(I77=0,"N/S",ROUND( ( ((G77) * 1)/I77)*F77,1))</x:f>
      </x:c>
      <x:c r="K77" s="5">
        <x:f>V77+Z77+AD77</x:f>
      </x:c>
      <x:c r="L77" s="5"/>
      <x:c r="M77" s="5">
        <x:f>'B-PSD-B4'!$D$64</x:f>
      </x:c>
      <x:c r="N77" s="5">
        <x:v>0</x:v>
      </x:c>
      <x:c r="O77" s="5">
        <x:v>8</x:v>
      </x:c>
      <x:c r="P77" s="5" t="s">
        <x:v>58</x:v>
      </x:c>
      <x:c r="Q77" s="5">
        <x:v>0</x:v>
      </x:c>
      <x:c r="R77" s="5">
        <x:f>IF(F77=0,0,ROUND(I77/F77,0))</x:f>
      </x:c>
      <x:c r="S77" s="5">
        <x:v>16</x:v>
      </x:c>
      <x:c r="T77" s="6">
        <x:v>0.93</x:v>
      </x:c>
      <x:c r="U77" s="5">
        <x:f>E77*7-N77</x:f>
      </x:c>
      <x:c r="V77" s="5">
        <x:f>ROUND(((S77*T77*U77)/M77),0)</x:f>
      </x:c>
      <x:c r="W77" s="5">
        <x:v>16</x:v>
      </x:c>
      <x:c r="X77" s="6">
        <x:v>0.93</x:v>
      </x:c>
      <x:c r="Y77" s="5">
        <x:f>U77</x:f>
      </x:c>
      <x:c r="Z77" s="5">
        <x:f>ROUND(((W77*X77*Y77)/M77),0)</x:f>
      </x:c>
      <x:c r="AA77" s="5">
        <x:v>0</x:v>
      </x:c>
      <x:c r="AB77" s="6">
        <x:v>0</x:v>
      </x:c>
      <x:c r="AC77" s="5">
        <x:f>E77*7-N77</x:f>
      </x:c>
      <x:c r="AD77" s="5">
        <x:f>ROUND(((AA77*AB77*AC77)/M77),0)</x:f>
      </x:c>
      <x:c r="AE77" s="7">
        <x:f>S77+W77+AA77</x:f>
      </x:c>
      <x:c r="AF77" s="5">
        <x:f>ROUND( ((SUM(I76:I77)*1)/SUM(Q76:Q77)*100),1)</x:f>
      </x:c>
      <x:c r="AG77" s="5">
        <x:f>K77*M77</x:f>
      </x:c>
      <x:c r="AH77" s="5">
        <x:f>S77*U77+W77*Y77+AA77*AC77</x:f>
      </x:c>
      <x:c r="AI77" s="6">
        <x:f>IF(AH77=0,0,AG77/AH77)</x:f>
      </x:c>
    </x:row>
    <x:row r="78" spans="1:35" x14ac:dyDescent="0.2">
      <x:c r="B78" s="5" t="s">
        <x:v>61</x:v>
      </x:c>
      <x:c r="C78" s="69">
        <x:v>46615</x:v>
      </x:c>
      <x:c r="D78" s="5">
        <x:v>33</x:v>
      </x:c>
      <x:c r="E78" s="5">
        <x:v>0</x:v>
      </x:c>
      <x:c r="F78" s="5">
        <x:v>5</x:v>
      </x:c>
      <x:c r="G78" s="7">
        <x:f>(G77+H77-I77+K74)</x:f>
      </x:c>
      <x:c r="H78" s="5">
        <x:v>0</x:v>
      </x:c>
      <x:c r="I78" s="5">
        <x:f>'B-PSD-B4'!BR32</x:f>
      </x:c>
      <x:c r="J78" s="26">
        <x:f>IF(I78=0,"N/S",ROUND( ( ((G78) * 1)/I78)*F78,1))</x:f>
      </x:c>
      <x:c r="K78" s="5">
        <x:f>V78+Z78+AD78</x:f>
      </x:c>
      <x:c r="L78" s="5"/>
      <x:c r="M78" s="5">
        <x:f>'B-PSD-B4'!$D$64</x:f>
      </x:c>
      <x:c r="N78" s="5">
        <x:v>0</x:v>
      </x:c>
      <x:c r="O78" s="5">
        <x:v>8</x:v>
      </x:c>
      <x:c r="P78" s="5" t="s">
        <x:v>58</x:v>
      </x:c>
      <x:c r="Q78" s="5">
        <x:v>0</x:v>
      </x:c>
      <x:c r="R78" s="5">
        <x:f>IF(F78=0,0,ROUND(I78/F78,0))</x:f>
      </x:c>
      <x:c r="S78" s="5">
        <x:v>16</x:v>
      </x:c>
      <x:c r="T78" s="6">
        <x:v>0.93</x:v>
      </x:c>
      <x:c r="U78" s="5">
        <x:f>E78*7-N78</x:f>
      </x:c>
      <x:c r="V78" s="5">
        <x:f>ROUND(((S78*T78*U78)/M78),0)</x:f>
      </x:c>
      <x:c r="W78" s="5">
        <x:v>16</x:v>
      </x:c>
      <x:c r="X78" s="6">
        <x:v>0.93</x:v>
      </x:c>
      <x:c r="Y78" s="5">
        <x:f>U78</x:f>
      </x:c>
      <x:c r="Z78" s="5">
        <x:f>ROUND(((W78*X78*Y78)/M78),0)</x:f>
      </x:c>
      <x:c r="AA78" s="5">
        <x:v>0</x:v>
      </x:c>
      <x:c r="AB78" s="6">
        <x:v>0</x:v>
      </x:c>
      <x:c r="AC78" s="5">
        <x:f>E78*7-N78</x:f>
      </x:c>
      <x:c r="AD78" s="5">
        <x:f>ROUND(((AA78*AB78*AC78)/M78),0)</x:f>
      </x:c>
      <x:c r="AE78" s="7">
        <x:f>S78+W78+AA78</x:f>
      </x:c>
      <x:c r="AF78" s="5">
        <x:f>ROUND( ((SUM(I77:I78)*1)/SUM(Q77:Q78)*100),1)</x:f>
      </x:c>
      <x:c r="AG78" s="5">
        <x:f>K78*M78</x:f>
      </x:c>
      <x:c r="AH78" s="5">
        <x:f>S78*U78+W78*Y78+AA78*AC78</x:f>
      </x:c>
      <x:c r="AI78" s="6">
        <x:f>IF(AH78=0,0,AG78/AH78)</x:f>
      </x:c>
    </x:row>
    <x:row r="79" spans="1:35" x14ac:dyDescent="0.2">
      <x:c r="B79" s="5" t="s">
        <x:v>61</x:v>
      </x:c>
      <x:c r="C79" s="69">
        <x:v>46622</x:v>
      </x:c>
      <x:c r="D79" s="5">
        <x:v>34</x:v>
      </x:c>
      <x:c r="E79" s="5">
        <x:v>5</x:v>
      </x:c>
      <x:c r="F79" s="5">
        <x:v>5</x:v>
      </x:c>
      <x:c r="G79" s="7">
        <x:f>(G78+H78-I78+K75)</x:f>
      </x:c>
      <x:c r="H79" s="5">
        <x:v>0</x:v>
      </x:c>
      <x:c r="I79" s="5">
        <x:f>'B-PSD-B4'!BS32</x:f>
      </x:c>
      <x:c r="J79" s="26">
        <x:f>IF(I79=0,"N/S",ROUND( ( ((G79) * 1)/I79)*F79,1))</x:f>
      </x:c>
      <x:c r="K79" s="5">
        <x:f>V79+Z79+AD79</x:f>
      </x:c>
      <x:c r="L79" s="5"/>
      <x:c r="M79" s="5">
        <x:f>'B-PSD-B4'!$D$64</x:f>
      </x:c>
      <x:c r="N79" s="5">
        <x:v>0</x:v>
      </x:c>
      <x:c r="O79" s="5">
        <x:v>8</x:v>
      </x:c>
      <x:c r="P79" s="5" t="s">
        <x:v>58</x:v>
      </x:c>
      <x:c r="Q79" s="5">
        <x:v>0</x:v>
      </x:c>
      <x:c r="R79" s="5">
        <x:f>IF(F79=0,0,ROUND(I79/F79,0))</x:f>
      </x:c>
      <x:c r="S79" s="5">
        <x:v>16</x:v>
      </x:c>
      <x:c r="T79" s="6">
        <x:v>0.93</x:v>
      </x:c>
      <x:c r="U79" s="5">
        <x:f>E79*7-N79</x:f>
      </x:c>
      <x:c r="V79" s="5">
        <x:f>ROUND(((S79*T79*U79)/M79),0)</x:f>
      </x:c>
      <x:c r="W79" s="5">
        <x:v>16</x:v>
      </x:c>
      <x:c r="X79" s="6">
        <x:v>0.93</x:v>
      </x:c>
      <x:c r="Y79" s="5">
        <x:f>U79</x:f>
      </x:c>
      <x:c r="Z79" s="5">
        <x:f>ROUND(((W79*X79*Y79)/M79),0)</x:f>
      </x:c>
      <x:c r="AA79" s="5">
        <x:v>0</x:v>
      </x:c>
      <x:c r="AB79" s="6">
        <x:v>0</x:v>
      </x:c>
      <x:c r="AC79" s="5">
        <x:f>E79*7-N79</x:f>
      </x:c>
      <x:c r="AD79" s="5">
        <x:f>ROUND(((AA79*AB79*AC79)/M79),0)</x:f>
      </x:c>
      <x:c r="AE79" s="7">
        <x:f>S79+W79+AA79</x:f>
      </x:c>
      <x:c r="AF79" s="5">
        <x:f>ROUND( ((SUM(I78:I79)*1)/SUM(Q78:Q79)*100),1)</x:f>
      </x:c>
      <x:c r="AG79" s="5">
        <x:f>K79*M79</x:f>
      </x:c>
      <x:c r="AH79" s="5">
        <x:f>S79*U79+W79*Y79+AA79*AC79</x:f>
      </x:c>
      <x:c r="AI79" s="6">
        <x:f>IF(AH79=0,0,AG79/AH79)</x:f>
      </x:c>
    </x:row>
    <x:row r="80" spans="1:35" x14ac:dyDescent="0.2">
      <x:c r="B80" s="5" t="s">
        <x:v>61</x:v>
      </x:c>
      <x:c r="C80" s="69">
        <x:v>46629</x:v>
      </x:c>
      <x:c r="D80" s="5">
        <x:v>35</x:v>
      </x:c>
      <x:c r="E80" s="5">
        <x:v>6</x:v>
      </x:c>
      <x:c r="F80" s="5">
        <x:v>5</x:v>
      </x:c>
      <x:c r="G80" s="7">
        <x:f>(G79+H79-I79+K76)</x:f>
      </x:c>
      <x:c r="H80" s="5">
        <x:v>0</x:v>
      </x:c>
      <x:c r="I80" s="5">
        <x:f>'B-PSD-B4'!BT32</x:f>
      </x:c>
      <x:c r="J80" s="26">
        <x:f>IF(I80=0,"N/S",ROUND( ( ((G80) * 1)/I80)*F80,1))</x:f>
      </x:c>
      <x:c r="K80" s="5">
        <x:f>V80+Z80+AD80</x:f>
      </x:c>
      <x:c r="L80" s="5"/>
      <x:c r="M80" s="5">
        <x:f>'B-PSD-B4'!$D$64</x:f>
      </x:c>
      <x:c r="N80" s="5">
        <x:v>0</x:v>
      </x:c>
      <x:c r="O80" s="5">
        <x:v>8</x:v>
      </x:c>
      <x:c r="P80" s="5" t="s">
        <x:v>58</x:v>
      </x:c>
      <x:c r="Q80" s="5">
        <x:v>0</x:v>
      </x:c>
      <x:c r="R80" s="5">
        <x:f>IF(F80=0,0,ROUND(I80/F80,0))</x:f>
      </x:c>
      <x:c r="S80" s="5">
        <x:v>16</x:v>
      </x:c>
      <x:c r="T80" s="6">
        <x:v>0.93</x:v>
      </x:c>
      <x:c r="U80" s="5">
        <x:f>E80*7-N80</x:f>
      </x:c>
      <x:c r="V80" s="5">
        <x:f>ROUND(((S80*T80*U80)/M80),0)</x:f>
      </x:c>
      <x:c r="W80" s="5">
        <x:v>16</x:v>
      </x:c>
      <x:c r="X80" s="6">
        <x:v>0.93</x:v>
      </x:c>
      <x:c r="Y80" s="5">
        <x:f>U80</x:f>
      </x:c>
      <x:c r="Z80" s="5">
        <x:f>ROUND(((W80*X80*Y80)/M80),0)</x:f>
      </x:c>
      <x:c r="AA80" s="5">
        <x:v>0</x:v>
      </x:c>
      <x:c r="AB80" s="6">
        <x:v>0</x:v>
      </x:c>
      <x:c r="AC80" s="5">
        <x:f>E80*7-N80</x:f>
      </x:c>
      <x:c r="AD80" s="5">
        <x:f>ROUND(((AA80*AB80*AC80)/M80),0)</x:f>
      </x:c>
      <x:c r="AE80" s="7">
        <x:f>S80+W80+AA80</x:f>
      </x:c>
      <x:c r="AF80" s="5">
        <x:f>ROUND( ((SUM(I79:I80)*1)/SUM(Q79:Q80)*100),1)</x:f>
      </x:c>
      <x:c r="AG80" s="5">
        <x:f>K80*M80</x:f>
      </x:c>
      <x:c r="AH80" s="5">
        <x:f>S80*U80+W80*Y80+AA80*AC80</x:f>
      </x:c>
      <x:c r="AI80" s="6">
        <x:f>IF(AH80=0,0,AG80/AH80)</x:f>
      </x:c>
    </x:row>
    <x:row r="81" spans="1:35" x14ac:dyDescent="0.2">
      <x:c r="B81" s="5" t="s">
        <x:v>62</x:v>
      </x:c>
      <x:c r="C81" s="69">
        <x:v>46636</x:v>
      </x:c>
      <x:c r="D81" s="5">
        <x:v>36</x:v>
      </x:c>
      <x:c r="E81" s="5">
        <x:v>6</x:v>
      </x:c>
      <x:c r="F81" s="5">
        <x:v>5</x:v>
      </x:c>
      <x:c r="G81" s="7">
        <x:f>(G80+H80-I80+K77)</x:f>
      </x:c>
      <x:c r="H81" s="5">
        <x:v>0</x:v>
      </x:c>
      <x:c r="I81" s="5">
        <x:f>'B-PSD-B4'!BU32</x:f>
      </x:c>
      <x:c r="J81" s="26">
        <x:f>IF(I81=0,"N/S",ROUND( ( ((G81) * 1)/I81)*F81,1))</x:f>
      </x:c>
      <x:c r="K81" s="5">
        <x:f>V81+Z81+AD81</x:f>
      </x:c>
      <x:c r="L81" s="5"/>
      <x:c r="M81" s="5">
        <x:f>'B-PSD-B4'!$D$64</x:f>
      </x:c>
      <x:c r="N81" s="5">
        <x:v>0</x:v>
      </x:c>
      <x:c r="O81" s="5">
        <x:v>9</x:v>
      </x:c>
      <x:c r="P81" s="5" t="s">
        <x:v>58</x:v>
      </x:c>
      <x:c r="Q81" s="5">
        <x:v>0</x:v>
      </x:c>
      <x:c r="R81" s="5">
        <x:f>IF(F81=0,0,ROUND(I81/F81,0))</x:f>
      </x:c>
      <x:c r="S81" s="5">
        <x:v>16</x:v>
      </x:c>
      <x:c r="T81" s="6">
        <x:v>0.93</x:v>
      </x:c>
      <x:c r="U81" s="5">
        <x:f>E81*7-N81</x:f>
      </x:c>
      <x:c r="V81" s="5">
        <x:f>ROUND(((S81*T81*U81)/M81),0)</x:f>
      </x:c>
      <x:c r="W81" s="5">
        <x:v>16</x:v>
      </x:c>
      <x:c r="X81" s="6">
        <x:v>0.93</x:v>
      </x:c>
      <x:c r="Y81" s="5">
        <x:f>U81</x:f>
      </x:c>
      <x:c r="Z81" s="5">
        <x:f>ROUND(((W81*X81*Y81)/M81),0)</x:f>
      </x:c>
      <x:c r="AA81" s="5">
        <x:v>0</x:v>
      </x:c>
      <x:c r="AB81" s="6">
        <x:v>0</x:v>
      </x:c>
      <x:c r="AC81" s="5">
        <x:f>E81*7-N81</x:f>
      </x:c>
      <x:c r="AD81" s="5">
        <x:f>ROUND(((AA81*AB81*AC81)/M81),0)</x:f>
      </x:c>
      <x:c r="AE81" s="7">
        <x:f>S81+W81+AA81</x:f>
      </x:c>
      <x:c r="AF81" s="5">
        <x:f>ROUND( ((SUM(I80:I81)*1)/SUM(Q80:Q81)*100),1)</x:f>
      </x:c>
      <x:c r="AG81" s="5">
        <x:f>K81*M81</x:f>
      </x:c>
      <x:c r="AH81" s="5">
        <x:f>S81*U81+W81*Y81+AA81*AC81</x:f>
      </x:c>
      <x:c r="AI81" s="6">
        <x:f>IF(AH81=0,0,AG81/AH81)</x:f>
      </x:c>
    </x:row>
    <x:row r="82" spans="1:35" x14ac:dyDescent="0.2">
      <x:c r="B82" s="5" t="s">
        <x:v>62</x:v>
      </x:c>
      <x:c r="C82" s="69">
        <x:v>46643</x:v>
      </x:c>
      <x:c r="D82" s="5">
        <x:v>37</x:v>
      </x:c>
      <x:c r="E82" s="5">
        <x:v>6</x:v>
      </x:c>
      <x:c r="F82" s="5">
        <x:v>5</x:v>
      </x:c>
      <x:c r="G82" s="7">
        <x:f>(G81+H81-I81+K78)</x:f>
      </x:c>
      <x:c r="H82" s="5">
        <x:v>0</x:v>
      </x:c>
      <x:c r="I82" s="5">
        <x:f>'B-PSD-B4'!BV32</x:f>
      </x:c>
      <x:c r="J82" s="26">
        <x:f>IF(I82=0,"N/S",ROUND( ( ((G82) * 1)/I82)*F82,1))</x:f>
      </x:c>
      <x:c r="K82" s="5">
        <x:f>V82+Z82+AD82</x:f>
      </x:c>
      <x:c r="L82" s="5"/>
      <x:c r="M82" s="5">
        <x:f>'B-PSD-B4'!$D$64</x:f>
      </x:c>
      <x:c r="N82" s="5">
        <x:v>0</x:v>
      </x:c>
      <x:c r="O82" s="5">
        <x:v>9</x:v>
      </x:c>
      <x:c r="P82" s="5" t="s">
        <x:v>58</x:v>
      </x:c>
      <x:c r="Q82" s="5">
        <x:v>0</x:v>
      </x:c>
      <x:c r="R82" s="5">
        <x:f>IF(F82=0,0,ROUND(I82/F82,0))</x:f>
      </x:c>
      <x:c r="S82" s="5">
        <x:v>16</x:v>
      </x:c>
      <x:c r="T82" s="6">
        <x:v>0.93</x:v>
      </x:c>
      <x:c r="U82" s="5">
        <x:f>E82*7-N82</x:f>
      </x:c>
      <x:c r="V82" s="5">
        <x:f>ROUND(((S82*T82*U82)/M82),0)</x:f>
      </x:c>
      <x:c r="W82" s="5">
        <x:v>16</x:v>
      </x:c>
      <x:c r="X82" s="6">
        <x:v>0.93</x:v>
      </x:c>
      <x:c r="Y82" s="5">
        <x:f>U82</x:f>
      </x:c>
      <x:c r="Z82" s="5">
        <x:f>ROUND(((W82*X82*Y82)/M82),0)</x:f>
      </x:c>
      <x:c r="AA82" s="5">
        <x:v>0</x:v>
      </x:c>
      <x:c r="AB82" s="6">
        <x:v>0</x:v>
      </x:c>
      <x:c r="AC82" s="5">
        <x:f>E82*7-N82</x:f>
      </x:c>
      <x:c r="AD82" s="5">
        <x:f>ROUND(((AA82*AB82*AC82)/M82),0)</x:f>
      </x:c>
      <x:c r="AE82" s="7">
        <x:f>S82+W82+AA82</x:f>
      </x:c>
      <x:c r="AF82" s="5">
        <x:f>ROUND( ((SUM(I81:I82)*1)/SUM(Q81:Q82)*100),1)</x:f>
      </x:c>
      <x:c r="AG82" s="5">
        <x:f>K82*M82</x:f>
      </x:c>
      <x:c r="AH82" s="5">
        <x:f>S82*U82+W82*Y82+AA82*AC82</x:f>
      </x:c>
      <x:c r="AI82" s="6">
        <x:f>IF(AH82=0,0,AG82/AH82)</x:f>
      </x:c>
    </x:row>
    <x:row r="83" spans="1:35" x14ac:dyDescent="0.2">
      <x:c r="B83" s="5" t="s">
        <x:v>62</x:v>
      </x:c>
      <x:c r="C83" s="69">
        <x:v>46650</x:v>
      </x:c>
      <x:c r="D83" s="5">
        <x:v>38</x:v>
      </x:c>
      <x:c r="E83" s="5">
        <x:v>6</x:v>
      </x:c>
      <x:c r="F83" s="5">
        <x:v>5</x:v>
      </x:c>
      <x:c r="G83" s="7">
        <x:f>(G82+H82-I82+K79)</x:f>
      </x:c>
      <x:c r="H83" s="5">
        <x:v>0</x:v>
      </x:c>
      <x:c r="I83" s="5">
        <x:f>'B-PSD-B4'!BW32</x:f>
      </x:c>
      <x:c r="J83" s="26">
        <x:f>IF(I83=0,"N/S",ROUND( ( ((G83) * 1)/I83)*F83,1))</x:f>
      </x:c>
      <x:c r="K83" s="5">
        <x:f>V83+Z83+AD83</x:f>
      </x:c>
      <x:c r="L83" s="5"/>
      <x:c r="M83" s="5">
        <x:f>'B-PSD-B4'!$D$64</x:f>
      </x:c>
      <x:c r="N83" s="5">
        <x:v>0</x:v>
      </x:c>
      <x:c r="O83" s="5">
        <x:v>9</x:v>
      </x:c>
      <x:c r="P83" s="5" t="s">
        <x:v>58</x:v>
      </x:c>
      <x:c r="Q83" s="5">
        <x:v>0</x:v>
      </x:c>
      <x:c r="R83" s="5">
        <x:f>IF(F83=0,0,ROUND(I83/F83,0))</x:f>
      </x:c>
      <x:c r="S83" s="5">
        <x:v>16</x:v>
      </x:c>
      <x:c r="T83" s="6">
        <x:v>0.93</x:v>
      </x:c>
      <x:c r="U83" s="5">
        <x:f>E83*7-N83</x:f>
      </x:c>
      <x:c r="V83" s="5">
        <x:f>ROUND(((S83*T83*U83)/M83),0)</x:f>
      </x:c>
      <x:c r="W83" s="5">
        <x:v>16</x:v>
      </x:c>
      <x:c r="X83" s="6">
        <x:v>0.93</x:v>
      </x:c>
      <x:c r="Y83" s="5">
        <x:f>U83</x:f>
      </x:c>
      <x:c r="Z83" s="5">
        <x:f>ROUND(((W83*X83*Y83)/M83),0)</x:f>
      </x:c>
      <x:c r="AA83" s="5">
        <x:v>0</x:v>
      </x:c>
      <x:c r="AB83" s="6">
        <x:v>0</x:v>
      </x:c>
      <x:c r="AC83" s="5">
        <x:f>E83*7-N83</x:f>
      </x:c>
      <x:c r="AD83" s="5">
        <x:f>ROUND(((AA83*AB83*AC83)/M83),0)</x:f>
      </x:c>
      <x:c r="AE83" s="7">
        <x:f>S83+W83+AA83</x:f>
      </x:c>
      <x:c r="AF83" s="5">
        <x:f>ROUND( ((SUM(I82:I83)*1)/SUM(Q82:Q83)*100),1)</x:f>
      </x:c>
      <x:c r="AG83" s="5">
        <x:f>K83*M83</x:f>
      </x:c>
      <x:c r="AH83" s="5">
        <x:f>S83*U83+W83*Y83+AA83*AC83</x:f>
      </x:c>
      <x:c r="AI83" s="6">
        <x:f>IF(AH83=0,0,AG83/AH83)</x:f>
      </x:c>
    </x:row>
    <x:row r="84" spans="1:35" x14ac:dyDescent="0.2">
      <x:c r="B84" s="5" t="s">
        <x:v>62</x:v>
      </x:c>
      <x:c r="C84" s="69">
        <x:v>46657</x:v>
      </x:c>
      <x:c r="D84" s="5">
        <x:v>39</x:v>
      </x:c>
      <x:c r="E84" s="5">
        <x:v>4</x:v>
      </x:c>
      <x:c r="F84" s="5">
        <x:v>5</x:v>
      </x:c>
      <x:c r="G84" s="7">
        <x:f>(G83+H83-I83+K80)</x:f>
      </x:c>
      <x:c r="H84" s="5">
        <x:v>0</x:v>
      </x:c>
      <x:c r="I84" s="5">
        <x:f>'B-PSD-B4'!BX32</x:f>
      </x:c>
      <x:c r="J84" s="26">
        <x:f>IF(I84=0,"N/S",ROUND( ( ((G84) * 1)/I84)*F84,1))</x:f>
      </x:c>
      <x:c r="K84" s="5">
        <x:f>V84+Z84+AD84</x:f>
      </x:c>
      <x:c r="L84" s="5"/>
      <x:c r="M84" s="5">
        <x:f>'B-PSD-B4'!$D$64</x:f>
      </x:c>
      <x:c r="N84" s="5">
        <x:v>0</x:v>
      </x:c>
      <x:c r="O84" s="5">
        <x:v>9</x:v>
      </x:c>
      <x:c r="P84" s="5" t="s">
        <x:v>58</x:v>
      </x:c>
      <x:c r="Q84" s="5">
        <x:v>0</x:v>
      </x:c>
      <x:c r="R84" s="5">
        <x:f>IF(F84=0,0,ROUND(I84/F84,0))</x:f>
      </x:c>
      <x:c r="S84" s="5">
        <x:v>16</x:v>
      </x:c>
      <x:c r="T84" s="6">
        <x:v>0.93</x:v>
      </x:c>
      <x:c r="U84" s="5">
        <x:f>E84*7-N84</x:f>
      </x:c>
      <x:c r="V84" s="5">
        <x:f>ROUND(((S84*T84*U84)/M84),0)</x:f>
      </x:c>
      <x:c r="W84" s="5">
        <x:v>16</x:v>
      </x:c>
      <x:c r="X84" s="6">
        <x:v>0.93</x:v>
      </x:c>
      <x:c r="Y84" s="5">
        <x:f>U84</x:f>
      </x:c>
      <x:c r="Z84" s="5">
        <x:f>ROUND(((W84*X84*Y84)/M84),0)</x:f>
      </x:c>
      <x:c r="AA84" s="5">
        <x:v>0</x:v>
      </x:c>
      <x:c r="AB84" s="6">
        <x:v>0</x:v>
      </x:c>
      <x:c r="AC84" s="5">
        <x:f>E84*7-N84</x:f>
      </x:c>
      <x:c r="AD84" s="5">
        <x:f>ROUND(((AA84*AB84*AC84)/M84),0)</x:f>
      </x:c>
      <x:c r="AE84" s="7">
        <x:f>S84+W84+AA84</x:f>
      </x:c>
      <x:c r="AF84" s="5">
        <x:f>ROUND( ((SUM(I83:I84)*1)/SUM(Q83:Q84)*100),1)</x:f>
      </x:c>
      <x:c r="AG84" s="5">
        <x:f>K84*M84</x:f>
      </x:c>
      <x:c r="AH84" s="5">
        <x:f>S84*U84+W84*Y84+AA84*AC84</x:f>
      </x:c>
      <x:c r="AI84" s="6">
        <x:f>IF(AH84=0,0,AG84/AH84)</x:f>
      </x:c>
    </x:row>
    <x:row r="85" spans="1:35" x14ac:dyDescent="0.2">
      <x:c r="B85" s="5" t="s">
        <x:v>63</x:v>
      </x:c>
      <x:c r="C85" s="69">
        <x:v>46664</x:v>
      </x:c>
      <x:c r="D85" s="5">
        <x:v>40</x:v>
      </x:c>
      <x:c r="E85" s="5">
        <x:v>6</x:v>
      </x:c>
      <x:c r="F85" s="5">
        <x:v>5</x:v>
      </x:c>
      <x:c r="G85" s="7">
        <x:f>(G84+H84-I84+K81)</x:f>
      </x:c>
      <x:c r="H85" s="5">
        <x:v>0</x:v>
      </x:c>
      <x:c r="I85" s="5">
        <x:f>'B-PSD-B4'!BY32</x:f>
      </x:c>
      <x:c r="J85" s="26">
        <x:f>IF(I85=0,"N/S",ROUND( ( ((G85) * 1)/I85)*F85,1))</x:f>
      </x:c>
      <x:c r="K85" s="5">
        <x:f>V85+Z85+AD85</x:f>
      </x:c>
      <x:c r="L85" s="5"/>
      <x:c r="M85" s="5">
        <x:f>'B-PSD-B4'!$D$64</x:f>
      </x:c>
      <x:c r="N85" s="5">
        <x:v>0</x:v>
      </x:c>
      <x:c r="O85" s="5">
        <x:v>10</x:v>
      </x:c>
      <x:c r="P85" s="5" t="s">
        <x:v>58</x:v>
      </x:c>
      <x:c r="Q85" s="5">
        <x:v>0</x:v>
      </x:c>
      <x:c r="R85" s="5">
        <x:f>IF(F85=0,0,ROUND(I85/F85,0))</x:f>
      </x:c>
      <x:c r="S85" s="5">
        <x:v>16</x:v>
      </x:c>
      <x:c r="T85" s="6">
        <x:v>0.93</x:v>
      </x:c>
      <x:c r="U85" s="5">
        <x:f>E85*7-N85</x:f>
      </x:c>
      <x:c r="V85" s="5">
        <x:f>ROUND(((S85*T85*U85)/M85),0)</x:f>
      </x:c>
      <x:c r="W85" s="5">
        <x:v>16</x:v>
      </x:c>
      <x:c r="X85" s="6">
        <x:v>0.93</x:v>
      </x:c>
      <x:c r="Y85" s="5">
        <x:f>U85</x:f>
      </x:c>
      <x:c r="Z85" s="5">
        <x:f>ROUND(((W85*X85*Y85)/M85),0)</x:f>
      </x:c>
      <x:c r="AA85" s="5">
        <x:v>0</x:v>
      </x:c>
      <x:c r="AB85" s="6">
        <x:v>0</x:v>
      </x:c>
      <x:c r="AC85" s="5">
        <x:f>E85*7-N85</x:f>
      </x:c>
      <x:c r="AD85" s="5">
        <x:f>ROUND(((AA85*AB85*AC85)/M85),0)</x:f>
      </x:c>
      <x:c r="AE85" s="7">
        <x:f>S85+W85+AA85</x:f>
      </x:c>
      <x:c r="AF85" s="5">
        <x:f>ROUND( ((SUM(I84:I85)*1)/SUM(Q84:Q85)*100),1)</x:f>
      </x:c>
      <x:c r="AG85" s="5">
        <x:f>K85*M85</x:f>
      </x:c>
      <x:c r="AH85" s="5">
        <x:f>S85*U85+W85*Y85+AA85*AC85</x:f>
      </x:c>
      <x:c r="AI85" s="6">
        <x:f>IF(AH85=0,0,AG85/AH85)</x:f>
      </x:c>
    </x:row>
    <x:row r="86" spans="1:35" x14ac:dyDescent="0.2">
      <x:c r="B86" s="5" t="s">
        <x:v>63</x:v>
      </x:c>
      <x:c r="C86" s="69">
        <x:v>46671</x:v>
      </x:c>
      <x:c r="D86" s="5">
        <x:v>41</x:v>
      </x:c>
      <x:c r="E86" s="5">
        <x:v>5</x:v>
      </x:c>
      <x:c r="F86" s="5">
        <x:v>5</x:v>
      </x:c>
      <x:c r="G86" s="7">
        <x:f>(G85+H85-I85+K82)</x:f>
      </x:c>
      <x:c r="H86" s="5">
        <x:v>0</x:v>
      </x:c>
      <x:c r="I86" s="5">
        <x:f>'B-PSD-B4'!BZ32</x:f>
      </x:c>
      <x:c r="J86" s="26">
        <x:f>IF(I86=0,"N/S",ROUND( ( ((G86) * 1)/I86)*F86,1))</x:f>
      </x:c>
      <x:c r="K86" s="5">
        <x:f>V86+Z86+AD86</x:f>
      </x:c>
      <x:c r="L86" s="5"/>
      <x:c r="M86" s="5">
        <x:f>'B-PSD-B4'!$D$64</x:f>
      </x:c>
      <x:c r="N86" s="5">
        <x:v>0</x:v>
      </x:c>
      <x:c r="O86" s="5">
        <x:v>10</x:v>
      </x:c>
      <x:c r="P86" s="5" t="s">
        <x:v>58</x:v>
      </x:c>
      <x:c r="Q86" s="5">
        <x:v>0</x:v>
      </x:c>
      <x:c r="R86" s="5">
        <x:f>IF(F86=0,0,ROUND(I86/F86,0))</x:f>
      </x:c>
      <x:c r="S86" s="5">
        <x:v>16</x:v>
      </x:c>
      <x:c r="T86" s="6">
        <x:v>0.93</x:v>
      </x:c>
      <x:c r="U86" s="5">
        <x:f>E86*7-N86</x:f>
      </x:c>
      <x:c r="V86" s="5">
        <x:f>ROUND(((S86*T86*U86)/M86),0)</x:f>
      </x:c>
      <x:c r="W86" s="5">
        <x:v>16</x:v>
      </x:c>
      <x:c r="X86" s="6">
        <x:v>0.93</x:v>
      </x:c>
      <x:c r="Y86" s="5">
        <x:f>U86</x:f>
      </x:c>
      <x:c r="Z86" s="5">
        <x:f>ROUND(((W86*X86*Y86)/M86),0)</x:f>
      </x:c>
      <x:c r="AA86" s="5">
        <x:v>0</x:v>
      </x:c>
      <x:c r="AB86" s="6">
        <x:v>0</x:v>
      </x:c>
      <x:c r="AC86" s="5">
        <x:f>E86*7-N86</x:f>
      </x:c>
      <x:c r="AD86" s="5">
        <x:f>ROUND(((AA86*AB86*AC86)/M86),0)</x:f>
      </x:c>
      <x:c r="AE86" s="7">
        <x:f>S86+W86+AA86</x:f>
      </x:c>
      <x:c r="AF86" s="5">
        <x:f>ROUND( ((SUM(I85:I86)*1)/SUM(Q85:Q86)*100),1)</x:f>
      </x:c>
      <x:c r="AG86" s="5">
        <x:f>K86*M86</x:f>
      </x:c>
      <x:c r="AH86" s="5">
        <x:f>S86*U86+W86*Y86+AA86*AC86</x:f>
      </x:c>
      <x:c r="AI86" s="6">
        <x:f>IF(AH86=0,0,AG86/AH86)</x:f>
      </x:c>
    </x:row>
    <x:row r="87" spans="1:35" x14ac:dyDescent="0.2">
      <x:c r="B87" s="5" t="s">
        <x:v>63</x:v>
      </x:c>
      <x:c r="C87" s="69">
        <x:v>46678</x:v>
      </x:c>
      <x:c r="D87" s="5">
        <x:v>42</x:v>
      </x:c>
      <x:c r="E87" s="5">
        <x:v>6</x:v>
      </x:c>
      <x:c r="F87" s="5">
        <x:v>5</x:v>
      </x:c>
      <x:c r="G87" s="7">
        <x:f>(G86+H86-I86+K83)</x:f>
      </x:c>
      <x:c r="H87" s="5">
        <x:v>0</x:v>
      </x:c>
      <x:c r="I87" s="5">
        <x:f>'B-PSD-B4'!CA32</x:f>
      </x:c>
      <x:c r="J87" s="26">
        <x:f>IF(I87=0,"N/S",ROUND( ( ((G87) * 1)/I87)*F87,1))</x:f>
      </x:c>
      <x:c r="K87" s="5">
        <x:f>V87+Z87+AD87</x:f>
      </x:c>
      <x:c r="L87" s="5"/>
      <x:c r="M87" s="5">
        <x:f>'B-PSD-B4'!$D$64</x:f>
      </x:c>
      <x:c r="N87" s="5">
        <x:v>0</x:v>
      </x:c>
      <x:c r="O87" s="5">
        <x:v>10</x:v>
      </x:c>
      <x:c r="P87" s="5" t="s">
        <x:v>58</x:v>
      </x:c>
      <x:c r="Q87" s="5">
        <x:v>0</x:v>
      </x:c>
      <x:c r="R87" s="5">
        <x:f>IF(F87=0,0,ROUND(I87/F87,0))</x:f>
      </x:c>
      <x:c r="S87" s="5">
        <x:v>16</x:v>
      </x:c>
      <x:c r="T87" s="6">
        <x:v>0.93</x:v>
      </x:c>
      <x:c r="U87" s="5">
        <x:f>E87*7-N87</x:f>
      </x:c>
      <x:c r="V87" s="5">
        <x:f>ROUND(((S87*T87*U87)/M87),0)</x:f>
      </x:c>
      <x:c r="W87" s="5">
        <x:v>16</x:v>
      </x:c>
      <x:c r="X87" s="6">
        <x:v>0.93</x:v>
      </x:c>
      <x:c r="Y87" s="5">
        <x:f>U87</x:f>
      </x:c>
      <x:c r="Z87" s="5">
        <x:f>ROUND(((W87*X87*Y87)/M87),0)</x:f>
      </x:c>
      <x:c r="AA87" s="5">
        <x:v>0</x:v>
      </x:c>
      <x:c r="AB87" s="6">
        <x:v>0</x:v>
      </x:c>
      <x:c r="AC87" s="5">
        <x:f>E87*7-N87</x:f>
      </x:c>
      <x:c r="AD87" s="5">
        <x:f>ROUND(((AA87*AB87*AC87)/M87),0)</x:f>
      </x:c>
      <x:c r="AE87" s="7">
        <x:f>S87+W87+AA87</x:f>
      </x:c>
      <x:c r="AF87" s="5">
        <x:f>ROUND( ((SUM(I86:I87)*1)/SUM(Q86:Q87)*100),1)</x:f>
      </x:c>
      <x:c r="AG87" s="5">
        <x:f>K87*M87</x:f>
      </x:c>
      <x:c r="AH87" s="5">
        <x:f>S87*U87+W87*Y87+AA87*AC87</x:f>
      </x:c>
      <x:c r="AI87" s="6">
        <x:f>IF(AH87=0,0,AG87/AH87)</x:f>
      </x:c>
    </x:row>
    <x:row r="88" spans="1:35" x14ac:dyDescent="0.2">
      <x:c r="B88" s="5" t="s">
        <x:v>63</x:v>
      </x:c>
      <x:c r="C88" s="69">
        <x:v>46685</x:v>
      </x:c>
      <x:c r="D88" s="5">
        <x:v>43</x:v>
      </x:c>
      <x:c r="E88" s="5">
        <x:v>6</x:v>
      </x:c>
      <x:c r="F88" s="5">
        <x:v>5</x:v>
      </x:c>
      <x:c r="G88" s="7">
        <x:f>(G87+H87-I87+K84)</x:f>
      </x:c>
      <x:c r="H88" s="5">
        <x:v>0</x:v>
      </x:c>
      <x:c r="I88" s="5">
        <x:f>'B-PSD-B4'!CB32</x:f>
      </x:c>
      <x:c r="J88" s="26">
        <x:f>IF(I88=0,"N/S",ROUND( ( ((G88) * 1)/I88)*F88,1))</x:f>
      </x:c>
      <x:c r="K88" s="5">
        <x:f>V88+Z88+AD88</x:f>
      </x:c>
      <x:c r="L88" s="5"/>
      <x:c r="M88" s="5">
        <x:f>'B-PSD-B4'!$D$64</x:f>
      </x:c>
      <x:c r="N88" s="5">
        <x:v>0</x:v>
      </x:c>
      <x:c r="O88" s="5">
        <x:v>10</x:v>
      </x:c>
      <x:c r="P88" s="5" t="s">
        <x:v>58</x:v>
      </x:c>
      <x:c r="Q88" s="5">
        <x:v>0</x:v>
      </x:c>
      <x:c r="R88" s="5">
        <x:f>IF(F88=0,0,ROUND(I88/F88,0))</x:f>
      </x:c>
      <x:c r="S88" s="5">
        <x:v>16</x:v>
      </x:c>
      <x:c r="T88" s="6">
        <x:v>0.93</x:v>
      </x:c>
      <x:c r="U88" s="5">
        <x:f>E88*7-N88</x:f>
      </x:c>
      <x:c r="V88" s="5">
        <x:f>ROUND(((S88*T88*U88)/M88),0)</x:f>
      </x:c>
      <x:c r="W88" s="5">
        <x:v>16</x:v>
      </x:c>
      <x:c r="X88" s="6">
        <x:v>0.93</x:v>
      </x:c>
      <x:c r="Y88" s="5">
        <x:f>U88</x:f>
      </x:c>
      <x:c r="Z88" s="5">
        <x:f>ROUND(((W88*X88*Y88)/M88),0)</x:f>
      </x:c>
      <x:c r="AA88" s="5">
        <x:v>0</x:v>
      </x:c>
      <x:c r="AB88" s="6">
        <x:v>0</x:v>
      </x:c>
      <x:c r="AC88" s="5">
        <x:f>E88*7-N88</x:f>
      </x:c>
      <x:c r="AD88" s="5">
        <x:f>ROUND(((AA88*AB88*AC88)/M88),0)</x:f>
      </x:c>
      <x:c r="AE88" s="7">
        <x:f>S88+W88+AA88</x:f>
      </x:c>
      <x:c r="AF88" s="5">
        <x:f>ROUND( ((SUM(I87:I88)*1)/SUM(Q87:Q88)*100),1)</x:f>
      </x:c>
      <x:c r="AG88" s="5">
        <x:f>K88*M88</x:f>
      </x:c>
      <x:c r="AH88" s="5">
        <x:f>S88*U88+W88*Y88+AA88*AC88</x:f>
      </x:c>
      <x:c r="AI88" s="6">
        <x:f>IF(AH88=0,0,AG88/AH88)</x:f>
      </x:c>
    </x:row>
    <x:row r="89" spans="1:35" x14ac:dyDescent="0.2">
      <x:c r="B89" s="5" t="s">
        <x:v>64</x:v>
      </x:c>
      <x:c r="C89" s="69">
        <x:v>46692</x:v>
      </x:c>
      <x:c r="D89" s="5">
        <x:v>44</x:v>
      </x:c>
      <x:c r="E89" s="5">
        <x:v>6</x:v>
      </x:c>
      <x:c r="F89" s="5">
        <x:v>5</x:v>
      </x:c>
      <x:c r="G89" s="7">
        <x:f>(G88+H88-I88+K85)</x:f>
      </x:c>
      <x:c r="H89" s="5">
        <x:v>0</x:v>
      </x:c>
      <x:c r="I89" s="5">
        <x:f>'B-PSD-B4'!CC32</x:f>
      </x:c>
      <x:c r="J89" s="26">
        <x:f>IF(I89=0,"N/S",ROUND( ( ((G89) * 1)/I89)*F89,1))</x:f>
      </x:c>
      <x:c r="K89" s="5">
        <x:f>V89+Z89+AD89</x:f>
      </x:c>
      <x:c r="L89" s="5"/>
      <x:c r="M89" s="5">
        <x:f>'B-PSD-B4'!$D$64</x:f>
      </x:c>
      <x:c r="N89" s="5">
        <x:v>0</x:v>
      </x:c>
      <x:c r="O89" s="5">
        <x:v>11</x:v>
      </x:c>
      <x:c r="P89" s="5" t="s">
        <x:v>58</x:v>
      </x:c>
      <x:c r="Q89" s="5">
        <x:v>0</x:v>
      </x:c>
      <x:c r="R89" s="5">
        <x:f>IF(F89=0,0,ROUND(I89/F89,0))</x:f>
      </x:c>
      <x:c r="S89" s="5">
        <x:v>16</x:v>
      </x:c>
      <x:c r="T89" s="6">
        <x:v>0.93</x:v>
      </x:c>
      <x:c r="U89" s="5">
        <x:f>E89*7-N89</x:f>
      </x:c>
      <x:c r="V89" s="5">
        <x:f>ROUND(((S89*T89*U89)/M89),0)</x:f>
      </x:c>
      <x:c r="W89" s="5">
        <x:v>16</x:v>
      </x:c>
      <x:c r="X89" s="6">
        <x:v>0.93</x:v>
      </x:c>
      <x:c r="Y89" s="5">
        <x:f>U89</x:f>
      </x:c>
      <x:c r="Z89" s="5">
        <x:f>ROUND(((W89*X89*Y89)/M89),0)</x:f>
      </x:c>
      <x:c r="AA89" s="5">
        <x:v>0</x:v>
      </x:c>
      <x:c r="AB89" s="6">
        <x:v>0</x:v>
      </x:c>
      <x:c r="AC89" s="5">
        <x:f>E89*7-N89</x:f>
      </x:c>
      <x:c r="AD89" s="5">
        <x:f>ROUND(((AA89*AB89*AC89)/M89),0)</x:f>
      </x:c>
      <x:c r="AE89" s="7">
        <x:f>S89+W89+AA89</x:f>
      </x:c>
      <x:c r="AF89" s="5">
        <x:f>ROUND( ((SUM(I88:I89)*1)/SUM(Q88:Q89)*100),1)</x:f>
      </x:c>
      <x:c r="AG89" s="5">
        <x:f>K89*M89</x:f>
      </x:c>
      <x:c r="AH89" s="5">
        <x:f>S89*U89+W89*Y89+AA89*AC89</x:f>
      </x:c>
      <x:c r="AI89" s="6">
        <x:f>IF(AH89=0,0,AG89/AH89)</x:f>
      </x:c>
    </x:row>
    <x:row r="90" spans="1:35" x14ac:dyDescent="0.2">
      <x:c r="T90" s="38"/>
      <x:c r="X90" s="38"/>
      <x:c r="AB90" s="38"/>
    </x:row>
  </x:sheetData>
  <x:mergeCells count="35">
    <x:mergeCell ref="B1:C1"/>
    <x:mergeCell ref="D1:E1"/>
    <x:mergeCell ref="F1:G1"/>
    <x:mergeCell ref="H1:I1"/>
    <x:mergeCell ref="J1:K1"/>
    <x:mergeCell ref="L1:N1"/>
    <x:mergeCell ref="B3:P3"/>
    <x:mergeCell ref="B5:C5"/>
    <x:mergeCell ref="D5:I5"/>
    <x:mergeCell ref="J5:P5"/>
    <x:mergeCell ref="B6:C6"/>
    <x:mergeCell ref="D6:I6"/>
    <x:mergeCell ref="J6:K6"/>
    <x:mergeCell ref="L6:M6"/>
    <x:mergeCell ref="N6:O6"/>
    <x:mergeCell ref="B7:C7"/>
    <x:mergeCell ref="D7:I7"/>
    <x:mergeCell ref="J7:K7"/>
    <x:mergeCell ref="L7:M7"/>
    <x:mergeCell ref="N7:O7"/>
    <x:mergeCell ref="B8:C8"/>
    <x:mergeCell ref="E8:F8"/>
    <x:mergeCell ref="G8:I8"/>
    <x:mergeCell ref="J8:K8"/>
    <x:mergeCell ref="L8:M8"/>
    <x:mergeCell ref="N8:O8"/>
    <x:mergeCell ref="B9:C9"/>
    <x:mergeCell ref="E9:F9"/>
    <x:mergeCell ref="G9:I9"/>
    <x:mergeCell ref="J9:K9"/>
    <x:mergeCell ref="L9:M9"/>
    <x:mergeCell ref="N9:O9"/>
    <x:mergeCell ref="S10:V10"/>
    <x:mergeCell ref="W10:Z10"/>
    <x:mergeCell ref="AA10:AD10"/>
  </x:mergeCells>
  <x:conditionalFormatting sqref="J12:J89">
    <x:cfRule type="cellIs" dxfId="0" priority="1" stopIfTrue="1" operator="equal">
      <x:formula>"N/S"</x:formula>
    </x:cfRule>
    <x:cfRule type="cellIs" dxfId="1" priority="2" stopIfTrue="1" operator="greaterThanOrEqual">
      <x:formula>$D$9</x:formula>
    </x:cfRule>
    <x:cfRule type="cellIs" dxfId="2" priority="3" stopIfTrue="1" operator="lessThan">
      <x:formula>$D$9</x:formula>
    </x:cfRule>
  </x:conditionalFormatting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013B6E0-198E-4238-B60F-487DC27559F2}" mc:Ignorable="x14ac xr xr2 xr3">
  <x:sheetPr>
    <x:outlinePr summaryBelow="1" summaryRight="1"/>
  </x:sheetPr>
  <x:dimension ref="A1:CC70"/>
  <x:sheetViews>
    <x:sheetView tabSelected="1" workbookViewId="0">
      <x:selection activeCell="A22" sqref="A22"/>
    </x:sheetView>
  </x:sheetViews>
  <x:sheetFormatPr defaultRowHeight="12.75" x14ac:dyDescent="0.2"/>
  <x:cols>
    <x:col min="1" max="1" width="26.855469" style="0" bestFit="1" customWidth="1"/>
    <x:col min="2" max="2" width="12.140625" style="0" bestFit="1" customWidth="1"/>
    <x:col min="3" max="3" width="16" style="0" bestFit="1" customWidth="1"/>
    <x:col min="4" max="4" width="16.570312" style="0" bestFit="1" customWidth="1"/>
    <x:col min="5" max="5" width="10.855469" style="0" bestFit="1" customWidth="1"/>
    <x:col min="6" max="6" width="8.425781" style="0" bestFit="1" customWidth="1"/>
    <x:col min="7" max="12" width="7.425781" style="0" bestFit="1" customWidth="1"/>
    <x:col min="13" max="13" width="7" style="0" bestFit="1" customWidth="1"/>
    <x:col min="14" max="14" width="7.425781" style="0" bestFit="1" customWidth="1"/>
    <x:col min="15" max="15" width="6.710938" style="0" bestFit="1" customWidth="1"/>
    <x:col min="16" max="16" width="7.425781" style="0" bestFit="1" customWidth="1"/>
    <x:col min="17" max="24" width="6.710938" style="0" bestFit="1" customWidth="1"/>
    <x:col min="25" max="81" width="9.140625" style="0" customWidth="1"/>
  </x:cols>
  <x:sheetData>
    <x:row r="1" spans="1:81" x14ac:dyDescent="0.2">
      <x:c r="B1" s="5" t="s">
        <x:v>0</x:v>
      </x:c>
      <x:c r="C1" s="56" t="s">
        <x:v>1</x:v>
      </x:c>
      <x:c r="D1" s="5" t="s">
        <x:v>2</x:v>
      </x:c>
      <x:c r="E1" s="56" t="s">
        <x:v>3</x:v>
      </x:c>
      <x:c r="F1" s="54" t="s">
        <x:v>4</x:v>
      </x:c>
      <x:c r="G1" s="55"/>
      <x:c r="H1" s="81" t="s">
        <x:v>5</x:v>
      </x:c>
      <x:c r="I1" s="81"/>
      <x:c r="J1" s="81"/>
    </x:row>
    <x:row r="2" spans="1:81" ht="13.5" customHeight="1" x14ac:dyDescent="0.25">
      <x:c r="D2" s="0">
        <x:v>2</x:v>
      </x:c>
      <x:c r="E2" s="0">
        <x:v>3</x:v>
      </x:c>
      <x:c r="F2" s="0">
        <x:v>4</x:v>
      </x:c>
      <x:c r="G2" s="0">
        <x:v>5</x:v>
      </x:c>
      <x:c r="H2" s="0">
        <x:v>6</x:v>
      </x:c>
      <x:c r="I2" s="0">
        <x:v>7</x:v>
      </x:c>
      <x:c r="J2" s="0">
        <x:v>8</x:v>
      </x:c>
      <x:c r="K2" s="0">
        <x:v>9</x:v>
      </x:c>
      <x:c r="L2" s="0">
        <x:v>10</x:v>
      </x:c>
      <x:c r="M2" s="0">
        <x:v>11</x:v>
      </x:c>
      <x:c r="N2" s="0">
        <x:v>12</x:v>
      </x:c>
      <x:c r="O2" s="0">
        <x:v>13</x:v>
      </x:c>
      <x:c r="P2" s="0">
        <x:v>14</x:v>
      </x:c>
      <x:c r="Q2" s="0">
        <x:v>15</x:v>
      </x:c>
      <x:c r="R2" s="0">
        <x:v>16</x:v>
      </x:c>
      <x:c r="S2" s="0">
        <x:v>17</x:v>
      </x:c>
      <x:c r="T2" s="0">
        <x:v>18</x:v>
      </x:c>
      <x:c r="U2" s="0">
        <x:v>19</x:v>
      </x:c>
      <x:c r="V2" s="0">
        <x:v>20</x:v>
      </x:c>
      <x:c r="W2" s="0">
        <x:v>21</x:v>
      </x:c>
      <x:c r="X2" s="0">
        <x:v>22</x:v>
      </x:c>
      <x:c r="Y2" s="0">
        <x:v>23</x:v>
      </x:c>
      <x:c r="Z2" s="0">
        <x:v>24</x:v>
      </x:c>
      <x:c r="AA2" s="0">
        <x:v>25</x:v>
      </x:c>
      <x:c r="AB2" s="0">
        <x:v>26</x:v>
      </x:c>
      <x:c r="AC2" s="0">
        <x:v>27</x:v>
      </x:c>
      <x:c r="AD2" s="0">
        <x:v>28</x:v>
      </x:c>
      <x:c r="AE2" s="0">
        <x:v>29</x:v>
      </x:c>
      <x:c r="AF2" s="0">
        <x:v>30</x:v>
      </x:c>
      <x:c r="AG2" s="0">
        <x:v>31</x:v>
      </x:c>
      <x:c r="AH2" s="0">
        <x:v>32</x:v>
      </x:c>
      <x:c r="AI2" s="0">
        <x:v>33</x:v>
      </x:c>
      <x:c r="AJ2" s="0">
        <x:v>34</x:v>
      </x:c>
      <x:c r="AK2" s="0">
        <x:v>35</x:v>
      </x:c>
      <x:c r="AL2" s="0">
        <x:v>36</x:v>
      </x:c>
      <x:c r="AM2" s="0">
        <x:v>37</x:v>
      </x:c>
      <x:c r="AN2" s="0">
        <x:v>38</x:v>
      </x:c>
      <x:c r="AO2" s="0">
        <x:v>39</x:v>
      </x:c>
      <x:c r="AP2" s="0">
        <x:v>40</x:v>
      </x:c>
      <x:c r="AQ2" s="0">
        <x:v>41</x:v>
      </x:c>
      <x:c r="AR2" s="0">
        <x:v>42</x:v>
      </x:c>
      <x:c r="AS2" s="0">
        <x:v>43</x:v>
      </x:c>
      <x:c r="AT2" s="0">
        <x:v>44</x:v>
      </x:c>
      <x:c r="AU2" s="0">
        <x:v>45</x:v>
      </x:c>
      <x:c r="AV2" s="0">
        <x:v>46</x:v>
      </x:c>
      <x:c r="AW2" s="0">
        <x:v>47</x:v>
      </x:c>
      <x:c r="AX2" s="0">
        <x:v>48</x:v>
      </x:c>
      <x:c r="AY2" s="0">
        <x:v>49</x:v>
      </x:c>
      <x:c r="AZ2" s="0">
        <x:v>50</x:v>
      </x:c>
      <x:c r="BA2" s="0">
        <x:v>51</x:v>
      </x:c>
      <x:c r="BB2" s="0">
        <x:v>52</x:v>
      </x:c>
      <x:c r="BC2" s="0">
        <x:v>53</x:v>
      </x:c>
      <x:c r="BD2" s="0">
        <x:v>54</x:v>
      </x:c>
      <x:c r="BE2" s="0">
        <x:v>55</x:v>
      </x:c>
      <x:c r="BF2" s="0">
        <x:v>56</x:v>
      </x:c>
      <x:c r="BG2" s="0">
        <x:v>57</x:v>
      </x:c>
      <x:c r="BH2" s="0">
        <x:v>58</x:v>
      </x:c>
      <x:c r="BI2" s="0">
        <x:v>59</x:v>
      </x:c>
      <x:c r="BJ2" s="0">
        <x:v>60</x:v>
      </x:c>
      <x:c r="BK2" s="0">
        <x:v>61</x:v>
      </x:c>
      <x:c r="BL2" s="0">
        <x:v>62</x:v>
      </x:c>
      <x:c r="BM2" s="0">
        <x:v>63</x:v>
      </x:c>
      <x:c r="BN2" s="0">
        <x:v>64</x:v>
      </x:c>
      <x:c r="BO2" s="0">
        <x:v>65</x:v>
      </x:c>
      <x:c r="BP2" s="0">
        <x:v>66</x:v>
      </x:c>
      <x:c r="BQ2" s="0">
        <x:v>67</x:v>
      </x:c>
      <x:c r="BR2" s="0">
        <x:v>68</x:v>
      </x:c>
      <x:c r="BS2" s="0">
        <x:v>69</x:v>
      </x:c>
      <x:c r="BT2" s="0">
        <x:v>70</x:v>
      </x:c>
      <x:c r="BU2" s="0">
        <x:v>71</x:v>
      </x:c>
      <x:c r="BV2" s="0">
        <x:v>72</x:v>
      </x:c>
      <x:c r="BW2" s="0">
        <x:v>73</x:v>
      </x:c>
      <x:c r="BX2" s="0">
        <x:v>74</x:v>
      </x:c>
      <x:c r="BY2" s="0">
        <x:v>75</x:v>
      </x:c>
      <x:c r="BZ2" s="0">
        <x:v>76</x:v>
      </x:c>
      <x:c r="CA2" s="0">
        <x:v>77</x:v>
      </x:c>
      <x:c r="CB2" s="0">
        <x:v>78</x:v>
      </x:c>
      <x:c r="CC2" s="0">
        <x:v>79</x:v>
      </x:c>
    </x:row>
    <x:row r="3" spans="1:81" ht="13.5" customHeight="1" x14ac:dyDescent="0.25">
      <x:c r="B3" s="58" t="s">
        <x:v>70</x:v>
      </x:c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60"/>
    </x:row>
    <x:row r="4" spans="1:81">
      <x:c r="D4" s="0">
        <x:v>2</x:v>
      </x:c>
      <x:c r="E4" s="0">
        <x:v>3</x:v>
      </x:c>
    </x:row>
    <x:row r="5" spans="1:81" x14ac:dyDescent="0.2">
      <x:c r="B5" s="5" t="s">
        <x:v>7</x:v>
      </x:c>
      <x:c r="C5" s="61" t="s">
        <x:v>8</x:v>
      </x:c>
      <x:c r="D5" s="61"/>
      <x:c r="E5" s="61"/>
      <x:c r="F5" s="61"/>
      <x:c r="G5" s="5" t="s">
        <x:v>71</x:v>
      </x:c>
      <x:c r="H5" s="5"/>
      <x:c r="I5" s="61">
        <x:v>1</x:v>
      </x:c>
      <x:c r="J5" s="61"/>
      <x:c r="K5" s="5" t="s">
        <x:v>72</x:v>
      </x:c>
      <x:c r="L5" s="5"/>
      <x:c r="M5" s="61">
        <x:v>3</x:v>
      </x:c>
    </x:row>
    <x:row r="6" spans="1:81" x14ac:dyDescent="0.2">
      <x:c r="B6" s="5" t="s">
        <x:v>9</x:v>
      </x:c>
      <x:c r="C6" s="61" t="s">
        <x:v>10</x:v>
      </x:c>
      <x:c r="D6" s="61"/>
      <x:c r="E6" s="61"/>
      <x:c r="F6" s="61"/>
      <x:c r="G6" s="5" t="s">
        <x:v>11</x:v>
      </x:c>
      <x:c r="H6" s="5"/>
      <x:c r="I6" s="61" t="s">
        <x:v>12</x:v>
      </x:c>
      <x:c r="J6" s="61"/>
      <x:c r="K6" s="5" t="s">
        <x:v>13</x:v>
      </x:c>
      <x:c r="L6" s="5"/>
      <x:c r="M6" s="62">
        <x:v>0.93</x:v>
      </x:c>
    </x:row>
    <x:row r="7" spans="1:81" x14ac:dyDescent="0.2">
      <x:c r="B7" s="5" t="s">
        <x:v>14</x:v>
      </x:c>
      <x:c r="C7" s="61" t="s">
        <x:v>15</x:v>
      </x:c>
      <x:c r="D7" s="61"/>
      <x:c r="E7" s="61"/>
      <x:c r="F7" s="61"/>
      <x:c r="G7" s="5" t="s">
        <x:v>16</x:v>
      </x:c>
      <x:c r="H7" s="5"/>
      <x:c r="I7" s="61" t="s">
        <x:v>17</x:v>
      </x:c>
      <x:c r="J7" s="61"/>
      <x:c r="K7" s="5" t="s">
        <x:v>18</x:v>
      </x:c>
      <x:c r="L7" s="5"/>
      <x:c r="M7" s="61">
        <x:v>7</x:v>
      </x:c>
    </x:row>
    <x:row r="8" spans="1:81" x14ac:dyDescent="0.2">
      <x:c r="B8" s="5" t="s">
        <x:v>19</x:v>
      </x:c>
      <x:c r="C8" s="63" t="s">
        <x:v>20</x:v>
      </x:c>
      <x:c r="D8" s="5" t="s">
        <x:v>21</x:v>
      </x:c>
      <x:c r="E8" s="63" t="s">
        <x:v>22</x:v>
      </x:c>
      <x:c r="F8" s="61"/>
      <x:c r="G8" s="5" t="s">
        <x:v>23</x:v>
      </x:c>
      <x:c r="H8" s="5"/>
      <x:c r="I8" s="61">
        <x:v>78</x:v>
      </x:c>
      <x:c r="J8" s="61"/>
      <x:c r="K8" s="5" t="s">
        <x:v>24</x:v>
      </x:c>
      <x:c r="L8" s="5"/>
      <x:c r="M8" s="5">
        <x:v>3</x:v>
      </x:c>
    </x:row>
    <x:row r="9" spans="1:81" x14ac:dyDescent="0.2">
      <x:c r="B9" s="5" t="s">
        <x:v>25</x:v>
      </x:c>
      <x:c r="C9" s="61">
        <x:v>25</x:v>
      </x:c>
      <x:c r="D9" s="5" t="s">
        <x:v>26</x:v>
      </x:c>
      <x:c r="E9" s="61" t="s">
        <x:v>27</x:v>
      </x:c>
      <x:c r="F9" s="61"/>
      <x:c r="G9" s="5" t="s">
        <x:v>28</x:v>
      </x:c>
      <x:c r="H9" s="5"/>
      <x:c r="I9" s="61">
        <x:v>99</x:v>
      </x:c>
      <x:c r="J9" s="61"/>
      <x:c r="K9" s="5" t="s">
        <x:v>29</x:v>
      </x:c>
      <x:c r="L9" s="5"/>
      <x:c r="M9" s="61">
        <x:v>1.76</x:v>
      </x:c>
    </x:row>
    <x:row r="10" spans="1:81" x14ac:dyDescent="0.2">
      <x:c r="C10" s="82" t="s">
        <x:v>73</x:v>
      </x:c>
      <x:c r="D10" s="83">
        <x:f>D55-D34</x:f>
      </x:c>
      <x:c r="E10" s="83">
        <x:f>E55-E34</x:f>
      </x:c>
      <x:c r="F10" s="83">
        <x:f>F55-F34</x:f>
      </x:c>
      <x:c r="G10" s="83">
        <x:f>G55-G34</x:f>
      </x:c>
      <x:c r="H10" s="83">
        <x:f>H55-H34</x:f>
      </x:c>
      <x:c r="I10" s="83">
        <x:f>I55-I34</x:f>
      </x:c>
      <x:c r="J10" s="83">
        <x:f>J55-J34</x:f>
      </x:c>
      <x:c r="K10" s="83">
        <x:f>K55-K34</x:f>
      </x:c>
      <x:c r="L10" s="83">
        <x:f>L55-L34</x:f>
      </x:c>
      <x:c r="M10" s="83">
        <x:f>M55-M34</x:f>
      </x:c>
      <x:c r="N10" s="83">
        <x:f>N55-N34</x:f>
      </x:c>
      <x:c r="O10" s="83">
        <x:f>O55-O34</x:f>
      </x:c>
      <x:c r="P10" s="83">
        <x:f>P55-P34</x:f>
      </x:c>
      <x:c r="Q10" s="83">
        <x:f>Q55-Q34</x:f>
      </x:c>
      <x:c r="R10" s="83">
        <x:f>R55-R34</x:f>
      </x:c>
      <x:c r="S10" s="83">
        <x:f>S55-S34</x:f>
      </x:c>
      <x:c r="T10" s="83">
        <x:f>T55-T34</x:f>
      </x:c>
      <x:c r="U10" s="83">
        <x:f>U55-U34</x:f>
      </x:c>
      <x:c r="V10" s="83">
        <x:f>V55-V34</x:f>
      </x:c>
      <x:c r="W10" s="83">
        <x:f>W55-W34</x:f>
      </x:c>
      <x:c r="X10" s="83">
        <x:f>X55-X34</x:f>
      </x:c>
      <x:c r="Y10" s="83">
        <x:f>Y55-Y34</x:f>
      </x:c>
      <x:c r="Z10" s="83">
        <x:f>Z55-Z34</x:f>
      </x:c>
      <x:c r="AA10" s="83">
        <x:f>AA55-AA34</x:f>
      </x:c>
      <x:c r="AB10" s="83">
        <x:f>AB55-AB34</x:f>
      </x:c>
      <x:c r="AC10" s="83">
        <x:f>AC55-AC34</x:f>
      </x:c>
      <x:c r="AD10" s="83">
        <x:f>AD55-AD34</x:f>
      </x:c>
      <x:c r="AE10" s="83">
        <x:f>AE55-AE34</x:f>
      </x:c>
      <x:c r="AF10" s="83">
        <x:f>AF55-AF34</x:f>
      </x:c>
      <x:c r="AG10" s="83">
        <x:f>AG55-AG34</x:f>
      </x:c>
      <x:c r="AH10" s="83">
        <x:f>AH55-AH34</x:f>
      </x:c>
      <x:c r="AI10" s="83">
        <x:f>AI55-AI34</x:f>
      </x:c>
      <x:c r="AJ10" s="83">
        <x:f>AJ55-AJ34</x:f>
      </x:c>
      <x:c r="AK10" s="83">
        <x:f>AK55-AK34</x:f>
      </x:c>
      <x:c r="AL10" s="83">
        <x:f>AL55-AL34</x:f>
      </x:c>
      <x:c r="AM10" s="83">
        <x:f>AM55-AM34</x:f>
      </x:c>
      <x:c r="AN10" s="83">
        <x:f>AN55-AN34</x:f>
      </x:c>
      <x:c r="AO10" s="83">
        <x:f>AO55-AO34</x:f>
      </x:c>
      <x:c r="AP10" s="83">
        <x:f>AP55-AP34</x:f>
      </x:c>
      <x:c r="AQ10" s="83">
        <x:f>AQ55-AQ34</x:f>
      </x:c>
      <x:c r="AR10" s="83">
        <x:f>AR55-AR34</x:f>
      </x:c>
      <x:c r="AS10" s="83">
        <x:f>AS55-AS34</x:f>
      </x:c>
      <x:c r="AT10" s="83">
        <x:f>AT55-AT34</x:f>
      </x:c>
      <x:c r="AU10" s="83">
        <x:f>AU55-AU34</x:f>
      </x:c>
      <x:c r="AV10" s="83">
        <x:f>AV55-AV34</x:f>
      </x:c>
      <x:c r="AW10" s="83">
        <x:f>AW55-AW34</x:f>
      </x:c>
      <x:c r="AX10" s="83">
        <x:f>AX55-AX34</x:f>
      </x:c>
      <x:c r="AY10" s="83">
        <x:f>AY55-AY34</x:f>
      </x:c>
      <x:c r="AZ10" s="83">
        <x:f>AZ55-AZ34</x:f>
      </x:c>
      <x:c r="BA10" s="83">
        <x:f>BA55-BA34</x:f>
      </x:c>
      <x:c r="BB10" s="83">
        <x:f>BB55-BB34</x:f>
      </x:c>
      <x:c r="BC10" s="83">
        <x:f>BC55-BC34</x:f>
      </x:c>
      <x:c r="BD10" s="83">
        <x:f>BD55-BD34</x:f>
      </x:c>
      <x:c r="BE10" s="83">
        <x:f>BE55-BE34</x:f>
      </x:c>
      <x:c r="BF10" s="83">
        <x:f>BF55-BF34</x:f>
      </x:c>
      <x:c r="BG10" s="83">
        <x:f>BG55-BG34</x:f>
      </x:c>
      <x:c r="BH10" s="83">
        <x:f>BH55-BH34</x:f>
      </x:c>
      <x:c r="BI10" s="83">
        <x:f>BI55-BI34</x:f>
      </x:c>
      <x:c r="BJ10" s="83">
        <x:f>BJ55-BJ34</x:f>
      </x:c>
      <x:c r="BK10" s="83">
        <x:f>BK55-BK34</x:f>
      </x:c>
      <x:c r="BL10" s="83">
        <x:f>BL55-BL34</x:f>
      </x:c>
      <x:c r="BM10" s="83">
        <x:f>BM55-BM34</x:f>
      </x:c>
      <x:c r="BN10" s="83">
        <x:f>BN55-BN34</x:f>
      </x:c>
      <x:c r="BO10" s="83">
        <x:f>BO55-BO34</x:f>
      </x:c>
      <x:c r="BP10" s="83">
        <x:f>BP55-BP34</x:f>
      </x:c>
      <x:c r="BQ10" s="83">
        <x:f>BQ55-BQ34</x:f>
      </x:c>
      <x:c r="BR10" s="83">
        <x:f>BR55-BR34</x:f>
      </x:c>
      <x:c r="BS10" s="83">
        <x:f>BS55-BS34</x:f>
      </x:c>
      <x:c r="BT10" s="83">
        <x:f>BT55-BT34</x:f>
      </x:c>
      <x:c r="BU10" s="83">
        <x:f>BU55-BU34</x:f>
      </x:c>
      <x:c r="BV10" s="83">
        <x:f>BV55-BV34</x:f>
      </x:c>
      <x:c r="BW10" s="83">
        <x:f>BW55-BW34</x:f>
      </x:c>
      <x:c r="BX10" s="83">
        <x:f>BX55-BX34</x:f>
      </x:c>
      <x:c r="BY10" s="83">
        <x:f>BY55-BY34</x:f>
      </x:c>
      <x:c r="BZ10" s="83">
        <x:f>BZ55-BZ34</x:f>
      </x:c>
      <x:c r="CA10" s="83">
        <x:f>CA55-CA34</x:f>
      </x:c>
      <x:c r="CB10" s="83">
        <x:f>CB55-CB34</x:f>
      </x:c>
      <x:c r="CC10" s="83">
        <x:f>CC55-CC34</x:f>
      </x:c>
    </x:row>
    <x:row r="11" spans="1:81" x14ac:dyDescent="0.2">
      <x:c r="A11" s="84" t="s">
        <x:v>74</x:v>
      </x:c>
      <x:c r="B11" s="84" t="s">
        <x:v>75</x:v>
      </x:c>
      <x:c r="C11" s="84" t="s">
        <x:v>34</x:v>
      </x:c>
      <x:c r="D11" s="85" t="s">
        <x:v>76</x:v>
      </x:c>
      <x:c r="E11" s="85" t="s">
        <x:v>77</x:v>
      </x:c>
      <x:c r="F11" s="85" t="s">
        <x:v>78</x:v>
      </x:c>
      <x:c r="G11" s="85" t="s">
        <x:v>79</x:v>
      </x:c>
      <x:c r="H11" s="85" t="s">
        <x:v>80</x:v>
      </x:c>
      <x:c r="I11" s="85" t="s">
        <x:v>81</x:v>
      </x:c>
      <x:c r="J11" s="85" t="s">
        <x:v>82</x:v>
      </x:c>
      <x:c r="K11" s="85" t="s">
        <x:v>83</x:v>
      </x:c>
      <x:c r="L11" s="85" t="s">
        <x:v>84</x:v>
      </x:c>
      <x:c r="M11" s="85" t="s">
        <x:v>85</x:v>
      </x:c>
      <x:c r="N11" s="85" t="s">
        <x:v>86</x:v>
      </x:c>
      <x:c r="O11" s="85" t="s">
        <x:v>87</x:v>
      </x:c>
      <x:c r="P11" s="85" t="s">
        <x:v>88</x:v>
      </x:c>
      <x:c r="Q11" s="85" t="s">
        <x:v>89</x:v>
      </x:c>
      <x:c r="R11" s="85" t="s">
        <x:v>90</x:v>
      </x:c>
      <x:c r="S11" s="85" t="s">
        <x:v>91</x:v>
      </x:c>
      <x:c r="T11" s="85" t="s">
        <x:v>92</x:v>
      </x:c>
      <x:c r="U11" s="85" t="s">
        <x:v>93</x:v>
      </x:c>
      <x:c r="V11" s="85" t="s">
        <x:v>94</x:v>
      </x:c>
      <x:c r="W11" s="85" t="s">
        <x:v>95</x:v>
      </x:c>
      <x:c r="X11" s="85" t="s">
        <x:v>96</x:v>
      </x:c>
      <x:c r="Y11" s="85" t="s">
        <x:v>97</x:v>
      </x:c>
      <x:c r="Z11" s="85" t="s">
        <x:v>98</x:v>
      </x:c>
      <x:c r="AA11" s="85" t="s">
        <x:v>99</x:v>
      </x:c>
      <x:c r="AB11" s="85" t="s">
        <x:v>100</x:v>
      </x:c>
      <x:c r="AC11" s="85" t="s">
        <x:v>101</x:v>
      </x:c>
      <x:c r="AD11" s="85" t="s">
        <x:v>102</x:v>
      </x:c>
      <x:c r="AE11" s="85" t="s">
        <x:v>103</x:v>
      </x:c>
      <x:c r="AF11" s="85" t="s">
        <x:v>104</x:v>
      </x:c>
      <x:c r="AG11" s="85" t="s">
        <x:v>105</x:v>
      </x:c>
      <x:c r="AH11" s="85" t="s">
        <x:v>106</x:v>
      </x:c>
      <x:c r="AI11" s="85" t="s">
        <x:v>107</x:v>
      </x:c>
      <x:c r="AJ11" s="85" t="s">
        <x:v>108</x:v>
      </x:c>
      <x:c r="AK11" s="85" t="s">
        <x:v>109</x:v>
      </x:c>
      <x:c r="AL11" s="85" t="s">
        <x:v>110</x:v>
      </x:c>
      <x:c r="AM11" s="85" t="s">
        <x:v>111</x:v>
      </x:c>
      <x:c r="AN11" s="85" t="s">
        <x:v>112</x:v>
      </x:c>
      <x:c r="AO11" s="85" t="s">
        <x:v>113</x:v>
      </x:c>
      <x:c r="AP11" s="85" t="s">
        <x:v>114</x:v>
      </x:c>
      <x:c r="AQ11" s="85" t="s">
        <x:v>115</x:v>
      </x:c>
      <x:c r="AR11" s="85" t="s">
        <x:v>116</x:v>
      </x:c>
      <x:c r="AS11" s="85" t="s">
        <x:v>117</x:v>
      </x:c>
      <x:c r="AT11" s="85" t="s">
        <x:v>118</x:v>
      </x:c>
      <x:c r="AU11" s="85" t="s">
        <x:v>119</x:v>
      </x:c>
      <x:c r="AV11" s="85" t="s">
        <x:v>120</x:v>
      </x:c>
      <x:c r="AW11" s="85" t="s">
        <x:v>121</x:v>
      </x:c>
      <x:c r="AX11" s="85" t="s">
        <x:v>122</x:v>
      </x:c>
      <x:c r="AY11" s="85" t="s">
        <x:v>123</x:v>
      </x:c>
      <x:c r="AZ11" s="85" t="s">
        <x:v>124</x:v>
      </x:c>
      <x:c r="BA11" s="85" t="s">
        <x:v>125</x:v>
      </x:c>
      <x:c r="BB11" s="85" t="s">
        <x:v>126</x:v>
      </x:c>
      <x:c r="BC11" s="85" t="s">
        <x:v>127</x:v>
      </x:c>
      <x:c r="BD11" s="85" t="s">
        <x:v>128</x:v>
      </x:c>
      <x:c r="BE11" s="85" t="s">
        <x:v>129</x:v>
      </x:c>
      <x:c r="BF11" s="85" t="s">
        <x:v>130</x:v>
      </x:c>
      <x:c r="BG11" s="85" t="s">
        <x:v>131</x:v>
      </x:c>
      <x:c r="BH11" s="85" t="s">
        <x:v>132</x:v>
      </x:c>
      <x:c r="BI11" s="85" t="s">
        <x:v>133</x:v>
      </x:c>
      <x:c r="BJ11" s="85" t="s">
        <x:v>134</x:v>
      </x:c>
      <x:c r="BK11" s="85" t="s">
        <x:v>135</x:v>
      </x:c>
      <x:c r="BL11" s="85" t="s">
        <x:v>136</x:v>
      </x:c>
      <x:c r="BM11" s="85" t="s">
        <x:v>137</x:v>
      </x:c>
      <x:c r="BN11" s="85" t="s">
        <x:v>138</x:v>
      </x:c>
      <x:c r="BO11" s="85" t="s">
        <x:v>139</x:v>
      </x:c>
      <x:c r="BP11" s="85" t="s">
        <x:v>140</x:v>
      </x:c>
      <x:c r="BQ11" s="85" t="s">
        <x:v>141</x:v>
      </x:c>
      <x:c r="BR11" s="85" t="s">
        <x:v>142</x:v>
      </x:c>
      <x:c r="BS11" s="85" t="s">
        <x:v>143</x:v>
      </x:c>
      <x:c r="BT11" s="85" t="s">
        <x:v>144</x:v>
      </x:c>
      <x:c r="BU11" s="85" t="s">
        <x:v>145</x:v>
      </x:c>
      <x:c r="BV11" s="85" t="s">
        <x:v>146</x:v>
      </x:c>
      <x:c r="BW11" s="85" t="s">
        <x:v>147</x:v>
      </x:c>
      <x:c r="BX11" s="85" t="s">
        <x:v>148</x:v>
      </x:c>
      <x:c r="BY11" s="85" t="s">
        <x:v>149</x:v>
      </x:c>
      <x:c r="BZ11" s="85" t="s">
        <x:v>150</x:v>
      </x:c>
      <x:c r="CA11" s="85" t="s">
        <x:v>151</x:v>
      </x:c>
      <x:c r="CB11" s="85" t="s">
        <x:v>152</x:v>
      </x:c>
      <x:c r="CC11" s="85" t="s">
        <x:v>153</x:v>
      </x:c>
    </x:row>
    <x:row r="12" spans="1:81" x14ac:dyDescent="0.2">
      <x:c r="C12" s="86" t="s">
        <x:v>35</x:v>
      </x:c>
      <x:c r="D12" s="87" t="s">
        <x:v>154</x:v>
      </x:c>
      <x:c r="E12" s="87" t="s">
        <x:v>155</x:v>
      </x:c>
      <x:c r="F12" s="87" t="s">
        <x:v>156</x:v>
      </x:c>
      <x:c r="G12" s="87" t="s">
        <x:v>157</x:v>
      </x:c>
      <x:c r="H12" s="87" t="s">
        <x:v>158</x:v>
      </x:c>
      <x:c r="I12" s="87" t="s">
        <x:v>159</x:v>
      </x:c>
      <x:c r="J12" s="87" t="s">
        <x:v>160</x:v>
      </x:c>
      <x:c r="K12" s="87" t="s">
        <x:v>161</x:v>
      </x:c>
      <x:c r="L12" s="87" t="s">
        <x:v>162</x:v>
      </x:c>
      <x:c r="M12" s="87" t="s">
        <x:v>163</x:v>
      </x:c>
      <x:c r="N12" s="87" t="s">
        <x:v>164</x:v>
      </x:c>
      <x:c r="O12" s="87" t="s">
        <x:v>165</x:v>
      </x:c>
      <x:c r="P12" s="87" t="s">
        <x:v>166</x:v>
      </x:c>
      <x:c r="Q12" s="87" t="s">
        <x:v>167</x:v>
      </x:c>
      <x:c r="R12" s="87" t="s">
        <x:v>168</x:v>
      </x:c>
      <x:c r="S12" s="87" t="s">
        <x:v>169</x:v>
      </x:c>
      <x:c r="T12" s="87" t="s">
        <x:v>170</x:v>
      </x:c>
      <x:c r="U12" s="87" t="s">
        <x:v>171</x:v>
      </x:c>
      <x:c r="V12" s="87" t="s">
        <x:v>172</x:v>
      </x:c>
      <x:c r="W12" s="87" t="s">
        <x:v>173</x:v>
      </x:c>
      <x:c r="X12" s="87" t="s">
        <x:v>174</x:v>
      </x:c>
      <x:c r="Y12" s="87" t="s">
        <x:v>175</x:v>
      </x:c>
      <x:c r="Z12" s="87" t="s">
        <x:v>176</x:v>
      </x:c>
      <x:c r="AA12" s="87" t="s">
        <x:v>177</x:v>
      </x:c>
      <x:c r="AB12" s="87" t="s">
        <x:v>178</x:v>
      </x:c>
      <x:c r="AC12" s="87" t="s">
        <x:v>179</x:v>
      </x:c>
      <x:c r="AD12" s="87" t="s">
        <x:v>180</x:v>
      </x:c>
      <x:c r="AE12" s="87" t="s">
        <x:v>181</x:v>
      </x:c>
      <x:c r="AF12" s="87" t="s">
        <x:v>182</x:v>
      </x:c>
      <x:c r="AG12" s="87" t="s">
        <x:v>183</x:v>
      </x:c>
      <x:c r="AH12" s="87" t="s">
        <x:v>184</x:v>
      </x:c>
      <x:c r="AI12" s="87" t="s">
        <x:v>185</x:v>
      </x:c>
      <x:c r="AJ12" s="87" t="s">
        <x:v>186</x:v>
      </x:c>
      <x:c r="AK12" s="87" t="s">
        <x:v>187</x:v>
      </x:c>
      <x:c r="AL12" s="87" t="s">
        <x:v>188</x:v>
      </x:c>
      <x:c r="AM12" s="87" t="s">
        <x:v>189</x:v>
      </x:c>
      <x:c r="AN12" s="87" t="s">
        <x:v>190</x:v>
      </x:c>
      <x:c r="AO12" s="87" t="s">
        <x:v>191</x:v>
      </x:c>
      <x:c r="AP12" s="87" t="s">
        <x:v>192</x:v>
      </x:c>
      <x:c r="AQ12" s="87" t="s">
        <x:v>193</x:v>
      </x:c>
      <x:c r="AR12" s="87" t="s">
        <x:v>194</x:v>
      </x:c>
      <x:c r="AS12" s="87" t="s">
        <x:v>195</x:v>
      </x:c>
      <x:c r="AT12" s="87" t="s">
        <x:v>196</x:v>
      </x:c>
      <x:c r="AU12" s="87" t="s">
        <x:v>197</x:v>
      </x:c>
      <x:c r="AV12" s="87" t="s">
        <x:v>198</x:v>
      </x:c>
      <x:c r="AW12" s="87" t="s">
        <x:v>199</x:v>
      </x:c>
      <x:c r="AX12" s="87" t="s">
        <x:v>200</x:v>
      </x:c>
      <x:c r="AY12" s="87" t="s">
        <x:v>201</x:v>
      </x:c>
      <x:c r="AZ12" s="87" t="s">
        <x:v>202</x:v>
      </x:c>
      <x:c r="BA12" s="87" t="s">
        <x:v>203</x:v>
      </x:c>
      <x:c r="BB12" s="87" t="s">
        <x:v>204</x:v>
      </x:c>
      <x:c r="BC12" s="87" t="s">
        <x:v>205</x:v>
      </x:c>
      <x:c r="BD12" s="87" t="s">
        <x:v>206</x:v>
      </x:c>
      <x:c r="BE12" s="87" t="s">
        <x:v>154</x:v>
      </x:c>
      <x:c r="BF12" s="87" t="s">
        <x:v>155</x:v>
      </x:c>
      <x:c r="BG12" s="87" t="s">
        <x:v>156</x:v>
      </x:c>
      <x:c r="BH12" s="87" t="s">
        <x:v>157</x:v>
      </x:c>
      <x:c r="BI12" s="87" t="s">
        <x:v>158</x:v>
      </x:c>
      <x:c r="BJ12" s="87" t="s">
        <x:v>159</x:v>
      </x:c>
      <x:c r="BK12" s="87" t="s">
        <x:v>160</x:v>
      </x:c>
      <x:c r="BL12" s="87" t="s">
        <x:v>161</x:v>
      </x:c>
      <x:c r="BM12" s="87" t="s">
        <x:v>162</x:v>
      </x:c>
      <x:c r="BN12" s="87" t="s">
        <x:v>163</x:v>
      </x:c>
      <x:c r="BO12" s="87" t="s">
        <x:v>164</x:v>
      </x:c>
      <x:c r="BP12" s="87" t="s">
        <x:v>165</x:v>
      </x:c>
      <x:c r="BQ12" s="87" t="s">
        <x:v>166</x:v>
      </x:c>
      <x:c r="BR12" s="87" t="s">
        <x:v>167</x:v>
      </x:c>
      <x:c r="BS12" s="87" t="s">
        <x:v>168</x:v>
      </x:c>
      <x:c r="BT12" s="87" t="s">
        <x:v>169</x:v>
      </x:c>
      <x:c r="BU12" s="87" t="s">
        <x:v>170</x:v>
      </x:c>
      <x:c r="BV12" s="87" t="s">
        <x:v>171</x:v>
      </x:c>
      <x:c r="BW12" s="87" t="s">
        <x:v>172</x:v>
      </x:c>
      <x:c r="BX12" s="87" t="s">
        <x:v>173</x:v>
      </x:c>
      <x:c r="BY12" s="87" t="s">
        <x:v>174</x:v>
      </x:c>
      <x:c r="BZ12" s="87" t="s">
        <x:v>175</x:v>
      </x:c>
      <x:c r="CA12" s="87" t="s">
        <x:v>176</x:v>
      </x:c>
      <x:c r="CB12" s="87" t="s">
        <x:v>177</x:v>
      </x:c>
      <x:c r="CC12" s="87" t="s">
        <x:v>178</x:v>
      </x:c>
    </x:row>
    <x:row r="13" spans="1:81" x14ac:dyDescent="0.2">
      <x:c r="C13" s="84" t="s">
        <x:v>207</x:v>
      </x:c>
      <x:c r="D13" s="84">
        <x:v>5</x:v>
      </x:c>
      <x:c r="E13" s="84">
        <x:v>5</x:v>
      </x:c>
      <x:c r="F13" s="84">
        <x:v>5</x:v>
      </x:c>
      <x:c r="G13" s="84">
        <x:v>5</x:v>
      </x:c>
      <x:c r="H13" s="84">
        <x:v>5</x:v>
      </x:c>
      <x:c r="I13" s="84">
        <x:v>5</x:v>
      </x:c>
      <x:c r="J13" s="84">
        <x:v>5</x:v>
      </x:c>
      <x:c r="K13" s="84">
        <x:v>5</x:v>
      </x:c>
      <x:c r="L13" s="84">
        <x:v>5</x:v>
      </x:c>
      <x:c r="M13" s="84">
        <x:v>5</x:v>
      </x:c>
      <x:c r="N13" s="84">
        <x:v>5</x:v>
      </x:c>
      <x:c r="O13" s="84">
        <x:v>5</x:v>
      </x:c>
      <x:c r="P13" s="84">
        <x:v>5</x:v>
      </x:c>
      <x:c r="Q13" s="84">
        <x:v>5</x:v>
      </x:c>
      <x:c r="R13" s="84">
        <x:v>5</x:v>
      </x:c>
      <x:c r="S13" s="84">
        <x:v>5</x:v>
      </x:c>
      <x:c r="T13" s="84">
        <x:v>5</x:v>
      </x:c>
      <x:c r="U13" s="84">
        <x:v>5</x:v>
      </x:c>
      <x:c r="V13" s="84">
        <x:v>5</x:v>
      </x:c>
      <x:c r="W13" s="84">
        <x:v>5</x:v>
      </x:c>
      <x:c r="X13" s="84">
        <x:v>5</x:v>
      </x:c>
      <x:c r="Y13" s="84">
        <x:v>5</x:v>
      </x:c>
      <x:c r="Z13" s="84">
        <x:v>5</x:v>
      </x:c>
      <x:c r="AA13" s="84">
        <x:v>5</x:v>
      </x:c>
      <x:c r="AB13" s="84">
        <x:v>5</x:v>
      </x:c>
      <x:c r="AC13" s="84">
        <x:v>5</x:v>
      </x:c>
      <x:c r="AD13" s="84">
        <x:v>5</x:v>
      </x:c>
      <x:c r="AE13" s="84">
        <x:v>5</x:v>
      </x:c>
      <x:c r="AF13" s="84">
        <x:v>5</x:v>
      </x:c>
      <x:c r="AG13" s="84">
        <x:v>5</x:v>
      </x:c>
      <x:c r="AH13" s="84">
        <x:v>5</x:v>
      </x:c>
      <x:c r="AI13" s="84">
        <x:v>5</x:v>
      </x:c>
      <x:c r="AJ13" s="84">
        <x:v>5</x:v>
      </x:c>
      <x:c r="AK13" s="84">
        <x:v>5</x:v>
      </x:c>
      <x:c r="AL13" s="84">
        <x:v>5</x:v>
      </x:c>
      <x:c r="AM13" s="84">
        <x:v>5</x:v>
      </x:c>
      <x:c r="AN13" s="84">
        <x:v>5</x:v>
      </x:c>
      <x:c r="AO13" s="84">
        <x:v>5</x:v>
      </x:c>
      <x:c r="AP13" s="84">
        <x:v>5</x:v>
      </x:c>
      <x:c r="AQ13" s="84">
        <x:v>5</x:v>
      </x:c>
      <x:c r="AR13" s="84">
        <x:v>5</x:v>
      </x:c>
      <x:c r="AS13" s="84">
        <x:v>5</x:v>
      </x:c>
      <x:c r="AT13" s="84">
        <x:v>5</x:v>
      </x:c>
      <x:c r="AU13" s="84">
        <x:v>5</x:v>
      </x:c>
      <x:c r="AV13" s="84">
        <x:v>5</x:v>
      </x:c>
      <x:c r="AW13" s="84">
        <x:v>5</x:v>
      </x:c>
      <x:c r="AX13" s="84">
        <x:v>5</x:v>
      </x:c>
      <x:c r="AY13" s="84">
        <x:v>5</x:v>
      </x:c>
      <x:c r="AZ13" s="84">
        <x:v>5</x:v>
      </x:c>
      <x:c r="BA13" s="84">
        <x:v>5</x:v>
      </x:c>
      <x:c r="BB13" s="84">
        <x:v>5</x:v>
      </x:c>
      <x:c r="BC13" s="84">
        <x:v>5</x:v>
      </x:c>
      <x:c r="BD13" s="84">
        <x:v>5</x:v>
      </x:c>
      <x:c r="BE13" s="84">
        <x:v>5</x:v>
      </x:c>
      <x:c r="BF13" s="84">
        <x:v>5</x:v>
      </x:c>
      <x:c r="BG13" s="84">
        <x:v>5</x:v>
      </x:c>
      <x:c r="BH13" s="84">
        <x:v>5</x:v>
      </x:c>
      <x:c r="BI13" s="84">
        <x:v>5</x:v>
      </x:c>
      <x:c r="BJ13" s="84">
        <x:v>5</x:v>
      </x:c>
      <x:c r="BK13" s="84">
        <x:v>5</x:v>
      </x:c>
      <x:c r="BL13" s="84">
        <x:v>5</x:v>
      </x:c>
      <x:c r="BM13" s="84">
        <x:v>5</x:v>
      </x:c>
      <x:c r="BN13" s="84">
        <x:v>5</x:v>
      </x:c>
      <x:c r="BO13" s="84">
        <x:v>5</x:v>
      </x:c>
      <x:c r="BP13" s="84">
        <x:v>5</x:v>
      </x:c>
      <x:c r="BQ13" s="84">
        <x:v>5</x:v>
      </x:c>
      <x:c r="BR13" s="84">
        <x:v>5</x:v>
      </x:c>
      <x:c r="BS13" s="84">
        <x:v>5</x:v>
      </x:c>
      <x:c r="BT13" s="84">
        <x:v>5</x:v>
      </x:c>
      <x:c r="BU13" s="84">
        <x:v>5</x:v>
      </x:c>
      <x:c r="BV13" s="84">
        <x:v>5</x:v>
      </x:c>
      <x:c r="BW13" s="84">
        <x:v>5</x:v>
      </x:c>
      <x:c r="BX13" s="84">
        <x:v>5</x:v>
      </x:c>
      <x:c r="BY13" s="84">
        <x:v>5</x:v>
      </x:c>
      <x:c r="BZ13" s="84">
        <x:v>5</x:v>
      </x:c>
      <x:c r="CA13" s="84">
        <x:v>5</x:v>
      </x:c>
      <x:c r="CB13" s="84">
        <x:v>5</x:v>
      </x:c>
      <x:c r="CC13" s="84">
        <x:v>5</x:v>
      </x:c>
    </x:row>
    <x:row r="14" spans="1:81" x14ac:dyDescent="0.2">
      <x:c r="A14" s="88" t="s">
        <x:v>208</x:v>
      </x:c>
      <x:c r="B14" s="89" t="s">
        <x:v>209</x:v>
      </x:c>
      <x:c r="C14" s="19" t="s">
        <x:v>38</x:v>
      </x:c>
      <x:c r="D14" s="102">
        <x:f>IFERROR(VLOOKUP(A14,OS!$A:$B,2,0),0)</x:f>
      </x:c>
      <x:c r="E14" s="5">
        <x:f>(D14+D15-D17)</x:f>
      </x:c>
      <x:c r="F14" s="5">
        <x:f>(E14+E15-E17)</x:f>
      </x:c>
      <x:c r="G14" s="5">
        <x:f>(F14+F15-F17)</x:f>
      </x:c>
      <x:c r="H14" s="5">
        <x:f>(G14+G15-G17+D16)</x:f>
      </x:c>
      <x:c r="I14" s="5">
        <x:f>(H14+H15-H17+E16)</x:f>
      </x:c>
      <x:c r="J14" s="5">
        <x:f>(I14+I15-I17+F16)</x:f>
      </x:c>
      <x:c r="K14" s="5">
        <x:f>(J14+J15-J17+G16)</x:f>
      </x:c>
      <x:c r="L14" s="5">
        <x:f>(K14+K15-K17+H16)</x:f>
      </x:c>
      <x:c r="M14" s="5">
        <x:f>(L14+L15-L17+I16)</x:f>
      </x:c>
      <x:c r="N14" s="5">
        <x:f>(M14+M15-M17+J16)</x:f>
      </x:c>
      <x:c r="O14" s="5">
        <x:f>(N14+N15-N17+K16)</x:f>
      </x:c>
      <x:c r="P14" s="5">
        <x:f>(O14+O15-O17+L16)</x:f>
      </x:c>
      <x:c r="Q14" s="5">
        <x:f>(P14+P15-P17+M16)</x:f>
      </x:c>
      <x:c r="R14" s="5">
        <x:f>(Q14+Q15-Q17+N16)</x:f>
      </x:c>
      <x:c r="S14" s="5">
        <x:f>(R14+R15-R17+O16)</x:f>
      </x:c>
      <x:c r="T14" s="5">
        <x:f>(S14+S15-S17+P16)</x:f>
      </x:c>
      <x:c r="U14" s="5">
        <x:f>(T14+T15-T17+Q16)</x:f>
      </x:c>
      <x:c r="V14" s="5">
        <x:f>(U14+U15-U17+R16)</x:f>
      </x:c>
      <x:c r="W14" s="5">
        <x:f>(V14+V15-V17+S16)</x:f>
      </x:c>
      <x:c r="X14" s="5">
        <x:f>(W14+W15-W17+T16)</x:f>
      </x:c>
      <x:c r="Y14" s="5">
        <x:f>(X14+X15-X17+U16)</x:f>
      </x:c>
      <x:c r="Z14" s="5">
        <x:f>(Y14+Y15-Y17+V16)</x:f>
      </x:c>
      <x:c r="AA14" s="5">
        <x:f>(Z14+Z15-Z17+W16)</x:f>
      </x:c>
      <x:c r="AB14" s="5">
        <x:f>(AA14+AA15-AA17+X16)</x:f>
      </x:c>
      <x:c r="AC14" s="5">
        <x:f>(AB14+AB15-AB17+Y16)</x:f>
      </x:c>
      <x:c r="AD14" s="5">
        <x:f>(AC14+AC15-AC17+Z16)</x:f>
      </x:c>
      <x:c r="AE14" s="5">
        <x:f>(AD14+AD15-AD17+AA16)</x:f>
      </x:c>
      <x:c r="AF14" s="5">
        <x:f>(AE14+AE15-AE17+AB16)</x:f>
      </x:c>
      <x:c r="AG14" s="5">
        <x:f>(AF14+AF15-AF17+AC16)</x:f>
      </x:c>
      <x:c r="AH14" s="5">
        <x:f>(AG14+AG15-AG17+AD16)</x:f>
      </x:c>
      <x:c r="AI14" s="5">
        <x:f>(AH14+AH15-AH17+AE16)</x:f>
      </x:c>
      <x:c r="AJ14" s="5">
        <x:f>(AI14+AI15-AI17+AF16)</x:f>
      </x:c>
      <x:c r="AK14" s="5">
        <x:f>(AJ14+AJ15-AJ17+AG16)</x:f>
      </x:c>
      <x:c r="AL14" s="5">
        <x:f>(AK14+AK15-AK17+AH16)</x:f>
      </x:c>
      <x:c r="AM14" s="5">
        <x:f>(AL14+AL15-AL17+AI16)</x:f>
      </x:c>
      <x:c r="AN14" s="5">
        <x:f>(AM14+AM15-AM17+AJ16)</x:f>
      </x:c>
      <x:c r="AO14" s="5">
        <x:f>(AN14+AN15-AN17+AK16)</x:f>
      </x:c>
      <x:c r="AP14" s="5">
        <x:f>(AO14+AO15-AO17+AL16)</x:f>
      </x:c>
      <x:c r="AQ14" s="5">
        <x:f>(AP14+AP15-AP17+AM16)</x:f>
      </x:c>
      <x:c r="AR14" s="5">
        <x:f>(AQ14+AQ15-AQ17+AN16)</x:f>
      </x:c>
      <x:c r="AS14" s="5">
        <x:f>(AR14+AR15-AR17+AO16)</x:f>
      </x:c>
      <x:c r="AT14" s="5">
        <x:f>(AS14+AS15-AS17+AP16)</x:f>
      </x:c>
      <x:c r="AU14" s="5">
        <x:f>(AT14+AT15-AT17+AQ16)</x:f>
      </x:c>
      <x:c r="AV14" s="5">
        <x:f>(AU14+AU15-AU17+AR16)</x:f>
      </x:c>
      <x:c r="AW14" s="5">
        <x:f>(AV14+AV15-AV17+AS16)</x:f>
      </x:c>
      <x:c r="AX14" s="5">
        <x:f>(AW14+AW15-AW17+AT16)</x:f>
      </x:c>
      <x:c r="AY14" s="5">
        <x:f>(AX14+AX15-AX17+AU16)</x:f>
      </x:c>
      <x:c r="AZ14" s="5">
        <x:f>(AY14+AY15-AY17+AV16)</x:f>
      </x:c>
      <x:c r="BA14" s="5">
        <x:f>(AZ14+AZ15-AZ17+AW16)</x:f>
      </x:c>
      <x:c r="BB14" s="5">
        <x:f>(BA14+BA15-BA17+AX16)</x:f>
      </x:c>
      <x:c r="BC14" s="5">
        <x:f>(BB14+BB15-BB17+AY16)</x:f>
      </x:c>
      <x:c r="BD14" s="5">
        <x:f>(BC14+BC15-BC17+AZ16)</x:f>
      </x:c>
      <x:c r="BE14" s="5">
        <x:f>(BD14+BD15-BD17+BA16)</x:f>
      </x:c>
      <x:c r="BF14" s="5">
        <x:f>(BE14+BE15-BE17+BB16)</x:f>
      </x:c>
      <x:c r="BG14" s="5">
        <x:f>(BF14+BF15-BF17+BC16)</x:f>
      </x:c>
      <x:c r="BH14" s="5">
        <x:f>(BG14+BG15-BG17+BD16)</x:f>
      </x:c>
      <x:c r="BI14" s="5">
        <x:f>(BH14+BH15-BH17+BE16)</x:f>
      </x:c>
      <x:c r="BJ14" s="5">
        <x:f>(BI14+BI15-BI17+BF16)</x:f>
      </x:c>
      <x:c r="BK14" s="5">
        <x:f>(BJ14+BJ15-BJ17+BG16)</x:f>
      </x:c>
      <x:c r="BL14" s="5">
        <x:f>(BK14+BK15-BK17+BH16)</x:f>
      </x:c>
      <x:c r="BM14" s="5">
        <x:f>(BL14+BL15-BL17+BI16)</x:f>
      </x:c>
      <x:c r="BN14" s="5">
        <x:f>(BM14+BM15-BM17+BJ16)</x:f>
      </x:c>
      <x:c r="BO14" s="5">
        <x:f>(BN14+BN15-BN17+BK16)</x:f>
      </x:c>
      <x:c r="BP14" s="5">
        <x:f>(BO14+BO15-BO17+BL16)</x:f>
      </x:c>
      <x:c r="BQ14" s="5">
        <x:f>(BP14+BP15-BP17+BM16)</x:f>
      </x:c>
      <x:c r="BR14" s="5">
        <x:f>(BQ14+BQ15-BQ17+BN16)</x:f>
      </x:c>
      <x:c r="BS14" s="5">
        <x:f>(BR14+BR15-BR17+BO16)</x:f>
      </x:c>
      <x:c r="BT14" s="5">
        <x:f>(BS14+BS15-BS17+BP16)</x:f>
      </x:c>
      <x:c r="BU14" s="5">
        <x:f>(BT14+BT15-BT17+BQ16)</x:f>
      </x:c>
      <x:c r="BV14" s="5">
        <x:f>(BU14+BU15-BU17+BR16)</x:f>
      </x:c>
      <x:c r="BW14" s="5">
        <x:f>(BV14+BV15-BV17+BS16)</x:f>
      </x:c>
      <x:c r="BX14" s="5">
        <x:f>(BW14+BW15-BW17+BT16)</x:f>
      </x:c>
      <x:c r="BY14" s="5">
        <x:f>(BX14+BX15-BX17+BU16)</x:f>
      </x:c>
      <x:c r="BZ14" s="5">
        <x:f>(BY14+BY15-BY17+BV16)</x:f>
      </x:c>
      <x:c r="CA14" s="5">
        <x:f>(BZ14+BZ15-BZ17+BW16)</x:f>
      </x:c>
      <x:c r="CB14" s="5">
        <x:f>(CA14+CA15-CA17+BX16)</x:f>
      </x:c>
      <x:c r="CC14" s="5">
        <x:f>(CB14+CB15-CB17+BY16)</x:f>
      </x:c>
    </x:row>
    <x:row r="15" spans="1:81" x14ac:dyDescent="0.2">
      <x:c r="A15" s="5" t="s">
        <x:v>210</x:v>
      </x:c>
      <x:c r="B15" s="5">
        <x:v>3.06878</x:v>
      </x:c>
      <x:c r="C15" s="90" t="s">
        <x:v>39</x:v>
      </x:c>
      <x:c r="D15" s="103">
        <x:f>IFERROR(VLOOKUP(A14,WIP!$A:$B,2,0),0)</x:f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0</x:v>
      </x:c>
      <x:c r="BN15" s="0">
        <x:v>0</x:v>
      </x:c>
      <x:c r="BO15" s="0">
        <x:v>0</x:v>
      </x:c>
      <x:c r="BP15" s="0">
        <x:v>0</x:v>
      </x:c>
      <x:c r="BQ15" s="0">
        <x:v>0</x:v>
      </x:c>
      <x:c r="BR15" s="0">
        <x:v>0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</x:v>
      </x:c>
      <x:c r="BY15" s="0">
        <x:v>0</x:v>
      </x:c>
      <x:c r="BZ15" s="0">
        <x:v>0</x:v>
      </x:c>
      <x:c r="CA15" s="0">
        <x:v>0</x:v>
      </x:c>
      <x:c r="CB15" s="0">
        <x:v>0</x:v>
      </x:c>
      <x:c r="CC15" s="0">
        <x:v>0</x:v>
      </x:c>
    </x:row>
    <x:row r="16" spans="1:81" x14ac:dyDescent="0.2">
      <x:c r="A16" s="5" t="s">
        <x:v>211</x:v>
      </x:c>
      <x:c r="B16" s="5">
        <x:v>0.108</x:v>
      </x:c>
      <x:c r="C16" s="19" t="s">
        <x:v>212</x:v>
      </x:c>
      <x:c r="D16" s="104">
        <x:f>IFERROR(VLOOKUP($A14,Plan!$A:B,D$4,0),0)</x:f>
      </x:c>
      <x:c r="E16" s="104">
        <x:f>IFERROR(VLOOKUP($A14,Plan!$A:C,E$4,0),0)</x:f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0</x:v>
      </x:c>
      <x:c r="AS16" s="0">
        <x:v>0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0</x:v>
      </x:c>
      <x:c r="BN16" s="0">
        <x:v>0</x:v>
      </x:c>
      <x:c r="BO16" s="0">
        <x:v>0</x:v>
      </x:c>
      <x:c r="BP16" s="0">
        <x:v>0</x:v>
      </x:c>
      <x:c r="BQ16" s="0">
        <x:v>0</x:v>
      </x:c>
      <x:c r="BR16" s="0">
        <x:v>0</x:v>
      </x:c>
      <x:c r="BS16" s="0">
        <x:v>0</x:v>
      </x:c>
      <x:c r="BT16" s="0">
        <x:v>0</x:v>
      </x:c>
      <x:c r="BU16" s="0">
        <x:v>0</x:v>
      </x:c>
      <x:c r="BV16" s="0">
        <x:v>0</x:v>
      </x:c>
      <x:c r="BW16" s="0">
        <x:v>0</x:v>
      </x:c>
      <x:c r="BX16" s="0">
        <x:v>0</x:v>
      </x:c>
      <x:c r="BY16" s="0">
        <x:v>0</x:v>
      </x:c>
      <x:c r="BZ16" s="0">
        <x:v>0</x:v>
      </x:c>
      <x:c r="CA16" s="0">
        <x:v>0</x:v>
      </x:c>
      <x:c r="CB16" s="0">
        <x:v>0</x:v>
      </x:c>
      <x:c r="CC16" s="0">
        <x:v>0</x:v>
      </x:c>
    </x:row>
    <x:row r="17" spans="1:81" x14ac:dyDescent="0.2">
      <x:c r="A17" s="5" t="s">
        <x:v>213</x:v>
      </x:c>
      <x:c r="B17" s="5">
        <x:v>0.033</x:v>
      </x:c>
      <x:c r="C17" s="19" t="s">
        <x:v>214</x:v>
      </x:c>
      <x:c r="D17" s="105">
        <x:f>IFERROR(VLOOKUP($A14,Sales!$A:B,D$2,0),0)</x:f>
      </x:c>
      <x:c r="E17" s="105">
        <x:f>IFERROR(VLOOKUP($A14,Sales!$A:C,E$2,0),0)</x:f>
      </x:c>
      <x:c r="F17" s="105">
        <x:f>IFERROR(VLOOKUP($A14,Sales!$A:D,F$2,0),0)</x:f>
      </x:c>
      <x:c r="G17" s="105">
        <x:f>IFERROR(VLOOKUP($A14,Sales!$A:E,G$2,0),0)</x:f>
      </x:c>
      <x:c r="H17" s="105">
        <x:f>IFERROR(VLOOKUP($A14,Sales!$A:F,H$2,0),0)</x:f>
      </x:c>
      <x:c r="I17" s="105">
        <x:f>IFERROR(VLOOKUP($A14,Sales!$A:G,I$2,0),0)</x:f>
      </x:c>
      <x:c r="J17" s="105">
        <x:f>IFERROR(VLOOKUP($A14,Sales!$A:H,J$2,0),0)</x:f>
      </x:c>
      <x:c r="K17" s="105">
        <x:f>IFERROR(VLOOKUP($A14,Sales!$A:I,K$2,0),0)</x:f>
      </x:c>
      <x:c r="L17" s="105">
        <x:f>IFERROR(VLOOKUP($A14,Sales!$A:J,L$2,0),0)</x:f>
      </x:c>
      <x:c r="M17" s="105">
        <x:f>IFERROR(VLOOKUP($A14,Sales!$A:K,M$2,0),0)</x:f>
      </x:c>
      <x:c r="N17" s="105">
        <x:f>IFERROR(VLOOKUP($A14,Sales!$A:L,N$2,0),0)</x:f>
      </x:c>
      <x:c r="O17" s="105">
        <x:f>IFERROR(VLOOKUP($A14,Sales!$A:M,O$2,0),0)</x:f>
      </x:c>
      <x:c r="P17" s="105">
        <x:f>IFERROR(VLOOKUP($A14,Sales!$A:N,P$2,0),0)</x:f>
      </x:c>
      <x:c r="Q17" s="105">
        <x:f>IFERROR(VLOOKUP($A14,Sales!$A:O,Q$2,0),0)</x:f>
      </x:c>
      <x:c r="R17" s="105">
        <x:f>IFERROR(VLOOKUP($A14,Sales!$A:P,R$2,0),0)</x:f>
      </x:c>
      <x:c r="S17" s="105">
        <x:f>IFERROR(VLOOKUP($A14,Sales!$A:Q,S$2,0),0)</x:f>
      </x:c>
      <x:c r="T17" s="105">
        <x:f>IFERROR(VLOOKUP($A14,Sales!$A:R,T$2,0),0)</x:f>
      </x:c>
      <x:c r="U17" s="105">
        <x:f>IFERROR(VLOOKUP($A14,Sales!$A:S,U$2,0),0)</x:f>
      </x:c>
      <x:c r="V17" s="105">
        <x:f>IFERROR(VLOOKUP($A14,Sales!$A:T,V$2,0),0)</x:f>
      </x:c>
      <x:c r="W17" s="105">
        <x:f>IFERROR(VLOOKUP($A14,Sales!$A:U,W$2,0),0)</x:f>
      </x:c>
      <x:c r="X17" s="105">
        <x:f>IFERROR(VLOOKUP($A14,Sales!$A:V,X$2,0),0)</x:f>
      </x:c>
      <x:c r="Y17" s="105">
        <x:f>IFERROR(VLOOKUP($A14,Sales!$A:W,Y$2,0),0)</x:f>
      </x:c>
      <x:c r="Z17" s="105">
        <x:f>IFERROR(VLOOKUP($A14,Sales!$A:X,Z$2,0),0)</x:f>
      </x:c>
      <x:c r="AA17" s="105">
        <x:f>IFERROR(VLOOKUP($A14,Sales!$A:Y,AA$2,0),0)</x:f>
      </x:c>
      <x:c r="AB17" s="105">
        <x:f>IFERROR(VLOOKUP($A14,Sales!$A:Z,AB$2,0),0)</x:f>
      </x:c>
      <x:c r="AC17" s="105">
        <x:f>IFERROR(VLOOKUP($A14,Sales!$A:AA,AC$2,0),0)</x:f>
      </x:c>
      <x:c r="AD17" s="105">
        <x:f>IFERROR(VLOOKUP($A14,Sales!$A:AB,AD$2,0),0)</x:f>
      </x:c>
      <x:c r="AE17" s="105">
        <x:f>IFERROR(VLOOKUP($A14,Sales!$A:AC,AE$2,0),0)</x:f>
      </x:c>
      <x:c r="AF17" s="105">
        <x:f>IFERROR(VLOOKUP($A14,Sales!$A:AD,AF$2,0),0)</x:f>
      </x:c>
      <x:c r="AG17" s="105">
        <x:f>IFERROR(VLOOKUP($A14,Sales!$A:AE,AG$2,0),0)</x:f>
      </x:c>
      <x:c r="AH17" s="105">
        <x:f>IFERROR(VLOOKUP($A14,Sales!$A:AF,AH$2,0),0)</x:f>
      </x:c>
      <x:c r="AI17" s="105">
        <x:f>IFERROR(VLOOKUP($A14,Sales!$A:AG,AI$2,0),0)</x:f>
      </x:c>
      <x:c r="AJ17" s="105">
        <x:f>IFERROR(VLOOKUP($A14,Sales!$A:AH,AJ$2,0),0)</x:f>
      </x:c>
      <x:c r="AK17" s="105">
        <x:f>IFERROR(VLOOKUP($A14,Sales!$A:AI,AK$2,0),0)</x:f>
      </x:c>
      <x:c r="AL17" s="105">
        <x:f>IFERROR(VLOOKUP($A14,Sales!$A:AJ,AL$2,0),0)</x:f>
      </x:c>
      <x:c r="AM17" s="105">
        <x:f>IFERROR(VLOOKUP($A14,Sales!$A:AK,AM$2,0),0)</x:f>
      </x:c>
      <x:c r="AN17" s="105">
        <x:f>IFERROR(VLOOKUP($A14,Sales!$A:AL,AN$2,0),0)</x:f>
      </x:c>
      <x:c r="AO17" s="105">
        <x:f>IFERROR(VLOOKUP($A14,Sales!$A:AM,AO$2,0),0)</x:f>
      </x:c>
      <x:c r="AP17" s="105">
        <x:f>IFERROR(VLOOKUP($A14,Sales!$A:AN,AP$2,0),0)</x:f>
      </x:c>
      <x:c r="AQ17" s="105">
        <x:f>IFERROR(VLOOKUP($A14,Sales!$A:AO,AQ$2,0),0)</x:f>
      </x:c>
      <x:c r="AR17" s="105">
        <x:f>IFERROR(VLOOKUP($A14,Sales!$A:AP,AR$2,0),0)</x:f>
      </x:c>
      <x:c r="AS17" s="105">
        <x:f>IFERROR(VLOOKUP($A14,Sales!$A:AQ,AS$2,0),0)</x:f>
      </x:c>
      <x:c r="AT17" s="105">
        <x:f>IFERROR(VLOOKUP($A14,Sales!$A:AR,AT$2,0),0)</x:f>
      </x:c>
      <x:c r="AU17" s="105">
        <x:f>IFERROR(VLOOKUP($A14,Sales!$A:AS,AU$2,0),0)</x:f>
      </x:c>
      <x:c r="AV17" s="105">
        <x:f>IFERROR(VLOOKUP($A14,Sales!$A:AT,AV$2,0),0)</x:f>
      </x:c>
      <x:c r="AW17" s="105">
        <x:f>IFERROR(VLOOKUP($A14,Sales!$A:AU,AW$2,0),0)</x:f>
      </x:c>
      <x:c r="AX17" s="105">
        <x:f>IFERROR(VLOOKUP($A14,Sales!$A:AV,AX$2,0),0)</x:f>
      </x:c>
      <x:c r="AY17" s="105">
        <x:f>IFERROR(VLOOKUP($A14,Sales!$A:AW,AY$2,0),0)</x:f>
      </x:c>
      <x:c r="AZ17" s="105">
        <x:f>IFERROR(VLOOKUP($A14,Sales!$A:AX,AZ$2,0),0)</x:f>
      </x:c>
      <x:c r="BA17" s="105">
        <x:f>IFERROR(VLOOKUP($A14,Sales!$A:AY,BA$2,0),0)</x:f>
      </x:c>
      <x:c r="BB17" s="105">
        <x:f>IFERROR(VLOOKUP($A14,Sales!$A:AZ,BB$2,0),0)</x:f>
      </x:c>
      <x:c r="BC17" s="105">
        <x:f>IFERROR(VLOOKUP($A14,Sales!$A:BA,BC$2,0),0)</x:f>
      </x:c>
      <x:c r="BD17" s="105">
        <x:f>IFERROR(VLOOKUP($A14,Sales!$A:BB,BD$2,0),0)</x:f>
      </x:c>
      <x:c r="BE17" s="105">
        <x:f>IFERROR(VLOOKUP($A14,Sales!$A:BC,BE$2,0),0)</x:f>
      </x:c>
      <x:c r="BF17" s="105">
        <x:f>IFERROR(VLOOKUP($A14,Sales!$A:BD,BF$2,0),0)</x:f>
      </x:c>
      <x:c r="BG17" s="105">
        <x:f>IFERROR(VLOOKUP($A14,Sales!$A:BE,BG$2,0),0)</x:f>
      </x:c>
      <x:c r="BH17" s="105">
        <x:f>IFERROR(VLOOKUP($A14,Sales!$A:BF,BH$2,0),0)</x:f>
      </x:c>
      <x:c r="BI17" s="105">
        <x:f>IFERROR(VLOOKUP($A14,Sales!$A:BG,BI$2,0),0)</x:f>
      </x:c>
      <x:c r="BJ17" s="105">
        <x:f>IFERROR(VLOOKUP($A14,Sales!$A:BH,BJ$2,0),0)</x:f>
      </x:c>
      <x:c r="BK17" s="105">
        <x:f>IFERROR(VLOOKUP($A14,Sales!$A:BI,BK$2,0),0)</x:f>
      </x:c>
      <x:c r="BL17" s="105">
        <x:f>IFERROR(VLOOKUP($A14,Sales!$A:BJ,BL$2,0),0)</x:f>
      </x:c>
      <x:c r="BM17" s="105">
        <x:f>IFERROR(VLOOKUP($A14,Sales!$A:BK,BM$2,0),0)</x:f>
      </x:c>
      <x:c r="BN17" s="105">
        <x:f>IFERROR(VLOOKUP($A14,Sales!$A:BL,BN$2,0),0)</x:f>
      </x:c>
      <x:c r="BO17" s="105">
        <x:f>IFERROR(VLOOKUP($A14,Sales!$A:BM,BO$2,0),0)</x:f>
      </x:c>
      <x:c r="BP17" s="105">
        <x:f>IFERROR(VLOOKUP($A14,Sales!$A:BN,BP$2,0),0)</x:f>
      </x:c>
      <x:c r="BQ17" s="105">
        <x:f>IFERROR(VLOOKUP($A14,Sales!$A:BO,BQ$2,0),0)</x:f>
      </x:c>
      <x:c r="BR17" s="105">
        <x:f>IFERROR(VLOOKUP($A14,Sales!$A:BP,BR$2,0),0)</x:f>
      </x:c>
      <x:c r="BS17" s="105">
        <x:f>IFERROR(VLOOKUP($A14,Sales!$A:BQ,BS$2,0),0)</x:f>
      </x:c>
      <x:c r="BT17" s="105">
        <x:f>IFERROR(VLOOKUP($A14,Sales!$A:BR,BT$2,0),0)</x:f>
      </x:c>
      <x:c r="BU17" s="105">
        <x:f>IFERROR(VLOOKUP($A14,Sales!$A:BS,BU$2,0),0)</x:f>
      </x:c>
      <x:c r="BV17" s="105">
        <x:f>IFERROR(VLOOKUP($A14,Sales!$A:BT,BV$2,0),0)</x:f>
      </x:c>
      <x:c r="BW17" s="105">
        <x:f>IFERROR(VLOOKUP($A14,Sales!$A:BU,BW$2,0),0)</x:f>
      </x:c>
      <x:c r="BX17" s="105">
        <x:f>IFERROR(VLOOKUP($A14,Sales!$A:BV,BX$2,0),0)</x:f>
      </x:c>
      <x:c r="BY17" s="105">
        <x:f>IFERROR(VLOOKUP($A14,Sales!$A:BW,BY$2,0),0)</x:f>
      </x:c>
      <x:c r="BZ17" s="105">
        <x:f>IFERROR(VLOOKUP($A14,Sales!$A:BX,BZ$2,0),0)</x:f>
      </x:c>
      <x:c r="CA17" s="105">
        <x:f>IFERROR(VLOOKUP($A14,Sales!$A:BY,CA$2,0),0)</x:f>
      </x:c>
      <x:c r="CB17" s="105">
        <x:f>IFERROR(VLOOKUP($A14,Sales!$A:BZ,CB$2,0),0)</x:f>
      </x:c>
      <x:c r="CC17" s="105">
        <x:f>IFERROR(VLOOKUP($A14,Sales!$A:CA,CC$2,0),0)</x:f>
      </x:c>
    </x:row>
    <x:row r="18" spans="1:81" x14ac:dyDescent="0.2">
      <x:c r="A18" s="5" t="s">
        <x:v>215</x:v>
      </x:c>
      <x:c r="B18" s="5">
        <x:v>0.141</x:v>
      </x:c>
      <x:c r="C18" s="91" t="s">
        <x:v>216</x:v>
      </x:c>
      <x:c r="D18" s="25">
        <x:f>IF(D17=0,0, ROUND(D14 * 1/D17* D$13,1))</x:f>
      </x:c>
      <x:c r="E18" s="25">
        <x:f>IF(E17=0,0, ROUND(E14 * 1/E17* E$13,1))</x:f>
      </x:c>
      <x:c r="F18" s="25">
        <x:f>IF(F17=0,0, ROUND(F14 * 1/F17* F$13,1))</x:f>
      </x:c>
      <x:c r="G18" s="25">
        <x:f>IF(G17=0,0, ROUND(G14 * 1/G17* G$13,1))</x:f>
      </x:c>
      <x:c r="H18" s="25">
        <x:f>IF(H17=0,0, ROUND(H14 * 1/H17* H$13,1))</x:f>
      </x:c>
      <x:c r="I18" s="25">
        <x:f>IF(I17=0,0, ROUND(I14 * 1/I17* I$13,1))</x:f>
      </x:c>
      <x:c r="J18" s="25">
        <x:f>IF(J17=0,0, ROUND(J14 * 1/J17* J$13,1))</x:f>
      </x:c>
      <x:c r="K18" s="25">
        <x:f>IF(K17=0,0, ROUND(K14 * 1/K17* K$13,1))</x:f>
      </x:c>
      <x:c r="L18" s="25">
        <x:f>IF(L17=0,0, ROUND(L14 * 1/L17* L$13,1))</x:f>
      </x:c>
      <x:c r="M18" s="25">
        <x:f>IF(M17=0,0, ROUND(M14 * 1/M17* M$13,1))</x:f>
      </x:c>
      <x:c r="N18" s="25">
        <x:f>IF(N17=0,0, ROUND(N14 * 1/N17* N$13,1))</x:f>
      </x:c>
      <x:c r="O18" s="25">
        <x:f>IF(O17=0,0, ROUND(O14 * 1/O17* O$13,1))</x:f>
      </x:c>
      <x:c r="P18" s="25">
        <x:f>IF(P17=0,0, ROUND(P14 * 1/P17* P$13,1))</x:f>
      </x:c>
      <x:c r="Q18" s="25">
        <x:f>IF(Q17=0,0, ROUND(Q14 * 1/Q17* Q$13,1))</x:f>
      </x:c>
      <x:c r="R18" s="25">
        <x:f>IF(R17=0,0, ROUND(R14 * 1/R17* R$13,1))</x:f>
      </x:c>
      <x:c r="S18" s="25">
        <x:f>IF(S17=0,0, ROUND(S14 * 1/S17* S$13,1))</x:f>
      </x:c>
      <x:c r="T18" s="25">
        <x:f>IF(T17=0,0, ROUND(T14 * 1/T17* T$13,1))</x:f>
      </x:c>
      <x:c r="U18" s="25">
        <x:f>IF(U17=0,0, ROUND(U14 * 1/U17* U$13,1))</x:f>
      </x:c>
      <x:c r="V18" s="25">
        <x:f>IF(V17=0,0, ROUND(V14 * 1/V17* V$13,1))</x:f>
      </x:c>
      <x:c r="W18" s="25">
        <x:f>IF(W17=0,0, ROUND(W14 * 1/W17* W$13,1))</x:f>
      </x:c>
      <x:c r="X18" s="25">
        <x:f>IF(X17=0,0, ROUND(X14 * 1/X17* X$13,1))</x:f>
      </x:c>
      <x:c r="Y18" s="25">
        <x:f>IF(Y17=0,0, ROUND(Y14 * 1/Y17* Y$13,1))</x:f>
      </x:c>
      <x:c r="Z18" s="25">
        <x:f>IF(Z17=0,0, ROUND(Z14 * 1/Z17* Z$13,1))</x:f>
      </x:c>
      <x:c r="AA18" s="25">
        <x:f>IF(AA17=0,0, ROUND(AA14 * 1/AA17* AA$13,1))</x:f>
      </x:c>
      <x:c r="AB18" s="25">
        <x:f>IF(AB17=0,0, ROUND(AB14 * 1/AB17* AB$13,1))</x:f>
      </x:c>
      <x:c r="AC18" s="25">
        <x:f>IF(AC17=0,0, ROUND(AC14 * 1/AC17* AC$13,1))</x:f>
      </x:c>
      <x:c r="AD18" s="25">
        <x:f>IF(AD17=0,0, ROUND(AD14 * 1/AD17* AD$13,1))</x:f>
      </x:c>
      <x:c r="AE18" s="25">
        <x:f>IF(AE17=0,0, ROUND(AE14 * 1/AE17* AE$13,1))</x:f>
      </x:c>
      <x:c r="AF18" s="25">
        <x:f>IF(AF17=0,0, ROUND(AF14 * 1/AF17* AF$13,1))</x:f>
      </x:c>
      <x:c r="AG18" s="25">
        <x:f>IF(AG17=0,0, ROUND(AG14 * 1/AG17* AG$13,1))</x:f>
      </x:c>
      <x:c r="AH18" s="25">
        <x:f>IF(AH17=0,0, ROUND(AH14 * 1/AH17* AH$13,1))</x:f>
      </x:c>
      <x:c r="AI18" s="25">
        <x:f>IF(AI17=0,0, ROUND(AI14 * 1/AI17* AI$13,1))</x:f>
      </x:c>
      <x:c r="AJ18" s="25">
        <x:f>IF(AJ17=0,0, ROUND(AJ14 * 1/AJ17* AJ$13,1))</x:f>
      </x:c>
      <x:c r="AK18" s="25">
        <x:f>IF(AK17=0,0, ROUND(AK14 * 1/AK17* AK$13,1))</x:f>
      </x:c>
      <x:c r="AL18" s="25">
        <x:f>IF(AL17=0,0, ROUND(AL14 * 1/AL17* AL$13,1))</x:f>
      </x:c>
      <x:c r="AM18" s="25">
        <x:f>IF(AM17=0,0, ROUND(AM14 * 1/AM17* AM$13,1))</x:f>
      </x:c>
      <x:c r="AN18" s="25">
        <x:f>IF(AN17=0,0, ROUND(AN14 * 1/AN17* AN$13,1))</x:f>
      </x:c>
      <x:c r="AO18" s="25">
        <x:f>IF(AO17=0,0, ROUND(AO14 * 1/AO17* AO$13,1))</x:f>
      </x:c>
      <x:c r="AP18" s="25">
        <x:f>IF(AP17=0,0, ROUND(AP14 * 1/AP17* AP$13,1))</x:f>
      </x:c>
      <x:c r="AQ18" s="25">
        <x:f>IF(AQ17=0,0, ROUND(AQ14 * 1/AQ17* AQ$13,1))</x:f>
      </x:c>
      <x:c r="AR18" s="25">
        <x:f>IF(AR17=0,0, ROUND(AR14 * 1/AR17* AR$13,1))</x:f>
      </x:c>
      <x:c r="AS18" s="25">
        <x:f>IF(AS17=0,0, ROUND(AS14 * 1/AS17* AS$13,1))</x:f>
      </x:c>
      <x:c r="AT18" s="25">
        <x:f>IF(AT17=0,0, ROUND(AT14 * 1/AT17* AT$13,1))</x:f>
      </x:c>
      <x:c r="AU18" s="25">
        <x:f>IF(AU17=0,0, ROUND(AU14 * 1/AU17* AU$13,1))</x:f>
      </x:c>
      <x:c r="AV18" s="25">
        <x:f>IF(AV17=0,0, ROUND(AV14 * 1/AV17* AV$13,1))</x:f>
      </x:c>
      <x:c r="AW18" s="25">
        <x:f>IF(AW17=0,0, ROUND(AW14 * 1/AW17* AW$13,1))</x:f>
      </x:c>
      <x:c r="AX18" s="25">
        <x:f>IF(AX17=0,0, ROUND(AX14 * 1/AX17* AX$13,1))</x:f>
      </x:c>
      <x:c r="AY18" s="25">
        <x:f>IF(AY17=0,0, ROUND(AY14 * 1/AY17* AY$13,1))</x:f>
      </x:c>
      <x:c r="AZ18" s="25">
        <x:f>IF(AZ17=0,0, ROUND(AZ14 * 1/AZ17* AZ$13,1))</x:f>
      </x:c>
      <x:c r="BA18" s="25">
        <x:f>IF(BA17=0,0, ROUND(BA14 * 1/BA17* BA$13,1))</x:f>
      </x:c>
      <x:c r="BB18" s="25">
        <x:f>IF(BB17=0,0, ROUND(BB14 * 1/BB17* BB$13,1))</x:f>
      </x:c>
      <x:c r="BC18" s="25">
        <x:f>IF(BC17=0,0, ROUND(BC14 * 1/BC17* BC$13,1))</x:f>
      </x:c>
      <x:c r="BD18" s="25">
        <x:f>IF(BD17=0,0, ROUND(BD14 * 1/BD17* BD$13,1))</x:f>
      </x:c>
      <x:c r="BE18" s="25">
        <x:f>IF(BE17=0,0, ROUND(BE14 * 1/BE17* BE$13,1))</x:f>
      </x:c>
      <x:c r="BF18" s="25">
        <x:f>IF(BF17=0,0, ROUND(BF14 * 1/BF17* BF$13,1))</x:f>
      </x:c>
      <x:c r="BG18" s="25">
        <x:f>IF(BG17=0,0, ROUND(BG14 * 1/BG17* BG$13,1))</x:f>
      </x:c>
      <x:c r="BH18" s="25">
        <x:f>IF(BH17=0,0, ROUND(BH14 * 1/BH17* BH$13,1))</x:f>
      </x:c>
      <x:c r="BI18" s="25">
        <x:f>IF(BI17=0,0, ROUND(BI14 * 1/BI17* BI$13,1))</x:f>
      </x:c>
      <x:c r="BJ18" s="25">
        <x:f>IF(BJ17=0,0, ROUND(BJ14 * 1/BJ17* BJ$13,1))</x:f>
      </x:c>
      <x:c r="BK18" s="25">
        <x:f>IF(BK17=0,0, ROUND(BK14 * 1/BK17* BK$13,1))</x:f>
      </x:c>
      <x:c r="BL18" s="25">
        <x:f>IF(BL17=0,0, ROUND(BL14 * 1/BL17* BL$13,1))</x:f>
      </x:c>
      <x:c r="BM18" s="25">
        <x:f>IF(BM17=0,0, ROUND(BM14 * 1/BM17* BM$13,1))</x:f>
      </x:c>
      <x:c r="BN18" s="25">
        <x:f>IF(BN17=0,0, ROUND(BN14 * 1/BN17* BN$13,1))</x:f>
      </x:c>
      <x:c r="BO18" s="25">
        <x:f>IF(BO17=0,0, ROUND(BO14 * 1/BO17* BO$13,1))</x:f>
      </x:c>
      <x:c r="BP18" s="25">
        <x:f>IF(BP17=0,0, ROUND(BP14 * 1/BP17* BP$13,1))</x:f>
      </x:c>
      <x:c r="BQ18" s="25">
        <x:f>IF(BQ17=0,0, ROUND(BQ14 * 1/BQ17* BQ$13,1))</x:f>
      </x:c>
      <x:c r="BR18" s="25">
        <x:f>IF(BR17=0,0, ROUND(BR14 * 1/BR17* BR$13,1))</x:f>
      </x:c>
      <x:c r="BS18" s="25">
        <x:f>IF(BS17=0,0, ROUND(BS14 * 1/BS17* BS$13,1))</x:f>
      </x:c>
      <x:c r="BT18" s="25">
        <x:f>IF(BT17=0,0, ROUND(BT14 * 1/BT17* BT$13,1))</x:f>
      </x:c>
      <x:c r="BU18" s="25">
        <x:f>IF(BU17=0,0, ROUND(BU14 * 1/BU17* BU$13,1))</x:f>
      </x:c>
      <x:c r="BV18" s="25">
        <x:f>IF(BV17=0,0, ROUND(BV14 * 1/BV17* BV$13,1))</x:f>
      </x:c>
      <x:c r="BW18" s="25">
        <x:f>IF(BW17=0,0, ROUND(BW14 * 1/BW17* BW$13,1))</x:f>
      </x:c>
      <x:c r="BX18" s="25">
        <x:f>IF(BX17=0,0, ROUND(BX14 * 1/BX17* BX$13,1))</x:f>
      </x:c>
      <x:c r="BY18" s="25">
        <x:f>IF(BY17=0,0, ROUND(BY14 * 1/BY17* BY$13,1))</x:f>
      </x:c>
      <x:c r="BZ18" s="25">
        <x:f>IF(BZ17=0,0, ROUND(BZ14 * 1/BZ17* BZ$13,1))</x:f>
      </x:c>
      <x:c r="CA18" s="25">
        <x:f>IF(CA17=0,0, ROUND(CA14 * 1/CA17* CA$13,1))</x:f>
      </x:c>
      <x:c r="CB18" s="25">
        <x:f>IF(CB17=0,0, ROUND(CB14 * 1/CB17* CB$13,1))</x:f>
      </x:c>
      <x:c r="CC18" s="25">
        <x:f>IF(CC17=0,0, ROUND(CC14 * 1/CC17* CC$13,1))</x:f>
      </x:c>
    </x:row>
    <x:row r="19" spans="1:81" hidden="1" x14ac:dyDescent="0.2">
      <x:c r="A19" s="0">
        <x:v>14</x:v>
      </x:c>
      <x:c r="B19" s="0">
        <x:v>1</x:v>
      </x:c>
      <x:c r="C19" s="11">
        <x:v>2.19531</x:v>
      </x:c>
      <x:c r="D19" s="0">
        <x:f>D16/$B19</x:f>
      </x:c>
      <x:c r="E19" s="0">
        <x:f>E16/$B19</x:f>
      </x:c>
      <x:c r="F19" s="0">
        <x:f>F16/$B19</x:f>
      </x:c>
      <x:c r="G19" s="0">
        <x:f>G16/$B19</x:f>
      </x:c>
      <x:c r="H19" s="0">
        <x:f>H16/$B19</x:f>
      </x:c>
      <x:c r="I19" s="0">
        <x:f>I16/$B19</x:f>
      </x:c>
      <x:c r="J19" s="0">
        <x:f>J16/$B19</x:f>
      </x:c>
      <x:c r="K19" s="0">
        <x:f>K16/$B19</x:f>
      </x:c>
      <x:c r="L19" s="0">
        <x:f>L16/$B19</x:f>
      </x:c>
      <x:c r="M19" s="0">
        <x:f>M16/$B19</x:f>
      </x:c>
      <x:c r="N19" s="0">
        <x:f>N16/$B19</x:f>
      </x:c>
      <x:c r="O19" s="0">
        <x:f>O16/$B19</x:f>
      </x:c>
      <x:c r="P19" s="0">
        <x:f>P16/$B19</x:f>
      </x:c>
      <x:c r="Q19" s="0">
        <x:f>Q16/$B19</x:f>
      </x:c>
      <x:c r="R19" s="0">
        <x:f>R16/$B19</x:f>
      </x:c>
      <x:c r="S19" s="0">
        <x:f>S16/$B19</x:f>
      </x:c>
      <x:c r="T19" s="0">
        <x:f>T16/$B19</x:f>
      </x:c>
      <x:c r="U19" s="0">
        <x:f>U16/$B19</x:f>
      </x:c>
      <x:c r="V19" s="0">
        <x:f>V16/$B19</x:f>
      </x:c>
      <x:c r="W19" s="0">
        <x:f>W16/$B19</x:f>
      </x:c>
      <x:c r="X19" s="0">
        <x:f>X16/$B19</x:f>
      </x:c>
      <x:c r="Y19" s="0">
        <x:f>Y16/$B19</x:f>
      </x:c>
      <x:c r="Z19" s="0">
        <x:f>Z16/$B19</x:f>
      </x:c>
      <x:c r="AA19" s="0">
        <x:f>AA16/$B19</x:f>
      </x:c>
      <x:c r="AB19" s="0">
        <x:f>AB16/$B19</x:f>
      </x:c>
      <x:c r="AC19" s="0">
        <x:f>AC16/$B19</x:f>
      </x:c>
      <x:c r="AD19" s="0">
        <x:f>AD16/$B19</x:f>
      </x:c>
      <x:c r="AE19" s="0">
        <x:f>AE16/$B19</x:f>
      </x:c>
      <x:c r="AF19" s="0">
        <x:f>AF16/$B19</x:f>
      </x:c>
      <x:c r="AG19" s="0">
        <x:f>AG16/$B19</x:f>
      </x:c>
      <x:c r="AH19" s="0">
        <x:f>AH16/$B19</x:f>
      </x:c>
      <x:c r="AI19" s="0">
        <x:f>AI16/$B19</x:f>
      </x:c>
      <x:c r="AJ19" s="0">
        <x:f>AJ16/$B19</x:f>
      </x:c>
      <x:c r="AK19" s="0">
        <x:f>AK16/$B19</x:f>
      </x:c>
      <x:c r="AL19" s="0">
        <x:f>AL16/$B19</x:f>
      </x:c>
      <x:c r="AM19" s="0">
        <x:f>AM16/$B19</x:f>
      </x:c>
      <x:c r="AN19" s="0">
        <x:f>AN16/$B19</x:f>
      </x:c>
      <x:c r="AO19" s="0">
        <x:f>AO16/$B19</x:f>
      </x:c>
      <x:c r="AP19" s="0">
        <x:f>AP16/$B19</x:f>
      </x:c>
      <x:c r="AQ19" s="0">
        <x:f>AQ16/$B19</x:f>
      </x:c>
      <x:c r="AR19" s="0">
        <x:f>AR16/$B19</x:f>
      </x:c>
      <x:c r="AS19" s="0">
        <x:f>AS16/$B19</x:f>
      </x:c>
      <x:c r="AT19" s="0">
        <x:f>AT16/$B19</x:f>
      </x:c>
      <x:c r="AU19" s="0">
        <x:f>AU16/$B19</x:f>
      </x:c>
      <x:c r="AV19" s="0">
        <x:f>AV16/$B19</x:f>
      </x:c>
      <x:c r="AW19" s="0">
        <x:f>AW16/$B19</x:f>
      </x:c>
      <x:c r="AX19" s="0">
        <x:f>AX16/$B19</x:f>
      </x:c>
      <x:c r="AY19" s="0">
        <x:f>AY16/$B19</x:f>
      </x:c>
      <x:c r="AZ19" s="0">
        <x:f>AZ16/$B19</x:f>
      </x:c>
      <x:c r="BA19" s="0">
        <x:f>BA16/$B19</x:f>
      </x:c>
      <x:c r="BB19" s="0">
        <x:f>BB16/$B19</x:f>
      </x:c>
      <x:c r="BC19" s="0">
        <x:f>BC16/$B19</x:f>
      </x:c>
      <x:c r="BD19" s="0">
        <x:f>BD16/$B19</x:f>
      </x:c>
      <x:c r="BE19" s="0">
        <x:f>BE16/$B19</x:f>
      </x:c>
      <x:c r="BF19" s="0">
        <x:f>BF16/$B19</x:f>
      </x:c>
      <x:c r="BG19" s="0">
        <x:f>BG16/$B19</x:f>
      </x:c>
      <x:c r="BH19" s="0">
        <x:f>BH16/$B19</x:f>
      </x:c>
      <x:c r="BI19" s="0">
        <x:f>BI16/$B19</x:f>
      </x:c>
      <x:c r="BJ19" s="0">
        <x:f>BJ16/$B19</x:f>
      </x:c>
      <x:c r="BK19" s="0">
        <x:f>BK16/$B19</x:f>
      </x:c>
      <x:c r="BL19" s="0">
        <x:f>BL16/$B19</x:f>
      </x:c>
      <x:c r="BM19" s="0">
        <x:f>BM16/$B19</x:f>
      </x:c>
      <x:c r="BN19" s="0">
        <x:f>BN16/$B19</x:f>
      </x:c>
      <x:c r="BO19" s="0">
        <x:f>BO16/$B19</x:f>
      </x:c>
      <x:c r="BP19" s="0">
        <x:f>BP16/$B19</x:f>
      </x:c>
      <x:c r="BQ19" s="0">
        <x:f>BQ16/$B19</x:f>
      </x:c>
      <x:c r="BR19" s="0">
        <x:f>BR16/$B19</x:f>
      </x:c>
      <x:c r="BS19" s="0">
        <x:f>BS16/$B19</x:f>
      </x:c>
      <x:c r="BT19" s="0">
        <x:f>BT16/$B19</x:f>
      </x:c>
      <x:c r="BU19" s="0">
        <x:f>BU16/$B19</x:f>
      </x:c>
      <x:c r="BV19" s="0">
        <x:f>BV16/$B19</x:f>
      </x:c>
      <x:c r="BW19" s="0">
        <x:f>BW16/$B19</x:f>
      </x:c>
      <x:c r="BX19" s="0">
        <x:f>BX16/$B19</x:f>
      </x:c>
      <x:c r="BY19" s="0">
        <x:f>BY16/$B19</x:f>
      </x:c>
      <x:c r="BZ19" s="0">
        <x:f>BZ16/$B19</x:f>
      </x:c>
      <x:c r="CA19" s="0">
        <x:f>CA16/$B19</x:f>
      </x:c>
      <x:c r="CB19" s="0">
        <x:f>CB16/$B19</x:f>
      </x:c>
      <x:c r="CC19" s="0">
        <x:f>CC16/$B19</x:f>
      </x:c>
    </x:row>
    <x:row r="20" spans="1:81" hidden="1" x14ac:dyDescent="0.2">
      <x:c r="C20" s="19" t="s">
        <x:v>217</x:v>
      </x:c>
      <x:c r="D20" s="0">
        <x:f>D14-D17</x:f>
      </x:c>
      <x:c r="E20" s="0">
        <x:f>E14-E17</x:f>
      </x:c>
      <x:c r="F20" s="0">
        <x:f>F14-F17</x:f>
      </x:c>
      <x:c r="G20" s="0">
        <x:f>G14-G17</x:f>
      </x:c>
      <x:c r="H20" s="0">
        <x:f>H14-H17</x:f>
      </x:c>
      <x:c r="I20" s="0">
        <x:f>I14-I17</x:f>
      </x:c>
      <x:c r="J20" s="0">
        <x:f>J14-J17</x:f>
      </x:c>
      <x:c r="K20" s="0">
        <x:f>K14-K17</x:f>
      </x:c>
      <x:c r="L20" s="0">
        <x:f>L14-L17</x:f>
      </x:c>
      <x:c r="M20" s="0">
        <x:f>M14-M17</x:f>
      </x:c>
      <x:c r="N20" s="0">
        <x:f>N14-N17</x:f>
      </x:c>
      <x:c r="O20" s="0">
        <x:f>O14-O17</x:f>
      </x:c>
      <x:c r="P20" s="0">
        <x:f>P14-P17</x:f>
      </x:c>
      <x:c r="Q20" s="0">
        <x:f>Q14-Q17</x:f>
      </x:c>
      <x:c r="R20" s="0">
        <x:f>R14-R17</x:f>
      </x:c>
      <x:c r="S20" s="0">
        <x:f>S14-S17</x:f>
      </x:c>
      <x:c r="T20" s="0">
        <x:f>T14-T17</x:f>
      </x:c>
      <x:c r="U20" s="0">
        <x:f>U14-U17</x:f>
      </x:c>
      <x:c r="V20" s="0">
        <x:f>V14-V17</x:f>
      </x:c>
      <x:c r="W20" s="0">
        <x:f>W14-W17</x:f>
      </x:c>
      <x:c r="X20" s="0">
        <x:f>X14-X17</x:f>
      </x:c>
      <x:c r="Y20" s="0">
        <x:f>Y14-Y17</x:f>
      </x:c>
      <x:c r="Z20" s="0">
        <x:f>Z14-Z17</x:f>
      </x:c>
      <x:c r="AA20" s="0">
        <x:f>AA14-AA17</x:f>
      </x:c>
      <x:c r="AB20" s="0">
        <x:f>AB14-AB17</x:f>
      </x:c>
      <x:c r="AC20" s="0">
        <x:f>AC14-AC17</x:f>
      </x:c>
      <x:c r="AD20" s="0">
        <x:f>AD14-AD17</x:f>
      </x:c>
      <x:c r="AE20" s="0">
        <x:f>AE14-AE17</x:f>
      </x:c>
      <x:c r="AF20" s="0">
        <x:f>AF14-AF17</x:f>
      </x:c>
      <x:c r="AG20" s="0">
        <x:f>AG14-AG17</x:f>
      </x:c>
      <x:c r="AH20" s="0">
        <x:f>AH14-AH17</x:f>
      </x:c>
      <x:c r="AI20" s="0">
        <x:f>AI14-AI17</x:f>
      </x:c>
      <x:c r="AJ20" s="0">
        <x:f>AJ14-AJ17</x:f>
      </x:c>
      <x:c r="AK20" s="0">
        <x:f>AK14-AK17</x:f>
      </x:c>
      <x:c r="AL20" s="0">
        <x:f>AL14-AL17</x:f>
      </x:c>
      <x:c r="AM20" s="0">
        <x:f>AM14-AM17</x:f>
      </x:c>
      <x:c r="AN20" s="0">
        <x:f>AN14-AN17</x:f>
      </x:c>
      <x:c r="AO20" s="0">
        <x:f>AO14-AO17</x:f>
      </x:c>
      <x:c r="AP20" s="0">
        <x:f>AP14-AP17</x:f>
      </x:c>
      <x:c r="AQ20" s="0">
        <x:f>AQ14-AQ17</x:f>
      </x:c>
      <x:c r="AR20" s="0">
        <x:f>AR14-AR17</x:f>
      </x:c>
      <x:c r="AS20" s="0">
        <x:f>AS14-AS17</x:f>
      </x:c>
      <x:c r="AT20" s="0">
        <x:f>AT14-AT17</x:f>
      </x:c>
      <x:c r="AU20" s="0">
        <x:f>AU14-AU17</x:f>
      </x:c>
      <x:c r="AV20" s="0">
        <x:f>AV14-AV17</x:f>
      </x:c>
      <x:c r="AW20" s="0">
        <x:f>AW14-AW17</x:f>
      </x:c>
      <x:c r="AX20" s="0">
        <x:f>AX14-AX17</x:f>
      </x:c>
      <x:c r="AY20" s="0">
        <x:f>AY14-AY17</x:f>
      </x:c>
      <x:c r="AZ20" s="0">
        <x:f>AZ14-AZ17</x:f>
      </x:c>
      <x:c r="BA20" s="0">
        <x:f>BA14-BA17</x:f>
      </x:c>
      <x:c r="BB20" s="0">
        <x:f>BB14-BB17</x:f>
      </x:c>
      <x:c r="BC20" s="0">
        <x:f>BC14-BC17</x:f>
      </x:c>
      <x:c r="BD20" s="0">
        <x:f>BD14-BD17</x:f>
      </x:c>
      <x:c r="BE20" s="0">
        <x:f>BE14-BE17</x:f>
      </x:c>
      <x:c r="BF20" s="0">
        <x:f>BF14-BF17</x:f>
      </x:c>
      <x:c r="BG20" s="0">
        <x:f>BG14-BG17</x:f>
      </x:c>
      <x:c r="BH20" s="0">
        <x:f>BH14-BH17</x:f>
      </x:c>
      <x:c r="BI20" s="0">
        <x:f>BI14-BI17</x:f>
      </x:c>
      <x:c r="BJ20" s="0">
        <x:f>BJ14-BJ17</x:f>
      </x:c>
      <x:c r="BK20" s="0">
        <x:f>BK14-BK17</x:f>
      </x:c>
      <x:c r="BL20" s="0">
        <x:f>BL14-BL17</x:f>
      </x:c>
      <x:c r="BM20" s="0">
        <x:f>BM14-BM17</x:f>
      </x:c>
      <x:c r="BN20" s="0">
        <x:f>BN14-BN17</x:f>
      </x:c>
      <x:c r="BO20" s="0">
        <x:f>BO14-BO17</x:f>
      </x:c>
      <x:c r="BP20" s="0">
        <x:f>BP14-BP17</x:f>
      </x:c>
      <x:c r="BQ20" s="0">
        <x:f>BQ14-BQ17</x:f>
      </x:c>
      <x:c r="BR20" s="0">
        <x:f>BR14-BR17</x:f>
      </x:c>
      <x:c r="BS20" s="0">
        <x:f>BS14-BS17</x:f>
      </x:c>
      <x:c r="BT20" s="0">
        <x:f>BT14-BT17</x:f>
      </x:c>
      <x:c r="BU20" s="0">
        <x:f>BU14-BU17</x:f>
      </x:c>
      <x:c r="BV20" s="0">
        <x:f>BV14-BV17</x:f>
      </x:c>
      <x:c r="BW20" s="0">
        <x:f>BW14-BW17</x:f>
      </x:c>
      <x:c r="BX20" s="0">
        <x:f>BX14-BX17</x:f>
      </x:c>
      <x:c r="BY20" s="0">
        <x:f>BY14-BY17</x:f>
      </x:c>
      <x:c r="BZ20" s="0">
        <x:f>BZ14-BZ17</x:f>
      </x:c>
      <x:c r="CA20" s="0">
        <x:f>CA14-CA17</x:f>
      </x:c>
      <x:c r="CB20" s="0">
        <x:f>CB14-CB17</x:f>
      </x:c>
      <x:c r="CC20" s="0">
        <x:f>CC14-CC17</x:f>
      </x:c>
    </x:row>
    <x:row r="21" spans="1:81" x14ac:dyDescent="0.2">
      <x:c r="A21" s="88" t="s">
        <x:v>218</x:v>
      </x:c>
      <x:c r="B21" s="89" t="s">
        <x:v>209</x:v>
      </x:c>
      <x:c r="C21" s="19" t="s">
        <x:v>38</x:v>
      </x:c>
      <x:c r="D21" s="102">
        <x:f>IFERROR(VLOOKUP(A21,OS!$A:$B,2,0),0)</x:f>
      </x:c>
      <x:c r="E21" s="5">
        <x:f>(D21+D22-D24)</x:f>
      </x:c>
      <x:c r="F21" s="5">
        <x:f>(E21+E22-E24)</x:f>
      </x:c>
      <x:c r="G21" s="5">
        <x:f>(F21+F22-F24)</x:f>
      </x:c>
      <x:c r="H21" s="5">
        <x:f>(G21+G22-G24+D23)</x:f>
      </x:c>
      <x:c r="I21" s="5">
        <x:f>(H21+H22-H24+E23)</x:f>
      </x:c>
      <x:c r="J21" s="5">
        <x:f>(I21+I22-I24+F23)</x:f>
      </x:c>
      <x:c r="K21" s="5">
        <x:f>(J21+J22-J24+G23)</x:f>
      </x:c>
      <x:c r="L21" s="5">
        <x:f>(K21+K22-K24+H23)</x:f>
      </x:c>
      <x:c r="M21" s="5">
        <x:f>(L21+L22-L24+I23)</x:f>
      </x:c>
      <x:c r="N21" s="5">
        <x:f>(M21+M22-M24+J23)</x:f>
      </x:c>
      <x:c r="O21" s="5">
        <x:f>(N21+N22-N24+K23)</x:f>
      </x:c>
      <x:c r="P21" s="5">
        <x:f>(O21+O22-O24+L23)</x:f>
      </x:c>
      <x:c r="Q21" s="5">
        <x:f>(P21+P22-P24+M23)</x:f>
      </x:c>
      <x:c r="R21" s="5">
        <x:f>(Q21+Q22-Q24+N23)</x:f>
      </x:c>
      <x:c r="S21" s="5">
        <x:f>(R21+R22-R24+O23)</x:f>
      </x:c>
      <x:c r="T21" s="5">
        <x:f>(S21+S22-S24+P23)</x:f>
      </x:c>
      <x:c r="U21" s="5">
        <x:f>(T21+T22-T24+Q23)</x:f>
      </x:c>
      <x:c r="V21" s="5">
        <x:f>(U21+U22-U24+R23)</x:f>
      </x:c>
      <x:c r="W21" s="5">
        <x:f>(V21+V22-V24+S23)</x:f>
      </x:c>
      <x:c r="X21" s="5">
        <x:f>(W21+W22-W24+T23)</x:f>
      </x:c>
      <x:c r="Y21" s="5">
        <x:f>(X21+X22-X24+U23)</x:f>
      </x:c>
      <x:c r="Z21" s="5">
        <x:f>(Y21+Y22-Y24+V23)</x:f>
      </x:c>
      <x:c r="AA21" s="5">
        <x:f>(Z21+Z22-Z24+W23)</x:f>
      </x:c>
      <x:c r="AB21" s="5">
        <x:f>(AA21+AA22-AA24+X23)</x:f>
      </x:c>
      <x:c r="AC21" s="5">
        <x:f>(AB21+AB22-AB24+Y23)</x:f>
      </x:c>
      <x:c r="AD21" s="5">
        <x:f>(AC21+AC22-AC24+Z23)</x:f>
      </x:c>
      <x:c r="AE21" s="5">
        <x:f>(AD21+AD22-AD24+AA23)</x:f>
      </x:c>
      <x:c r="AF21" s="5">
        <x:f>(AE21+AE22-AE24+AB23)</x:f>
      </x:c>
      <x:c r="AG21" s="5">
        <x:f>(AF21+AF22-AF24+AC23)</x:f>
      </x:c>
      <x:c r="AH21" s="5">
        <x:f>(AG21+AG22-AG24+AD23)</x:f>
      </x:c>
      <x:c r="AI21" s="5">
        <x:f>(AH21+AH22-AH24+AE23)</x:f>
      </x:c>
      <x:c r="AJ21" s="5">
        <x:f>(AI21+AI22-AI24+AF23)</x:f>
      </x:c>
      <x:c r="AK21" s="5">
        <x:f>(AJ21+AJ22-AJ24+AG23)</x:f>
      </x:c>
      <x:c r="AL21" s="5">
        <x:f>(AK21+AK22-AK24+AH23)</x:f>
      </x:c>
      <x:c r="AM21" s="5">
        <x:f>(AL21+AL22-AL24+AI23)</x:f>
      </x:c>
      <x:c r="AN21" s="5">
        <x:f>(AM21+AM22-AM24+AJ23)</x:f>
      </x:c>
      <x:c r="AO21" s="5">
        <x:f>(AN21+AN22-AN24+AK23)</x:f>
      </x:c>
      <x:c r="AP21" s="5">
        <x:f>(AO21+AO22-AO24+AL23)</x:f>
      </x:c>
      <x:c r="AQ21" s="5">
        <x:f>(AP21+AP22-AP24+AM23)</x:f>
      </x:c>
      <x:c r="AR21" s="5">
        <x:f>(AQ21+AQ22-AQ24+AN23)</x:f>
      </x:c>
      <x:c r="AS21" s="5">
        <x:f>(AR21+AR22-AR24+AO23)</x:f>
      </x:c>
      <x:c r="AT21" s="5">
        <x:f>(AS21+AS22-AS24+AP23)</x:f>
      </x:c>
      <x:c r="AU21" s="5">
        <x:f>(AT21+AT22-AT24+AQ23)</x:f>
      </x:c>
      <x:c r="AV21" s="5">
        <x:f>(AU21+AU22-AU24+AR23)</x:f>
      </x:c>
      <x:c r="AW21" s="5">
        <x:f>(AV21+AV22-AV24+AS23)</x:f>
      </x:c>
      <x:c r="AX21" s="5">
        <x:f>(AW21+AW22-AW24+AT23)</x:f>
      </x:c>
      <x:c r="AY21" s="5">
        <x:f>(AX21+AX22-AX24+AU23)</x:f>
      </x:c>
      <x:c r="AZ21" s="5">
        <x:f>(AY21+AY22-AY24+AV23)</x:f>
      </x:c>
      <x:c r="BA21" s="5">
        <x:f>(AZ21+AZ22-AZ24+AW23)</x:f>
      </x:c>
      <x:c r="BB21" s="5">
        <x:f>(BA21+BA22-BA24+AX23)</x:f>
      </x:c>
      <x:c r="BC21" s="5">
        <x:f>(BB21+BB22-BB24+AY23)</x:f>
      </x:c>
      <x:c r="BD21" s="5">
        <x:f>(BC21+BC22-BC24+AZ23)</x:f>
      </x:c>
      <x:c r="BE21" s="5">
        <x:f>(BD21+BD22-BD24+BA23)</x:f>
      </x:c>
      <x:c r="BF21" s="5">
        <x:f>(BE21+BE22-BE24+BB23)</x:f>
      </x:c>
      <x:c r="BG21" s="5">
        <x:f>(BF21+BF22-BF24+BC23)</x:f>
      </x:c>
      <x:c r="BH21" s="5">
        <x:f>(BG21+BG22-BG24+BD23)</x:f>
      </x:c>
      <x:c r="BI21" s="5">
        <x:f>(BH21+BH22-BH24+BE23)</x:f>
      </x:c>
      <x:c r="BJ21" s="5">
        <x:f>(BI21+BI22-BI24+BF23)</x:f>
      </x:c>
      <x:c r="BK21" s="5">
        <x:f>(BJ21+BJ22-BJ24+BG23)</x:f>
      </x:c>
      <x:c r="BL21" s="5">
        <x:f>(BK21+BK22-BK24+BH23)</x:f>
      </x:c>
      <x:c r="BM21" s="5">
        <x:f>(BL21+BL22-BL24+BI23)</x:f>
      </x:c>
      <x:c r="BN21" s="5">
        <x:f>(BM21+BM22-BM24+BJ23)</x:f>
      </x:c>
      <x:c r="BO21" s="5">
        <x:f>(BN21+BN22-BN24+BK23)</x:f>
      </x:c>
      <x:c r="BP21" s="5">
        <x:f>(BO21+BO22-BO24+BL23)</x:f>
      </x:c>
      <x:c r="BQ21" s="5">
        <x:f>(BP21+BP22-BP24+BM23)</x:f>
      </x:c>
      <x:c r="BR21" s="5">
        <x:f>(BQ21+BQ22-BQ24+BN23)</x:f>
      </x:c>
      <x:c r="BS21" s="5">
        <x:f>(BR21+BR22-BR24+BO23)</x:f>
      </x:c>
      <x:c r="BT21" s="5">
        <x:f>(BS21+BS22-BS24+BP23)</x:f>
      </x:c>
      <x:c r="BU21" s="5">
        <x:f>(BT21+BT22-BT24+BQ23)</x:f>
      </x:c>
      <x:c r="BV21" s="5">
        <x:f>(BU21+BU22-BU24+BR23)</x:f>
      </x:c>
      <x:c r="BW21" s="5">
        <x:f>(BV21+BV22-BV24+BS23)</x:f>
      </x:c>
      <x:c r="BX21" s="5">
        <x:f>(BW21+BW22-BW24+BT23)</x:f>
      </x:c>
      <x:c r="BY21" s="5">
        <x:f>(BX21+BX22-BX24+BU23)</x:f>
      </x:c>
      <x:c r="BZ21" s="5">
        <x:f>(BY21+BY22-BY24+BV23)</x:f>
      </x:c>
      <x:c r="CA21" s="5">
        <x:f>(BZ21+BZ22-BZ24+BW23)</x:f>
      </x:c>
      <x:c r="CB21" s="5">
        <x:f>(CA21+CA22-CA24+BX23)</x:f>
      </x:c>
      <x:c r="CC21" s="5">
        <x:f>(CB21+CB22-CB24+BY23)</x:f>
      </x:c>
    </x:row>
    <x:row r="22" spans="1:81" x14ac:dyDescent="0.2">
      <x:c r="A22" s="5" t="s">
        <x:v>210</x:v>
      </x:c>
      <x:c r="B22" s="5">
        <x:v>2.91027</x:v>
      </x:c>
      <x:c r="C22" s="90" t="s">
        <x:v>39</x:v>
      </x:c>
      <x:c r="D22" s="103">
        <x:f>IFERROR(VLOOKUP(A21,WIP!$A:$B,2,0),0)</x:f>
      </x:c>
      <x:c r="E22" s="0">
        <x:v>0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0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0</x:v>
      </x:c>
      <x:c r="BL22" s="0">
        <x:v>0</x:v>
      </x:c>
      <x:c r="BM22" s="0">
        <x:v>0</x:v>
      </x:c>
      <x:c r="BN22" s="0">
        <x:v>0</x:v>
      </x:c>
      <x:c r="BO22" s="0">
        <x:v>0</x:v>
      </x:c>
      <x:c r="BP22" s="0">
        <x:v>0</x:v>
      </x:c>
      <x:c r="BQ22" s="0">
        <x:v>0</x:v>
      </x:c>
      <x:c r="BR22" s="0">
        <x:v>0</x:v>
      </x:c>
      <x:c r="BS22" s="0">
        <x:v>0</x:v>
      </x:c>
      <x:c r="BT22" s="0">
        <x:v>0</x:v>
      </x:c>
      <x:c r="BU22" s="0">
        <x:v>0</x:v>
      </x:c>
      <x:c r="BV22" s="0">
        <x:v>0</x:v>
      </x:c>
      <x:c r="BW22" s="0">
        <x:v>0</x:v>
      </x:c>
      <x:c r="BX22" s="0">
        <x:v>0</x:v>
      </x:c>
      <x:c r="BY22" s="0">
        <x:v>0</x:v>
      </x:c>
      <x:c r="BZ22" s="0">
        <x:v>0</x:v>
      </x:c>
      <x:c r="CA22" s="0">
        <x:v>0</x:v>
      </x:c>
      <x:c r="CB22" s="0">
        <x:v>0</x:v>
      </x:c>
      <x:c r="CC22" s="0">
        <x:v>0</x:v>
      </x:c>
    </x:row>
    <x:row r="23" spans="1:81" x14ac:dyDescent="0.2">
      <x:c r="A23" s="5" t="s">
        <x:v>211</x:v>
      </x:c>
      <x:c r="B23" s="5">
        <x:v>0.068</x:v>
      </x:c>
      <x:c r="C23" s="19" t="s">
        <x:v>212</x:v>
      </x:c>
      <x:c r="D23" s="104">
        <x:f>IFERROR(VLOOKUP($A21,Plan!$A:B,D$4,0),0)</x:f>
      </x:c>
      <x:c r="E23" s="104">
        <x:f>IFERROR(VLOOKUP($A21,Plan!$A:C,E$4,0),0)</x:f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</x:v>
      </x:c>
      <x:c r="AX23" s="0">
        <x:v>0</x:v>
      </x:c>
      <x:c r="AY23" s="0">
        <x:v>0</x:v>
      </x:c>
      <x:c r="AZ23" s="0">
        <x:v>0</x:v>
      </x:c>
      <x:c r="BA23" s="0">
        <x:v>0</x:v>
      </x:c>
      <x:c r="BB23" s="0">
        <x:v>0</x:v>
      </x:c>
      <x:c r="BC23" s="0">
        <x:v>0</x:v>
      </x:c>
      <x:c r="BD23" s="0">
        <x:v>0</x:v>
      </x:c>
      <x:c r="BE23" s="0">
        <x:v>0</x:v>
      </x:c>
      <x:c r="BF23" s="0">
        <x:v>0</x:v>
      </x:c>
      <x:c r="BG23" s="0">
        <x:v>0</x:v>
      </x:c>
      <x:c r="BH23" s="0">
        <x:v>0</x:v>
      </x:c>
      <x:c r="BI23" s="0">
        <x:v>0</x:v>
      </x:c>
      <x:c r="BJ23" s="0">
        <x:v>0</x:v>
      </x:c>
      <x:c r="BK23" s="0">
        <x:v>0</x:v>
      </x:c>
      <x:c r="BL23" s="0">
        <x:v>0</x:v>
      </x:c>
      <x:c r="BM23" s="0">
        <x:v>0</x:v>
      </x:c>
      <x:c r="BN23" s="0">
        <x:v>0</x:v>
      </x:c>
      <x:c r="BO23" s="0">
        <x:v>0</x:v>
      </x:c>
      <x:c r="BP23" s="0">
        <x:v>0</x:v>
      </x:c>
      <x:c r="BQ23" s="0">
        <x:v>0</x:v>
      </x:c>
      <x:c r="BR23" s="0">
        <x:v>0</x:v>
      </x:c>
      <x:c r="BS23" s="0">
        <x:v>0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</x:v>
      </x:c>
      <x:c r="BY23" s="0">
        <x:v>0</x:v>
      </x:c>
      <x:c r="BZ23" s="0">
        <x:v>0</x:v>
      </x:c>
      <x:c r="CA23" s="0">
        <x:v>0</x:v>
      </x:c>
      <x:c r="CB23" s="0">
        <x:v>0</x:v>
      </x:c>
      <x:c r="CC23" s="0">
        <x:v>0</x:v>
      </x:c>
    </x:row>
    <x:row r="24" spans="1:81" x14ac:dyDescent="0.2">
      <x:c r="A24" s="5" t="s">
        <x:v>213</x:v>
      </x:c>
      <x:c r="B24" s="5">
        <x:v>0.007</x:v>
      </x:c>
      <x:c r="C24" s="19" t="s">
        <x:v>214</x:v>
      </x:c>
      <x:c r="D24" s="105">
        <x:f>IFERROR(VLOOKUP($A21,Sales!$A:B,D$2,0),0)</x:f>
      </x:c>
      <x:c r="E24" s="105">
        <x:f>IFERROR(VLOOKUP($A21,Sales!$A:C,E$2,0),0)</x:f>
      </x:c>
      <x:c r="F24" s="105">
        <x:f>IFERROR(VLOOKUP($A21,Sales!$A:D,F$2,0),0)</x:f>
      </x:c>
      <x:c r="G24" s="105">
        <x:f>IFERROR(VLOOKUP($A21,Sales!$A:E,G$2,0),0)</x:f>
      </x:c>
      <x:c r="H24" s="105">
        <x:f>IFERROR(VLOOKUP($A21,Sales!$A:F,H$2,0),0)</x:f>
      </x:c>
      <x:c r="I24" s="105">
        <x:f>IFERROR(VLOOKUP($A21,Sales!$A:G,I$2,0),0)</x:f>
      </x:c>
      <x:c r="J24" s="105">
        <x:f>IFERROR(VLOOKUP($A21,Sales!$A:H,J$2,0),0)</x:f>
      </x:c>
      <x:c r="K24" s="105">
        <x:f>IFERROR(VLOOKUP($A21,Sales!$A:I,K$2,0),0)</x:f>
      </x:c>
      <x:c r="L24" s="105">
        <x:f>IFERROR(VLOOKUP($A21,Sales!$A:J,L$2,0),0)</x:f>
      </x:c>
      <x:c r="M24" s="105">
        <x:f>IFERROR(VLOOKUP($A21,Sales!$A:K,M$2,0),0)</x:f>
      </x:c>
      <x:c r="N24" s="105">
        <x:f>IFERROR(VLOOKUP($A21,Sales!$A:L,N$2,0),0)</x:f>
      </x:c>
      <x:c r="O24" s="105">
        <x:f>IFERROR(VLOOKUP($A21,Sales!$A:M,O$2,0),0)</x:f>
      </x:c>
      <x:c r="P24" s="105">
        <x:f>IFERROR(VLOOKUP($A21,Sales!$A:N,P$2,0),0)</x:f>
      </x:c>
      <x:c r="Q24" s="105">
        <x:f>IFERROR(VLOOKUP($A21,Sales!$A:O,Q$2,0),0)</x:f>
      </x:c>
      <x:c r="R24" s="105">
        <x:f>IFERROR(VLOOKUP($A21,Sales!$A:P,R$2,0),0)</x:f>
      </x:c>
      <x:c r="S24" s="105">
        <x:f>IFERROR(VLOOKUP($A21,Sales!$A:Q,S$2,0),0)</x:f>
      </x:c>
      <x:c r="T24" s="105">
        <x:f>IFERROR(VLOOKUP($A21,Sales!$A:R,T$2,0),0)</x:f>
      </x:c>
      <x:c r="U24" s="105">
        <x:f>IFERROR(VLOOKUP($A21,Sales!$A:S,U$2,0),0)</x:f>
      </x:c>
      <x:c r="V24" s="105">
        <x:f>IFERROR(VLOOKUP($A21,Sales!$A:T,V$2,0),0)</x:f>
      </x:c>
      <x:c r="W24" s="105">
        <x:f>IFERROR(VLOOKUP($A21,Sales!$A:U,W$2,0),0)</x:f>
      </x:c>
      <x:c r="X24" s="105">
        <x:f>IFERROR(VLOOKUP($A21,Sales!$A:V,X$2,0),0)</x:f>
      </x:c>
      <x:c r="Y24" s="105">
        <x:f>IFERROR(VLOOKUP($A21,Sales!$A:W,Y$2,0),0)</x:f>
      </x:c>
      <x:c r="Z24" s="105">
        <x:f>IFERROR(VLOOKUP($A21,Sales!$A:X,Z$2,0),0)</x:f>
      </x:c>
      <x:c r="AA24" s="105">
        <x:f>IFERROR(VLOOKUP($A21,Sales!$A:Y,AA$2,0),0)</x:f>
      </x:c>
      <x:c r="AB24" s="105">
        <x:f>IFERROR(VLOOKUP($A21,Sales!$A:Z,AB$2,0),0)</x:f>
      </x:c>
      <x:c r="AC24" s="105">
        <x:f>IFERROR(VLOOKUP($A21,Sales!$A:AA,AC$2,0),0)</x:f>
      </x:c>
      <x:c r="AD24" s="105">
        <x:f>IFERROR(VLOOKUP($A21,Sales!$A:AB,AD$2,0),0)</x:f>
      </x:c>
      <x:c r="AE24" s="105">
        <x:f>IFERROR(VLOOKUP($A21,Sales!$A:AC,AE$2,0),0)</x:f>
      </x:c>
      <x:c r="AF24" s="105">
        <x:f>IFERROR(VLOOKUP($A21,Sales!$A:AD,AF$2,0),0)</x:f>
      </x:c>
      <x:c r="AG24" s="105">
        <x:f>IFERROR(VLOOKUP($A21,Sales!$A:AE,AG$2,0),0)</x:f>
      </x:c>
      <x:c r="AH24" s="105">
        <x:f>IFERROR(VLOOKUP($A21,Sales!$A:AF,AH$2,0),0)</x:f>
      </x:c>
      <x:c r="AI24" s="105">
        <x:f>IFERROR(VLOOKUP($A21,Sales!$A:AG,AI$2,0),0)</x:f>
      </x:c>
      <x:c r="AJ24" s="105">
        <x:f>IFERROR(VLOOKUP($A21,Sales!$A:AH,AJ$2,0),0)</x:f>
      </x:c>
      <x:c r="AK24" s="105">
        <x:f>IFERROR(VLOOKUP($A21,Sales!$A:AI,AK$2,0),0)</x:f>
      </x:c>
      <x:c r="AL24" s="105">
        <x:f>IFERROR(VLOOKUP($A21,Sales!$A:AJ,AL$2,0),0)</x:f>
      </x:c>
      <x:c r="AM24" s="105">
        <x:f>IFERROR(VLOOKUP($A21,Sales!$A:AK,AM$2,0),0)</x:f>
      </x:c>
      <x:c r="AN24" s="105">
        <x:f>IFERROR(VLOOKUP($A21,Sales!$A:AL,AN$2,0),0)</x:f>
      </x:c>
      <x:c r="AO24" s="105">
        <x:f>IFERROR(VLOOKUP($A21,Sales!$A:AM,AO$2,0),0)</x:f>
      </x:c>
      <x:c r="AP24" s="105">
        <x:f>IFERROR(VLOOKUP($A21,Sales!$A:AN,AP$2,0),0)</x:f>
      </x:c>
      <x:c r="AQ24" s="105">
        <x:f>IFERROR(VLOOKUP($A21,Sales!$A:AO,AQ$2,0),0)</x:f>
      </x:c>
      <x:c r="AR24" s="105">
        <x:f>IFERROR(VLOOKUP($A21,Sales!$A:AP,AR$2,0),0)</x:f>
      </x:c>
      <x:c r="AS24" s="105">
        <x:f>IFERROR(VLOOKUP($A21,Sales!$A:AQ,AS$2,0),0)</x:f>
      </x:c>
      <x:c r="AT24" s="105">
        <x:f>IFERROR(VLOOKUP($A21,Sales!$A:AR,AT$2,0),0)</x:f>
      </x:c>
      <x:c r="AU24" s="105">
        <x:f>IFERROR(VLOOKUP($A21,Sales!$A:AS,AU$2,0),0)</x:f>
      </x:c>
      <x:c r="AV24" s="105">
        <x:f>IFERROR(VLOOKUP($A21,Sales!$A:AT,AV$2,0),0)</x:f>
      </x:c>
      <x:c r="AW24" s="105">
        <x:f>IFERROR(VLOOKUP($A21,Sales!$A:AU,AW$2,0),0)</x:f>
      </x:c>
      <x:c r="AX24" s="105">
        <x:f>IFERROR(VLOOKUP($A21,Sales!$A:AV,AX$2,0),0)</x:f>
      </x:c>
      <x:c r="AY24" s="105">
        <x:f>IFERROR(VLOOKUP($A21,Sales!$A:AW,AY$2,0),0)</x:f>
      </x:c>
      <x:c r="AZ24" s="105">
        <x:f>IFERROR(VLOOKUP($A21,Sales!$A:AX,AZ$2,0),0)</x:f>
      </x:c>
      <x:c r="BA24" s="105">
        <x:f>IFERROR(VLOOKUP($A21,Sales!$A:AY,BA$2,0),0)</x:f>
      </x:c>
      <x:c r="BB24" s="105">
        <x:f>IFERROR(VLOOKUP($A21,Sales!$A:AZ,BB$2,0),0)</x:f>
      </x:c>
      <x:c r="BC24" s="105">
        <x:f>IFERROR(VLOOKUP($A21,Sales!$A:BA,BC$2,0),0)</x:f>
      </x:c>
      <x:c r="BD24" s="105">
        <x:f>IFERROR(VLOOKUP($A21,Sales!$A:BB,BD$2,0),0)</x:f>
      </x:c>
      <x:c r="BE24" s="105">
        <x:f>IFERROR(VLOOKUP($A21,Sales!$A:BC,BE$2,0),0)</x:f>
      </x:c>
      <x:c r="BF24" s="105">
        <x:f>IFERROR(VLOOKUP($A21,Sales!$A:BD,BF$2,0),0)</x:f>
      </x:c>
      <x:c r="BG24" s="105">
        <x:f>IFERROR(VLOOKUP($A21,Sales!$A:BE,BG$2,0),0)</x:f>
      </x:c>
      <x:c r="BH24" s="105">
        <x:f>IFERROR(VLOOKUP($A21,Sales!$A:BF,BH$2,0),0)</x:f>
      </x:c>
      <x:c r="BI24" s="105">
        <x:f>IFERROR(VLOOKUP($A21,Sales!$A:BG,BI$2,0),0)</x:f>
      </x:c>
      <x:c r="BJ24" s="105">
        <x:f>IFERROR(VLOOKUP($A21,Sales!$A:BH,BJ$2,0),0)</x:f>
      </x:c>
      <x:c r="BK24" s="105">
        <x:f>IFERROR(VLOOKUP($A21,Sales!$A:BI,BK$2,0),0)</x:f>
      </x:c>
      <x:c r="BL24" s="105">
        <x:f>IFERROR(VLOOKUP($A21,Sales!$A:BJ,BL$2,0),0)</x:f>
      </x:c>
      <x:c r="BM24" s="105">
        <x:f>IFERROR(VLOOKUP($A21,Sales!$A:BK,BM$2,0),0)</x:f>
      </x:c>
      <x:c r="BN24" s="105">
        <x:f>IFERROR(VLOOKUP($A21,Sales!$A:BL,BN$2,0),0)</x:f>
      </x:c>
      <x:c r="BO24" s="105">
        <x:f>IFERROR(VLOOKUP($A21,Sales!$A:BM,BO$2,0),0)</x:f>
      </x:c>
      <x:c r="BP24" s="105">
        <x:f>IFERROR(VLOOKUP($A21,Sales!$A:BN,BP$2,0),0)</x:f>
      </x:c>
      <x:c r="BQ24" s="105">
        <x:f>IFERROR(VLOOKUP($A21,Sales!$A:BO,BQ$2,0),0)</x:f>
      </x:c>
      <x:c r="BR24" s="105">
        <x:f>IFERROR(VLOOKUP($A21,Sales!$A:BP,BR$2,0),0)</x:f>
      </x:c>
      <x:c r="BS24" s="105">
        <x:f>IFERROR(VLOOKUP($A21,Sales!$A:BQ,BS$2,0),0)</x:f>
      </x:c>
      <x:c r="BT24" s="105">
        <x:f>IFERROR(VLOOKUP($A21,Sales!$A:BR,BT$2,0),0)</x:f>
      </x:c>
      <x:c r="BU24" s="105">
        <x:f>IFERROR(VLOOKUP($A21,Sales!$A:BS,BU$2,0),0)</x:f>
      </x:c>
      <x:c r="BV24" s="105">
        <x:f>IFERROR(VLOOKUP($A21,Sales!$A:BT,BV$2,0),0)</x:f>
      </x:c>
      <x:c r="BW24" s="105">
        <x:f>IFERROR(VLOOKUP($A21,Sales!$A:BU,BW$2,0),0)</x:f>
      </x:c>
      <x:c r="BX24" s="105">
        <x:f>IFERROR(VLOOKUP($A21,Sales!$A:BV,BX$2,0),0)</x:f>
      </x:c>
      <x:c r="BY24" s="105">
        <x:f>IFERROR(VLOOKUP($A21,Sales!$A:BW,BY$2,0),0)</x:f>
      </x:c>
      <x:c r="BZ24" s="105">
        <x:f>IFERROR(VLOOKUP($A21,Sales!$A:BX,BZ$2,0),0)</x:f>
      </x:c>
      <x:c r="CA24" s="105">
        <x:f>IFERROR(VLOOKUP($A21,Sales!$A:BY,CA$2,0),0)</x:f>
      </x:c>
      <x:c r="CB24" s="105">
        <x:f>IFERROR(VLOOKUP($A21,Sales!$A:BZ,CB$2,0),0)</x:f>
      </x:c>
      <x:c r="CC24" s="105">
        <x:f>IFERROR(VLOOKUP($A21,Sales!$A:CA,CC$2,0),0)</x:f>
      </x:c>
    </x:row>
    <x:row r="25" spans="1:81" x14ac:dyDescent="0.2">
      <x:c r="A25" s="5" t="s">
        <x:v>215</x:v>
      </x:c>
      <x:c r="B25" s="5">
        <x:v>0.075</x:v>
      </x:c>
      <x:c r="C25" s="91" t="s">
        <x:v>216</x:v>
      </x:c>
      <x:c r="D25" s="25">
        <x:f>IF(D24=0,0, ROUND(D21 * 1/D24* D$13,1))</x:f>
      </x:c>
      <x:c r="E25" s="25">
        <x:f>IF(E24=0,0, ROUND(E21 * 1/E24* E$13,1))</x:f>
      </x:c>
      <x:c r="F25" s="25">
        <x:f>IF(F24=0,0, ROUND(F21 * 1/F24* F$13,1))</x:f>
      </x:c>
      <x:c r="G25" s="25">
        <x:f>IF(G24=0,0, ROUND(G21 * 1/G24* G$13,1))</x:f>
      </x:c>
      <x:c r="H25" s="25">
        <x:f>IF(H24=0,0, ROUND(H21 * 1/H24* H$13,1))</x:f>
      </x:c>
      <x:c r="I25" s="25">
        <x:f>IF(I24=0,0, ROUND(I21 * 1/I24* I$13,1))</x:f>
      </x:c>
      <x:c r="J25" s="25">
        <x:f>IF(J24=0,0, ROUND(J21 * 1/J24* J$13,1))</x:f>
      </x:c>
      <x:c r="K25" s="25">
        <x:f>IF(K24=0,0, ROUND(K21 * 1/K24* K$13,1))</x:f>
      </x:c>
      <x:c r="L25" s="25">
        <x:f>IF(L24=0,0, ROUND(L21 * 1/L24* L$13,1))</x:f>
      </x:c>
      <x:c r="M25" s="25">
        <x:f>IF(M24=0,0, ROUND(M21 * 1/M24* M$13,1))</x:f>
      </x:c>
      <x:c r="N25" s="25">
        <x:f>IF(N24=0,0, ROUND(N21 * 1/N24* N$13,1))</x:f>
      </x:c>
      <x:c r="O25" s="25">
        <x:f>IF(O24=0,0, ROUND(O21 * 1/O24* O$13,1))</x:f>
      </x:c>
      <x:c r="P25" s="25">
        <x:f>IF(P24=0,0, ROUND(P21 * 1/P24* P$13,1))</x:f>
      </x:c>
      <x:c r="Q25" s="25">
        <x:f>IF(Q24=0,0, ROUND(Q21 * 1/Q24* Q$13,1))</x:f>
      </x:c>
      <x:c r="R25" s="25">
        <x:f>IF(R24=0,0, ROUND(R21 * 1/R24* R$13,1))</x:f>
      </x:c>
      <x:c r="S25" s="25">
        <x:f>IF(S24=0,0, ROUND(S21 * 1/S24* S$13,1))</x:f>
      </x:c>
      <x:c r="T25" s="25">
        <x:f>IF(T24=0,0, ROUND(T21 * 1/T24* T$13,1))</x:f>
      </x:c>
      <x:c r="U25" s="25">
        <x:f>IF(U24=0,0, ROUND(U21 * 1/U24* U$13,1))</x:f>
      </x:c>
      <x:c r="V25" s="25">
        <x:f>IF(V24=0,0, ROUND(V21 * 1/V24* V$13,1))</x:f>
      </x:c>
      <x:c r="W25" s="25">
        <x:f>IF(W24=0,0, ROUND(W21 * 1/W24* W$13,1))</x:f>
      </x:c>
      <x:c r="X25" s="25">
        <x:f>IF(X24=0,0, ROUND(X21 * 1/X24* X$13,1))</x:f>
      </x:c>
      <x:c r="Y25" s="25">
        <x:f>IF(Y24=0,0, ROUND(Y21 * 1/Y24* Y$13,1))</x:f>
      </x:c>
      <x:c r="Z25" s="25">
        <x:f>IF(Z24=0,0, ROUND(Z21 * 1/Z24* Z$13,1))</x:f>
      </x:c>
      <x:c r="AA25" s="25">
        <x:f>IF(AA24=0,0, ROUND(AA21 * 1/AA24* AA$13,1))</x:f>
      </x:c>
      <x:c r="AB25" s="25">
        <x:f>IF(AB24=0,0, ROUND(AB21 * 1/AB24* AB$13,1))</x:f>
      </x:c>
      <x:c r="AC25" s="25">
        <x:f>IF(AC24=0,0, ROUND(AC21 * 1/AC24* AC$13,1))</x:f>
      </x:c>
      <x:c r="AD25" s="25">
        <x:f>IF(AD24=0,0, ROUND(AD21 * 1/AD24* AD$13,1))</x:f>
      </x:c>
      <x:c r="AE25" s="25">
        <x:f>IF(AE24=0,0, ROUND(AE21 * 1/AE24* AE$13,1))</x:f>
      </x:c>
      <x:c r="AF25" s="25">
        <x:f>IF(AF24=0,0, ROUND(AF21 * 1/AF24* AF$13,1))</x:f>
      </x:c>
      <x:c r="AG25" s="25">
        <x:f>IF(AG24=0,0, ROUND(AG21 * 1/AG24* AG$13,1))</x:f>
      </x:c>
      <x:c r="AH25" s="25">
        <x:f>IF(AH24=0,0, ROUND(AH21 * 1/AH24* AH$13,1))</x:f>
      </x:c>
      <x:c r="AI25" s="25">
        <x:f>IF(AI24=0,0, ROUND(AI21 * 1/AI24* AI$13,1))</x:f>
      </x:c>
      <x:c r="AJ25" s="25">
        <x:f>IF(AJ24=0,0, ROUND(AJ21 * 1/AJ24* AJ$13,1))</x:f>
      </x:c>
      <x:c r="AK25" s="25">
        <x:f>IF(AK24=0,0, ROUND(AK21 * 1/AK24* AK$13,1))</x:f>
      </x:c>
      <x:c r="AL25" s="25">
        <x:f>IF(AL24=0,0, ROUND(AL21 * 1/AL24* AL$13,1))</x:f>
      </x:c>
      <x:c r="AM25" s="25">
        <x:f>IF(AM24=0,0, ROUND(AM21 * 1/AM24* AM$13,1))</x:f>
      </x:c>
      <x:c r="AN25" s="25">
        <x:f>IF(AN24=0,0, ROUND(AN21 * 1/AN24* AN$13,1))</x:f>
      </x:c>
      <x:c r="AO25" s="25">
        <x:f>IF(AO24=0,0, ROUND(AO21 * 1/AO24* AO$13,1))</x:f>
      </x:c>
      <x:c r="AP25" s="25">
        <x:f>IF(AP24=0,0, ROUND(AP21 * 1/AP24* AP$13,1))</x:f>
      </x:c>
      <x:c r="AQ25" s="25">
        <x:f>IF(AQ24=0,0, ROUND(AQ21 * 1/AQ24* AQ$13,1))</x:f>
      </x:c>
      <x:c r="AR25" s="25">
        <x:f>IF(AR24=0,0, ROUND(AR21 * 1/AR24* AR$13,1))</x:f>
      </x:c>
      <x:c r="AS25" s="25">
        <x:f>IF(AS24=0,0, ROUND(AS21 * 1/AS24* AS$13,1))</x:f>
      </x:c>
      <x:c r="AT25" s="25">
        <x:f>IF(AT24=0,0, ROUND(AT21 * 1/AT24* AT$13,1))</x:f>
      </x:c>
      <x:c r="AU25" s="25">
        <x:f>IF(AU24=0,0, ROUND(AU21 * 1/AU24* AU$13,1))</x:f>
      </x:c>
      <x:c r="AV25" s="25">
        <x:f>IF(AV24=0,0, ROUND(AV21 * 1/AV24* AV$13,1))</x:f>
      </x:c>
      <x:c r="AW25" s="25">
        <x:f>IF(AW24=0,0, ROUND(AW21 * 1/AW24* AW$13,1))</x:f>
      </x:c>
      <x:c r="AX25" s="25">
        <x:f>IF(AX24=0,0, ROUND(AX21 * 1/AX24* AX$13,1))</x:f>
      </x:c>
      <x:c r="AY25" s="25">
        <x:f>IF(AY24=0,0, ROUND(AY21 * 1/AY24* AY$13,1))</x:f>
      </x:c>
      <x:c r="AZ25" s="25">
        <x:f>IF(AZ24=0,0, ROUND(AZ21 * 1/AZ24* AZ$13,1))</x:f>
      </x:c>
      <x:c r="BA25" s="25">
        <x:f>IF(BA24=0,0, ROUND(BA21 * 1/BA24* BA$13,1))</x:f>
      </x:c>
      <x:c r="BB25" s="25">
        <x:f>IF(BB24=0,0, ROUND(BB21 * 1/BB24* BB$13,1))</x:f>
      </x:c>
      <x:c r="BC25" s="25">
        <x:f>IF(BC24=0,0, ROUND(BC21 * 1/BC24* BC$13,1))</x:f>
      </x:c>
      <x:c r="BD25" s="25">
        <x:f>IF(BD24=0,0, ROUND(BD21 * 1/BD24* BD$13,1))</x:f>
      </x:c>
      <x:c r="BE25" s="25">
        <x:f>IF(BE24=0,0, ROUND(BE21 * 1/BE24* BE$13,1))</x:f>
      </x:c>
      <x:c r="BF25" s="25">
        <x:f>IF(BF24=0,0, ROUND(BF21 * 1/BF24* BF$13,1))</x:f>
      </x:c>
      <x:c r="BG25" s="25">
        <x:f>IF(BG24=0,0, ROUND(BG21 * 1/BG24* BG$13,1))</x:f>
      </x:c>
      <x:c r="BH25" s="25">
        <x:f>IF(BH24=0,0, ROUND(BH21 * 1/BH24* BH$13,1))</x:f>
      </x:c>
      <x:c r="BI25" s="25">
        <x:f>IF(BI24=0,0, ROUND(BI21 * 1/BI24* BI$13,1))</x:f>
      </x:c>
      <x:c r="BJ25" s="25">
        <x:f>IF(BJ24=0,0, ROUND(BJ21 * 1/BJ24* BJ$13,1))</x:f>
      </x:c>
      <x:c r="BK25" s="25">
        <x:f>IF(BK24=0,0, ROUND(BK21 * 1/BK24* BK$13,1))</x:f>
      </x:c>
      <x:c r="BL25" s="25">
        <x:f>IF(BL24=0,0, ROUND(BL21 * 1/BL24* BL$13,1))</x:f>
      </x:c>
      <x:c r="BM25" s="25">
        <x:f>IF(BM24=0,0, ROUND(BM21 * 1/BM24* BM$13,1))</x:f>
      </x:c>
      <x:c r="BN25" s="25">
        <x:f>IF(BN24=0,0, ROUND(BN21 * 1/BN24* BN$13,1))</x:f>
      </x:c>
      <x:c r="BO25" s="25">
        <x:f>IF(BO24=0,0, ROUND(BO21 * 1/BO24* BO$13,1))</x:f>
      </x:c>
      <x:c r="BP25" s="25">
        <x:f>IF(BP24=0,0, ROUND(BP21 * 1/BP24* BP$13,1))</x:f>
      </x:c>
      <x:c r="BQ25" s="25">
        <x:f>IF(BQ24=0,0, ROUND(BQ21 * 1/BQ24* BQ$13,1))</x:f>
      </x:c>
      <x:c r="BR25" s="25">
        <x:f>IF(BR24=0,0, ROUND(BR21 * 1/BR24* BR$13,1))</x:f>
      </x:c>
      <x:c r="BS25" s="25">
        <x:f>IF(BS24=0,0, ROUND(BS21 * 1/BS24* BS$13,1))</x:f>
      </x:c>
      <x:c r="BT25" s="25">
        <x:f>IF(BT24=0,0, ROUND(BT21 * 1/BT24* BT$13,1))</x:f>
      </x:c>
      <x:c r="BU25" s="25">
        <x:f>IF(BU24=0,0, ROUND(BU21 * 1/BU24* BU$13,1))</x:f>
      </x:c>
      <x:c r="BV25" s="25">
        <x:f>IF(BV24=0,0, ROUND(BV21 * 1/BV24* BV$13,1))</x:f>
      </x:c>
      <x:c r="BW25" s="25">
        <x:f>IF(BW24=0,0, ROUND(BW21 * 1/BW24* BW$13,1))</x:f>
      </x:c>
      <x:c r="BX25" s="25">
        <x:f>IF(BX24=0,0, ROUND(BX21 * 1/BX24* BX$13,1))</x:f>
      </x:c>
      <x:c r="BY25" s="25">
        <x:f>IF(BY24=0,0, ROUND(BY21 * 1/BY24* BY$13,1))</x:f>
      </x:c>
      <x:c r="BZ25" s="25">
        <x:f>IF(BZ24=0,0, ROUND(BZ21 * 1/BZ24* BZ$13,1))</x:f>
      </x:c>
      <x:c r="CA25" s="25">
        <x:f>IF(CA24=0,0, ROUND(CA21 * 1/CA24* CA$13,1))</x:f>
      </x:c>
      <x:c r="CB25" s="25">
        <x:f>IF(CB24=0,0, ROUND(CB21 * 1/CB24* CB$13,1))</x:f>
      </x:c>
      <x:c r="CC25" s="25">
        <x:f>IF(CC24=0,0, ROUND(CC21 * 1/CC24* CC$13,1))</x:f>
      </x:c>
    </x:row>
    <x:row r="26" spans="1:81" hidden="1" x14ac:dyDescent="0.2">
      <x:c r="A26" s="0">
        <x:v>4</x:v>
      </x:c>
      <x:c r="B26" s="0">
        <x:v>1</x:v>
      </x:c>
      <x:c r="C26" s="11">
        <x:v>2.35695</x:v>
      </x:c>
      <x:c r="D26" s="0">
        <x:f>D23/$B26</x:f>
      </x:c>
      <x:c r="E26" s="0">
        <x:f>E23/$B26</x:f>
      </x:c>
      <x:c r="F26" s="0">
        <x:f>F23/$B26</x:f>
      </x:c>
      <x:c r="G26" s="0">
        <x:f>G23/$B26</x:f>
      </x:c>
      <x:c r="H26" s="0">
        <x:f>H23/$B26</x:f>
      </x:c>
      <x:c r="I26" s="0">
        <x:f>I23/$B26</x:f>
      </x:c>
      <x:c r="J26" s="0">
        <x:f>J23/$B26</x:f>
      </x:c>
      <x:c r="K26" s="0">
        <x:f>K23/$B26</x:f>
      </x:c>
      <x:c r="L26" s="0">
        <x:f>L23/$B26</x:f>
      </x:c>
      <x:c r="M26" s="0">
        <x:f>M23/$B26</x:f>
      </x:c>
      <x:c r="N26" s="0">
        <x:f>N23/$B26</x:f>
      </x:c>
      <x:c r="O26" s="0">
        <x:f>O23/$B26</x:f>
      </x:c>
      <x:c r="P26" s="0">
        <x:f>P23/$B26</x:f>
      </x:c>
      <x:c r="Q26" s="0">
        <x:f>Q23/$B26</x:f>
      </x:c>
      <x:c r="R26" s="0">
        <x:f>R23/$B26</x:f>
      </x:c>
      <x:c r="S26" s="0">
        <x:f>S23/$B26</x:f>
      </x:c>
      <x:c r="T26" s="0">
        <x:f>T23/$B26</x:f>
      </x:c>
      <x:c r="U26" s="0">
        <x:f>U23/$B26</x:f>
      </x:c>
      <x:c r="V26" s="0">
        <x:f>V23/$B26</x:f>
      </x:c>
      <x:c r="W26" s="0">
        <x:f>W23/$B26</x:f>
      </x:c>
      <x:c r="X26" s="0">
        <x:f>X23/$B26</x:f>
      </x:c>
      <x:c r="Y26" s="0">
        <x:f>Y23/$B26</x:f>
      </x:c>
      <x:c r="Z26" s="0">
        <x:f>Z23/$B26</x:f>
      </x:c>
      <x:c r="AA26" s="0">
        <x:f>AA23/$B26</x:f>
      </x:c>
      <x:c r="AB26" s="0">
        <x:f>AB23/$B26</x:f>
      </x:c>
      <x:c r="AC26" s="0">
        <x:f>AC23/$B26</x:f>
      </x:c>
      <x:c r="AD26" s="0">
        <x:f>AD23/$B26</x:f>
      </x:c>
      <x:c r="AE26" s="0">
        <x:f>AE23/$B26</x:f>
      </x:c>
      <x:c r="AF26" s="0">
        <x:f>AF23/$B26</x:f>
      </x:c>
      <x:c r="AG26" s="0">
        <x:f>AG23/$B26</x:f>
      </x:c>
      <x:c r="AH26" s="0">
        <x:f>AH23/$B26</x:f>
      </x:c>
      <x:c r="AI26" s="0">
        <x:f>AI23/$B26</x:f>
      </x:c>
      <x:c r="AJ26" s="0">
        <x:f>AJ23/$B26</x:f>
      </x:c>
      <x:c r="AK26" s="0">
        <x:f>AK23/$B26</x:f>
      </x:c>
      <x:c r="AL26" s="0">
        <x:f>AL23/$B26</x:f>
      </x:c>
      <x:c r="AM26" s="0">
        <x:f>AM23/$B26</x:f>
      </x:c>
      <x:c r="AN26" s="0">
        <x:f>AN23/$B26</x:f>
      </x:c>
      <x:c r="AO26" s="0">
        <x:f>AO23/$B26</x:f>
      </x:c>
      <x:c r="AP26" s="0">
        <x:f>AP23/$B26</x:f>
      </x:c>
      <x:c r="AQ26" s="0">
        <x:f>AQ23/$B26</x:f>
      </x:c>
      <x:c r="AR26" s="0">
        <x:f>AR23/$B26</x:f>
      </x:c>
      <x:c r="AS26" s="0">
        <x:f>AS23/$B26</x:f>
      </x:c>
      <x:c r="AT26" s="0">
        <x:f>AT23/$B26</x:f>
      </x:c>
      <x:c r="AU26" s="0">
        <x:f>AU23/$B26</x:f>
      </x:c>
      <x:c r="AV26" s="0">
        <x:f>AV23/$B26</x:f>
      </x:c>
      <x:c r="AW26" s="0">
        <x:f>AW23/$B26</x:f>
      </x:c>
      <x:c r="AX26" s="0">
        <x:f>AX23/$B26</x:f>
      </x:c>
      <x:c r="AY26" s="0">
        <x:f>AY23/$B26</x:f>
      </x:c>
      <x:c r="AZ26" s="0">
        <x:f>AZ23/$B26</x:f>
      </x:c>
      <x:c r="BA26" s="0">
        <x:f>BA23/$B26</x:f>
      </x:c>
      <x:c r="BB26" s="0">
        <x:f>BB23/$B26</x:f>
      </x:c>
      <x:c r="BC26" s="0">
        <x:f>BC23/$B26</x:f>
      </x:c>
      <x:c r="BD26" s="0">
        <x:f>BD23/$B26</x:f>
      </x:c>
      <x:c r="BE26" s="0">
        <x:f>BE23/$B26</x:f>
      </x:c>
      <x:c r="BF26" s="0">
        <x:f>BF23/$B26</x:f>
      </x:c>
      <x:c r="BG26" s="0">
        <x:f>BG23/$B26</x:f>
      </x:c>
      <x:c r="BH26" s="0">
        <x:f>BH23/$B26</x:f>
      </x:c>
      <x:c r="BI26" s="0">
        <x:f>BI23/$B26</x:f>
      </x:c>
      <x:c r="BJ26" s="0">
        <x:f>BJ23/$B26</x:f>
      </x:c>
      <x:c r="BK26" s="0">
        <x:f>BK23/$B26</x:f>
      </x:c>
      <x:c r="BL26" s="0">
        <x:f>BL23/$B26</x:f>
      </x:c>
      <x:c r="BM26" s="0">
        <x:f>BM23/$B26</x:f>
      </x:c>
      <x:c r="BN26" s="0">
        <x:f>BN23/$B26</x:f>
      </x:c>
      <x:c r="BO26" s="0">
        <x:f>BO23/$B26</x:f>
      </x:c>
      <x:c r="BP26" s="0">
        <x:f>BP23/$B26</x:f>
      </x:c>
      <x:c r="BQ26" s="0">
        <x:f>BQ23/$B26</x:f>
      </x:c>
      <x:c r="BR26" s="0">
        <x:f>BR23/$B26</x:f>
      </x:c>
      <x:c r="BS26" s="0">
        <x:f>BS23/$B26</x:f>
      </x:c>
      <x:c r="BT26" s="0">
        <x:f>BT23/$B26</x:f>
      </x:c>
      <x:c r="BU26" s="0">
        <x:f>BU23/$B26</x:f>
      </x:c>
      <x:c r="BV26" s="0">
        <x:f>BV23/$B26</x:f>
      </x:c>
      <x:c r="BW26" s="0">
        <x:f>BW23/$B26</x:f>
      </x:c>
      <x:c r="BX26" s="0">
        <x:f>BX23/$B26</x:f>
      </x:c>
      <x:c r="BY26" s="0">
        <x:f>BY23/$B26</x:f>
      </x:c>
      <x:c r="BZ26" s="0">
        <x:f>BZ23/$B26</x:f>
      </x:c>
      <x:c r="CA26" s="0">
        <x:f>CA23/$B26</x:f>
      </x:c>
      <x:c r="CB26" s="0">
        <x:f>CB23/$B26</x:f>
      </x:c>
      <x:c r="CC26" s="0">
        <x:f>CC23/$B26</x:f>
      </x:c>
    </x:row>
    <x:row r="27" spans="1:81" hidden="1" x14ac:dyDescent="0.2">
      <x:c r="C27" s="19" t="s">
        <x:v>217</x:v>
      </x:c>
      <x:c r="D27" s="0">
        <x:f>D21-D24</x:f>
      </x:c>
      <x:c r="E27" s="0">
        <x:f>E21-E24</x:f>
      </x:c>
      <x:c r="F27" s="0">
        <x:f>F21-F24</x:f>
      </x:c>
      <x:c r="G27" s="0">
        <x:f>G21-G24</x:f>
      </x:c>
      <x:c r="H27" s="0">
        <x:f>H21-H24</x:f>
      </x:c>
      <x:c r="I27" s="0">
        <x:f>I21-I24</x:f>
      </x:c>
      <x:c r="J27" s="0">
        <x:f>J21-J24</x:f>
      </x:c>
      <x:c r="K27" s="0">
        <x:f>K21-K24</x:f>
      </x:c>
      <x:c r="L27" s="0">
        <x:f>L21-L24</x:f>
      </x:c>
      <x:c r="M27" s="0">
        <x:f>M21-M24</x:f>
      </x:c>
      <x:c r="N27" s="0">
        <x:f>N21-N24</x:f>
      </x:c>
      <x:c r="O27" s="0">
        <x:f>O21-O24</x:f>
      </x:c>
      <x:c r="P27" s="0">
        <x:f>P21-P24</x:f>
      </x:c>
      <x:c r="Q27" s="0">
        <x:f>Q21-Q24</x:f>
      </x:c>
      <x:c r="R27" s="0">
        <x:f>R21-R24</x:f>
      </x:c>
      <x:c r="S27" s="0">
        <x:f>S21-S24</x:f>
      </x:c>
      <x:c r="T27" s="0">
        <x:f>T21-T24</x:f>
      </x:c>
      <x:c r="U27" s="0">
        <x:f>U21-U24</x:f>
      </x:c>
      <x:c r="V27" s="0">
        <x:f>V21-V24</x:f>
      </x:c>
      <x:c r="W27" s="0">
        <x:f>W21-W24</x:f>
      </x:c>
      <x:c r="X27" s="0">
        <x:f>X21-X24</x:f>
      </x:c>
      <x:c r="Y27" s="0">
        <x:f>Y21-Y24</x:f>
      </x:c>
      <x:c r="Z27" s="0">
        <x:f>Z21-Z24</x:f>
      </x:c>
      <x:c r="AA27" s="0">
        <x:f>AA21-AA24</x:f>
      </x:c>
      <x:c r="AB27" s="0">
        <x:f>AB21-AB24</x:f>
      </x:c>
      <x:c r="AC27" s="0">
        <x:f>AC21-AC24</x:f>
      </x:c>
      <x:c r="AD27" s="0">
        <x:f>AD21-AD24</x:f>
      </x:c>
      <x:c r="AE27" s="0">
        <x:f>AE21-AE24</x:f>
      </x:c>
      <x:c r="AF27" s="0">
        <x:f>AF21-AF24</x:f>
      </x:c>
      <x:c r="AG27" s="0">
        <x:f>AG21-AG24</x:f>
      </x:c>
      <x:c r="AH27" s="0">
        <x:f>AH21-AH24</x:f>
      </x:c>
      <x:c r="AI27" s="0">
        <x:f>AI21-AI24</x:f>
      </x:c>
      <x:c r="AJ27" s="0">
        <x:f>AJ21-AJ24</x:f>
      </x:c>
      <x:c r="AK27" s="0">
        <x:f>AK21-AK24</x:f>
      </x:c>
      <x:c r="AL27" s="0">
        <x:f>AL21-AL24</x:f>
      </x:c>
      <x:c r="AM27" s="0">
        <x:f>AM21-AM24</x:f>
      </x:c>
      <x:c r="AN27" s="0">
        <x:f>AN21-AN24</x:f>
      </x:c>
      <x:c r="AO27" s="0">
        <x:f>AO21-AO24</x:f>
      </x:c>
      <x:c r="AP27" s="0">
        <x:f>AP21-AP24</x:f>
      </x:c>
      <x:c r="AQ27" s="0">
        <x:f>AQ21-AQ24</x:f>
      </x:c>
      <x:c r="AR27" s="0">
        <x:f>AR21-AR24</x:f>
      </x:c>
      <x:c r="AS27" s="0">
        <x:f>AS21-AS24</x:f>
      </x:c>
      <x:c r="AT27" s="0">
        <x:f>AT21-AT24</x:f>
      </x:c>
      <x:c r="AU27" s="0">
        <x:f>AU21-AU24</x:f>
      </x:c>
      <x:c r="AV27" s="0">
        <x:f>AV21-AV24</x:f>
      </x:c>
      <x:c r="AW27" s="0">
        <x:f>AW21-AW24</x:f>
      </x:c>
      <x:c r="AX27" s="0">
        <x:f>AX21-AX24</x:f>
      </x:c>
      <x:c r="AY27" s="0">
        <x:f>AY21-AY24</x:f>
      </x:c>
      <x:c r="AZ27" s="0">
        <x:f>AZ21-AZ24</x:f>
      </x:c>
      <x:c r="BA27" s="0">
        <x:f>BA21-BA24</x:f>
      </x:c>
      <x:c r="BB27" s="0">
        <x:f>BB21-BB24</x:f>
      </x:c>
      <x:c r="BC27" s="0">
        <x:f>BC21-BC24</x:f>
      </x:c>
      <x:c r="BD27" s="0">
        <x:f>BD21-BD24</x:f>
      </x:c>
      <x:c r="BE27" s="0">
        <x:f>BE21-BE24</x:f>
      </x:c>
      <x:c r="BF27" s="0">
        <x:f>BF21-BF24</x:f>
      </x:c>
      <x:c r="BG27" s="0">
        <x:f>BG21-BG24</x:f>
      </x:c>
      <x:c r="BH27" s="0">
        <x:f>BH21-BH24</x:f>
      </x:c>
      <x:c r="BI27" s="0">
        <x:f>BI21-BI24</x:f>
      </x:c>
      <x:c r="BJ27" s="0">
        <x:f>BJ21-BJ24</x:f>
      </x:c>
      <x:c r="BK27" s="0">
        <x:f>BK21-BK24</x:f>
      </x:c>
      <x:c r="BL27" s="0">
        <x:f>BL21-BL24</x:f>
      </x:c>
      <x:c r="BM27" s="0">
        <x:f>BM21-BM24</x:f>
      </x:c>
      <x:c r="BN27" s="0">
        <x:f>BN21-BN24</x:f>
      </x:c>
      <x:c r="BO27" s="0">
        <x:f>BO21-BO24</x:f>
      </x:c>
      <x:c r="BP27" s="0">
        <x:f>BP21-BP24</x:f>
      </x:c>
      <x:c r="BQ27" s="0">
        <x:f>BQ21-BQ24</x:f>
      </x:c>
      <x:c r="BR27" s="0">
        <x:f>BR21-BR24</x:f>
      </x:c>
      <x:c r="BS27" s="0">
        <x:f>BS21-BS24</x:f>
      </x:c>
      <x:c r="BT27" s="0">
        <x:f>BT21-BT24</x:f>
      </x:c>
      <x:c r="BU27" s="0">
        <x:f>BU21-BU24</x:f>
      </x:c>
      <x:c r="BV27" s="0">
        <x:f>BV21-BV24</x:f>
      </x:c>
      <x:c r="BW27" s="0">
        <x:f>BW21-BW24</x:f>
      </x:c>
      <x:c r="BX27" s="0">
        <x:f>BX21-BX24</x:f>
      </x:c>
      <x:c r="BY27" s="0">
        <x:f>BY21-BY24</x:f>
      </x:c>
      <x:c r="BZ27" s="0">
        <x:f>BZ21-BZ24</x:f>
      </x:c>
      <x:c r="CA27" s="0">
        <x:f>CA21-CA24</x:f>
      </x:c>
      <x:c r="CB27" s="0">
        <x:f>CB21-CB24</x:f>
      </x:c>
      <x:c r="CC27" s="0">
        <x:f>CC21-CC24</x:f>
      </x:c>
    </x:row>
    <x:row r="28" spans="1:81" x14ac:dyDescent="0.2">
      <x:c r="C28" s="19"/>
    </x:row>
    <x:row r="29" spans="1:81" x14ac:dyDescent="0.2">
      <x:c r="A29" s="0" t="s">
        <x:v>219</x:v>
      </x:c>
      <x:c r="C29" s="92" t="s">
        <x:v>38</x:v>
      </x:c>
      <x:c r="D29" s="92">
        <x:f>D14+D21</x:f>
      </x:c>
      <x:c r="E29" s="92">
        <x:f>E14+E21</x:f>
      </x:c>
      <x:c r="F29" s="92">
        <x:f>F14+F21</x:f>
      </x:c>
      <x:c r="G29" s="92">
        <x:f>G14+G21</x:f>
      </x:c>
      <x:c r="H29" s="92">
        <x:f>H14+H21</x:f>
      </x:c>
      <x:c r="I29" s="92">
        <x:f>I14+I21</x:f>
      </x:c>
      <x:c r="J29" s="92">
        <x:f>J14+J21</x:f>
      </x:c>
      <x:c r="K29" s="92">
        <x:f>K14+K21</x:f>
      </x:c>
      <x:c r="L29" s="92">
        <x:f>L14+L21</x:f>
      </x:c>
      <x:c r="M29" s="92">
        <x:f>M14+M21</x:f>
      </x:c>
      <x:c r="N29" s="92">
        <x:f>N14+N21</x:f>
      </x:c>
      <x:c r="O29" s="92">
        <x:f>O14+O21</x:f>
      </x:c>
      <x:c r="P29" s="92">
        <x:f>P14+P21</x:f>
      </x:c>
      <x:c r="Q29" s="92">
        <x:f>Q14+Q21</x:f>
      </x:c>
      <x:c r="R29" s="92">
        <x:f>R14+R21</x:f>
      </x:c>
      <x:c r="S29" s="92">
        <x:f>S14+S21</x:f>
      </x:c>
      <x:c r="T29" s="92">
        <x:f>T14+T21</x:f>
      </x:c>
      <x:c r="U29" s="92">
        <x:f>U14+U21</x:f>
      </x:c>
      <x:c r="V29" s="92">
        <x:f>V14+V21</x:f>
      </x:c>
      <x:c r="W29" s="92">
        <x:f>W14+W21</x:f>
      </x:c>
      <x:c r="X29" s="92">
        <x:f>X14+X21</x:f>
      </x:c>
      <x:c r="Y29" s="92">
        <x:f>Y14+Y21</x:f>
      </x:c>
      <x:c r="Z29" s="92">
        <x:f>Z14+Z21</x:f>
      </x:c>
      <x:c r="AA29" s="92">
        <x:f>AA14+AA21</x:f>
      </x:c>
      <x:c r="AB29" s="92">
        <x:f>AB14+AB21</x:f>
      </x:c>
      <x:c r="AC29" s="92">
        <x:f>AC14+AC21</x:f>
      </x:c>
      <x:c r="AD29" s="92">
        <x:f>AD14+AD21</x:f>
      </x:c>
      <x:c r="AE29" s="92">
        <x:f>AE14+AE21</x:f>
      </x:c>
      <x:c r="AF29" s="92">
        <x:f>AF14+AF21</x:f>
      </x:c>
      <x:c r="AG29" s="92">
        <x:f>AG14+AG21</x:f>
      </x:c>
      <x:c r="AH29" s="92">
        <x:f>AH14+AH21</x:f>
      </x:c>
      <x:c r="AI29" s="92">
        <x:f>AI14+AI21</x:f>
      </x:c>
      <x:c r="AJ29" s="92">
        <x:f>AJ14+AJ21</x:f>
      </x:c>
      <x:c r="AK29" s="92">
        <x:f>AK14+AK21</x:f>
      </x:c>
      <x:c r="AL29" s="92">
        <x:f>AL14+AL21</x:f>
      </x:c>
      <x:c r="AM29" s="92">
        <x:f>AM14+AM21</x:f>
      </x:c>
      <x:c r="AN29" s="92">
        <x:f>AN14+AN21</x:f>
      </x:c>
      <x:c r="AO29" s="92">
        <x:f>AO14+AO21</x:f>
      </x:c>
      <x:c r="AP29" s="92">
        <x:f>AP14+AP21</x:f>
      </x:c>
      <x:c r="AQ29" s="92">
        <x:f>AQ14+AQ21</x:f>
      </x:c>
      <x:c r="AR29" s="92">
        <x:f>AR14+AR21</x:f>
      </x:c>
      <x:c r="AS29" s="92">
        <x:f>AS14+AS21</x:f>
      </x:c>
      <x:c r="AT29" s="92">
        <x:f>AT14+AT21</x:f>
      </x:c>
      <x:c r="AU29" s="92">
        <x:f>AU14+AU21</x:f>
      </x:c>
      <x:c r="AV29" s="92">
        <x:f>AV14+AV21</x:f>
      </x:c>
      <x:c r="AW29" s="92">
        <x:f>AW14+AW21</x:f>
      </x:c>
      <x:c r="AX29" s="92">
        <x:f>AX14+AX21</x:f>
      </x:c>
      <x:c r="AY29" s="92">
        <x:f>AY14+AY21</x:f>
      </x:c>
      <x:c r="AZ29" s="92">
        <x:f>AZ14+AZ21</x:f>
      </x:c>
      <x:c r="BA29" s="92">
        <x:f>BA14+BA21</x:f>
      </x:c>
      <x:c r="BB29" s="92">
        <x:f>BB14+BB21</x:f>
      </x:c>
      <x:c r="BC29" s="92">
        <x:f>BC14+BC21</x:f>
      </x:c>
      <x:c r="BD29" s="92">
        <x:f>BD14+BD21</x:f>
      </x:c>
      <x:c r="BE29" s="92">
        <x:f>BE14+BE21</x:f>
      </x:c>
      <x:c r="BF29" s="92">
        <x:f>BF14+BF21</x:f>
      </x:c>
      <x:c r="BG29" s="92">
        <x:f>BG14+BG21</x:f>
      </x:c>
      <x:c r="BH29" s="92">
        <x:f>BH14+BH21</x:f>
      </x:c>
      <x:c r="BI29" s="92">
        <x:f>BI14+BI21</x:f>
      </x:c>
      <x:c r="BJ29" s="92">
        <x:f>BJ14+BJ21</x:f>
      </x:c>
      <x:c r="BK29" s="92">
        <x:f>BK14+BK21</x:f>
      </x:c>
      <x:c r="BL29" s="92">
        <x:f>BL14+BL21</x:f>
      </x:c>
      <x:c r="BM29" s="92">
        <x:f>BM14+BM21</x:f>
      </x:c>
      <x:c r="BN29" s="92">
        <x:f>BN14+BN21</x:f>
      </x:c>
      <x:c r="BO29" s="92">
        <x:f>BO14+BO21</x:f>
      </x:c>
      <x:c r="BP29" s="92">
        <x:f>BP14+BP21</x:f>
      </x:c>
      <x:c r="BQ29" s="92">
        <x:f>BQ14+BQ21</x:f>
      </x:c>
      <x:c r="BR29" s="92">
        <x:f>BR14+BR21</x:f>
      </x:c>
      <x:c r="BS29" s="92">
        <x:f>BS14+BS21</x:f>
      </x:c>
      <x:c r="BT29" s="92">
        <x:f>BT14+BT21</x:f>
      </x:c>
      <x:c r="BU29" s="92">
        <x:f>BU14+BU21</x:f>
      </x:c>
      <x:c r="BV29" s="92">
        <x:f>BV14+BV21</x:f>
      </x:c>
      <x:c r="BW29" s="92">
        <x:f>BW14+BW21</x:f>
      </x:c>
      <x:c r="BX29" s="92">
        <x:f>BX14+BX21</x:f>
      </x:c>
      <x:c r="BY29" s="92">
        <x:f>BY14+BY21</x:f>
      </x:c>
      <x:c r="BZ29" s="92">
        <x:f>BZ14+BZ21</x:f>
      </x:c>
      <x:c r="CA29" s="92">
        <x:f>CA14+CA21</x:f>
      </x:c>
      <x:c r="CB29" s="92">
        <x:f>CB14+CB21</x:f>
      </x:c>
      <x:c r="CC29" s="92">
        <x:f>CC14+CC21</x:f>
      </x:c>
    </x:row>
    <x:row r="30" spans="1:81" x14ac:dyDescent="0.2">
      <x:c r="C30" s="92" t="s">
        <x:v>39</x:v>
      </x:c>
      <x:c r="D30" s="92">
        <x:f>D15+D22</x:f>
      </x:c>
      <x:c r="E30" s="92">
        <x:f>E15+E22</x:f>
      </x:c>
      <x:c r="F30" s="92">
        <x:f>F15+F22</x:f>
      </x:c>
      <x:c r="G30" s="92">
        <x:f>G15+G22</x:f>
      </x:c>
      <x:c r="H30" s="92">
        <x:f>H15+H22</x:f>
      </x:c>
      <x:c r="I30" s="92">
        <x:f>I15+I22</x:f>
      </x:c>
      <x:c r="J30" s="92">
        <x:f>J15+J22</x:f>
      </x:c>
      <x:c r="K30" s="92">
        <x:f>K15+K22</x:f>
      </x:c>
      <x:c r="L30" s="92">
        <x:f>L15+L22</x:f>
      </x:c>
      <x:c r="M30" s="92">
        <x:f>M15+M22</x:f>
      </x:c>
      <x:c r="N30" s="92">
        <x:f>N15+N22</x:f>
      </x:c>
      <x:c r="O30" s="92">
        <x:f>O15+O22</x:f>
      </x:c>
      <x:c r="P30" s="92">
        <x:f>P15+P22</x:f>
      </x:c>
      <x:c r="Q30" s="92">
        <x:f>Q15+Q22</x:f>
      </x:c>
      <x:c r="R30" s="92">
        <x:f>R15+R22</x:f>
      </x:c>
      <x:c r="S30" s="92">
        <x:f>S15+S22</x:f>
      </x:c>
      <x:c r="T30" s="92">
        <x:f>T15+T22</x:f>
      </x:c>
      <x:c r="U30" s="92">
        <x:f>U15+U22</x:f>
      </x:c>
      <x:c r="V30" s="92">
        <x:f>V15+V22</x:f>
      </x:c>
      <x:c r="W30" s="92">
        <x:f>W15+W22</x:f>
      </x:c>
      <x:c r="X30" s="92">
        <x:f>X15+X22</x:f>
      </x:c>
      <x:c r="Y30" s="92">
        <x:f>Y15+Y22</x:f>
      </x:c>
      <x:c r="Z30" s="92">
        <x:f>Z15+Z22</x:f>
      </x:c>
      <x:c r="AA30" s="92">
        <x:f>AA15+AA22</x:f>
      </x:c>
      <x:c r="AB30" s="92">
        <x:f>AB15+AB22</x:f>
      </x:c>
      <x:c r="AC30" s="92">
        <x:f>AC15+AC22</x:f>
      </x:c>
      <x:c r="AD30" s="92">
        <x:f>AD15+AD22</x:f>
      </x:c>
      <x:c r="AE30" s="92">
        <x:f>AE15+AE22</x:f>
      </x:c>
      <x:c r="AF30" s="92">
        <x:f>AF15+AF22</x:f>
      </x:c>
      <x:c r="AG30" s="92">
        <x:f>AG15+AG22</x:f>
      </x:c>
      <x:c r="AH30" s="92">
        <x:f>AH15+AH22</x:f>
      </x:c>
      <x:c r="AI30" s="92">
        <x:f>AI15+AI22</x:f>
      </x:c>
      <x:c r="AJ30" s="92">
        <x:f>AJ15+AJ22</x:f>
      </x:c>
      <x:c r="AK30" s="92">
        <x:f>AK15+AK22</x:f>
      </x:c>
      <x:c r="AL30" s="92">
        <x:f>AL15+AL22</x:f>
      </x:c>
      <x:c r="AM30" s="92">
        <x:f>AM15+AM22</x:f>
      </x:c>
      <x:c r="AN30" s="92">
        <x:f>AN15+AN22</x:f>
      </x:c>
      <x:c r="AO30" s="92">
        <x:f>AO15+AO22</x:f>
      </x:c>
      <x:c r="AP30" s="92">
        <x:f>AP15+AP22</x:f>
      </x:c>
      <x:c r="AQ30" s="92">
        <x:f>AQ15+AQ22</x:f>
      </x:c>
      <x:c r="AR30" s="92">
        <x:f>AR15+AR22</x:f>
      </x:c>
      <x:c r="AS30" s="92">
        <x:f>AS15+AS22</x:f>
      </x:c>
      <x:c r="AT30" s="92">
        <x:f>AT15+AT22</x:f>
      </x:c>
      <x:c r="AU30" s="92">
        <x:f>AU15+AU22</x:f>
      </x:c>
      <x:c r="AV30" s="92">
        <x:f>AV15+AV22</x:f>
      </x:c>
      <x:c r="AW30" s="92">
        <x:f>AW15+AW22</x:f>
      </x:c>
      <x:c r="AX30" s="92">
        <x:f>AX15+AX22</x:f>
      </x:c>
      <x:c r="AY30" s="92">
        <x:f>AY15+AY22</x:f>
      </x:c>
      <x:c r="AZ30" s="92">
        <x:f>AZ15+AZ22</x:f>
      </x:c>
      <x:c r="BA30" s="92">
        <x:f>BA15+BA22</x:f>
      </x:c>
      <x:c r="BB30" s="92">
        <x:f>BB15+BB22</x:f>
      </x:c>
      <x:c r="BC30" s="92">
        <x:f>BC15+BC22</x:f>
      </x:c>
      <x:c r="BD30" s="92">
        <x:f>BD15+BD22</x:f>
      </x:c>
      <x:c r="BE30" s="92">
        <x:f>BE15+BE22</x:f>
      </x:c>
      <x:c r="BF30" s="92">
        <x:f>BF15+BF22</x:f>
      </x:c>
      <x:c r="BG30" s="92">
        <x:f>BG15+BG22</x:f>
      </x:c>
      <x:c r="BH30" s="92">
        <x:f>BH15+BH22</x:f>
      </x:c>
      <x:c r="BI30" s="92">
        <x:f>BI15+BI22</x:f>
      </x:c>
      <x:c r="BJ30" s="92">
        <x:f>BJ15+BJ22</x:f>
      </x:c>
      <x:c r="BK30" s="92">
        <x:f>BK15+BK22</x:f>
      </x:c>
      <x:c r="BL30" s="92">
        <x:f>BL15+BL22</x:f>
      </x:c>
      <x:c r="BM30" s="92">
        <x:f>BM15+BM22</x:f>
      </x:c>
      <x:c r="BN30" s="92">
        <x:f>BN15+BN22</x:f>
      </x:c>
      <x:c r="BO30" s="92">
        <x:f>BO15+BO22</x:f>
      </x:c>
      <x:c r="BP30" s="92">
        <x:f>BP15+BP22</x:f>
      </x:c>
      <x:c r="BQ30" s="92">
        <x:f>BQ15+BQ22</x:f>
      </x:c>
      <x:c r="BR30" s="92">
        <x:f>BR15+BR22</x:f>
      </x:c>
      <x:c r="BS30" s="92">
        <x:f>BS15+BS22</x:f>
      </x:c>
      <x:c r="BT30" s="92">
        <x:f>BT15+BT22</x:f>
      </x:c>
      <x:c r="BU30" s="92">
        <x:f>BU15+BU22</x:f>
      </x:c>
      <x:c r="BV30" s="92">
        <x:f>BV15+BV22</x:f>
      </x:c>
      <x:c r="BW30" s="92">
        <x:f>BW15+BW22</x:f>
      </x:c>
      <x:c r="BX30" s="92">
        <x:f>BX15+BX22</x:f>
      </x:c>
      <x:c r="BY30" s="92">
        <x:f>BY15+BY22</x:f>
      </x:c>
      <x:c r="BZ30" s="92">
        <x:f>BZ15+BZ22</x:f>
      </x:c>
      <x:c r="CA30" s="92">
        <x:f>CA15+CA22</x:f>
      </x:c>
      <x:c r="CB30" s="92">
        <x:f>CB15+CB22</x:f>
      </x:c>
      <x:c r="CC30" s="92">
        <x:f>CC15+CC22</x:f>
      </x:c>
    </x:row>
    <x:row r="31" spans="1:81" x14ac:dyDescent="0.2">
      <x:c r="C31" s="92" t="s">
        <x:v>212</x:v>
      </x:c>
      <x:c r="D31" s="92">
        <x:f>D16+D23</x:f>
      </x:c>
      <x:c r="E31" s="92">
        <x:f>E16+E23</x:f>
      </x:c>
      <x:c r="F31" s="92">
        <x:f>F16+F23</x:f>
      </x:c>
      <x:c r="G31" s="92">
        <x:f>G16+G23</x:f>
      </x:c>
      <x:c r="H31" s="92">
        <x:f>H16+H23</x:f>
      </x:c>
      <x:c r="I31" s="92">
        <x:f>I16+I23</x:f>
      </x:c>
      <x:c r="J31" s="92">
        <x:f>J16+J23</x:f>
      </x:c>
      <x:c r="K31" s="92">
        <x:f>K16+K23</x:f>
      </x:c>
      <x:c r="L31" s="92">
        <x:f>L16+L23</x:f>
      </x:c>
      <x:c r="M31" s="92">
        <x:f>M16+M23</x:f>
      </x:c>
      <x:c r="N31" s="92">
        <x:f>N16+N23</x:f>
      </x:c>
      <x:c r="O31" s="92">
        <x:f>O16+O23</x:f>
      </x:c>
      <x:c r="P31" s="92">
        <x:f>P16+P23</x:f>
      </x:c>
      <x:c r="Q31" s="92">
        <x:f>Q16+Q23</x:f>
      </x:c>
      <x:c r="R31" s="92">
        <x:f>R16+R23</x:f>
      </x:c>
      <x:c r="S31" s="92">
        <x:f>S16+S23</x:f>
      </x:c>
      <x:c r="T31" s="92">
        <x:f>T16+T23</x:f>
      </x:c>
      <x:c r="U31" s="92">
        <x:f>U16+U23</x:f>
      </x:c>
      <x:c r="V31" s="92">
        <x:f>V16+V23</x:f>
      </x:c>
      <x:c r="W31" s="92">
        <x:f>W16+W23</x:f>
      </x:c>
      <x:c r="X31" s="92">
        <x:f>X16+X23</x:f>
      </x:c>
      <x:c r="Y31" s="92">
        <x:f>Y16+Y23</x:f>
      </x:c>
      <x:c r="Z31" s="92">
        <x:f>Z16+Z23</x:f>
      </x:c>
      <x:c r="AA31" s="92">
        <x:f>AA16+AA23</x:f>
      </x:c>
      <x:c r="AB31" s="92">
        <x:f>AB16+AB23</x:f>
      </x:c>
      <x:c r="AC31" s="92">
        <x:f>AC16+AC23</x:f>
      </x:c>
      <x:c r="AD31" s="92">
        <x:f>AD16+AD23</x:f>
      </x:c>
      <x:c r="AE31" s="92">
        <x:f>AE16+AE23</x:f>
      </x:c>
      <x:c r="AF31" s="92">
        <x:f>AF16+AF23</x:f>
      </x:c>
      <x:c r="AG31" s="92">
        <x:f>AG16+AG23</x:f>
      </x:c>
      <x:c r="AH31" s="92">
        <x:f>AH16+AH23</x:f>
      </x:c>
      <x:c r="AI31" s="92">
        <x:f>AI16+AI23</x:f>
      </x:c>
      <x:c r="AJ31" s="92">
        <x:f>AJ16+AJ23</x:f>
      </x:c>
      <x:c r="AK31" s="92">
        <x:f>AK16+AK23</x:f>
      </x:c>
      <x:c r="AL31" s="92">
        <x:f>AL16+AL23</x:f>
      </x:c>
      <x:c r="AM31" s="92">
        <x:f>AM16+AM23</x:f>
      </x:c>
      <x:c r="AN31" s="92">
        <x:f>AN16+AN23</x:f>
      </x:c>
      <x:c r="AO31" s="92">
        <x:f>AO16+AO23</x:f>
      </x:c>
      <x:c r="AP31" s="92">
        <x:f>AP16+AP23</x:f>
      </x:c>
      <x:c r="AQ31" s="92">
        <x:f>AQ16+AQ23</x:f>
      </x:c>
      <x:c r="AR31" s="92">
        <x:f>AR16+AR23</x:f>
      </x:c>
      <x:c r="AS31" s="92">
        <x:f>AS16+AS23</x:f>
      </x:c>
      <x:c r="AT31" s="92">
        <x:f>AT16+AT23</x:f>
      </x:c>
      <x:c r="AU31" s="92">
        <x:f>AU16+AU23</x:f>
      </x:c>
      <x:c r="AV31" s="92">
        <x:f>AV16+AV23</x:f>
      </x:c>
      <x:c r="AW31" s="92">
        <x:f>AW16+AW23</x:f>
      </x:c>
      <x:c r="AX31" s="92">
        <x:f>AX16+AX23</x:f>
      </x:c>
      <x:c r="AY31" s="92">
        <x:f>AY16+AY23</x:f>
      </x:c>
      <x:c r="AZ31" s="92">
        <x:f>AZ16+AZ23</x:f>
      </x:c>
      <x:c r="BA31" s="92">
        <x:f>BA16+BA23</x:f>
      </x:c>
      <x:c r="BB31" s="92">
        <x:f>BB16+BB23</x:f>
      </x:c>
      <x:c r="BC31" s="92">
        <x:f>BC16+BC23</x:f>
      </x:c>
      <x:c r="BD31" s="92">
        <x:f>BD16+BD23</x:f>
      </x:c>
      <x:c r="BE31" s="92">
        <x:f>BE16+BE23</x:f>
      </x:c>
      <x:c r="BF31" s="92">
        <x:f>BF16+BF23</x:f>
      </x:c>
      <x:c r="BG31" s="92">
        <x:f>BG16+BG23</x:f>
      </x:c>
      <x:c r="BH31" s="92">
        <x:f>BH16+BH23</x:f>
      </x:c>
      <x:c r="BI31" s="92">
        <x:f>BI16+BI23</x:f>
      </x:c>
      <x:c r="BJ31" s="92">
        <x:f>BJ16+BJ23</x:f>
      </x:c>
      <x:c r="BK31" s="92">
        <x:f>BK16+BK23</x:f>
      </x:c>
      <x:c r="BL31" s="92">
        <x:f>BL16+BL23</x:f>
      </x:c>
      <x:c r="BM31" s="92">
        <x:f>BM16+BM23</x:f>
      </x:c>
      <x:c r="BN31" s="92">
        <x:f>BN16+BN23</x:f>
      </x:c>
      <x:c r="BO31" s="92">
        <x:f>BO16+BO23</x:f>
      </x:c>
      <x:c r="BP31" s="92">
        <x:f>BP16+BP23</x:f>
      </x:c>
      <x:c r="BQ31" s="92">
        <x:f>BQ16+BQ23</x:f>
      </x:c>
      <x:c r="BR31" s="92">
        <x:f>BR16+BR23</x:f>
      </x:c>
      <x:c r="BS31" s="92">
        <x:f>BS16+BS23</x:f>
      </x:c>
      <x:c r="BT31" s="92">
        <x:f>BT16+BT23</x:f>
      </x:c>
      <x:c r="BU31" s="92">
        <x:f>BU16+BU23</x:f>
      </x:c>
      <x:c r="BV31" s="92">
        <x:f>BV16+BV23</x:f>
      </x:c>
      <x:c r="BW31" s="92">
        <x:f>BW16+BW23</x:f>
      </x:c>
      <x:c r="BX31" s="92">
        <x:f>BX16+BX23</x:f>
      </x:c>
      <x:c r="BY31" s="92">
        <x:f>BY16+BY23</x:f>
      </x:c>
      <x:c r="BZ31" s="92">
        <x:f>BZ16+BZ23</x:f>
      </x:c>
      <x:c r="CA31" s="92">
        <x:f>CA16+CA23</x:f>
      </x:c>
      <x:c r="CB31" s="92">
        <x:f>CB16+CB23</x:f>
      </x:c>
      <x:c r="CC31" s="92">
        <x:f>CC16+CC23</x:f>
      </x:c>
    </x:row>
    <x:row r="32" spans="1:81" x14ac:dyDescent="0.2">
      <x:c r="C32" s="92" t="s">
        <x:v>214</x:v>
      </x:c>
      <x:c r="D32" s="92">
        <x:f>D17+D24</x:f>
      </x:c>
      <x:c r="E32" s="92">
        <x:f>E17+E24</x:f>
      </x:c>
      <x:c r="F32" s="92">
        <x:f>F17+F24</x:f>
      </x:c>
      <x:c r="G32" s="92">
        <x:f>G17+G24</x:f>
      </x:c>
      <x:c r="H32" s="92">
        <x:f>H17+H24</x:f>
      </x:c>
      <x:c r="I32" s="92">
        <x:f>I17+I24</x:f>
      </x:c>
      <x:c r="J32" s="92">
        <x:f>J17+J24</x:f>
      </x:c>
      <x:c r="K32" s="92">
        <x:f>K17+K24</x:f>
      </x:c>
      <x:c r="L32" s="92">
        <x:f>L17+L24</x:f>
      </x:c>
      <x:c r="M32" s="92">
        <x:f>M17+M24</x:f>
      </x:c>
      <x:c r="N32" s="92">
        <x:f>N17+N24</x:f>
      </x:c>
      <x:c r="O32" s="92">
        <x:f>O17+O24</x:f>
      </x:c>
      <x:c r="P32" s="92">
        <x:f>P17+P24</x:f>
      </x:c>
      <x:c r="Q32" s="92">
        <x:f>Q17+Q24</x:f>
      </x:c>
      <x:c r="R32" s="92">
        <x:f>R17+R24</x:f>
      </x:c>
      <x:c r="S32" s="92">
        <x:f>S17+S24</x:f>
      </x:c>
      <x:c r="T32" s="92">
        <x:f>T17+T24</x:f>
      </x:c>
      <x:c r="U32" s="92">
        <x:f>U17+U24</x:f>
      </x:c>
      <x:c r="V32" s="92">
        <x:f>V17+V24</x:f>
      </x:c>
      <x:c r="W32" s="92">
        <x:f>W17+W24</x:f>
      </x:c>
      <x:c r="X32" s="92">
        <x:f>X17+X24</x:f>
      </x:c>
      <x:c r="Y32" s="92">
        <x:f>Y17+Y24</x:f>
      </x:c>
      <x:c r="Z32" s="92">
        <x:f>Z17+Z24</x:f>
      </x:c>
      <x:c r="AA32" s="92">
        <x:f>AA17+AA24</x:f>
      </x:c>
      <x:c r="AB32" s="92">
        <x:f>AB17+AB24</x:f>
      </x:c>
      <x:c r="AC32" s="92">
        <x:f>AC17+AC24</x:f>
      </x:c>
      <x:c r="AD32" s="92">
        <x:f>AD17+AD24</x:f>
      </x:c>
      <x:c r="AE32" s="92">
        <x:f>AE17+AE24</x:f>
      </x:c>
      <x:c r="AF32" s="92">
        <x:f>AF17+AF24</x:f>
      </x:c>
      <x:c r="AG32" s="92">
        <x:f>AG17+AG24</x:f>
      </x:c>
      <x:c r="AH32" s="92">
        <x:f>AH17+AH24</x:f>
      </x:c>
      <x:c r="AI32" s="92">
        <x:f>AI17+AI24</x:f>
      </x:c>
      <x:c r="AJ32" s="92">
        <x:f>AJ17+AJ24</x:f>
      </x:c>
      <x:c r="AK32" s="92">
        <x:f>AK17+AK24</x:f>
      </x:c>
      <x:c r="AL32" s="92">
        <x:f>AL17+AL24</x:f>
      </x:c>
      <x:c r="AM32" s="92">
        <x:f>AM17+AM24</x:f>
      </x:c>
      <x:c r="AN32" s="92">
        <x:f>AN17+AN24</x:f>
      </x:c>
      <x:c r="AO32" s="92">
        <x:f>AO17+AO24</x:f>
      </x:c>
      <x:c r="AP32" s="92">
        <x:f>AP17+AP24</x:f>
      </x:c>
      <x:c r="AQ32" s="92">
        <x:f>AQ17+AQ24</x:f>
      </x:c>
      <x:c r="AR32" s="92">
        <x:f>AR17+AR24</x:f>
      </x:c>
      <x:c r="AS32" s="92">
        <x:f>AS17+AS24</x:f>
      </x:c>
      <x:c r="AT32" s="92">
        <x:f>AT17+AT24</x:f>
      </x:c>
      <x:c r="AU32" s="92">
        <x:f>AU17+AU24</x:f>
      </x:c>
      <x:c r="AV32" s="92">
        <x:f>AV17+AV24</x:f>
      </x:c>
      <x:c r="AW32" s="92">
        <x:f>AW17+AW24</x:f>
      </x:c>
      <x:c r="AX32" s="92">
        <x:f>AX17+AX24</x:f>
      </x:c>
      <x:c r="AY32" s="92">
        <x:f>AY17+AY24</x:f>
      </x:c>
      <x:c r="AZ32" s="92">
        <x:f>AZ17+AZ24</x:f>
      </x:c>
      <x:c r="BA32" s="92">
        <x:f>BA17+BA24</x:f>
      </x:c>
      <x:c r="BB32" s="92">
        <x:f>BB17+BB24</x:f>
      </x:c>
      <x:c r="BC32" s="92">
        <x:f>BC17+BC24</x:f>
      </x:c>
      <x:c r="BD32" s="92">
        <x:f>BD17+BD24</x:f>
      </x:c>
      <x:c r="BE32" s="92">
        <x:f>BE17+BE24</x:f>
      </x:c>
      <x:c r="BF32" s="92">
        <x:f>BF17+BF24</x:f>
      </x:c>
      <x:c r="BG32" s="92">
        <x:f>BG17+BG24</x:f>
      </x:c>
      <x:c r="BH32" s="92">
        <x:f>BH17+BH24</x:f>
      </x:c>
      <x:c r="BI32" s="92">
        <x:f>BI17+BI24</x:f>
      </x:c>
      <x:c r="BJ32" s="92">
        <x:f>BJ17+BJ24</x:f>
      </x:c>
      <x:c r="BK32" s="92">
        <x:f>BK17+BK24</x:f>
      </x:c>
      <x:c r="BL32" s="92">
        <x:f>BL17+BL24</x:f>
      </x:c>
      <x:c r="BM32" s="92">
        <x:f>BM17+BM24</x:f>
      </x:c>
      <x:c r="BN32" s="92">
        <x:f>BN17+BN24</x:f>
      </x:c>
      <x:c r="BO32" s="92">
        <x:f>BO17+BO24</x:f>
      </x:c>
      <x:c r="BP32" s="92">
        <x:f>BP17+BP24</x:f>
      </x:c>
      <x:c r="BQ32" s="92">
        <x:f>BQ17+BQ24</x:f>
      </x:c>
      <x:c r="BR32" s="92">
        <x:f>BR17+BR24</x:f>
      </x:c>
      <x:c r="BS32" s="92">
        <x:f>BS17+BS24</x:f>
      </x:c>
      <x:c r="BT32" s="92">
        <x:f>BT17+BT24</x:f>
      </x:c>
      <x:c r="BU32" s="92">
        <x:f>BU17+BU24</x:f>
      </x:c>
      <x:c r="BV32" s="92">
        <x:f>BV17+BV24</x:f>
      </x:c>
      <x:c r="BW32" s="92">
        <x:f>BW17+BW24</x:f>
      </x:c>
      <x:c r="BX32" s="92">
        <x:f>BX17+BX24</x:f>
      </x:c>
      <x:c r="BY32" s="92">
        <x:f>BY17+BY24</x:f>
      </x:c>
      <x:c r="BZ32" s="92">
        <x:f>BZ17+BZ24</x:f>
      </x:c>
      <x:c r="CA32" s="92">
        <x:f>CA17+CA24</x:f>
      </x:c>
      <x:c r="CB32" s="92">
        <x:f>CB17+CB24</x:f>
      </x:c>
      <x:c r="CC32" s="92">
        <x:f>CC17+CC24</x:f>
      </x:c>
    </x:row>
    <x:row r="33" spans="1:81" x14ac:dyDescent="0.2">
      <x:c r="C33" s="92" t="s">
        <x:v>220</x:v>
      </x:c>
      <x:c r="D33" s="92">
        <x:f>D16*$A19+D23*$A26</x:f>
      </x:c>
      <x:c r="E33" s="92">
        <x:f>E16*$A19+E23*$A26</x:f>
      </x:c>
      <x:c r="F33" s="92">
        <x:f>F16*$A19+F23*$A26</x:f>
      </x:c>
      <x:c r="G33" s="92">
        <x:f>G16*$A19+G23*$A26</x:f>
      </x:c>
      <x:c r="H33" s="92">
        <x:f>H16*$A19+H23*$A26</x:f>
      </x:c>
      <x:c r="I33" s="92">
        <x:f>I16*$A19+I23*$A26</x:f>
      </x:c>
      <x:c r="J33" s="92">
        <x:f>J16*$A19+J23*$A26</x:f>
      </x:c>
      <x:c r="K33" s="92">
        <x:f>K16*$A19+K23*$A26</x:f>
      </x:c>
      <x:c r="L33" s="92">
        <x:f>L16*$A19+L23*$A26</x:f>
      </x:c>
      <x:c r="M33" s="92">
        <x:f>M16*$A19+M23*$A26</x:f>
      </x:c>
      <x:c r="N33" s="92">
        <x:f>N16*$A19+N23*$A26</x:f>
      </x:c>
      <x:c r="O33" s="92">
        <x:f>O16*$A19+O23*$A26</x:f>
      </x:c>
      <x:c r="P33" s="92">
        <x:f>P16*$A19+P23*$A26</x:f>
      </x:c>
      <x:c r="Q33" s="92">
        <x:f>Q16*$A19+Q23*$A26</x:f>
      </x:c>
      <x:c r="R33" s="92">
        <x:f>R16*$A19+R23*$A26</x:f>
      </x:c>
      <x:c r="S33" s="92">
        <x:f>S16*$A19+S23*$A26</x:f>
      </x:c>
      <x:c r="T33" s="92">
        <x:f>T16*$A19+T23*$A26</x:f>
      </x:c>
      <x:c r="U33" s="92">
        <x:f>U16*$A19+U23*$A26</x:f>
      </x:c>
      <x:c r="V33" s="92">
        <x:f>V16*$A19+V23*$A26</x:f>
      </x:c>
      <x:c r="W33" s="92">
        <x:f>W16*$A19+W23*$A26</x:f>
      </x:c>
      <x:c r="X33" s="92">
        <x:f>X16*$A19+X23*$A26</x:f>
      </x:c>
      <x:c r="Y33" s="92">
        <x:f>Y16*$A19+Y23*$A26</x:f>
      </x:c>
      <x:c r="Z33" s="92">
        <x:f>Z16*$A19+Z23*$A26</x:f>
      </x:c>
      <x:c r="AA33" s="92">
        <x:f>AA16*$A19+AA23*$A26</x:f>
      </x:c>
      <x:c r="AB33" s="92">
        <x:f>AB16*$A19+AB23*$A26</x:f>
      </x:c>
      <x:c r="AC33" s="92">
        <x:f>AC16*$A19+AC23*$A26</x:f>
      </x:c>
      <x:c r="AD33" s="92">
        <x:f>AD16*$A19+AD23*$A26</x:f>
      </x:c>
      <x:c r="AE33" s="92">
        <x:f>AE16*$A19+AE23*$A26</x:f>
      </x:c>
      <x:c r="AF33" s="92">
        <x:f>AF16*$A19+AF23*$A26</x:f>
      </x:c>
      <x:c r="AG33" s="92">
        <x:f>AG16*$A19+AG23*$A26</x:f>
      </x:c>
      <x:c r="AH33" s="92">
        <x:f>AH16*$A19+AH23*$A26</x:f>
      </x:c>
      <x:c r="AI33" s="92">
        <x:f>AI16*$A19+AI23*$A26</x:f>
      </x:c>
      <x:c r="AJ33" s="92">
        <x:f>AJ16*$A19+AJ23*$A26</x:f>
      </x:c>
      <x:c r="AK33" s="92">
        <x:f>AK16*$A19+AK23*$A26</x:f>
      </x:c>
      <x:c r="AL33" s="92">
        <x:f>AL16*$A19+AL23*$A26</x:f>
      </x:c>
      <x:c r="AM33" s="92">
        <x:f>AM16*$A19+AM23*$A26</x:f>
      </x:c>
      <x:c r="AN33" s="92">
        <x:f>AN16*$A19+AN23*$A26</x:f>
      </x:c>
      <x:c r="AO33" s="92">
        <x:f>AO16*$A19+AO23*$A26</x:f>
      </x:c>
      <x:c r="AP33" s="92">
        <x:f>AP16*$A19+AP23*$A26</x:f>
      </x:c>
      <x:c r="AQ33" s="92">
        <x:f>AQ16*$A19+AQ23*$A26</x:f>
      </x:c>
      <x:c r="AR33" s="92">
        <x:f>AR16*$A19+AR23*$A26</x:f>
      </x:c>
      <x:c r="AS33" s="92">
        <x:f>AS16*$A19+AS23*$A26</x:f>
      </x:c>
      <x:c r="AT33" s="92">
        <x:f>AT16*$A19+AT23*$A26</x:f>
      </x:c>
      <x:c r="AU33" s="92">
        <x:f>AU16*$A19+AU23*$A26</x:f>
      </x:c>
      <x:c r="AV33" s="92">
        <x:f>AV16*$A19+AV23*$A26</x:f>
      </x:c>
      <x:c r="AW33" s="92">
        <x:f>AW16*$A19+AW23*$A26</x:f>
      </x:c>
      <x:c r="AX33" s="92">
        <x:f>AX16*$A19+AX23*$A26</x:f>
      </x:c>
      <x:c r="AY33" s="92">
        <x:f>AY16*$A19+AY23*$A26</x:f>
      </x:c>
      <x:c r="AZ33" s="92">
        <x:f>AZ16*$A19+AZ23*$A26</x:f>
      </x:c>
      <x:c r="BA33" s="92">
        <x:f>BA16*$A19+BA23*$A26</x:f>
      </x:c>
      <x:c r="BB33" s="92">
        <x:f>BB16*$A19+BB23*$A26</x:f>
      </x:c>
      <x:c r="BC33" s="92">
        <x:f>BC16*$A19+BC23*$A26</x:f>
      </x:c>
      <x:c r="BD33" s="92">
        <x:f>BD16*$A19+BD23*$A26</x:f>
      </x:c>
      <x:c r="BE33" s="92">
        <x:f>BE16*$A19+BE23*$A26</x:f>
      </x:c>
      <x:c r="BF33" s="92">
        <x:f>BF16*$A19+BF23*$A26</x:f>
      </x:c>
      <x:c r="BG33" s="92">
        <x:f>BG16*$A19+BG23*$A26</x:f>
      </x:c>
      <x:c r="BH33" s="92">
        <x:f>BH16*$A19+BH23*$A26</x:f>
      </x:c>
      <x:c r="BI33" s="92">
        <x:f>BI16*$A19+BI23*$A26</x:f>
      </x:c>
      <x:c r="BJ33" s="92">
        <x:f>BJ16*$A19+BJ23*$A26</x:f>
      </x:c>
      <x:c r="BK33" s="92">
        <x:f>BK16*$A19+BK23*$A26</x:f>
      </x:c>
      <x:c r="BL33" s="92">
        <x:f>BL16*$A19+BL23*$A26</x:f>
      </x:c>
      <x:c r="BM33" s="92">
        <x:f>BM16*$A19+BM23*$A26</x:f>
      </x:c>
      <x:c r="BN33" s="92">
        <x:f>BN16*$A19+BN23*$A26</x:f>
      </x:c>
      <x:c r="BO33" s="92">
        <x:f>BO16*$A19+BO23*$A26</x:f>
      </x:c>
      <x:c r="BP33" s="92">
        <x:f>BP16*$A19+BP23*$A26</x:f>
      </x:c>
      <x:c r="BQ33" s="92">
        <x:f>BQ16*$A19+BQ23*$A26</x:f>
      </x:c>
      <x:c r="BR33" s="92">
        <x:f>BR16*$A19+BR23*$A26</x:f>
      </x:c>
      <x:c r="BS33" s="92">
        <x:f>BS16*$A19+BS23*$A26</x:f>
      </x:c>
      <x:c r="BT33" s="92">
        <x:f>BT16*$A19+BT23*$A26</x:f>
      </x:c>
      <x:c r="BU33" s="92">
        <x:f>BU16*$A19+BU23*$A26</x:f>
      </x:c>
      <x:c r="BV33" s="92">
        <x:f>BV16*$A19+BV23*$A26</x:f>
      </x:c>
      <x:c r="BW33" s="92">
        <x:f>BW16*$A19+BW23*$A26</x:f>
      </x:c>
      <x:c r="BX33" s="92">
        <x:f>BX16*$A19+BX23*$A26</x:f>
      </x:c>
      <x:c r="BY33" s="92">
        <x:f>BY16*$A19+BY23*$A26</x:f>
      </x:c>
      <x:c r="BZ33" s="92">
        <x:f>BZ16*$A19+BZ23*$A26</x:f>
      </x:c>
      <x:c r="CA33" s="92">
        <x:f>CA16*$A19+CA23*$A26</x:f>
      </x:c>
      <x:c r="CB33" s="92">
        <x:f>CB16*$A19+CB23*$A26</x:f>
      </x:c>
      <x:c r="CC33" s="92">
        <x:f>CC16*$A19+CC23*$A26</x:f>
      </x:c>
    </x:row>
    <x:row r="34" spans="1:81" x14ac:dyDescent="0.2">
      <x:c r="C34" s="92" t="s">
        <x:v>221</x:v>
      </x:c>
      <x:c r="D34" s="93">
        <x:f>ROUND(IF(D60=0,0,D46/D60*100),1)/100</x:f>
      </x:c>
      <x:c r="E34" s="93">
        <x:f>ROUND(IF(E60=0,0,E46/E60*100),1)/100</x:f>
      </x:c>
      <x:c r="F34" s="93">
        <x:f>ROUND(IF(F60=0,0,F46/F60*100),1)/100</x:f>
      </x:c>
      <x:c r="G34" s="93">
        <x:f>ROUND(IF(G60=0,0,G46/G60*100),1)/100</x:f>
      </x:c>
      <x:c r="H34" s="93">
        <x:f>ROUND(IF(H60=0,0,H46/H60*100),1)/100</x:f>
      </x:c>
      <x:c r="I34" s="93">
        <x:f>ROUND(IF(I60=0,0,I46/I60*100),1)/100</x:f>
      </x:c>
      <x:c r="J34" s="93">
        <x:f>ROUND(IF(J60=0,0,J46/J60*100),1)/100</x:f>
      </x:c>
      <x:c r="K34" s="93">
        <x:f>ROUND(IF(K60=0,0,K46/K60*100),1)/100</x:f>
      </x:c>
      <x:c r="L34" s="93">
        <x:f>ROUND(IF(L60=0,0,L46/L60*100),1)/100</x:f>
      </x:c>
      <x:c r="M34" s="93">
        <x:f>ROUND(IF(M60=0,0,M46/M60*100),1)/100</x:f>
      </x:c>
      <x:c r="N34" s="93">
        <x:f>ROUND(IF(N60=0,0,N46/N60*100),1)/100</x:f>
      </x:c>
      <x:c r="O34" s="93">
        <x:f>ROUND(IF(O60=0,0,O46/O60*100),1)/100</x:f>
      </x:c>
      <x:c r="P34" s="93">
        <x:f>ROUND(IF(P60=0,0,P46/P60*100),1)/100</x:f>
      </x:c>
      <x:c r="Q34" s="93">
        <x:f>ROUND(IF(Q60=0,0,Q46/Q60*100),1)/100</x:f>
      </x:c>
      <x:c r="R34" s="93">
        <x:f>ROUND(IF(R60=0,0,R46/R60*100),1)/100</x:f>
      </x:c>
      <x:c r="S34" s="93">
        <x:f>ROUND(IF(S60=0,0,S46/S60*100),1)/100</x:f>
      </x:c>
      <x:c r="T34" s="93">
        <x:f>ROUND(IF(T60=0,0,T46/T60*100),1)/100</x:f>
      </x:c>
      <x:c r="U34" s="93">
        <x:f>ROUND(IF(U60=0,0,U46/U60*100),1)/100</x:f>
      </x:c>
      <x:c r="V34" s="93">
        <x:f>ROUND(IF(V60=0,0,V46/V60*100),1)/100</x:f>
      </x:c>
      <x:c r="W34" s="93">
        <x:f>ROUND(IF(W60=0,0,W46/W60*100),1)/100</x:f>
      </x:c>
      <x:c r="X34" s="93">
        <x:f>ROUND(IF(X60=0,0,X46/X60*100),1)/100</x:f>
      </x:c>
      <x:c r="Y34" s="93">
        <x:f>ROUND(IF(Y60=0,0,Y46/Y60*100),1)/100</x:f>
      </x:c>
      <x:c r="Z34" s="93">
        <x:f>ROUND(IF(Z60=0,0,Z46/Z60*100),1)/100</x:f>
      </x:c>
      <x:c r="AA34" s="93">
        <x:f>ROUND(IF(AA60=0,0,AA46/AA60*100),1)/100</x:f>
      </x:c>
      <x:c r="AB34" s="93">
        <x:f>ROUND(IF(AB60=0,0,AB46/AB60*100),1)/100</x:f>
      </x:c>
      <x:c r="AC34" s="93">
        <x:f>ROUND(IF(AC60=0,0,AC46/AC60*100),1)/100</x:f>
      </x:c>
      <x:c r="AD34" s="93">
        <x:f>ROUND(IF(AD60=0,0,AD46/AD60*100),1)/100</x:f>
      </x:c>
      <x:c r="AE34" s="93">
        <x:f>ROUND(IF(AE60=0,0,AE46/AE60*100),1)/100</x:f>
      </x:c>
      <x:c r="AF34" s="93">
        <x:f>ROUND(IF(AF60=0,0,AF46/AF60*100),1)/100</x:f>
      </x:c>
      <x:c r="AG34" s="93">
        <x:f>ROUND(IF(AG60=0,0,AG46/AG60*100),1)/100</x:f>
      </x:c>
      <x:c r="AH34" s="93">
        <x:f>ROUND(IF(AH60=0,0,AH46/AH60*100),1)/100</x:f>
      </x:c>
      <x:c r="AI34" s="93">
        <x:f>ROUND(IF(AI60=0,0,AI46/AI60*100),1)/100</x:f>
      </x:c>
      <x:c r="AJ34" s="93">
        <x:f>ROUND(IF(AJ60=0,0,AJ46/AJ60*100),1)/100</x:f>
      </x:c>
      <x:c r="AK34" s="93">
        <x:f>ROUND(IF(AK60=0,0,AK46/AK60*100),1)/100</x:f>
      </x:c>
      <x:c r="AL34" s="93">
        <x:f>ROUND(IF(AL60=0,0,AL46/AL60*100),1)/100</x:f>
      </x:c>
      <x:c r="AM34" s="93">
        <x:f>ROUND(IF(AM60=0,0,AM46/AM60*100),1)/100</x:f>
      </x:c>
      <x:c r="AN34" s="93">
        <x:f>ROUND(IF(AN60=0,0,AN46/AN60*100),1)/100</x:f>
      </x:c>
      <x:c r="AO34" s="93">
        <x:f>ROUND(IF(AO60=0,0,AO46/AO60*100),1)/100</x:f>
      </x:c>
      <x:c r="AP34" s="93">
        <x:f>ROUND(IF(AP60=0,0,AP46/AP60*100),1)/100</x:f>
      </x:c>
      <x:c r="AQ34" s="93">
        <x:f>ROUND(IF(AQ60=0,0,AQ46/AQ60*100),1)/100</x:f>
      </x:c>
      <x:c r="AR34" s="93">
        <x:f>ROUND(IF(AR60=0,0,AR46/AR60*100),1)/100</x:f>
      </x:c>
      <x:c r="AS34" s="93">
        <x:f>ROUND(IF(AS60=0,0,AS46/AS60*100),1)/100</x:f>
      </x:c>
      <x:c r="AT34" s="93">
        <x:f>ROUND(IF(AT60=0,0,AT46/AT60*100),1)/100</x:f>
      </x:c>
      <x:c r="AU34" s="93">
        <x:f>ROUND(IF(AU60=0,0,AU46/AU60*100),1)/100</x:f>
      </x:c>
      <x:c r="AV34" s="93">
        <x:f>ROUND(IF(AV60=0,0,AV46/AV60*100),1)/100</x:f>
      </x:c>
      <x:c r="AW34" s="93">
        <x:f>ROUND(IF(AW60=0,0,AW46/AW60*100),1)/100</x:f>
      </x:c>
      <x:c r="AX34" s="93">
        <x:f>ROUND(IF(AX60=0,0,AX46/AX60*100),1)/100</x:f>
      </x:c>
      <x:c r="AY34" s="93">
        <x:f>ROUND(IF(AY60=0,0,AY46/AY60*100),1)/100</x:f>
      </x:c>
      <x:c r="AZ34" s="93">
        <x:f>ROUND(IF(AZ60=0,0,AZ46/AZ60*100),1)/100</x:f>
      </x:c>
      <x:c r="BA34" s="93">
        <x:f>ROUND(IF(BA60=0,0,BA46/BA60*100),1)/100</x:f>
      </x:c>
      <x:c r="BB34" s="93">
        <x:f>ROUND(IF(BB60=0,0,BB46/BB60*100),1)/100</x:f>
      </x:c>
      <x:c r="BC34" s="93">
        <x:f>ROUND(IF(BC60=0,0,BC46/BC60*100),1)/100</x:f>
      </x:c>
      <x:c r="BD34" s="93">
        <x:f>ROUND(IF(BD60=0,0,BD46/BD60*100),1)/100</x:f>
      </x:c>
      <x:c r="BE34" s="93">
        <x:f>ROUND(IF(BE60=0,0,BE46/BE60*100),1)/100</x:f>
      </x:c>
      <x:c r="BF34" s="93">
        <x:f>ROUND(IF(BF60=0,0,BF46/BF60*100),1)/100</x:f>
      </x:c>
      <x:c r="BG34" s="93">
        <x:f>ROUND(IF(BG60=0,0,BG46/BG60*100),1)/100</x:f>
      </x:c>
      <x:c r="BH34" s="93">
        <x:f>ROUND(IF(BH60=0,0,BH46/BH60*100),1)/100</x:f>
      </x:c>
      <x:c r="BI34" s="93">
        <x:f>ROUND(IF(BI60=0,0,BI46/BI60*100),1)/100</x:f>
      </x:c>
      <x:c r="BJ34" s="93">
        <x:f>ROUND(IF(BJ60=0,0,BJ46/BJ60*100),1)/100</x:f>
      </x:c>
      <x:c r="BK34" s="93">
        <x:f>ROUND(IF(BK60=0,0,BK46/BK60*100),1)/100</x:f>
      </x:c>
      <x:c r="BL34" s="93">
        <x:f>ROUND(IF(BL60=0,0,BL46/BL60*100),1)/100</x:f>
      </x:c>
      <x:c r="BM34" s="93">
        <x:f>ROUND(IF(BM60=0,0,BM46/BM60*100),1)/100</x:f>
      </x:c>
      <x:c r="BN34" s="93">
        <x:f>ROUND(IF(BN60=0,0,BN46/BN60*100),1)/100</x:f>
      </x:c>
      <x:c r="BO34" s="93">
        <x:f>ROUND(IF(BO60=0,0,BO46/BO60*100),1)/100</x:f>
      </x:c>
      <x:c r="BP34" s="93">
        <x:f>ROUND(IF(BP60=0,0,BP46/BP60*100),1)/100</x:f>
      </x:c>
      <x:c r="BQ34" s="93">
        <x:f>ROUND(IF(BQ60=0,0,BQ46/BQ60*100),1)/100</x:f>
      </x:c>
      <x:c r="BR34" s="93">
        <x:f>ROUND(IF(BR60=0,0,BR46/BR60*100),1)/100</x:f>
      </x:c>
      <x:c r="BS34" s="93">
        <x:f>ROUND(IF(BS60=0,0,BS46/BS60*100),1)/100</x:f>
      </x:c>
      <x:c r="BT34" s="93">
        <x:f>ROUND(IF(BT60=0,0,BT46/BT60*100),1)/100</x:f>
      </x:c>
      <x:c r="BU34" s="93">
        <x:f>ROUND(IF(BU60=0,0,BU46/BU60*100),1)/100</x:f>
      </x:c>
      <x:c r="BV34" s="93">
        <x:f>ROUND(IF(BV60=0,0,BV46/BV60*100),1)/100</x:f>
      </x:c>
      <x:c r="BW34" s="93">
        <x:f>ROUND(IF(BW60=0,0,BW46/BW60*100),1)/100</x:f>
      </x:c>
      <x:c r="BX34" s="93">
        <x:f>ROUND(IF(BX60=0,0,BX46/BX60*100),1)/100</x:f>
      </x:c>
      <x:c r="BY34" s="93">
        <x:f>ROUND(IF(BY60=0,0,BY46/BY60*100),1)/100</x:f>
      </x:c>
      <x:c r="BZ34" s="93">
        <x:f>ROUND(IF(BZ60=0,0,BZ46/BZ60*100),1)/100</x:f>
      </x:c>
      <x:c r="CA34" s="93">
        <x:f>ROUND(IF(CA60=0,0,CA46/CA60*100),1)/100</x:f>
      </x:c>
      <x:c r="CB34" s="93">
        <x:f>ROUND(IF(CB60=0,0,CB46/CB60*100),1)/100</x:f>
      </x:c>
      <x:c r="CC34" s="93">
        <x:f>ROUND(IF(CC60=0,0,CC46/CC60*100),1)/100</x:f>
      </x:c>
    </x:row>
    <x:row r="35" spans="1:81" x14ac:dyDescent="0.2">
      <x:c r="C35" s="94" t="s">
        <x:v>216</x:v>
      </x:c>
      <x:c r="D35" s="94">
        <x:f>IF(D32=0,0, ROUND(D29 * 1/D32*D$13,1))</x:f>
      </x:c>
      <x:c r="E35" s="94">
        <x:f>IF(E32=0,0, ROUND(E29 * 1/E32*E$13,1))</x:f>
      </x:c>
      <x:c r="F35" s="94">
        <x:f>IF(F32=0,0, ROUND(F29 * 1/F32*F$13,1))</x:f>
      </x:c>
      <x:c r="G35" s="94">
        <x:f>IF(G32=0,0, ROUND(G29 * 1/G32*G$13,1))</x:f>
      </x:c>
      <x:c r="H35" s="94">
        <x:f>IF(H32=0,0, ROUND(H29 * 1/H32*H$13,1))</x:f>
      </x:c>
      <x:c r="I35" s="94">
        <x:f>IF(I32=0,0, ROUND(I29 * 1/I32*I$13,1))</x:f>
      </x:c>
      <x:c r="J35" s="94">
        <x:f>IF(J32=0,0, ROUND(J29 * 1/J32*J$13,1))</x:f>
      </x:c>
      <x:c r="K35" s="94">
        <x:f>IF(K32=0,0, ROUND(K29 * 1/K32*K$13,1))</x:f>
      </x:c>
      <x:c r="L35" s="94">
        <x:f>IF(L32=0,0, ROUND(L29 * 1/L32*L$13,1))</x:f>
      </x:c>
      <x:c r="M35" s="94">
        <x:f>IF(M32=0,0, ROUND(M29 * 1/M32*M$13,1))</x:f>
      </x:c>
      <x:c r="N35" s="94">
        <x:f>IF(N32=0,0, ROUND(N29 * 1/N32*N$13,1))</x:f>
      </x:c>
      <x:c r="O35" s="94">
        <x:f>IF(O32=0,0, ROUND(O29 * 1/O32*O$13,1))</x:f>
      </x:c>
      <x:c r="P35" s="94">
        <x:f>IF(P32=0,0, ROUND(P29 * 1/P32*P$13,1))</x:f>
      </x:c>
      <x:c r="Q35" s="94">
        <x:f>IF(Q32=0,0, ROUND(Q29 * 1/Q32*Q$13,1))</x:f>
      </x:c>
      <x:c r="R35" s="94">
        <x:f>IF(R32=0,0, ROUND(R29 * 1/R32*R$13,1))</x:f>
      </x:c>
      <x:c r="S35" s="94">
        <x:f>IF(S32=0,0, ROUND(S29 * 1/S32*S$13,1))</x:f>
      </x:c>
      <x:c r="T35" s="94">
        <x:f>IF(T32=0,0, ROUND(T29 * 1/T32*T$13,1))</x:f>
      </x:c>
      <x:c r="U35" s="94">
        <x:f>IF(U32=0,0, ROUND(U29 * 1/U32*U$13,1))</x:f>
      </x:c>
      <x:c r="V35" s="94">
        <x:f>IF(V32=0,0, ROUND(V29 * 1/V32*V$13,1))</x:f>
      </x:c>
      <x:c r="W35" s="94">
        <x:f>IF(W32=0,0, ROUND(W29 * 1/W32*W$13,1))</x:f>
      </x:c>
      <x:c r="X35" s="94">
        <x:f>IF(X32=0,0, ROUND(X29 * 1/X32*X$13,1))</x:f>
      </x:c>
      <x:c r="Y35" s="94">
        <x:f>IF(Y32=0,0, ROUND(Y29 * 1/Y32*Y$13,1))</x:f>
      </x:c>
      <x:c r="Z35" s="94">
        <x:f>IF(Z32=0,0, ROUND(Z29 * 1/Z32*Z$13,1))</x:f>
      </x:c>
      <x:c r="AA35" s="94">
        <x:f>IF(AA32=0,0, ROUND(AA29 * 1/AA32*AA$13,1))</x:f>
      </x:c>
      <x:c r="AB35" s="94">
        <x:f>IF(AB32=0,0, ROUND(AB29 * 1/AB32*AB$13,1))</x:f>
      </x:c>
      <x:c r="AC35" s="94">
        <x:f>IF(AC32=0,0, ROUND(AC29 * 1/AC32*AC$13,1))</x:f>
      </x:c>
      <x:c r="AD35" s="94">
        <x:f>IF(AD32=0,0, ROUND(AD29 * 1/AD32*AD$13,1))</x:f>
      </x:c>
      <x:c r="AE35" s="94">
        <x:f>IF(AE32=0,0, ROUND(AE29 * 1/AE32*AE$13,1))</x:f>
      </x:c>
      <x:c r="AF35" s="94">
        <x:f>IF(AF32=0,0, ROUND(AF29 * 1/AF32*AF$13,1))</x:f>
      </x:c>
      <x:c r="AG35" s="94">
        <x:f>IF(AG32=0,0, ROUND(AG29 * 1/AG32*AG$13,1))</x:f>
      </x:c>
      <x:c r="AH35" s="94">
        <x:f>IF(AH32=0,0, ROUND(AH29 * 1/AH32*AH$13,1))</x:f>
      </x:c>
      <x:c r="AI35" s="94">
        <x:f>IF(AI32=0,0, ROUND(AI29 * 1/AI32*AI$13,1))</x:f>
      </x:c>
      <x:c r="AJ35" s="94">
        <x:f>IF(AJ32=0,0, ROUND(AJ29 * 1/AJ32*AJ$13,1))</x:f>
      </x:c>
      <x:c r="AK35" s="94">
        <x:f>IF(AK32=0,0, ROUND(AK29 * 1/AK32*AK$13,1))</x:f>
      </x:c>
      <x:c r="AL35" s="94">
        <x:f>IF(AL32=0,0, ROUND(AL29 * 1/AL32*AL$13,1))</x:f>
      </x:c>
      <x:c r="AM35" s="94">
        <x:f>IF(AM32=0,0, ROUND(AM29 * 1/AM32*AM$13,1))</x:f>
      </x:c>
      <x:c r="AN35" s="94">
        <x:f>IF(AN32=0,0, ROUND(AN29 * 1/AN32*AN$13,1))</x:f>
      </x:c>
      <x:c r="AO35" s="94">
        <x:f>IF(AO32=0,0, ROUND(AO29 * 1/AO32*AO$13,1))</x:f>
      </x:c>
      <x:c r="AP35" s="94">
        <x:f>IF(AP32=0,0, ROUND(AP29 * 1/AP32*AP$13,1))</x:f>
      </x:c>
      <x:c r="AQ35" s="94">
        <x:f>IF(AQ32=0,0, ROUND(AQ29 * 1/AQ32*AQ$13,1))</x:f>
      </x:c>
      <x:c r="AR35" s="94">
        <x:f>IF(AR32=0,0, ROUND(AR29 * 1/AR32*AR$13,1))</x:f>
      </x:c>
      <x:c r="AS35" s="94">
        <x:f>IF(AS32=0,0, ROUND(AS29 * 1/AS32*AS$13,1))</x:f>
      </x:c>
      <x:c r="AT35" s="94">
        <x:f>IF(AT32=0,0, ROUND(AT29 * 1/AT32*AT$13,1))</x:f>
      </x:c>
      <x:c r="AU35" s="94">
        <x:f>IF(AU32=0,0, ROUND(AU29 * 1/AU32*AU$13,1))</x:f>
      </x:c>
      <x:c r="AV35" s="94">
        <x:f>IF(AV32=0,0, ROUND(AV29 * 1/AV32*AV$13,1))</x:f>
      </x:c>
      <x:c r="AW35" s="94">
        <x:f>IF(AW32=0,0, ROUND(AW29 * 1/AW32*AW$13,1))</x:f>
      </x:c>
      <x:c r="AX35" s="94">
        <x:f>IF(AX32=0,0, ROUND(AX29 * 1/AX32*AX$13,1))</x:f>
      </x:c>
      <x:c r="AY35" s="94">
        <x:f>IF(AY32=0,0, ROUND(AY29 * 1/AY32*AY$13,1))</x:f>
      </x:c>
      <x:c r="AZ35" s="94">
        <x:f>IF(AZ32=0,0, ROUND(AZ29 * 1/AZ32*AZ$13,1))</x:f>
      </x:c>
      <x:c r="BA35" s="94">
        <x:f>IF(BA32=0,0, ROUND(BA29 * 1/BA32*BA$13,1))</x:f>
      </x:c>
      <x:c r="BB35" s="94">
        <x:f>IF(BB32=0,0, ROUND(BB29 * 1/BB32*BB$13,1))</x:f>
      </x:c>
      <x:c r="BC35" s="94">
        <x:f>IF(BC32=0,0, ROUND(BC29 * 1/BC32*BC$13,1))</x:f>
      </x:c>
      <x:c r="BD35" s="94">
        <x:f>IF(BD32=0,0, ROUND(BD29 * 1/BD32*BD$13,1))</x:f>
      </x:c>
      <x:c r="BE35" s="94">
        <x:f>IF(BE32=0,0, ROUND(BE29 * 1/BE32*BE$13,1))</x:f>
      </x:c>
      <x:c r="BF35" s="94">
        <x:f>IF(BF32=0,0, ROUND(BF29 * 1/BF32*BF$13,1))</x:f>
      </x:c>
      <x:c r="BG35" s="94">
        <x:f>IF(BG32=0,0, ROUND(BG29 * 1/BG32*BG$13,1))</x:f>
      </x:c>
      <x:c r="BH35" s="94">
        <x:f>IF(BH32=0,0, ROUND(BH29 * 1/BH32*BH$13,1))</x:f>
      </x:c>
      <x:c r="BI35" s="94">
        <x:f>IF(BI32=0,0, ROUND(BI29 * 1/BI32*BI$13,1))</x:f>
      </x:c>
      <x:c r="BJ35" s="94">
        <x:f>IF(BJ32=0,0, ROUND(BJ29 * 1/BJ32*BJ$13,1))</x:f>
      </x:c>
      <x:c r="BK35" s="94">
        <x:f>IF(BK32=0,0, ROUND(BK29 * 1/BK32*BK$13,1))</x:f>
      </x:c>
      <x:c r="BL35" s="94">
        <x:f>IF(BL32=0,0, ROUND(BL29 * 1/BL32*BL$13,1))</x:f>
      </x:c>
      <x:c r="BM35" s="94">
        <x:f>IF(BM32=0,0, ROUND(BM29 * 1/BM32*BM$13,1))</x:f>
      </x:c>
      <x:c r="BN35" s="94">
        <x:f>IF(BN32=0,0, ROUND(BN29 * 1/BN32*BN$13,1))</x:f>
      </x:c>
      <x:c r="BO35" s="94">
        <x:f>IF(BO32=0,0, ROUND(BO29 * 1/BO32*BO$13,1))</x:f>
      </x:c>
      <x:c r="BP35" s="94">
        <x:f>IF(BP32=0,0, ROUND(BP29 * 1/BP32*BP$13,1))</x:f>
      </x:c>
      <x:c r="BQ35" s="94">
        <x:f>IF(BQ32=0,0, ROUND(BQ29 * 1/BQ32*BQ$13,1))</x:f>
      </x:c>
      <x:c r="BR35" s="94">
        <x:f>IF(BR32=0,0, ROUND(BR29 * 1/BR32*BR$13,1))</x:f>
      </x:c>
      <x:c r="BS35" s="94">
        <x:f>IF(BS32=0,0, ROUND(BS29 * 1/BS32*BS$13,1))</x:f>
      </x:c>
      <x:c r="BT35" s="94">
        <x:f>IF(BT32=0,0, ROUND(BT29 * 1/BT32*BT$13,1))</x:f>
      </x:c>
      <x:c r="BU35" s="94">
        <x:f>IF(BU32=0,0, ROUND(BU29 * 1/BU32*BU$13,1))</x:f>
      </x:c>
      <x:c r="BV35" s="94">
        <x:f>IF(BV32=0,0, ROUND(BV29 * 1/BV32*BV$13,1))</x:f>
      </x:c>
      <x:c r="BW35" s="94">
        <x:f>IF(BW32=0,0, ROUND(BW29 * 1/BW32*BW$13,1))</x:f>
      </x:c>
      <x:c r="BX35" s="94">
        <x:f>IF(BX32=0,0, ROUND(BX29 * 1/BX32*BX$13,1))</x:f>
      </x:c>
      <x:c r="BY35" s="94">
        <x:f>IF(BY32=0,0, ROUND(BY29 * 1/BY32*BY$13,1))</x:f>
      </x:c>
      <x:c r="BZ35" s="94">
        <x:f>IF(BZ32=0,0, ROUND(BZ29 * 1/BZ32*BZ$13,1))</x:f>
      </x:c>
      <x:c r="CA35" s="94">
        <x:f>IF(CA32=0,0, ROUND(CA29 * 1/CA32*CA$13,1))</x:f>
      </x:c>
      <x:c r="CB35" s="94">
        <x:f>IF(CB32=0,0, ROUND(CB29 * 1/CB32*CB$13,1))</x:f>
      </x:c>
      <x:c r="CC35" s="94">
        <x:f>IF(CC32=0,0, ROUND(CC29 * 1/CC32*CC$13,1))</x:f>
      </x:c>
    </x:row>
    <x:row r="36" spans="1:81" x14ac:dyDescent="0.2">
      <x:c r="C36" s="84" t="s">
        <x:v>222</x:v>
      </x:c>
      <x:c r="D36" s="84">
        <x:v>6</x:v>
      </x:c>
      <x:c r="E36" s="84">
        <x:v>6</x:v>
      </x:c>
      <x:c r="F36" s="84">
        <x:v>0</x:v>
      </x:c>
      <x:c r="G36" s="84">
        <x:v>6</x:v>
      </x:c>
      <x:c r="H36" s="84">
        <x:v>6</x:v>
      </x:c>
      <x:c r="I36" s="84">
        <x:v>5</x:v>
      </x:c>
      <x:c r="J36" s="84">
        <x:v>4</x:v>
      </x:c>
      <x:c r="K36" s="84">
        <x:v>5</x:v>
      </x:c>
      <x:c r="L36" s="84">
        <x:v>6</x:v>
      </x:c>
      <x:c r="M36" s="84">
        <x:v>6</x:v>
      </x:c>
      <x:c r="N36" s="84">
        <x:v>5</x:v>
      </x:c>
      <x:c r="O36" s="84">
        <x:v>6</x:v>
      </x:c>
      <x:c r="P36" s="84">
        <x:v>0</x:v>
      </x:c>
      <x:c r="Q36" s="84">
        <x:v>0</x:v>
      </x:c>
      <x:c r="R36" s="84">
        <x:v>6</x:v>
      </x:c>
      <x:c r="S36" s="84">
        <x:v>5</x:v>
      </x:c>
      <x:c r="T36" s="84">
        <x:v>6</x:v>
      </x:c>
      <x:c r="U36" s="84">
        <x:v>6</x:v>
      </x:c>
      <x:c r="V36" s="84">
        <x:v>6</x:v>
      </x:c>
      <x:c r="W36" s="84">
        <x:v>4</x:v>
      </x:c>
      <x:c r="X36" s="84">
        <x:v>6</x:v>
      </x:c>
      <x:c r="Y36" s="84">
        <x:v>5</x:v>
      </x:c>
      <x:c r="Z36" s="84">
        <x:v>6</x:v>
      </x:c>
      <x:c r="AA36" s="84">
        <x:v>6</x:v>
      </x:c>
      <x:c r="AB36" s="84">
        <x:v>6</x:v>
      </x:c>
      <x:c r="AC36" s="84">
        <x:v>6</x:v>
      </x:c>
      <x:c r="AD36" s="84">
        <x:v>6</x:v>
      </x:c>
      <x:c r="AE36" s="84">
        <x:v>6</x:v>
      </x:c>
      <x:c r="AF36" s="84">
        <x:v>6</x:v>
      </x:c>
      <x:c r="AG36" s="84">
        <x:v>6</x:v>
      </x:c>
      <x:c r="AH36" s="84">
        <x:v>6</x:v>
      </x:c>
      <x:c r="AI36" s="84">
        <x:v>6</x:v>
      </x:c>
      <x:c r="AJ36" s="84">
        <x:v>4</x:v>
      </x:c>
      <x:c r="AK36" s="84">
        <x:v>0</x:v>
      </x:c>
      <x:c r="AL36" s="84">
        <x:v>6</x:v>
      </x:c>
      <x:c r="AM36" s="84">
        <x:v>5</x:v>
      </x:c>
      <x:c r="AN36" s="84">
        <x:v>6</x:v>
      </x:c>
      <x:c r="AO36" s="84">
        <x:v>6</x:v>
      </x:c>
      <x:c r="AP36" s="84">
        <x:v>5</x:v>
      </x:c>
      <x:c r="AQ36" s="84">
        <x:v>6</x:v>
      </x:c>
      <x:c r="AR36" s="84">
        <x:v>5</x:v>
      </x:c>
      <x:c r="AS36" s="84">
        <x:v>6</x:v>
      </x:c>
      <x:c r="AT36" s="84">
        <x:v>6</x:v>
      </x:c>
      <x:c r="AU36" s="84">
        <x:v>6</x:v>
      </x:c>
      <x:c r="AV36" s="84">
        <x:v>3</x:v>
      </x:c>
      <x:c r="AW36" s="84">
        <x:v>5</x:v>
      </x:c>
      <x:c r="AX36" s="84">
        <x:v>6</x:v>
      </x:c>
      <x:c r="AY36" s="84">
        <x:v>3</x:v>
      </x:c>
      <x:c r="AZ36" s="84">
        <x:v>6</x:v>
      </x:c>
      <x:c r="BA36" s="84">
        <x:v>6</x:v>
      </x:c>
      <x:c r="BB36" s="84">
        <x:v>5</x:v>
      </x:c>
      <x:c r="BC36" s="84">
        <x:v>5</x:v>
      </x:c>
      <x:c r="BD36" s="84">
        <x:v>5</x:v>
      </x:c>
      <x:c r="BE36" s="84">
        <x:v>5</x:v>
      </x:c>
      <x:c r="BF36" s="84">
        <x:v>5</x:v>
      </x:c>
      <x:c r="BG36" s="84">
        <x:v>5</x:v>
      </x:c>
      <x:c r="BH36" s="84">
        <x:v>5</x:v>
      </x:c>
      <x:c r="BI36" s="84">
        <x:v>5</x:v>
      </x:c>
      <x:c r="BJ36" s="84">
        <x:v>5</x:v>
      </x:c>
      <x:c r="BK36" s="84">
        <x:v>5</x:v>
      </x:c>
      <x:c r="BL36" s="84">
        <x:v>5</x:v>
      </x:c>
      <x:c r="BM36" s="84">
        <x:v>5</x:v>
      </x:c>
      <x:c r="BN36" s="84">
        <x:v>5</x:v>
      </x:c>
      <x:c r="BO36" s="84">
        <x:v>5</x:v>
      </x:c>
      <x:c r="BP36" s="84">
        <x:v>5</x:v>
      </x:c>
      <x:c r="BQ36" s="84">
        <x:v>5</x:v>
      </x:c>
      <x:c r="BR36" s="84">
        <x:v>5</x:v>
      </x:c>
      <x:c r="BS36" s="84">
        <x:v>5</x:v>
      </x:c>
      <x:c r="BT36" s="84">
        <x:v>5</x:v>
      </x:c>
      <x:c r="BU36" s="84">
        <x:v>5</x:v>
      </x:c>
      <x:c r="BV36" s="84">
        <x:v>5</x:v>
      </x:c>
      <x:c r="BW36" s="84">
        <x:v>5</x:v>
      </x:c>
      <x:c r="BX36" s="84">
        <x:v>5</x:v>
      </x:c>
      <x:c r="BY36" s="84">
        <x:v>5</x:v>
      </x:c>
      <x:c r="BZ36" s="84">
        <x:v>5</x:v>
      </x:c>
      <x:c r="CA36" s="84">
        <x:v>5</x:v>
      </x:c>
      <x:c r="CB36" s="84">
        <x:v>5</x:v>
      </x:c>
      <x:c r="CC36" s="84">
        <x:v>5</x:v>
      </x:c>
    </x:row>
    <x:row r="37" spans="1:81" x14ac:dyDescent="0.2">
      <x:c r="C37" s="95" t="s">
        <x:v>223</x:v>
      </x:c>
      <x:c r="D37" s="95">
        <x:f t="array" ref="D37:CC37">TRANSPOSE('T-PSD-B4'!K12:K89)</x:f>
      </x:c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  <x:c r="AA37" s="95"/>
      <x:c r="AB37" s="95"/>
      <x:c r="AC37" s="95"/>
      <x:c r="AD37" s="95"/>
      <x:c r="AE37" s="95"/>
      <x:c r="AF37" s="95"/>
      <x:c r="AG37" s="95"/>
      <x:c r="AH37" s="95"/>
      <x:c r="AI37" s="95"/>
      <x:c r="AJ37" s="95"/>
      <x:c r="AK37" s="95"/>
      <x:c r="AL37" s="95"/>
      <x:c r="AM37" s="95"/>
      <x:c r="AN37" s="95"/>
      <x:c r="AO37" s="95"/>
      <x:c r="AP37" s="95"/>
      <x:c r="AQ37" s="95"/>
      <x:c r="AR37" s="95"/>
      <x:c r="AS37" s="95"/>
      <x:c r="AT37" s="95"/>
      <x:c r="AU37" s="95"/>
      <x:c r="AV37" s="95"/>
      <x:c r="AW37" s="95"/>
      <x:c r="AX37" s="95"/>
      <x:c r="AY37" s="95"/>
      <x:c r="AZ37" s="95"/>
      <x:c r="BA37" s="95"/>
      <x:c r="BB37" s="95"/>
      <x:c r="BC37" s="95"/>
      <x:c r="BD37" s="95"/>
      <x:c r="BE37" s="95"/>
      <x:c r="BF37" s="95"/>
      <x:c r="BG37" s="95"/>
      <x:c r="BH37" s="95"/>
      <x:c r="BI37" s="95"/>
      <x:c r="BJ37" s="95"/>
      <x:c r="BK37" s="95"/>
      <x:c r="BL37" s="95"/>
      <x:c r="BM37" s="95"/>
      <x:c r="BN37" s="95"/>
      <x:c r="BO37" s="95"/>
      <x:c r="BP37" s="95"/>
      <x:c r="BQ37" s="95"/>
      <x:c r="BR37" s="95"/>
      <x:c r="BS37" s="95"/>
      <x:c r="BT37" s="95"/>
      <x:c r="BU37" s="95"/>
      <x:c r="BV37" s="95"/>
      <x:c r="BW37" s="95"/>
      <x:c r="BX37" s="95"/>
      <x:c r="BY37" s="95"/>
      <x:c r="BZ37" s="95"/>
      <x:c r="CA37" s="95"/>
      <x:c r="CB37" s="95"/>
      <x:c r="CC37" s="95"/>
    </x:row>
    <x:row r="38" spans="1:81" x14ac:dyDescent="0.2">
      <x:c r="C38" s="84" t="s">
        <x:v>224</x:v>
      </x:c>
      <x:c r="D38" s="84">
        <x:f>D37-D31</x:f>
      </x:c>
      <x:c r="E38" s="84">
        <x:f>E37-E31</x:f>
      </x:c>
      <x:c r="F38" s="84">
        <x:f>F37-F31</x:f>
      </x:c>
      <x:c r="G38" s="84">
        <x:f>G37-G31</x:f>
      </x:c>
      <x:c r="H38" s="84">
        <x:f>H37-H31</x:f>
      </x:c>
      <x:c r="I38" s="84">
        <x:f>I37-I31</x:f>
      </x:c>
      <x:c r="J38" s="84">
        <x:f>J37-J31</x:f>
      </x:c>
      <x:c r="K38" s="84">
        <x:f>K37-K31</x:f>
      </x:c>
      <x:c r="L38" s="84">
        <x:f>L37-L31</x:f>
      </x:c>
      <x:c r="M38" s="84">
        <x:f>M37-M31</x:f>
      </x:c>
      <x:c r="N38" s="84">
        <x:f>N37-N31</x:f>
      </x:c>
      <x:c r="O38" s="84">
        <x:f>O37-O31</x:f>
      </x:c>
      <x:c r="P38" s="84">
        <x:f>P37-P31</x:f>
      </x:c>
      <x:c r="Q38" s="84">
        <x:f>Q37-Q31</x:f>
      </x:c>
      <x:c r="R38" s="84">
        <x:f>R37-R31</x:f>
      </x:c>
      <x:c r="S38" s="84">
        <x:f>S37-S31</x:f>
      </x:c>
      <x:c r="T38" s="84">
        <x:f>T37-T31</x:f>
      </x:c>
      <x:c r="U38" s="84">
        <x:f>U37-U31</x:f>
      </x:c>
      <x:c r="V38" s="84">
        <x:f>V37-V31</x:f>
      </x:c>
      <x:c r="W38" s="84">
        <x:f>W37-W31</x:f>
      </x:c>
      <x:c r="X38" s="84">
        <x:f>X37-X31</x:f>
      </x:c>
      <x:c r="Y38" s="84">
        <x:f>Y37-Y31</x:f>
      </x:c>
      <x:c r="Z38" s="84">
        <x:f>Z37-Z31</x:f>
      </x:c>
      <x:c r="AA38" s="84">
        <x:f>AA37-AA31</x:f>
      </x:c>
      <x:c r="AB38" s="84">
        <x:f>AB37-AB31</x:f>
      </x:c>
      <x:c r="AC38" s="84">
        <x:f>AC37-AC31</x:f>
      </x:c>
      <x:c r="AD38" s="84">
        <x:f>AD37-AD31</x:f>
      </x:c>
      <x:c r="AE38" s="84">
        <x:f>AE37-AE31</x:f>
      </x:c>
      <x:c r="AF38" s="84">
        <x:f>AF37-AF31</x:f>
      </x:c>
      <x:c r="AG38" s="84">
        <x:f>AG37-AG31</x:f>
      </x:c>
      <x:c r="AH38" s="84">
        <x:f>AH37-AH31</x:f>
      </x:c>
      <x:c r="AI38" s="84">
        <x:f>AI37-AI31</x:f>
      </x:c>
      <x:c r="AJ38" s="84">
        <x:f>AJ37-AJ31</x:f>
      </x:c>
      <x:c r="AK38" s="84">
        <x:f>AK37-AK31</x:f>
      </x:c>
      <x:c r="AL38" s="84">
        <x:f>AL37-AL31</x:f>
      </x:c>
      <x:c r="AM38" s="84">
        <x:f>AM37-AM31</x:f>
      </x:c>
      <x:c r="AN38" s="84">
        <x:f>AN37-AN31</x:f>
      </x:c>
      <x:c r="AO38" s="84">
        <x:f>AO37-AO31</x:f>
      </x:c>
      <x:c r="AP38" s="84">
        <x:f>AP37-AP31</x:f>
      </x:c>
      <x:c r="AQ38" s="84">
        <x:f>AQ37-AQ31</x:f>
      </x:c>
      <x:c r="AR38" s="84">
        <x:f>AR37-AR31</x:f>
      </x:c>
      <x:c r="AS38" s="84">
        <x:f>AS37-AS31</x:f>
      </x:c>
      <x:c r="AT38" s="84">
        <x:f>AT37-AT31</x:f>
      </x:c>
      <x:c r="AU38" s="84">
        <x:f>AU37-AU31</x:f>
      </x:c>
      <x:c r="AV38" s="84">
        <x:f>AV37-AV31</x:f>
      </x:c>
      <x:c r="AW38" s="84">
        <x:f>AW37-AW31</x:f>
      </x:c>
      <x:c r="AX38" s="84">
        <x:f>AX37-AX31</x:f>
      </x:c>
      <x:c r="AY38" s="84">
        <x:f>AY37-AY31</x:f>
      </x:c>
      <x:c r="AZ38" s="84">
        <x:f>AZ37-AZ31</x:f>
      </x:c>
      <x:c r="BA38" s="84">
        <x:f>BA37-BA31</x:f>
      </x:c>
      <x:c r="BB38" s="84">
        <x:f>BB37-BB31</x:f>
      </x:c>
      <x:c r="BC38" s="84">
        <x:f>BC37-BC31</x:f>
      </x:c>
      <x:c r="BD38" s="84">
        <x:f>BD37-BD31</x:f>
      </x:c>
      <x:c r="BE38" s="84">
        <x:f>BE37-BE31</x:f>
      </x:c>
      <x:c r="BF38" s="84">
        <x:f>BF37-BF31</x:f>
      </x:c>
      <x:c r="BG38" s="84">
        <x:f>BG37-BG31</x:f>
      </x:c>
      <x:c r="BH38" s="84">
        <x:f>BH37-BH31</x:f>
      </x:c>
      <x:c r="BI38" s="84">
        <x:f>BI37-BI31</x:f>
      </x:c>
      <x:c r="BJ38" s="84">
        <x:f>BJ37-BJ31</x:f>
      </x:c>
      <x:c r="BK38" s="84">
        <x:f>BK37-BK31</x:f>
      </x:c>
      <x:c r="BL38" s="84">
        <x:f>BL37-BL31</x:f>
      </x:c>
      <x:c r="BM38" s="84">
        <x:f>BM37-BM31</x:f>
      </x:c>
      <x:c r="BN38" s="84">
        <x:f>BN37-BN31</x:f>
      </x:c>
      <x:c r="BO38" s="84">
        <x:f>BO37-BO31</x:f>
      </x:c>
      <x:c r="BP38" s="84">
        <x:f>BP37-BP31</x:f>
      </x:c>
      <x:c r="BQ38" s="84">
        <x:f>BQ37-BQ31</x:f>
      </x:c>
      <x:c r="BR38" s="84">
        <x:f>BR37-BR31</x:f>
      </x:c>
      <x:c r="BS38" s="84">
        <x:f>BS37-BS31</x:f>
      </x:c>
      <x:c r="BT38" s="84">
        <x:f>BT37-BT31</x:f>
      </x:c>
      <x:c r="BU38" s="84">
        <x:f>BU37-BU31</x:f>
      </x:c>
      <x:c r="BV38" s="84">
        <x:f>BV37-BV31</x:f>
      </x:c>
      <x:c r="BW38" s="84">
        <x:f>BW37-BW31</x:f>
      </x:c>
      <x:c r="BX38" s="84">
        <x:f>BX37-BX31</x:f>
      </x:c>
      <x:c r="BY38" s="84">
        <x:f>BY37-BY31</x:f>
      </x:c>
      <x:c r="BZ38" s="84">
        <x:f>BZ37-BZ31</x:f>
      </x:c>
      <x:c r="CA38" s="84">
        <x:f>CA37-CA31</x:f>
      </x:c>
      <x:c r="CB38" s="84">
        <x:f>CB37-CB31</x:f>
      </x:c>
      <x:c r="CC38" s="84">
        <x:f>CC37-CC31</x:f>
      </x:c>
    </x:row>
    <x:row r="41" spans="1:81" x14ac:dyDescent="0.2">
      <x:c r="A41" s="0" t="s">
        <x:v>225</x:v>
      </x:c>
      <x:c r="D41" s="84">
        <x:f>ROUND(D14*$B15+D21*$B22,0)</x:f>
      </x:c>
      <x:c r="E41" s="84">
        <x:f>ROUND(E14*$B15+E21*$B22,0)</x:f>
      </x:c>
      <x:c r="F41" s="84">
        <x:f>ROUND(F14*$B15+F21*$B22,0)</x:f>
      </x:c>
      <x:c r="G41" s="84">
        <x:f>ROUND(G14*$B15+G21*$B22,0)</x:f>
      </x:c>
      <x:c r="H41" s="84">
        <x:f>ROUND(H14*$B15+H21*$B22,0)</x:f>
      </x:c>
      <x:c r="I41" s="84">
        <x:f>ROUND(I14*$B15+I21*$B22,0)</x:f>
      </x:c>
      <x:c r="J41" s="84">
        <x:f>ROUND(J14*$B15+J21*$B22,0)</x:f>
      </x:c>
      <x:c r="K41" s="84">
        <x:f>ROUND(K14*$B15+K21*$B22,0)</x:f>
      </x:c>
      <x:c r="L41" s="84">
        <x:f>ROUND(L14*$B15+L21*$B22,0)</x:f>
      </x:c>
      <x:c r="M41" s="84">
        <x:f>ROUND(M14*$B15+M21*$B22,0)</x:f>
      </x:c>
      <x:c r="N41" s="84">
        <x:f>ROUND(N14*$B15+N21*$B22,0)</x:f>
      </x:c>
      <x:c r="O41" s="84">
        <x:f>ROUND(O14*$B15+O21*$B22,0)</x:f>
      </x:c>
      <x:c r="P41" s="84">
        <x:f>ROUND(P14*$B15+P21*$B22,0)</x:f>
      </x:c>
      <x:c r="Q41" s="84">
        <x:f>ROUND(Q14*$B15+Q21*$B22,0)</x:f>
      </x:c>
      <x:c r="R41" s="84">
        <x:f>ROUND(R14*$B15+R21*$B22,0)</x:f>
      </x:c>
      <x:c r="S41" s="84">
        <x:f>ROUND(S14*$B15+S21*$B22,0)</x:f>
      </x:c>
      <x:c r="T41" s="84">
        <x:f>ROUND(T14*$B15+T21*$B22,0)</x:f>
      </x:c>
      <x:c r="U41" s="84">
        <x:f>ROUND(U14*$B15+U21*$B22,0)</x:f>
      </x:c>
      <x:c r="V41" s="84">
        <x:f>ROUND(V14*$B15+V21*$B22,0)</x:f>
      </x:c>
      <x:c r="W41" s="84">
        <x:f>ROUND(W14*$B15+W21*$B22,0)</x:f>
      </x:c>
      <x:c r="X41" s="84">
        <x:f>ROUND(X14*$B15+X21*$B22,0)</x:f>
      </x:c>
      <x:c r="Y41" s="84">
        <x:f>ROUND(Y14*$B15+Y21*$B22,0)</x:f>
      </x:c>
      <x:c r="Z41" s="84">
        <x:f>ROUND(Z14*$B15+Z21*$B22,0)</x:f>
      </x:c>
      <x:c r="AA41" s="84">
        <x:f>ROUND(AA14*$B15+AA21*$B22,0)</x:f>
      </x:c>
      <x:c r="AB41" s="84">
        <x:f>ROUND(AB14*$B15+AB21*$B22,0)</x:f>
      </x:c>
      <x:c r="AC41" s="84">
        <x:f>ROUND(AC14*$B15+AC21*$B22,0)</x:f>
      </x:c>
      <x:c r="AD41" s="84">
        <x:f>ROUND(AD14*$B15+AD21*$B22,0)</x:f>
      </x:c>
      <x:c r="AE41" s="84">
        <x:f>ROUND(AE14*$B15+AE21*$B22,0)</x:f>
      </x:c>
      <x:c r="AF41" s="84">
        <x:f>ROUND(AF14*$B15+AF21*$B22,0)</x:f>
      </x:c>
      <x:c r="AG41" s="84">
        <x:f>ROUND(AG14*$B15+AG21*$B22,0)</x:f>
      </x:c>
      <x:c r="AH41" s="84">
        <x:f>ROUND(AH14*$B15+AH21*$B22,0)</x:f>
      </x:c>
      <x:c r="AI41" s="84">
        <x:f>ROUND(AI14*$B15+AI21*$B22,0)</x:f>
      </x:c>
      <x:c r="AJ41" s="84">
        <x:f>ROUND(AJ14*$B15+AJ21*$B22,0)</x:f>
      </x:c>
      <x:c r="AK41" s="84">
        <x:f>ROUND(AK14*$B15+AK21*$B22,0)</x:f>
      </x:c>
      <x:c r="AL41" s="84">
        <x:f>ROUND(AL14*$B15+AL21*$B22,0)</x:f>
      </x:c>
      <x:c r="AM41" s="84">
        <x:f>ROUND(AM14*$B15+AM21*$B22,0)</x:f>
      </x:c>
      <x:c r="AN41" s="84">
        <x:f>ROUND(AN14*$B15+AN21*$B22,0)</x:f>
      </x:c>
      <x:c r="AO41" s="84">
        <x:f>ROUND(AO14*$B15+AO21*$B22,0)</x:f>
      </x:c>
      <x:c r="AP41" s="84">
        <x:f>ROUND(AP14*$B15+AP21*$B22,0)</x:f>
      </x:c>
      <x:c r="AQ41" s="84">
        <x:f>ROUND(AQ14*$B15+AQ21*$B22,0)</x:f>
      </x:c>
      <x:c r="AR41" s="84">
        <x:f>ROUND(AR14*$B15+AR21*$B22,0)</x:f>
      </x:c>
      <x:c r="AS41" s="84">
        <x:f>ROUND(AS14*$B15+AS21*$B22,0)</x:f>
      </x:c>
      <x:c r="AT41" s="84">
        <x:f>ROUND(AT14*$B15+AT21*$B22,0)</x:f>
      </x:c>
      <x:c r="AU41" s="84">
        <x:f>ROUND(AU14*$B15+AU21*$B22,0)</x:f>
      </x:c>
      <x:c r="AV41" s="84">
        <x:f>ROUND(AV14*$B15+AV21*$B22,0)</x:f>
      </x:c>
      <x:c r="AW41" s="84">
        <x:f>ROUND(AW14*$B15+AW21*$B22,0)</x:f>
      </x:c>
      <x:c r="AX41" s="84">
        <x:f>ROUND(AX14*$B15+AX21*$B22,0)</x:f>
      </x:c>
      <x:c r="AY41" s="84">
        <x:f>ROUND(AY14*$B15+AY21*$B22,0)</x:f>
      </x:c>
      <x:c r="AZ41" s="84">
        <x:f>ROUND(AZ14*$B15+AZ21*$B22,0)</x:f>
      </x:c>
      <x:c r="BA41" s="84">
        <x:f>ROUND(BA14*$B15+BA21*$B22,0)</x:f>
      </x:c>
      <x:c r="BB41" s="84">
        <x:f>ROUND(BB14*$B15+BB21*$B22,0)</x:f>
      </x:c>
      <x:c r="BC41" s="84">
        <x:f>ROUND(BC14*$B15+BC21*$B22,0)</x:f>
      </x:c>
      <x:c r="BD41" s="84">
        <x:f>ROUND(BD14*$B15+BD21*$B22,0)</x:f>
      </x:c>
      <x:c r="BE41" s="84">
        <x:f>ROUND(BE14*$B15+BE21*$B22,0)</x:f>
      </x:c>
      <x:c r="BF41" s="84">
        <x:f>ROUND(BF14*$B15+BF21*$B22,0)</x:f>
      </x:c>
      <x:c r="BG41" s="84">
        <x:f>ROUND(BG14*$B15+BG21*$B22,0)</x:f>
      </x:c>
      <x:c r="BH41" s="84">
        <x:f>ROUND(BH14*$B15+BH21*$B22,0)</x:f>
      </x:c>
      <x:c r="BI41" s="84">
        <x:f>ROUND(BI14*$B15+BI21*$B22,0)</x:f>
      </x:c>
      <x:c r="BJ41" s="84">
        <x:f>ROUND(BJ14*$B15+BJ21*$B22,0)</x:f>
      </x:c>
      <x:c r="BK41" s="84">
        <x:f>ROUND(BK14*$B15+BK21*$B22,0)</x:f>
      </x:c>
      <x:c r="BL41" s="84">
        <x:f>ROUND(BL14*$B15+BL21*$B22,0)</x:f>
      </x:c>
      <x:c r="BM41" s="84">
        <x:f>ROUND(BM14*$B15+BM21*$B22,0)</x:f>
      </x:c>
      <x:c r="BN41" s="84">
        <x:f>ROUND(BN14*$B15+BN21*$B22,0)</x:f>
      </x:c>
      <x:c r="BO41" s="84">
        <x:f>ROUND(BO14*$B15+BO21*$B22,0)</x:f>
      </x:c>
      <x:c r="BP41" s="84">
        <x:f>ROUND(BP14*$B15+BP21*$B22,0)</x:f>
      </x:c>
      <x:c r="BQ41" s="84">
        <x:f>ROUND(BQ14*$B15+BQ21*$B22,0)</x:f>
      </x:c>
      <x:c r="BR41" s="84">
        <x:f>ROUND(BR14*$B15+BR21*$B22,0)</x:f>
      </x:c>
      <x:c r="BS41" s="84">
        <x:f>ROUND(BS14*$B15+BS21*$B22,0)</x:f>
      </x:c>
      <x:c r="BT41" s="84">
        <x:f>ROUND(BT14*$B15+BT21*$B22,0)</x:f>
      </x:c>
      <x:c r="BU41" s="84">
        <x:f>ROUND(BU14*$B15+BU21*$B22,0)</x:f>
      </x:c>
      <x:c r="BV41" s="84">
        <x:f>ROUND(BV14*$B15+BV21*$B22,0)</x:f>
      </x:c>
      <x:c r="BW41" s="84">
        <x:f>ROUND(BW14*$B15+BW21*$B22,0)</x:f>
      </x:c>
      <x:c r="BX41" s="84">
        <x:f>ROUND(BX14*$B15+BX21*$B22,0)</x:f>
      </x:c>
      <x:c r="BY41" s="84">
        <x:f>ROUND(BY14*$B15+BY21*$B22,0)</x:f>
      </x:c>
      <x:c r="BZ41" s="84">
        <x:f>ROUND(BZ14*$B15+BZ21*$B22,0)</x:f>
      </x:c>
      <x:c r="CA41" s="84">
        <x:f>ROUND(CA14*$B15+CA21*$B22,0)</x:f>
      </x:c>
      <x:c r="CB41" s="84">
        <x:f>ROUND(CB14*$B15+CB21*$B22,0)</x:f>
      </x:c>
      <x:c r="CC41" s="84">
        <x:f>ROUND(CC14*$B15+CC21*$B22,0)</x:f>
      </x:c>
    </x:row>
    <x:row r="42" spans="1:81" x14ac:dyDescent="0.2">
      <x:c r="A42" s="0" t="s">
        <x:v>226</x:v>
      </x:c>
      <x:c r="D42" s="84">
        <x:f>ROUND(D15*$B15+D22*$B22,0)</x:f>
      </x:c>
      <x:c r="E42" s="84">
        <x:f>ROUND(E15*$B15+E22*$B22,0)</x:f>
      </x:c>
      <x:c r="F42" s="84">
        <x:f>ROUND(F15*$B15+F22*$B22,0)</x:f>
      </x:c>
      <x:c r="G42" s="84">
        <x:f>ROUND(G15*$B15+G22*$B22,0)</x:f>
      </x:c>
      <x:c r="H42" s="84">
        <x:f>ROUND(H15*$B15+H22*$B22,0)</x:f>
      </x:c>
      <x:c r="I42" s="84">
        <x:f>ROUND(I15*$B15+I22*$B22,0)</x:f>
      </x:c>
      <x:c r="J42" s="84">
        <x:f>ROUND(J15*$B15+J22*$B22,0)</x:f>
      </x:c>
      <x:c r="K42" s="84">
        <x:f>ROUND(K15*$B15+K22*$B22,0)</x:f>
      </x:c>
      <x:c r="L42" s="84">
        <x:f>ROUND(L15*$B15+L22*$B22,0)</x:f>
      </x:c>
      <x:c r="M42" s="84">
        <x:f>ROUND(M15*$B15+M22*$B22,0)</x:f>
      </x:c>
      <x:c r="N42" s="84">
        <x:f>ROUND(N15*$B15+N22*$B22,0)</x:f>
      </x:c>
      <x:c r="O42" s="84">
        <x:f>ROUND(O15*$B15+O22*$B22,0)</x:f>
      </x:c>
      <x:c r="P42" s="84">
        <x:f>ROUND(P15*$B15+P22*$B22,0)</x:f>
      </x:c>
      <x:c r="Q42" s="84">
        <x:f>ROUND(Q15*$B15+Q22*$B22,0)</x:f>
      </x:c>
      <x:c r="R42" s="84">
        <x:f>ROUND(R15*$B15+R22*$B22,0)</x:f>
      </x:c>
      <x:c r="S42" s="84">
        <x:f>ROUND(S15*$B15+S22*$B22,0)</x:f>
      </x:c>
      <x:c r="T42" s="84">
        <x:f>ROUND(T15*$B15+T22*$B22,0)</x:f>
      </x:c>
      <x:c r="U42" s="84">
        <x:f>ROUND(U15*$B15+U22*$B22,0)</x:f>
      </x:c>
      <x:c r="V42" s="84">
        <x:f>ROUND(V15*$B15+V22*$B22,0)</x:f>
      </x:c>
      <x:c r="W42" s="84">
        <x:f>ROUND(W15*$B15+W22*$B22,0)</x:f>
      </x:c>
      <x:c r="X42" s="84">
        <x:f>ROUND(X15*$B15+X22*$B22,0)</x:f>
      </x:c>
      <x:c r="Y42" s="84">
        <x:f>ROUND(Y15*$B15+Y22*$B22,0)</x:f>
      </x:c>
      <x:c r="Z42" s="84">
        <x:f>ROUND(Z15*$B15+Z22*$B22,0)</x:f>
      </x:c>
      <x:c r="AA42" s="84">
        <x:f>ROUND(AA15*$B15+AA22*$B22,0)</x:f>
      </x:c>
      <x:c r="AB42" s="84">
        <x:f>ROUND(AB15*$B15+AB22*$B22,0)</x:f>
      </x:c>
      <x:c r="AC42" s="84">
        <x:f>ROUND(AC15*$B15+AC22*$B22,0)</x:f>
      </x:c>
      <x:c r="AD42" s="84">
        <x:f>ROUND(AD15*$B15+AD22*$B22,0)</x:f>
      </x:c>
      <x:c r="AE42" s="84">
        <x:f>ROUND(AE15*$B15+AE22*$B22,0)</x:f>
      </x:c>
      <x:c r="AF42" s="84">
        <x:f>ROUND(AF15*$B15+AF22*$B22,0)</x:f>
      </x:c>
      <x:c r="AG42" s="84">
        <x:f>ROUND(AG15*$B15+AG22*$B22,0)</x:f>
      </x:c>
      <x:c r="AH42" s="84">
        <x:f>ROUND(AH15*$B15+AH22*$B22,0)</x:f>
      </x:c>
      <x:c r="AI42" s="84">
        <x:f>ROUND(AI15*$B15+AI22*$B22,0)</x:f>
      </x:c>
      <x:c r="AJ42" s="84">
        <x:f>ROUND(AJ15*$B15+AJ22*$B22,0)</x:f>
      </x:c>
      <x:c r="AK42" s="84">
        <x:f>ROUND(AK15*$B15+AK22*$B22,0)</x:f>
      </x:c>
      <x:c r="AL42" s="84">
        <x:f>ROUND(AL15*$B15+AL22*$B22,0)</x:f>
      </x:c>
      <x:c r="AM42" s="84">
        <x:f>ROUND(AM15*$B15+AM22*$B22,0)</x:f>
      </x:c>
      <x:c r="AN42" s="84">
        <x:f>ROUND(AN15*$B15+AN22*$B22,0)</x:f>
      </x:c>
      <x:c r="AO42" s="84">
        <x:f>ROUND(AO15*$B15+AO22*$B22,0)</x:f>
      </x:c>
      <x:c r="AP42" s="84">
        <x:f>ROUND(AP15*$B15+AP22*$B22,0)</x:f>
      </x:c>
      <x:c r="AQ42" s="84">
        <x:f>ROUND(AQ15*$B15+AQ22*$B22,0)</x:f>
      </x:c>
      <x:c r="AR42" s="84">
        <x:f>ROUND(AR15*$B15+AR22*$B22,0)</x:f>
      </x:c>
      <x:c r="AS42" s="84">
        <x:f>ROUND(AS15*$B15+AS22*$B22,0)</x:f>
      </x:c>
      <x:c r="AT42" s="84">
        <x:f>ROUND(AT15*$B15+AT22*$B22,0)</x:f>
      </x:c>
      <x:c r="AU42" s="84">
        <x:f>ROUND(AU15*$B15+AU22*$B22,0)</x:f>
      </x:c>
      <x:c r="AV42" s="84">
        <x:f>ROUND(AV15*$B15+AV22*$B22,0)</x:f>
      </x:c>
      <x:c r="AW42" s="84">
        <x:f>ROUND(AW15*$B15+AW22*$B22,0)</x:f>
      </x:c>
      <x:c r="AX42" s="84">
        <x:f>ROUND(AX15*$B15+AX22*$B22,0)</x:f>
      </x:c>
      <x:c r="AY42" s="84">
        <x:f>ROUND(AY15*$B15+AY22*$B22,0)</x:f>
      </x:c>
      <x:c r="AZ42" s="84">
        <x:f>ROUND(AZ15*$B15+AZ22*$B22,0)</x:f>
      </x:c>
      <x:c r="BA42" s="84">
        <x:f>ROUND(BA15*$B15+BA22*$B22,0)</x:f>
      </x:c>
      <x:c r="BB42" s="84">
        <x:f>ROUND(BB15*$B15+BB22*$B22,0)</x:f>
      </x:c>
      <x:c r="BC42" s="84">
        <x:f>ROUND(BC15*$B15+BC22*$B22,0)</x:f>
      </x:c>
      <x:c r="BD42" s="84">
        <x:f>ROUND(BD15*$B15+BD22*$B22,0)</x:f>
      </x:c>
      <x:c r="BE42" s="84">
        <x:f>ROUND(BE15*$B15+BE22*$B22,0)</x:f>
      </x:c>
      <x:c r="BF42" s="84">
        <x:f>ROUND(BF15*$B15+BF22*$B22,0)</x:f>
      </x:c>
      <x:c r="BG42" s="84">
        <x:f>ROUND(BG15*$B15+BG22*$B22,0)</x:f>
      </x:c>
      <x:c r="BH42" s="84">
        <x:f>ROUND(BH15*$B15+BH22*$B22,0)</x:f>
      </x:c>
      <x:c r="BI42" s="84">
        <x:f>ROUND(BI15*$B15+BI22*$B22,0)</x:f>
      </x:c>
      <x:c r="BJ42" s="84">
        <x:f>ROUND(BJ15*$B15+BJ22*$B22,0)</x:f>
      </x:c>
      <x:c r="BK42" s="84">
        <x:f>ROUND(BK15*$B15+BK22*$B22,0)</x:f>
      </x:c>
      <x:c r="BL42" s="84">
        <x:f>ROUND(BL15*$B15+BL22*$B22,0)</x:f>
      </x:c>
      <x:c r="BM42" s="84">
        <x:f>ROUND(BM15*$B15+BM22*$B22,0)</x:f>
      </x:c>
      <x:c r="BN42" s="84">
        <x:f>ROUND(BN15*$B15+BN22*$B22,0)</x:f>
      </x:c>
      <x:c r="BO42" s="84">
        <x:f>ROUND(BO15*$B15+BO22*$B22,0)</x:f>
      </x:c>
      <x:c r="BP42" s="84">
        <x:f>ROUND(BP15*$B15+BP22*$B22,0)</x:f>
      </x:c>
      <x:c r="BQ42" s="84">
        <x:f>ROUND(BQ15*$B15+BQ22*$B22,0)</x:f>
      </x:c>
      <x:c r="BR42" s="84">
        <x:f>ROUND(BR15*$B15+BR22*$B22,0)</x:f>
      </x:c>
      <x:c r="BS42" s="84">
        <x:f>ROUND(BS15*$B15+BS22*$B22,0)</x:f>
      </x:c>
      <x:c r="BT42" s="84">
        <x:f>ROUND(BT15*$B15+BT22*$B22,0)</x:f>
      </x:c>
      <x:c r="BU42" s="84">
        <x:f>ROUND(BU15*$B15+BU22*$B22,0)</x:f>
      </x:c>
      <x:c r="BV42" s="84">
        <x:f>ROUND(BV15*$B15+BV22*$B22,0)</x:f>
      </x:c>
      <x:c r="BW42" s="84">
        <x:f>ROUND(BW15*$B15+BW22*$B22,0)</x:f>
      </x:c>
      <x:c r="BX42" s="84">
        <x:f>ROUND(BX15*$B15+BX22*$B22,0)</x:f>
      </x:c>
      <x:c r="BY42" s="84">
        <x:f>ROUND(BY15*$B15+BY22*$B22,0)</x:f>
      </x:c>
      <x:c r="BZ42" s="84">
        <x:f>ROUND(BZ15*$B15+BZ22*$B22,0)</x:f>
      </x:c>
      <x:c r="CA42" s="84">
        <x:f>ROUND(CA15*$B15+CA22*$B22,0)</x:f>
      </x:c>
      <x:c r="CB42" s="84">
        <x:f>ROUND(CB15*$B15+CB22*$B22,0)</x:f>
      </x:c>
      <x:c r="CC42" s="84">
        <x:f>ROUND(CC15*$B15+CC22*$B22,0)</x:f>
      </x:c>
    </x:row>
    <x:row r="43" spans="1:81" x14ac:dyDescent="0.2">
      <x:c r="A43" s="0" t="s">
        <x:v>227</x:v>
      </x:c>
      <x:c r="D43" s="84">
        <x:f>ROUND(D16*$B15+D23*$B22,0)</x:f>
      </x:c>
      <x:c r="E43" s="84">
        <x:f>ROUND(E16*$B15+E23*$B22,0)</x:f>
      </x:c>
      <x:c r="F43" s="84">
        <x:f>ROUND(F16*$B15+F23*$B22,0)</x:f>
      </x:c>
      <x:c r="G43" s="84">
        <x:f>ROUND(G16*$B15+G23*$B22,0)</x:f>
      </x:c>
      <x:c r="H43" s="84">
        <x:f>ROUND(H16*$B15+H23*$B22,0)</x:f>
      </x:c>
      <x:c r="I43" s="84">
        <x:f>ROUND(I16*$B15+I23*$B22,0)</x:f>
      </x:c>
      <x:c r="J43" s="84">
        <x:f>ROUND(J16*$B15+J23*$B22,0)</x:f>
      </x:c>
      <x:c r="K43" s="84">
        <x:f>ROUND(K16*$B15+K23*$B22,0)</x:f>
      </x:c>
      <x:c r="L43" s="84">
        <x:f>ROUND(L16*$B15+L23*$B22,0)</x:f>
      </x:c>
      <x:c r="M43" s="84">
        <x:f>ROUND(M16*$B15+M23*$B22,0)</x:f>
      </x:c>
      <x:c r="N43" s="84">
        <x:f>ROUND(N16*$B15+N23*$B22,0)</x:f>
      </x:c>
      <x:c r="O43" s="84">
        <x:f>ROUND(O16*$B15+O23*$B22,0)</x:f>
      </x:c>
      <x:c r="P43" s="84">
        <x:f>ROUND(P16*$B15+P23*$B22,0)</x:f>
      </x:c>
      <x:c r="Q43" s="84">
        <x:f>ROUND(Q16*$B15+Q23*$B22,0)</x:f>
      </x:c>
      <x:c r="R43" s="84">
        <x:f>ROUND(R16*$B15+R23*$B22,0)</x:f>
      </x:c>
      <x:c r="S43" s="84">
        <x:f>ROUND(S16*$B15+S23*$B22,0)</x:f>
      </x:c>
      <x:c r="T43" s="84">
        <x:f>ROUND(T16*$B15+T23*$B22,0)</x:f>
      </x:c>
      <x:c r="U43" s="84">
        <x:f>ROUND(U16*$B15+U23*$B22,0)</x:f>
      </x:c>
      <x:c r="V43" s="84">
        <x:f>ROUND(V16*$B15+V23*$B22,0)</x:f>
      </x:c>
      <x:c r="W43" s="84">
        <x:f>ROUND(W16*$B15+W23*$B22,0)</x:f>
      </x:c>
      <x:c r="X43" s="84">
        <x:f>ROUND(X16*$B15+X23*$B22,0)</x:f>
      </x:c>
      <x:c r="Y43" s="84">
        <x:f>ROUND(Y16*$B15+Y23*$B22,0)</x:f>
      </x:c>
      <x:c r="Z43" s="84">
        <x:f>ROUND(Z16*$B15+Z23*$B22,0)</x:f>
      </x:c>
      <x:c r="AA43" s="84">
        <x:f>ROUND(AA16*$B15+AA23*$B22,0)</x:f>
      </x:c>
      <x:c r="AB43" s="84">
        <x:f>ROUND(AB16*$B15+AB23*$B22,0)</x:f>
      </x:c>
      <x:c r="AC43" s="84">
        <x:f>ROUND(AC16*$B15+AC23*$B22,0)</x:f>
      </x:c>
      <x:c r="AD43" s="84">
        <x:f>ROUND(AD16*$B15+AD23*$B22,0)</x:f>
      </x:c>
      <x:c r="AE43" s="84">
        <x:f>ROUND(AE16*$B15+AE23*$B22,0)</x:f>
      </x:c>
      <x:c r="AF43" s="84">
        <x:f>ROUND(AF16*$B15+AF23*$B22,0)</x:f>
      </x:c>
      <x:c r="AG43" s="84">
        <x:f>ROUND(AG16*$B15+AG23*$B22,0)</x:f>
      </x:c>
      <x:c r="AH43" s="84">
        <x:f>ROUND(AH16*$B15+AH23*$B22,0)</x:f>
      </x:c>
      <x:c r="AI43" s="84">
        <x:f>ROUND(AI16*$B15+AI23*$B22,0)</x:f>
      </x:c>
      <x:c r="AJ43" s="84">
        <x:f>ROUND(AJ16*$B15+AJ23*$B22,0)</x:f>
      </x:c>
      <x:c r="AK43" s="84">
        <x:f>ROUND(AK16*$B15+AK23*$B22,0)</x:f>
      </x:c>
      <x:c r="AL43" s="84">
        <x:f>ROUND(AL16*$B15+AL23*$B22,0)</x:f>
      </x:c>
      <x:c r="AM43" s="84">
        <x:f>ROUND(AM16*$B15+AM23*$B22,0)</x:f>
      </x:c>
      <x:c r="AN43" s="84">
        <x:f>ROUND(AN16*$B15+AN23*$B22,0)</x:f>
      </x:c>
      <x:c r="AO43" s="84">
        <x:f>ROUND(AO16*$B15+AO23*$B22,0)</x:f>
      </x:c>
      <x:c r="AP43" s="84">
        <x:f>ROUND(AP16*$B15+AP23*$B22,0)</x:f>
      </x:c>
      <x:c r="AQ43" s="84">
        <x:f>ROUND(AQ16*$B15+AQ23*$B22,0)</x:f>
      </x:c>
      <x:c r="AR43" s="84">
        <x:f>ROUND(AR16*$B15+AR23*$B22,0)</x:f>
      </x:c>
      <x:c r="AS43" s="84">
        <x:f>ROUND(AS16*$B15+AS23*$B22,0)</x:f>
      </x:c>
      <x:c r="AT43" s="84">
        <x:f>ROUND(AT16*$B15+AT23*$B22,0)</x:f>
      </x:c>
      <x:c r="AU43" s="84">
        <x:f>ROUND(AU16*$B15+AU23*$B22,0)</x:f>
      </x:c>
      <x:c r="AV43" s="84">
        <x:f>ROUND(AV16*$B15+AV23*$B22,0)</x:f>
      </x:c>
      <x:c r="AW43" s="84">
        <x:f>ROUND(AW16*$B15+AW23*$B22,0)</x:f>
      </x:c>
      <x:c r="AX43" s="84">
        <x:f>ROUND(AX16*$B15+AX23*$B22,0)</x:f>
      </x:c>
      <x:c r="AY43" s="84">
        <x:f>ROUND(AY16*$B15+AY23*$B22,0)</x:f>
      </x:c>
      <x:c r="AZ43" s="84">
        <x:f>ROUND(AZ16*$B15+AZ23*$B22,0)</x:f>
      </x:c>
      <x:c r="BA43" s="84">
        <x:f>ROUND(BA16*$B15+BA23*$B22,0)</x:f>
      </x:c>
      <x:c r="BB43" s="84">
        <x:f>ROUND(BB16*$B15+BB23*$B22,0)</x:f>
      </x:c>
      <x:c r="BC43" s="84">
        <x:f>ROUND(BC16*$B15+BC23*$B22,0)</x:f>
      </x:c>
      <x:c r="BD43" s="84">
        <x:f>ROUND(BD16*$B15+BD23*$B22,0)</x:f>
      </x:c>
      <x:c r="BE43" s="84">
        <x:f>ROUND(BE16*$B15+BE23*$B22,0)</x:f>
      </x:c>
      <x:c r="BF43" s="84">
        <x:f>ROUND(BF16*$B15+BF23*$B22,0)</x:f>
      </x:c>
      <x:c r="BG43" s="84">
        <x:f>ROUND(BG16*$B15+BG23*$B22,0)</x:f>
      </x:c>
      <x:c r="BH43" s="84">
        <x:f>ROUND(BH16*$B15+BH23*$B22,0)</x:f>
      </x:c>
      <x:c r="BI43" s="84">
        <x:f>ROUND(BI16*$B15+BI23*$B22,0)</x:f>
      </x:c>
      <x:c r="BJ43" s="84">
        <x:f>ROUND(BJ16*$B15+BJ23*$B22,0)</x:f>
      </x:c>
      <x:c r="BK43" s="84">
        <x:f>ROUND(BK16*$B15+BK23*$B22,0)</x:f>
      </x:c>
      <x:c r="BL43" s="84">
        <x:f>ROUND(BL16*$B15+BL23*$B22,0)</x:f>
      </x:c>
      <x:c r="BM43" s="84">
        <x:f>ROUND(BM16*$B15+BM23*$B22,0)</x:f>
      </x:c>
      <x:c r="BN43" s="84">
        <x:f>ROUND(BN16*$B15+BN23*$B22,0)</x:f>
      </x:c>
      <x:c r="BO43" s="84">
        <x:f>ROUND(BO16*$B15+BO23*$B22,0)</x:f>
      </x:c>
      <x:c r="BP43" s="84">
        <x:f>ROUND(BP16*$B15+BP23*$B22,0)</x:f>
      </x:c>
      <x:c r="BQ43" s="84">
        <x:f>ROUND(BQ16*$B15+BQ23*$B22,0)</x:f>
      </x:c>
      <x:c r="BR43" s="84">
        <x:f>ROUND(BR16*$B15+BR23*$B22,0)</x:f>
      </x:c>
      <x:c r="BS43" s="84">
        <x:f>ROUND(BS16*$B15+BS23*$B22,0)</x:f>
      </x:c>
      <x:c r="BT43" s="84">
        <x:f>ROUND(BT16*$B15+BT23*$B22,0)</x:f>
      </x:c>
      <x:c r="BU43" s="84">
        <x:f>ROUND(BU16*$B15+BU23*$B22,0)</x:f>
      </x:c>
      <x:c r="BV43" s="84">
        <x:f>ROUND(BV16*$B15+BV23*$B22,0)</x:f>
      </x:c>
      <x:c r="BW43" s="84">
        <x:f>ROUND(BW16*$B15+BW23*$B22,0)</x:f>
      </x:c>
      <x:c r="BX43" s="84">
        <x:f>ROUND(BX16*$B15+BX23*$B22,0)</x:f>
      </x:c>
      <x:c r="BY43" s="84">
        <x:f>ROUND(BY16*$B15+BY23*$B22,0)</x:f>
      </x:c>
      <x:c r="BZ43" s="84">
        <x:f>ROUND(BZ16*$B15+BZ23*$B22,0)</x:f>
      </x:c>
      <x:c r="CA43" s="84">
        <x:f>ROUND(CA16*$B15+CA23*$B22,0)</x:f>
      </x:c>
      <x:c r="CB43" s="84">
        <x:f>ROUND(CB16*$B15+CB23*$B22,0)</x:f>
      </x:c>
      <x:c r="CC43" s="84">
        <x:f>ROUND(CC16*$B15+CC23*$B22,0)</x:f>
      </x:c>
    </x:row>
    <x:row r="44" spans="1:81" x14ac:dyDescent="0.2">
      <x:c r="A44" s="0" t="s">
        <x:v>228</x:v>
      </x:c>
      <x:c r="D44" s="84">
        <x:f>ROUND(D17*$B15+D24*$B22,0)</x:f>
      </x:c>
      <x:c r="E44" s="84">
        <x:f>ROUND(E17*$B15+E24*$B22,0)</x:f>
      </x:c>
      <x:c r="F44" s="84">
        <x:f>ROUND(F17*$B15+F24*$B22,0)</x:f>
      </x:c>
      <x:c r="G44" s="84">
        <x:f>ROUND(G17*$B15+G24*$B22,0)</x:f>
      </x:c>
      <x:c r="H44" s="84">
        <x:f>ROUND(H17*$B15+H24*$B22,0)</x:f>
      </x:c>
      <x:c r="I44" s="84">
        <x:f>ROUND(I17*$B15+I24*$B22,0)</x:f>
      </x:c>
      <x:c r="J44" s="84">
        <x:f>ROUND(J17*$B15+J24*$B22,0)</x:f>
      </x:c>
      <x:c r="K44" s="84">
        <x:f>ROUND(K17*$B15+K24*$B22,0)</x:f>
      </x:c>
      <x:c r="L44" s="84">
        <x:f>ROUND(L17*$B15+L24*$B22,0)</x:f>
      </x:c>
      <x:c r="M44" s="84">
        <x:f>ROUND(M17*$B15+M24*$B22,0)</x:f>
      </x:c>
      <x:c r="N44" s="84">
        <x:f>ROUND(N17*$B15+N24*$B22,0)</x:f>
      </x:c>
      <x:c r="O44" s="84">
        <x:f>ROUND(O17*$B15+O24*$B22,0)</x:f>
      </x:c>
      <x:c r="P44" s="84">
        <x:f>ROUND(P17*$B15+P24*$B22,0)</x:f>
      </x:c>
      <x:c r="Q44" s="84">
        <x:f>ROUND(Q17*$B15+Q24*$B22,0)</x:f>
      </x:c>
      <x:c r="R44" s="84">
        <x:f>ROUND(R17*$B15+R24*$B22,0)</x:f>
      </x:c>
      <x:c r="S44" s="84">
        <x:f>ROUND(S17*$B15+S24*$B22,0)</x:f>
      </x:c>
      <x:c r="T44" s="84">
        <x:f>ROUND(T17*$B15+T24*$B22,0)</x:f>
      </x:c>
      <x:c r="U44" s="84">
        <x:f>ROUND(U17*$B15+U24*$B22,0)</x:f>
      </x:c>
      <x:c r="V44" s="84">
        <x:f>ROUND(V17*$B15+V24*$B22,0)</x:f>
      </x:c>
      <x:c r="W44" s="84">
        <x:f>ROUND(W17*$B15+W24*$B22,0)</x:f>
      </x:c>
      <x:c r="X44" s="84">
        <x:f>ROUND(X17*$B15+X24*$B22,0)</x:f>
      </x:c>
      <x:c r="Y44" s="84">
        <x:f>ROUND(Y17*$B15+Y24*$B22,0)</x:f>
      </x:c>
      <x:c r="Z44" s="84">
        <x:f>ROUND(Z17*$B15+Z24*$B22,0)</x:f>
      </x:c>
      <x:c r="AA44" s="84">
        <x:f>ROUND(AA17*$B15+AA24*$B22,0)</x:f>
      </x:c>
      <x:c r="AB44" s="84">
        <x:f>ROUND(AB17*$B15+AB24*$B22,0)</x:f>
      </x:c>
      <x:c r="AC44" s="84">
        <x:f>ROUND(AC17*$B15+AC24*$B22,0)</x:f>
      </x:c>
      <x:c r="AD44" s="84">
        <x:f>ROUND(AD17*$B15+AD24*$B22,0)</x:f>
      </x:c>
      <x:c r="AE44" s="84">
        <x:f>ROUND(AE17*$B15+AE24*$B22,0)</x:f>
      </x:c>
      <x:c r="AF44" s="84">
        <x:f>ROUND(AF17*$B15+AF24*$B22,0)</x:f>
      </x:c>
      <x:c r="AG44" s="84">
        <x:f>ROUND(AG17*$B15+AG24*$B22,0)</x:f>
      </x:c>
      <x:c r="AH44" s="84">
        <x:f>ROUND(AH17*$B15+AH24*$B22,0)</x:f>
      </x:c>
      <x:c r="AI44" s="84">
        <x:f>ROUND(AI17*$B15+AI24*$B22,0)</x:f>
      </x:c>
      <x:c r="AJ44" s="84">
        <x:f>ROUND(AJ17*$B15+AJ24*$B22,0)</x:f>
      </x:c>
      <x:c r="AK44" s="84">
        <x:f>ROUND(AK17*$B15+AK24*$B22,0)</x:f>
      </x:c>
      <x:c r="AL44" s="84">
        <x:f>ROUND(AL17*$B15+AL24*$B22,0)</x:f>
      </x:c>
      <x:c r="AM44" s="84">
        <x:f>ROUND(AM17*$B15+AM24*$B22,0)</x:f>
      </x:c>
      <x:c r="AN44" s="84">
        <x:f>ROUND(AN17*$B15+AN24*$B22,0)</x:f>
      </x:c>
      <x:c r="AO44" s="84">
        <x:f>ROUND(AO17*$B15+AO24*$B22,0)</x:f>
      </x:c>
      <x:c r="AP44" s="84">
        <x:f>ROUND(AP17*$B15+AP24*$B22,0)</x:f>
      </x:c>
      <x:c r="AQ44" s="84">
        <x:f>ROUND(AQ17*$B15+AQ24*$B22,0)</x:f>
      </x:c>
      <x:c r="AR44" s="84">
        <x:f>ROUND(AR17*$B15+AR24*$B22,0)</x:f>
      </x:c>
      <x:c r="AS44" s="84">
        <x:f>ROUND(AS17*$B15+AS24*$B22,0)</x:f>
      </x:c>
      <x:c r="AT44" s="84">
        <x:f>ROUND(AT17*$B15+AT24*$B22,0)</x:f>
      </x:c>
      <x:c r="AU44" s="84">
        <x:f>ROUND(AU17*$B15+AU24*$B22,0)</x:f>
      </x:c>
      <x:c r="AV44" s="84">
        <x:f>ROUND(AV17*$B15+AV24*$B22,0)</x:f>
      </x:c>
      <x:c r="AW44" s="84">
        <x:f>ROUND(AW17*$B15+AW24*$B22,0)</x:f>
      </x:c>
      <x:c r="AX44" s="84">
        <x:f>ROUND(AX17*$B15+AX24*$B22,0)</x:f>
      </x:c>
      <x:c r="AY44" s="84">
        <x:f>ROUND(AY17*$B15+AY24*$B22,0)</x:f>
      </x:c>
      <x:c r="AZ44" s="84">
        <x:f>ROUND(AZ17*$B15+AZ24*$B22,0)</x:f>
      </x:c>
      <x:c r="BA44" s="84">
        <x:f>ROUND(BA17*$B15+BA24*$B22,0)</x:f>
      </x:c>
      <x:c r="BB44" s="84">
        <x:f>ROUND(BB17*$B15+BB24*$B22,0)</x:f>
      </x:c>
      <x:c r="BC44" s="84">
        <x:f>ROUND(BC17*$B15+BC24*$B22,0)</x:f>
      </x:c>
      <x:c r="BD44" s="84">
        <x:f>ROUND(BD17*$B15+BD24*$B22,0)</x:f>
      </x:c>
      <x:c r="BE44" s="84">
        <x:f>ROUND(BE17*$B15+BE24*$B22,0)</x:f>
      </x:c>
      <x:c r="BF44" s="84">
        <x:f>ROUND(BF17*$B15+BF24*$B22,0)</x:f>
      </x:c>
      <x:c r="BG44" s="84">
        <x:f>ROUND(BG17*$B15+BG24*$B22,0)</x:f>
      </x:c>
      <x:c r="BH44" s="84">
        <x:f>ROUND(BH17*$B15+BH24*$B22,0)</x:f>
      </x:c>
      <x:c r="BI44" s="84">
        <x:f>ROUND(BI17*$B15+BI24*$B22,0)</x:f>
      </x:c>
      <x:c r="BJ44" s="84">
        <x:f>ROUND(BJ17*$B15+BJ24*$B22,0)</x:f>
      </x:c>
      <x:c r="BK44" s="84">
        <x:f>ROUND(BK17*$B15+BK24*$B22,0)</x:f>
      </x:c>
      <x:c r="BL44" s="84">
        <x:f>ROUND(BL17*$B15+BL24*$B22,0)</x:f>
      </x:c>
      <x:c r="BM44" s="84">
        <x:f>ROUND(BM17*$B15+BM24*$B22,0)</x:f>
      </x:c>
      <x:c r="BN44" s="84">
        <x:f>ROUND(BN17*$B15+BN24*$B22,0)</x:f>
      </x:c>
      <x:c r="BO44" s="84">
        <x:f>ROUND(BO17*$B15+BO24*$B22,0)</x:f>
      </x:c>
      <x:c r="BP44" s="84">
        <x:f>ROUND(BP17*$B15+BP24*$B22,0)</x:f>
      </x:c>
      <x:c r="BQ44" s="84">
        <x:f>ROUND(BQ17*$B15+BQ24*$B22,0)</x:f>
      </x:c>
      <x:c r="BR44" s="84">
        <x:f>ROUND(BR17*$B15+BR24*$B22,0)</x:f>
      </x:c>
      <x:c r="BS44" s="84">
        <x:f>ROUND(BS17*$B15+BS24*$B22,0)</x:f>
      </x:c>
      <x:c r="BT44" s="84">
        <x:f>ROUND(BT17*$B15+BT24*$B22,0)</x:f>
      </x:c>
      <x:c r="BU44" s="84">
        <x:f>ROUND(BU17*$B15+BU24*$B22,0)</x:f>
      </x:c>
      <x:c r="BV44" s="84">
        <x:f>ROUND(BV17*$B15+BV24*$B22,0)</x:f>
      </x:c>
      <x:c r="BW44" s="84">
        <x:f>ROUND(BW17*$B15+BW24*$B22,0)</x:f>
      </x:c>
      <x:c r="BX44" s="84">
        <x:f>ROUND(BX17*$B15+BX24*$B22,0)</x:f>
      </x:c>
      <x:c r="BY44" s="84">
        <x:f>ROUND(BY17*$B15+BY24*$B22,0)</x:f>
      </x:c>
      <x:c r="BZ44" s="84">
        <x:f>ROUND(BZ17*$B15+BZ24*$B22,0)</x:f>
      </x:c>
      <x:c r="CA44" s="84">
        <x:f>ROUND(CA17*$B15+CA24*$B22,0)</x:f>
      </x:c>
      <x:c r="CB44" s="84">
        <x:f>ROUND(CB17*$B15+CB24*$B22,0)</x:f>
      </x:c>
      <x:c r="CC44" s="84">
        <x:f>ROUND(CC17*$B15+CC24*$B22,0)</x:f>
      </x:c>
    </x:row>
    <x:row r="45" spans="1:81" x14ac:dyDescent="0.2">
      <x:c r="A45" s="0" t="s">
        <x:v>229</x:v>
      </x:c>
      <x:c r="D45" s="96">
        <x:f>ROUND(D16*$C19+D23*$C26,0)</x:f>
      </x:c>
      <x:c r="E45" s="96">
        <x:f>ROUND(E16*$C19+E23*$C26,0)</x:f>
      </x:c>
      <x:c r="F45" s="96">
        <x:f>ROUND(F16*$C19+F23*$C26,0)</x:f>
      </x:c>
      <x:c r="G45" s="96">
        <x:f>ROUND(G16*$C19+G23*$C26,0)</x:f>
      </x:c>
      <x:c r="H45" s="96">
        <x:f>ROUND(H16*$C19+H23*$C26,0)</x:f>
      </x:c>
      <x:c r="I45" s="96">
        <x:f>ROUND(I16*$C19+I23*$C26,0)</x:f>
      </x:c>
      <x:c r="J45" s="96">
        <x:f>ROUND(J16*$C19+J23*$C26,0)</x:f>
      </x:c>
      <x:c r="K45" s="96">
        <x:f>ROUND(K16*$C19+K23*$C26,0)</x:f>
      </x:c>
      <x:c r="L45" s="96">
        <x:f>ROUND(L16*$C19+L23*$C26,0)</x:f>
      </x:c>
      <x:c r="M45" s="96">
        <x:f>ROUND(M16*$C19+M23*$C26,0)</x:f>
      </x:c>
      <x:c r="N45" s="96">
        <x:f>ROUND(N16*$C19+N23*$C26,0)</x:f>
      </x:c>
      <x:c r="O45" s="96">
        <x:f>ROUND(O16*$C19+O23*$C26,0)</x:f>
      </x:c>
      <x:c r="P45" s="96">
        <x:f>ROUND(P16*$C19+P23*$C26,0)</x:f>
      </x:c>
      <x:c r="Q45" s="96">
        <x:f>ROUND(Q16*$C19+Q23*$C26,0)</x:f>
      </x:c>
      <x:c r="R45" s="96">
        <x:f>ROUND(R16*$C19+R23*$C26,0)</x:f>
      </x:c>
      <x:c r="S45" s="96">
        <x:f>ROUND(S16*$C19+S23*$C26,0)</x:f>
      </x:c>
      <x:c r="T45" s="96">
        <x:f>ROUND(T16*$C19+T23*$C26,0)</x:f>
      </x:c>
      <x:c r="U45" s="96">
        <x:f>ROUND(U16*$C19+U23*$C26,0)</x:f>
      </x:c>
      <x:c r="V45" s="96">
        <x:f>ROUND(V16*$C19+V23*$C26,0)</x:f>
      </x:c>
      <x:c r="W45" s="96">
        <x:f>ROUND(W16*$C19+W23*$C26,0)</x:f>
      </x:c>
      <x:c r="X45" s="96">
        <x:f>ROUND(X16*$C19+X23*$C26,0)</x:f>
      </x:c>
      <x:c r="Y45" s="96">
        <x:f>ROUND(Y16*$C19+Y23*$C26,0)</x:f>
      </x:c>
      <x:c r="Z45" s="96">
        <x:f>ROUND(Z16*$C19+Z23*$C26,0)</x:f>
      </x:c>
      <x:c r="AA45" s="96">
        <x:f>ROUND(AA16*$C19+AA23*$C26,0)</x:f>
      </x:c>
      <x:c r="AB45" s="96">
        <x:f>ROUND(AB16*$C19+AB23*$C26,0)</x:f>
      </x:c>
      <x:c r="AC45" s="96">
        <x:f>ROUND(AC16*$C19+AC23*$C26,0)</x:f>
      </x:c>
      <x:c r="AD45" s="96">
        <x:f>ROUND(AD16*$C19+AD23*$C26,0)</x:f>
      </x:c>
      <x:c r="AE45" s="96">
        <x:f>ROUND(AE16*$C19+AE23*$C26,0)</x:f>
      </x:c>
      <x:c r="AF45" s="96">
        <x:f>ROUND(AF16*$C19+AF23*$C26,0)</x:f>
      </x:c>
      <x:c r="AG45" s="96">
        <x:f>ROUND(AG16*$C19+AG23*$C26,0)</x:f>
      </x:c>
      <x:c r="AH45" s="96">
        <x:f>ROUND(AH16*$C19+AH23*$C26,0)</x:f>
      </x:c>
      <x:c r="AI45" s="96">
        <x:f>ROUND(AI16*$C19+AI23*$C26,0)</x:f>
      </x:c>
      <x:c r="AJ45" s="96">
        <x:f>ROUND(AJ16*$C19+AJ23*$C26,0)</x:f>
      </x:c>
      <x:c r="AK45" s="96">
        <x:f>ROUND(AK16*$C19+AK23*$C26,0)</x:f>
      </x:c>
      <x:c r="AL45" s="96">
        <x:f>ROUND(AL16*$C19+AL23*$C26,0)</x:f>
      </x:c>
      <x:c r="AM45" s="96">
        <x:f>ROUND(AM16*$C19+AM23*$C26,0)</x:f>
      </x:c>
      <x:c r="AN45" s="96">
        <x:f>ROUND(AN16*$C19+AN23*$C26,0)</x:f>
      </x:c>
      <x:c r="AO45" s="96">
        <x:f>ROUND(AO16*$C19+AO23*$C26,0)</x:f>
      </x:c>
      <x:c r="AP45" s="96">
        <x:f>ROUND(AP16*$C19+AP23*$C26,0)</x:f>
      </x:c>
      <x:c r="AQ45" s="96">
        <x:f>ROUND(AQ16*$C19+AQ23*$C26,0)</x:f>
      </x:c>
      <x:c r="AR45" s="96">
        <x:f>ROUND(AR16*$C19+AR23*$C26,0)</x:f>
      </x:c>
      <x:c r="AS45" s="96">
        <x:f>ROUND(AS16*$C19+AS23*$C26,0)</x:f>
      </x:c>
      <x:c r="AT45" s="96">
        <x:f>ROUND(AT16*$C19+AT23*$C26,0)</x:f>
      </x:c>
      <x:c r="AU45" s="96">
        <x:f>ROUND(AU16*$C19+AU23*$C26,0)</x:f>
      </x:c>
      <x:c r="AV45" s="96">
        <x:f>ROUND(AV16*$C19+AV23*$C26,0)</x:f>
      </x:c>
      <x:c r="AW45" s="96">
        <x:f>ROUND(AW16*$C19+AW23*$C26,0)</x:f>
      </x:c>
      <x:c r="AX45" s="96">
        <x:f>ROUND(AX16*$C19+AX23*$C26,0)</x:f>
      </x:c>
      <x:c r="AY45" s="96">
        <x:f>ROUND(AY16*$C19+AY23*$C26,0)</x:f>
      </x:c>
      <x:c r="AZ45" s="96">
        <x:f>ROUND(AZ16*$C19+AZ23*$C26,0)</x:f>
      </x:c>
      <x:c r="BA45" s="96">
        <x:f>ROUND(BA16*$C19+BA23*$C26,0)</x:f>
      </x:c>
      <x:c r="BB45" s="96">
        <x:f>ROUND(BB16*$C19+BB23*$C26,0)</x:f>
      </x:c>
      <x:c r="BC45" s="96">
        <x:f>ROUND(BC16*$C19+BC23*$C26,0)</x:f>
      </x:c>
      <x:c r="BD45" s="96">
        <x:f>ROUND(BD16*$C19+BD23*$C26,0)</x:f>
      </x:c>
      <x:c r="BE45" s="96">
        <x:f>ROUND(BE16*$C19+BE23*$C26,0)</x:f>
      </x:c>
      <x:c r="BF45" s="96">
        <x:f>ROUND(BF16*$C19+BF23*$C26,0)</x:f>
      </x:c>
      <x:c r="BG45" s="96">
        <x:f>ROUND(BG16*$C19+BG23*$C26,0)</x:f>
      </x:c>
      <x:c r="BH45" s="96">
        <x:f>ROUND(BH16*$C19+BH23*$C26,0)</x:f>
      </x:c>
      <x:c r="BI45" s="96">
        <x:f>ROUND(BI16*$C19+BI23*$C26,0)</x:f>
      </x:c>
      <x:c r="BJ45" s="96">
        <x:f>ROUND(BJ16*$C19+BJ23*$C26,0)</x:f>
      </x:c>
      <x:c r="BK45" s="96">
        <x:f>ROUND(BK16*$C19+BK23*$C26,0)</x:f>
      </x:c>
      <x:c r="BL45" s="96">
        <x:f>ROUND(BL16*$C19+BL23*$C26,0)</x:f>
      </x:c>
      <x:c r="BM45" s="96">
        <x:f>ROUND(BM16*$C19+BM23*$C26,0)</x:f>
      </x:c>
      <x:c r="BN45" s="96">
        <x:f>ROUND(BN16*$C19+BN23*$C26,0)</x:f>
      </x:c>
      <x:c r="BO45" s="96">
        <x:f>ROUND(BO16*$C19+BO23*$C26,0)</x:f>
      </x:c>
      <x:c r="BP45" s="96">
        <x:f>ROUND(BP16*$C19+BP23*$C26,0)</x:f>
      </x:c>
      <x:c r="BQ45" s="96">
        <x:f>ROUND(BQ16*$C19+BQ23*$C26,0)</x:f>
      </x:c>
      <x:c r="BR45" s="96">
        <x:f>ROUND(BR16*$C19+BR23*$C26,0)</x:f>
      </x:c>
      <x:c r="BS45" s="96">
        <x:f>ROUND(BS16*$C19+BS23*$C26,0)</x:f>
      </x:c>
      <x:c r="BT45" s="96">
        <x:f>ROUND(BT16*$C19+BT23*$C26,0)</x:f>
      </x:c>
      <x:c r="BU45" s="96">
        <x:f>ROUND(BU16*$C19+BU23*$C26,0)</x:f>
      </x:c>
      <x:c r="BV45" s="96">
        <x:f>ROUND(BV16*$C19+BV23*$C26,0)</x:f>
      </x:c>
      <x:c r="BW45" s="96">
        <x:f>ROUND(BW16*$C19+BW23*$C26,0)</x:f>
      </x:c>
      <x:c r="BX45" s="96">
        <x:f>ROUND(BX16*$C19+BX23*$C26,0)</x:f>
      </x:c>
      <x:c r="BY45" s="96">
        <x:f>ROUND(BY16*$C19+BY23*$C26,0)</x:f>
      </x:c>
      <x:c r="BZ45" s="96">
        <x:f>ROUND(BZ16*$C19+BZ23*$C26,0)</x:f>
      </x:c>
      <x:c r="CA45" s="96">
        <x:f>ROUND(CA16*$C19+CA23*$C26,0)</x:f>
      </x:c>
      <x:c r="CB45" s="96">
        <x:f>ROUND(CB16*$C19+CB23*$C26,0)</x:f>
      </x:c>
      <x:c r="CC45" s="96">
        <x:f>ROUND(CC16*$C19+CC23*$C26,0)</x:f>
      </x:c>
    </x:row>
    <x:row r="46" spans="1:81" x14ac:dyDescent="0.2">
      <x:c r="A46" s="0" t="s">
        <x:v>230</x:v>
      </x:c>
      <x:c r="D46" s="97">
        <x:f>ROUND(D16*$B16+D23*$B23,0)</x:f>
      </x:c>
      <x:c r="E46" s="97">
        <x:f>ROUND(E16*$B16+E23*$B23,0)</x:f>
      </x:c>
      <x:c r="F46" s="97">
        <x:f>ROUND(F16*$B16+F23*$B23,0)</x:f>
      </x:c>
      <x:c r="G46" s="97">
        <x:f>ROUND(G16*$B16+G23*$B23,0)</x:f>
      </x:c>
      <x:c r="H46" s="97">
        <x:f>ROUND(H16*$B16+H23*$B23,0)</x:f>
      </x:c>
      <x:c r="I46" s="97">
        <x:f>ROUND(I16*$B16+I23*$B23,0)</x:f>
      </x:c>
      <x:c r="J46" s="97">
        <x:f>ROUND(J16*$B16+J23*$B23,0)</x:f>
      </x:c>
      <x:c r="K46" s="97">
        <x:f>ROUND(K16*$B16+K23*$B23,0)</x:f>
      </x:c>
      <x:c r="L46" s="97">
        <x:f>ROUND(L16*$B16+L23*$B23,0)</x:f>
      </x:c>
      <x:c r="M46" s="97">
        <x:f>ROUND(M16*$B16+M23*$B23,0)</x:f>
      </x:c>
      <x:c r="N46" s="97">
        <x:f>ROUND(N16*$B16+N23*$B23,0)</x:f>
      </x:c>
      <x:c r="O46" s="97">
        <x:f>ROUND(O16*$B16+O23*$B23,0)</x:f>
      </x:c>
      <x:c r="P46" s="97">
        <x:f>ROUND(P16*$B16+P23*$B23,0)</x:f>
      </x:c>
      <x:c r="Q46" s="97">
        <x:f>ROUND(Q16*$B16+Q23*$B23,0)</x:f>
      </x:c>
      <x:c r="R46" s="97">
        <x:f>ROUND(R16*$B16+R23*$B23,0)</x:f>
      </x:c>
      <x:c r="S46" s="97">
        <x:f>ROUND(S16*$B16+S23*$B23,0)</x:f>
      </x:c>
      <x:c r="T46" s="97">
        <x:f>ROUND(T16*$B16+T23*$B23,0)</x:f>
      </x:c>
      <x:c r="U46" s="97">
        <x:f>ROUND(U16*$B16+U23*$B23,0)</x:f>
      </x:c>
      <x:c r="V46" s="97">
        <x:f>ROUND(V16*$B16+V23*$B23,0)</x:f>
      </x:c>
      <x:c r="W46" s="97">
        <x:f>ROUND(W16*$B16+W23*$B23,0)</x:f>
      </x:c>
      <x:c r="X46" s="97">
        <x:f>ROUND(X16*$B16+X23*$B23,0)</x:f>
      </x:c>
      <x:c r="Y46" s="97">
        <x:f>ROUND(Y16*$B16+Y23*$B23,0)</x:f>
      </x:c>
      <x:c r="Z46" s="97">
        <x:f>ROUND(Z16*$B16+Z23*$B23,0)</x:f>
      </x:c>
      <x:c r="AA46" s="97">
        <x:f>ROUND(AA16*$B16+AA23*$B23,0)</x:f>
      </x:c>
      <x:c r="AB46" s="97">
        <x:f>ROUND(AB16*$B16+AB23*$B23,0)</x:f>
      </x:c>
      <x:c r="AC46" s="97">
        <x:f>ROUND(AC16*$B16+AC23*$B23,0)</x:f>
      </x:c>
      <x:c r="AD46" s="97">
        <x:f>ROUND(AD16*$B16+AD23*$B23,0)</x:f>
      </x:c>
      <x:c r="AE46" s="97">
        <x:f>ROUND(AE16*$B16+AE23*$B23,0)</x:f>
      </x:c>
      <x:c r="AF46" s="97">
        <x:f>ROUND(AF16*$B16+AF23*$B23,0)</x:f>
      </x:c>
      <x:c r="AG46" s="97">
        <x:f>ROUND(AG16*$B16+AG23*$B23,0)</x:f>
      </x:c>
      <x:c r="AH46" s="97">
        <x:f>ROUND(AH16*$B16+AH23*$B23,0)</x:f>
      </x:c>
      <x:c r="AI46" s="97">
        <x:f>ROUND(AI16*$B16+AI23*$B23,0)</x:f>
      </x:c>
      <x:c r="AJ46" s="97">
        <x:f>ROUND(AJ16*$B16+AJ23*$B23,0)</x:f>
      </x:c>
      <x:c r="AK46" s="97">
        <x:f>ROUND(AK16*$B16+AK23*$B23,0)</x:f>
      </x:c>
      <x:c r="AL46" s="97">
        <x:f>ROUND(AL16*$B16+AL23*$B23,0)</x:f>
      </x:c>
      <x:c r="AM46" s="97">
        <x:f>ROUND(AM16*$B16+AM23*$B23,0)</x:f>
      </x:c>
      <x:c r="AN46" s="97">
        <x:f>ROUND(AN16*$B16+AN23*$B23,0)</x:f>
      </x:c>
      <x:c r="AO46" s="97">
        <x:f>ROUND(AO16*$B16+AO23*$B23,0)</x:f>
      </x:c>
      <x:c r="AP46" s="97">
        <x:f>ROUND(AP16*$B16+AP23*$B23,0)</x:f>
      </x:c>
      <x:c r="AQ46" s="97">
        <x:f>ROUND(AQ16*$B16+AQ23*$B23,0)</x:f>
      </x:c>
      <x:c r="AR46" s="97">
        <x:f>ROUND(AR16*$B16+AR23*$B23,0)</x:f>
      </x:c>
      <x:c r="AS46" s="97">
        <x:f>ROUND(AS16*$B16+AS23*$B23,0)</x:f>
      </x:c>
      <x:c r="AT46" s="97">
        <x:f>ROUND(AT16*$B16+AT23*$B23,0)</x:f>
      </x:c>
      <x:c r="AU46" s="97">
        <x:f>ROUND(AU16*$B16+AU23*$B23,0)</x:f>
      </x:c>
      <x:c r="AV46" s="97">
        <x:f>ROUND(AV16*$B16+AV23*$B23,0)</x:f>
      </x:c>
      <x:c r="AW46" s="97">
        <x:f>ROUND(AW16*$B16+AW23*$B23,0)</x:f>
      </x:c>
      <x:c r="AX46" s="97">
        <x:f>ROUND(AX16*$B16+AX23*$B23,0)</x:f>
      </x:c>
      <x:c r="AY46" s="97">
        <x:f>ROUND(AY16*$B16+AY23*$B23,0)</x:f>
      </x:c>
      <x:c r="AZ46" s="97">
        <x:f>ROUND(AZ16*$B16+AZ23*$B23,0)</x:f>
      </x:c>
      <x:c r="BA46" s="97">
        <x:f>ROUND(BA16*$B16+BA23*$B23,0)</x:f>
      </x:c>
      <x:c r="BB46" s="97">
        <x:f>ROUND(BB16*$B16+BB23*$B23,0)</x:f>
      </x:c>
      <x:c r="BC46" s="97">
        <x:f>ROUND(BC16*$B16+BC23*$B23,0)</x:f>
      </x:c>
      <x:c r="BD46" s="97">
        <x:f>ROUND(BD16*$B16+BD23*$B23,0)</x:f>
      </x:c>
      <x:c r="BE46" s="97">
        <x:f>ROUND(BE16*$B16+BE23*$B23,0)</x:f>
      </x:c>
      <x:c r="BF46" s="97">
        <x:f>ROUND(BF16*$B16+BF23*$B23,0)</x:f>
      </x:c>
      <x:c r="BG46" s="97">
        <x:f>ROUND(BG16*$B16+BG23*$B23,0)</x:f>
      </x:c>
      <x:c r="BH46" s="97">
        <x:f>ROUND(BH16*$B16+BH23*$B23,0)</x:f>
      </x:c>
      <x:c r="BI46" s="97">
        <x:f>ROUND(BI16*$B16+BI23*$B23,0)</x:f>
      </x:c>
      <x:c r="BJ46" s="97">
        <x:f>ROUND(BJ16*$B16+BJ23*$B23,0)</x:f>
      </x:c>
      <x:c r="BK46" s="97">
        <x:f>ROUND(BK16*$B16+BK23*$B23,0)</x:f>
      </x:c>
      <x:c r="BL46" s="97">
        <x:f>ROUND(BL16*$B16+BL23*$B23,0)</x:f>
      </x:c>
      <x:c r="BM46" s="97">
        <x:f>ROUND(BM16*$B16+BM23*$B23,0)</x:f>
      </x:c>
      <x:c r="BN46" s="97">
        <x:f>ROUND(BN16*$B16+BN23*$B23,0)</x:f>
      </x:c>
      <x:c r="BO46" s="97">
        <x:f>ROUND(BO16*$B16+BO23*$B23,0)</x:f>
      </x:c>
      <x:c r="BP46" s="97">
        <x:f>ROUND(BP16*$B16+BP23*$B23,0)</x:f>
      </x:c>
      <x:c r="BQ46" s="97">
        <x:f>ROUND(BQ16*$B16+BQ23*$B23,0)</x:f>
      </x:c>
      <x:c r="BR46" s="97">
        <x:f>ROUND(BR16*$B16+BR23*$B23,0)</x:f>
      </x:c>
      <x:c r="BS46" s="97">
        <x:f>ROUND(BS16*$B16+BS23*$B23,0)</x:f>
      </x:c>
      <x:c r="BT46" s="97">
        <x:f>ROUND(BT16*$B16+BT23*$B23,0)</x:f>
      </x:c>
      <x:c r="BU46" s="97">
        <x:f>ROUND(BU16*$B16+BU23*$B23,0)</x:f>
      </x:c>
      <x:c r="BV46" s="97">
        <x:f>ROUND(BV16*$B16+BV23*$B23,0)</x:f>
      </x:c>
      <x:c r="BW46" s="97">
        <x:f>ROUND(BW16*$B16+BW23*$B23,0)</x:f>
      </x:c>
      <x:c r="BX46" s="97">
        <x:f>ROUND(BX16*$B16+BX23*$B23,0)</x:f>
      </x:c>
      <x:c r="BY46" s="97">
        <x:f>ROUND(BY16*$B16+BY23*$B23,0)</x:f>
      </x:c>
      <x:c r="BZ46" s="97">
        <x:f>ROUND(BZ16*$B16+BZ23*$B23,0)</x:f>
      </x:c>
      <x:c r="CA46" s="97">
        <x:f>ROUND(CA16*$B16+CA23*$B23,0)</x:f>
      </x:c>
      <x:c r="CB46" s="97">
        <x:f>ROUND(CB16*$B16+CB23*$B23,0)</x:f>
      </x:c>
      <x:c r="CC46" s="97">
        <x:f>ROUND(CC16*$B16+CC23*$B23,0)</x:f>
      </x:c>
    </x:row>
    <x:row r="47" spans="1:81" x14ac:dyDescent="0.2">
      <x:c r="A47" s="0" t="s">
        <x:v>231</x:v>
      </x:c>
      <x:c r="D47" s="84">
        <x:f>ROUND(D16*$B18+D23*$B25,0)</x:f>
      </x:c>
      <x:c r="E47" s="84">
        <x:f>ROUND(E16*$B18+E23*$B25,0)</x:f>
      </x:c>
      <x:c r="F47" s="84">
        <x:f>ROUND(F16*$B18+F23*$B25,0)</x:f>
      </x:c>
      <x:c r="G47" s="84">
        <x:f>ROUND(G16*$B18+G23*$B25,0)</x:f>
      </x:c>
      <x:c r="H47" s="84">
        <x:f>ROUND(H16*$B18+H23*$B25,0)</x:f>
      </x:c>
      <x:c r="I47" s="84">
        <x:f>ROUND(I16*$B18+I23*$B25,0)</x:f>
      </x:c>
      <x:c r="J47" s="84">
        <x:f>ROUND(J16*$B18+J23*$B25,0)</x:f>
      </x:c>
      <x:c r="K47" s="84">
        <x:f>ROUND(K16*$B18+K23*$B25,0)</x:f>
      </x:c>
      <x:c r="L47" s="84">
        <x:f>ROUND(L16*$B18+L23*$B25,0)</x:f>
      </x:c>
      <x:c r="M47" s="84">
        <x:f>ROUND(M16*$B18+M23*$B25,0)</x:f>
      </x:c>
      <x:c r="N47" s="84">
        <x:f>ROUND(N16*$B18+N23*$B25,0)</x:f>
      </x:c>
      <x:c r="O47" s="84">
        <x:f>ROUND(O16*$B18+O23*$B25,0)</x:f>
      </x:c>
      <x:c r="P47" s="84">
        <x:f>ROUND(P16*$B18+P23*$B25,0)</x:f>
      </x:c>
      <x:c r="Q47" s="84">
        <x:f>ROUND(Q16*$B18+Q23*$B25,0)</x:f>
      </x:c>
      <x:c r="R47" s="84">
        <x:f>ROUND(R16*$B18+R23*$B25,0)</x:f>
      </x:c>
      <x:c r="S47" s="84">
        <x:f>ROUND(S16*$B18+S23*$B25,0)</x:f>
      </x:c>
      <x:c r="T47" s="84">
        <x:f>ROUND(T16*$B18+T23*$B25,0)</x:f>
      </x:c>
      <x:c r="U47" s="84">
        <x:f>ROUND(U16*$B18+U23*$B25,0)</x:f>
      </x:c>
      <x:c r="V47" s="84">
        <x:f>ROUND(V16*$B18+V23*$B25,0)</x:f>
      </x:c>
      <x:c r="W47" s="84">
        <x:f>ROUND(W16*$B18+W23*$B25,0)</x:f>
      </x:c>
      <x:c r="X47" s="84">
        <x:f>ROUND(X16*$B18+X23*$B25,0)</x:f>
      </x:c>
      <x:c r="Y47" s="84">
        <x:f>ROUND(Y16*$B18+Y23*$B25,0)</x:f>
      </x:c>
      <x:c r="Z47" s="84">
        <x:f>ROUND(Z16*$B18+Z23*$B25,0)</x:f>
      </x:c>
      <x:c r="AA47" s="84">
        <x:f>ROUND(AA16*$B18+AA23*$B25,0)</x:f>
      </x:c>
      <x:c r="AB47" s="84">
        <x:f>ROUND(AB16*$B18+AB23*$B25,0)</x:f>
      </x:c>
      <x:c r="AC47" s="84">
        <x:f>ROUND(AC16*$B18+AC23*$B25,0)</x:f>
      </x:c>
      <x:c r="AD47" s="84">
        <x:f>ROUND(AD16*$B18+AD23*$B25,0)</x:f>
      </x:c>
      <x:c r="AE47" s="84">
        <x:f>ROUND(AE16*$B18+AE23*$B25,0)</x:f>
      </x:c>
      <x:c r="AF47" s="84">
        <x:f>ROUND(AF16*$B18+AF23*$B25,0)</x:f>
      </x:c>
      <x:c r="AG47" s="84">
        <x:f>ROUND(AG16*$B18+AG23*$B25,0)</x:f>
      </x:c>
      <x:c r="AH47" s="84">
        <x:f>ROUND(AH16*$B18+AH23*$B25,0)</x:f>
      </x:c>
      <x:c r="AI47" s="84">
        <x:f>ROUND(AI16*$B18+AI23*$B25,0)</x:f>
      </x:c>
      <x:c r="AJ47" s="84">
        <x:f>ROUND(AJ16*$B18+AJ23*$B25,0)</x:f>
      </x:c>
      <x:c r="AK47" s="84">
        <x:f>ROUND(AK16*$B18+AK23*$B25,0)</x:f>
      </x:c>
      <x:c r="AL47" s="84">
        <x:f>ROUND(AL16*$B18+AL23*$B25,0)</x:f>
      </x:c>
      <x:c r="AM47" s="84">
        <x:f>ROUND(AM16*$B18+AM23*$B25,0)</x:f>
      </x:c>
      <x:c r="AN47" s="84">
        <x:f>ROUND(AN16*$B18+AN23*$B25,0)</x:f>
      </x:c>
      <x:c r="AO47" s="84">
        <x:f>ROUND(AO16*$B18+AO23*$B25,0)</x:f>
      </x:c>
      <x:c r="AP47" s="84">
        <x:f>ROUND(AP16*$B18+AP23*$B25,0)</x:f>
      </x:c>
      <x:c r="AQ47" s="84">
        <x:f>ROUND(AQ16*$B18+AQ23*$B25,0)</x:f>
      </x:c>
      <x:c r="AR47" s="84">
        <x:f>ROUND(AR16*$B18+AR23*$B25,0)</x:f>
      </x:c>
      <x:c r="AS47" s="84">
        <x:f>ROUND(AS16*$B18+AS23*$B25,0)</x:f>
      </x:c>
      <x:c r="AT47" s="84">
        <x:f>ROUND(AT16*$B18+AT23*$B25,0)</x:f>
      </x:c>
      <x:c r="AU47" s="84">
        <x:f>ROUND(AU16*$B18+AU23*$B25,0)</x:f>
      </x:c>
      <x:c r="AV47" s="84">
        <x:f>ROUND(AV16*$B18+AV23*$B25,0)</x:f>
      </x:c>
      <x:c r="AW47" s="84">
        <x:f>ROUND(AW16*$B18+AW23*$B25,0)</x:f>
      </x:c>
      <x:c r="AX47" s="84">
        <x:f>ROUND(AX16*$B18+AX23*$B25,0)</x:f>
      </x:c>
      <x:c r="AY47" s="84">
        <x:f>ROUND(AY16*$B18+AY23*$B25,0)</x:f>
      </x:c>
      <x:c r="AZ47" s="84">
        <x:f>ROUND(AZ16*$B18+AZ23*$B25,0)</x:f>
      </x:c>
      <x:c r="BA47" s="84">
        <x:f>ROUND(BA16*$B18+BA23*$B25,0)</x:f>
      </x:c>
      <x:c r="BB47" s="84">
        <x:f>ROUND(BB16*$B18+BB23*$B25,0)</x:f>
      </x:c>
      <x:c r="BC47" s="84">
        <x:f>ROUND(BC16*$B18+BC23*$B25,0)</x:f>
      </x:c>
      <x:c r="BD47" s="84">
        <x:f>ROUND(BD16*$B18+BD23*$B25,0)</x:f>
      </x:c>
      <x:c r="BE47" s="84">
        <x:f>ROUND(BE16*$B18+BE23*$B25,0)</x:f>
      </x:c>
      <x:c r="BF47" s="84">
        <x:f>ROUND(BF16*$B18+BF23*$B25,0)</x:f>
      </x:c>
      <x:c r="BG47" s="84">
        <x:f>ROUND(BG16*$B18+BG23*$B25,0)</x:f>
      </x:c>
      <x:c r="BH47" s="84">
        <x:f>ROUND(BH16*$B18+BH23*$B25,0)</x:f>
      </x:c>
      <x:c r="BI47" s="84">
        <x:f>ROUND(BI16*$B18+BI23*$B25,0)</x:f>
      </x:c>
      <x:c r="BJ47" s="84">
        <x:f>ROUND(BJ16*$B18+BJ23*$B25,0)</x:f>
      </x:c>
      <x:c r="BK47" s="84">
        <x:f>ROUND(BK16*$B18+BK23*$B25,0)</x:f>
      </x:c>
      <x:c r="BL47" s="84">
        <x:f>ROUND(BL16*$B18+BL23*$B25,0)</x:f>
      </x:c>
      <x:c r="BM47" s="84">
        <x:f>ROUND(BM16*$B18+BM23*$B25,0)</x:f>
      </x:c>
      <x:c r="BN47" s="84">
        <x:f>ROUND(BN16*$B18+BN23*$B25,0)</x:f>
      </x:c>
      <x:c r="BO47" s="84">
        <x:f>ROUND(BO16*$B18+BO23*$B25,0)</x:f>
      </x:c>
      <x:c r="BP47" s="84">
        <x:f>ROUND(BP16*$B18+BP23*$B25,0)</x:f>
      </x:c>
      <x:c r="BQ47" s="84">
        <x:f>ROUND(BQ16*$B18+BQ23*$B25,0)</x:f>
      </x:c>
      <x:c r="BR47" s="84">
        <x:f>ROUND(BR16*$B18+BR23*$B25,0)</x:f>
      </x:c>
      <x:c r="BS47" s="84">
        <x:f>ROUND(BS16*$B18+BS23*$B25,0)</x:f>
      </x:c>
      <x:c r="BT47" s="84">
        <x:f>ROUND(BT16*$B18+BT23*$B25,0)</x:f>
      </x:c>
      <x:c r="BU47" s="84">
        <x:f>ROUND(BU16*$B18+BU23*$B25,0)</x:f>
      </x:c>
      <x:c r="BV47" s="84">
        <x:f>ROUND(BV16*$B18+BV23*$B25,0)</x:f>
      </x:c>
      <x:c r="BW47" s="84">
        <x:f>ROUND(BW16*$B18+BW23*$B25,0)</x:f>
      </x:c>
      <x:c r="BX47" s="84">
        <x:f>ROUND(BX16*$B18+BX23*$B25,0)</x:f>
      </x:c>
      <x:c r="BY47" s="84">
        <x:f>ROUND(BY16*$B18+BY23*$B25,0)</x:f>
      </x:c>
      <x:c r="BZ47" s="84">
        <x:f>ROUND(BZ16*$B18+BZ23*$B25,0)</x:f>
      </x:c>
      <x:c r="CA47" s="84">
        <x:f>ROUND(CA16*$B18+CA23*$B25,0)</x:f>
      </x:c>
      <x:c r="CB47" s="84">
        <x:f>ROUND(CB16*$B18+CB23*$B25,0)</x:f>
      </x:c>
      <x:c r="CC47" s="84">
        <x:f>ROUND(CC16*$B18+CC23*$B25,0)</x:f>
      </x:c>
    </x:row>
    <x:row r="48" spans="1:81" x14ac:dyDescent="0.2">
      <x:c r="A48" s="0" t="s">
        <x:v>232</x:v>
      </x:c>
      <x:c r="D48" s="84">
        <x:f>ROUND(D17*$B16+D24*$B23,0)</x:f>
      </x:c>
      <x:c r="E48" s="84">
        <x:f>ROUND(E17*$B16+E24*$B23,0)</x:f>
      </x:c>
      <x:c r="F48" s="84">
        <x:f>ROUND(F17*$B16+F24*$B23,0)</x:f>
      </x:c>
      <x:c r="G48" s="84">
        <x:f>ROUND(G17*$B16+G24*$B23,0)</x:f>
      </x:c>
      <x:c r="H48" s="84">
        <x:f>ROUND(H17*$B16+H24*$B23,0)</x:f>
      </x:c>
      <x:c r="I48" s="84">
        <x:f>ROUND(I17*$B16+I24*$B23,0)</x:f>
      </x:c>
      <x:c r="J48" s="84">
        <x:f>ROUND(J17*$B16+J24*$B23,0)</x:f>
      </x:c>
      <x:c r="K48" s="84">
        <x:f>ROUND(K17*$B16+K24*$B23,0)</x:f>
      </x:c>
      <x:c r="L48" s="84">
        <x:f>ROUND(L17*$B16+L24*$B23,0)</x:f>
      </x:c>
      <x:c r="M48" s="84">
        <x:f>ROUND(M17*$B16+M24*$B23,0)</x:f>
      </x:c>
      <x:c r="N48" s="84">
        <x:f>ROUND(N17*$B16+N24*$B23,0)</x:f>
      </x:c>
      <x:c r="O48" s="84">
        <x:f>ROUND(O17*$B16+O24*$B23,0)</x:f>
      </x:c>
      <x:c r="P48" s="84">
        <x:f>ROUND(P17*$B16+P24*$B23,0)</x:f>
      </x:c>
      <x:c r="Q48" s="84">
        <x:f>ROUND(Q17*$B16+Q24*$B23,0)</x:f>
      </x:c>
      <x:c r="R48" s="84">
        <x:f>ROUND(R17*$B16+R24*$B23,0)</x:f>
      </x:c>
      <x:c r="S48" s="84">
        <x:f>ROUND(S17*$B16+S24*$B23,0)</x:f>
      </x:c>
      <x:c r="T48" s="84">
        <x:f>ROUND(T17*$B16+T24*$B23,0)</x:f>
      </x:c>
      <x:c r="U48" s="84">
        <x:f>ROUND(U17*$B16+U24*$B23,0)</x:f>
      </x:c>
      <x:c r="V48" s="84">
        <x:f>ROUND(V17*$B16+V24*$B23,0)</x:f>
      </x:c>
      <x:c r="W48" s="84">
        <x:f>ROUND(W17*$B16+W24*$B23,0)</x:f>
      </x:c>
      <x:c r="X48" s="84">
        <x:f>ROUND(X17*$B16+X24*$B23,0)</x:f>
      </x:c>
      <x:c r="Y48" s="84">
        <x:f>ROUND(Y17*$B16+Y24*$B23,0)</x:f>
      </x:c>
      <x:c r="Z48" s="84">
        <x:f>ROUND(Z17*$B16+Z24*$B23,0)</x:f>
      </x:c>
      <x:c r="AA48" s="84">
        <x:f>ROUND(AA17*$B16+AA24*$B23,0)</x:f>
      </x:c>
      <x:c r="AB48" s="84">
        <x:f>ROUND(AB17*$B16+AB24*$B23,0)</x:f>
      </x:c>
      <x:c r="AC48" s="84">
        <x:f>ROUND(AC17*$B16+AC24*$B23,0)</x:f>
      </x:c>
      <x:c r="AD48" s="84">
        <x:f>ROUND(AD17*$B16+AD24*$B23,0)</x:f>
      </x:c>
      <x:c r="AE48" s="84">
        <x:f>ROUND(AE17*$B16+AE24*$B23,0)</x:f>
      </x:c>
      <x:c r="AF48" s="84">
        <x:f>ROUND(AF17*$B16+AF24*$B23,0)</x:f>
      </x:c>
      <x:c r="AG48" s="84">
        <x:f>ROUND(AG17*$B16+AG24*$B23,0)</x:f>
      </x:c>
      <x:c r="AH48" s="84">
        <x:f>ROUND(AH17*$B16+AH24*$B23,0)</x:f>
      </x:c>
      <x:c r="AI48" s="84">
        <x:f>ROUND(AI17*$B16+AI24*$B23,0)</x:f>
      </x:c>
      <x:c r="AJ48" s="84">
        <x:f>ROUND(AJ17*$B16+AJ24*$B23,0)</x:f>
      </x:c>
      <x:c r="AK48" s="84">
        <x:f>ROUND(AK17*$B16+AK24*$B23,0)</x:f>
      </x:c>
      <x:c r="AL48" s="84">
        <x:f>ROUND(AL17*$B16+AL24*$B23,0)</x:f>
      </x:c>
      <x:c r="AM48" s="84">
        <x:f>ROUND(AM17*$B16+AM24*$B23,0)</x:f>
      </x:c>
      <x:c r="AN48" s="84">
        <x:f>ROUND(AN17*$B16+AN24*$B23,0)</x:f>
      </x:c>
      <x:c r="AO48" s="84">
        <x:f>ROUND(AO17*$B16+AO24*$B23,0)</x:f>
      </x:c>
      <x:c r="AP48" s="84">
        <x:f>ROUND(AP17*$B16+AP24*$B23,0)</x:f>
      </x:c>
      <x:c r="AQ48" s="84">
        <x:f>ROUND(AQ17*$B16+AQ24*$B23,0)</x:f>
      </x:c>
      <x:c r="AR48" s="84">
        <x:f>ROUND(AR17*$B16+AR24*$B23,0)</x:f>
      </x:c>
      <x:c r="AS48" s="84">
        <x:f>ROUND(AS17*$B16+AS24*$B23,0)</x:f>
      </x:c>
      <x:c r="AT48" s="84">
        <x:f>ROUND(AT17*$B16+AT24*$B23,0)</x:f>
      </x:c>
      <x:c r="AU48" s="84">
        <x:f>ROUND(AU17*$B16+AU24*$B23,0)</x:f>
      </x:c>
      <x:c r="AV48" s="84">
        <x:f>ROUND(AV17*$B16+AV24*$B23,0)</x:f>
      </x:c>
      <x:c r="AW48" s="84">
        <x:f>ROUND(AW17*$B16+AW24*$B23,0)</x:f>
      </x:c>
      <x:c r="AX48" s="84">
        <x:f>ROUND(AX17*$B16+AX24*$B23,0)</x:f>
      </x:c>
      <x:c r="AY48" s="84">
        <x:f>ROUND(AY17*$B16+AY24*$B23,0)</x:f>
      </x:c>
      <x:c r="AZ48" s="84">
        <x:f>ROUND(AZ17*$B16+AZ24*$B23,0)</x:f>
      </x:c>
      <x:c r="BA48" s="84">
        <x:f>ROUND(BA17*$B16+BA24*$B23,0)</x:f>
      </x:c>
      <x:c r="BB48" s="84">
        <x:f>ROUND(BB17*$B16+BB24*$B23,0)</x:f>
      </x:c>
      <x:c r="BC48" s="84">
        <x:f>ROUND(BC17*$B16+BC24*$B23,0)</x:f>
      </x:c>
      <x:c r="BD48" s="84">
        <x:f>ROUND(BD17*$B16+BD24*$B23,0)</x:f>
      </x:c>
      <x:c r="BE48" s="84">
        <x:f>ROUND(BE17*$B16+BE24*$B23,0)</x:f>
      </x:c>
      <x:c r="BF48" s="84">
        <x:f>ROUND(BF17*$B16+BF24*$B23,0)</x:f>
      </x:c>
      <x:c r="BG48" s="84">
        <x:f>ROUND(BG17*$B16+BG24*$B23,0)</x:f>
      </x:c>
      <x:c r="BH48" s="84">
        <x:f>ROUND(BH17*$B16+BH24*$B23,0)</x:f>
      </x:c>
      <x:c r="BI48" s="84">
        <x:f>ROUND(BI17*$B16+BI24*$B23,0)</x:f>
      </x:c>
      <x:c r="BJ48" s="84">
        <x:f>ROUND(BJ17*$B16+BJ24*$B23,0)</x:f>
      </x:c>
      <x:c r="BK48" s="84">
        <x:f>ROUND(BK17*$B16+BK24*$B23,0)</x:f>
      </x:c>
      <x:c r="BL48" s="84">
        <x:f>ROUND(BL17*$B16+BL24*$B23,0)</x:f>
      </x:c>
      <x:c r="BM48" s="84">
        <x:f>ROUND(BM17*$B16+BM24*$B23,0)</x:f>
      </x:c>
      <x:c r="BN48" s="84">
        <x:f>ROUND(BN17*$B16+BN24*$B23,0)</x:f>
      </x:c>
      <x:c r="BO48" s="84">
        <x:f>ROUND(BO17*$B16+BO24*$B23,0)</x:f>
      </x:c>
      <x:c r="BP48" s="84">
        <x:f>ROUND(BP17*$B16+BP24*$B23,0)</x:f>
      </x:c>
      <x:c r="BQ48" s="84">
        <x:f>ROUND(BQ17*$B16+BQ24*$B23,0)</x:f>
      </x:c>
      <x:c r="BR48" s="84">
        <x:f>ROUND(BR17*$B16+BR24*$B23,0)</x:f>
      </x:c>
      <x:c r="BS48" s="84">
        <x:f>ROUND(BS17*$B16+BS24*$B23,0)</x:f>
      </x:c>
      <x:c r="BT48" s="84">
        <x:f>ROUND(BT17*$B16+BT24*$B23,0)</x:f>
      </x:c>
      <x:c r="BU48" s="84">
        <x:f>ROUND(BU17*$B16+BU24*$B23,0)</x:f>
      </x:c>
      <x:c r="BV48" s="84">
        <x:f>ROUND(BV17*$B16+BV24*$B23,0)</x:f>
      </x:c>
      <x:c r="BW48" s="84">
        <x:f>ROUND(BW17*$B16+BW24*$B23,0)</x:f>
      </x:c>
      <x:c r="BX48" s="84">
        <x:f>ROUND(BX17*$B16+BX24*$B23,0)</x:f>
      </x:c>
      <x:c r="BY48" s="84">
        <x:f>ROUND(BY17*$B16+BY24*$B23,0)</x:f>
      </x:c>
      <x:c r="BZ48" s="84">
        <x:f>ROUND(BZ17*$B16+BZ24*$B23,0)</x:f>
      </x:c>
      <x:c r="CA48" s="84">
        <x:f>ROUND(CA17*$B16+CA24*$B23,0)</x:f>
      </x:c>
      <x:c r="CB48" s="84">
        <x:f>ROUND(CB17*$B16+CB24*$B23,0)</x:f>
      </x:c>
      <x:c r="CC48" s="84">
        <x:f>ROUND(CC17*$B16+CC24*$B23,0)</x:f>
      </x:c>
    </x:row>
    <x:row r="49" spans="1:81" x14ac:dyDescent="0.2">
      <x:c r="A49" s="0" t="s">
        <x:v>233</x:v>
      </x:c>
      <x:c r="D49" s="84">
        <x:f>ROUND(D17*$B18+D24*$B25,0)</x:f>
      </x:c>
      <x:c r="E49" s="84">
        <x:f>ROUND(E17*$B18+E24*$B25,0)</x:f>
      </x:c>
      <x:c r="F49" s="84">
        <x:f>ROUND(F17*$B18+F24*$B25,0)</x:f>
      </x:c>
      <x:c r="G49" s="84">
        <x:f>ROUND(G17*$B18+G24*$B25,0)</x:f>
      </x:c>
      <x:c r="H49" s="84">
        <x:f>ROUND(H17*$B18+H24*$B25,0)</x:f>
      </x:c>
      <x:c r="I49" s="84">
        <x:f>ROUND(I17*$B18+I24*$B25,0)</x:f>
      </x:c>
      <x:c r="J49" s="84">
        <x:f>ROUND(J17*$B18+J24*$B25,0)</x:f>
      </x:c>
      <x:c r="K49" s="84">
        <x:f>ROUND(K17*$B18+K24*$B25,0)</x:f>
      </x:c>
      <x:c r="L49" s="84">
        <x:f>ROUND(L17*$B18+L24*$B25,0)</x:f>
      </x:c>
      <x:c r="M49" s="84">
        <x:f>ROUND(M17*$B18+M24*$B25,0)</x:f>
      </x:c>
      <x:c r="N49" s="84">
        <x:f>ROUND(N17*$B18+N24*$B25,0)</x:f>
      </x:c>
      <x:c r="O49" s="84">
        <x:f>ROUND(O17*$B18+O24*$B25,0)</x:f>
      </x:c>
      <x:c r="P49" s="84">
        <x:f>ROUND(P17*$B18+P24*$B25,0)</x:f>
      </x:c>
      <x:c r="Q49" s="84">
        <x:f>ROUND(Q17*$B18+Q24*$B25,0)</x:f>
      </x:c>
      <x:c r="R49" s="84">
        <x:f>ROUND(R17*$B18+R24*$B25,0)</x:f>
      </x:c>
      <x:c r="S49" s="84">
        <x:f>ROUND(S17*$B18+S24*$B25,0)</x:f>
      </x:c>
      <x:c r="T49" s="84">
        <x:f>ROUND(T17*$B18+T24*$B25,0)</x:f>
      </x:c>
      <x:c r="U49" s="84">
        <x:f>ROUND(U17*$B18+U24*$B25,0)</x:f>
      </x:c>
      <x:c r="V49" s="84">
        <x:f>ROUND(V17*$B18+V24*$B25,0)</x:f>
      </x:c>
      <x:c r="W49" s="84">
        <x:f>ROUND(W17*$B18+W24*$B25,0)</x:f>
      </x:c>
      <x:c r="X49" s="84">
        <x:f>ROUND(X17*$B18+X24*$B25,0)</x:f>
      </x:c>
      <x:c r="Y49" s="84">
        <x:f>ROUND(Y17*$B18+Y24*$B25,0)</x:f>
      </x:c>
      <x:c r="Z49" s="84">
        <x:f>ROUND(Z17*$B18+Z24*$B25,0)</x:f>
      </x:c>
      <x:c r="AA49" s="84">
        <x:f>ROUND(AA17*$B18+AA24*$B25,0)</x:f>
      </x:c>
      <x:c r="AB49" s="84">
        <x:f>ROUND(AB17*$B18+AB24*$B25,0)</x:f>
      </x:c>
      <x:c r="AC49" s="84">
        <x:f>ROUND(AC17*$B18+AC24*$B25,0)</x:f>
      </x:c>
      <x:c r="AD49" s="84">
        <x:f>ROUND(AD17*$B18+AD24*$B25,0)</x:f>
      </x:c>
      <x:c r="AE49" s="84">
        <x:f>ROUND(AE17*$B18+AE24*$B25,0)</x:f>
      </x:c>
      <x:c r="AF49" s="84">
        <x:f>ROUND(AF17*$B18+AF24*$B25,0)</x:f>
      </x:c>
      <x:c r="AG49" s="84">
        <x:f>ROUND(AG17*$B18+AG24*$B25,0)</x:f>
      </x:c>
      <x:c r="AH49" s="84">
        <x:f>ROUND(AH17*$B18+AH24*$B25,0)</x:f>
      </x:c>
      <x:c r="AI49" s="84">
        <x:f>ROUND(AI17*$B18+AI24*$B25,0)</x:f>
      </x:c>
      <x:c r="AJ49" s="84">
        <x:f>ROUND(AJ17*$B18+AJ24*$B25,0)</x:f>
      </x:c>
      <x:c r="AK49" s="84">
        <x:f>ROUND(AK17*$B18+AK24*$B25,0)</x:f>
      </x:c>
      <x:c r="AL49" s="84">
        <x:f>ROUND(AL17*$B18+AL24*$B25,0)</x:f>
      </x:c>
      <x:c r="AM49" s="84">
        <x:f>ROUND(AM17*$B18+AM24*$B25,0)</x:f>
      </x:c>
      <x:c r="AN49" s="84">
        <x:f>ROUND(AN17*$B18+AN24*$B25,0)</x:f>
      </x:c>
      <x:c r="AO49" s="84">
        <x:f>ROUND(AO17*$B18+AO24*$B25,0)</x:f>
      </x:c>
      <x:c r="AP49" s="84">
        <x:f>ROUND(AP17*$B18+AP24*$B25,0)</x:f>
      </x:c>
      <x:c r="AQ49" s="84">
        <x:f>ROUND(AQ17*$B18+AQ24*$B25,0)</x:f>
      </x:c>
      <x:c r="AR49" s="84">
        <x:f>ROUND(AR17*$B18+AR24*$B25,0)</x:f>
      </x:c>
      <x:c r="AS49" s="84">
        <x:f>ROUND(AS17*$B18+AS24*$B25,0)</x:f>
      </x:c>
      <x:c r="AT49" s="84">
        <x:f>ROUND(AT17*$B18+AT24*$B25,0)</x:f>
      </x:c>
      <x:c r="AU49" s="84">
        <x:f>ROUND(AU17*$B18+AU24*$B25,0)</x:f>
      </x:c>
      <x:c r="AV49" s="84">
        <x:f>ROUND(AV17*$B18+AV24*$B25,0)</x:f>
      </x:c>
      <x:c r="AW49" s="84">
        <x:f>ROUND(AW17*$B18+AW24*$B25,0)</x:f>
      </x:c>
      <x:c r="AX49" s="84">
        <x:f>ROUND(AX17*$B18+AX24*$B25,0)</x:f>
      </x:c>
      <x:c r="AY49" s="84">
        <x:f>ROUND(AY17*$B18+AY24*$B25,0)</x:f>
      </x:c>
      <x:c r="AZ49" s="84">
        <x:f>ROUND(AZ17*$B18+AZ24*$B25,0)</x:f>
      </x:c>
      <x:c r="BA49" s="84">
        <x:f>ROUND(BA17*$B18+BA24*$B25,0)</x:f>
      </x:c>
      <x:c r="BB49" s="84">
        <x:f>ROUND(BB17*$B18+BB24*$B25,0)</x:f>
      </x:c>
      <x:c r="BC49" s="84">
        <x:f>ROUND(BC17*$B18+BC24*$B25,0)</x:f>
      </x:c>
      <x:c r="BD49" s="84">
        <x:f>ROUND(BD17*$B18+BD24*$B25,0)</x:f>
      </x:c>
      <x:c r="BE49" s="84">
        <x:f>ROUND(BE17*$B18+BE24*$B25,0)</x:f>
      </x:c>
      <x:c r="BF49" s="84">
        <x:f>ROUND(BF17*$B18+BF24*$B25,0)</x:f>
      </x:c>
      <x:c r="BG49" s="84">
        <x:f>ROUND(BG17*$B18+BG24*$B25,0)</x:f>
      </x:c>
      <x:c r="BH49" s="84">
        <x:f>ROUND(BH17*$B18+BH24*$B25,0)</x:f>
      </x:c>
      <x:c r="BI49" s="84">
        <x:f>ROUND(BI17*$B18+BI24*$B25,0)</x:f>
      </x:c>
      <x:c r="BJ49" s="84">
        <x:f>ROUND(BJ17*$B18+BJ24*$B25,0)</x:f>
      </x:c>
      <x:c r="BK49" s="84">
        <x:f>ROUND(BK17*$B18+BK24*$B25,0)</x:f>
      </x:c>
      <x:c r="BL49" s="84">
        <x:f>ROUND(BL17*$B18+BL24*$B25,0)</x:f>
      </x:c>
      <x:c r="BM49" s="84">
        <x:f>ROUND(BM17*$B18+BM24*$B25,0)</x:f>
      </x:c>
      <x:c r="BN49" s="84">
        <x:f>ROUND(BN17*$B18+BN24*$B25,0)</x:f>
      </x:c>
      <x:c r="BO49" s="84">
        <x:f>ROUND(BO17*$B18+BO24*$B25,0)</x:f>
      </x:c>
      <x:c r="BP49" s="84">
        <x:f>ROUND(BP17*$B18+BP24*$B25,0)</x:f>
      </x:c>
      <x:c r="BQ49" s="84">
        <x:f>ROUND(BQ17*$B18+BQ24*$B25,0)</x:f>
      </x:c>
      <x:c r="BR49" s="84">
        <x:f>ROUND(BR17*$B18+BR24*$B25,0)</x:f>
      </x:c>
      <x:c r="BS49" s="84">
        <x:f>ROUND(BS17*$B18+BS24*$B25,0)</x:f>
      </x:c>
      <x:c r="BT49" s="84">
        <x:f>ROUND(BT17*$B18+BT24*$B25,0)</x:f>
      </x:c>
      <x:c r="BU49" s="84">
        <x:f>ROUND(BU17*$B18+BU24*$B25,0)</x:f>
      </x:c>
      <x:c r="BV49" s="84">
        <x:f>ROUND(BV17*$B18+BV24*$B25,0)</x:f>
      </x:c>
      <x:c r="BW49" s="84">
        <x:f>ROUND(BW17*$B18+BW24*$B25,0)</x:f>
      </x:c>
      <x:c r="BX49" s="84">
        <x:f>ROUND(BX17*$B18+BX24*$B25,0)</x:f>
      </x:c>
      <x:c r="BY49" s="84">
        <x:f>ROUND(BY17*$B18+BY24*$B25,0)</x:f>
      </x:c>
      <x:c r="BZ49" s="84">
        <x:f>ROUND(BZ17*$B18+BZ24*$B25,0)</x:f>
      </x:c>
      <x:c r="CA49" s="84">
        <x:f>ROUND(CA17*$B18+CA24*$B25,0)</x:f>
      </x:c>
      <x:c r="CB49" s="84">
        <x:f>ROUND(CB17*$B18+CB24*$B25,0)</x:f>
      </x:c>
      <x:c r="CC49" s="84">
        <x:f>ROUND(CC17*$B18+CC24*$B25,0)</x:f>
      </x:c>
    </x:row>
    <x:row r="50" spans="1:81" x14ac:dyDescent="0.2">
      <x:c r="A50" s="0" t="s">
        <x:v>234</x:v>
      </x:c>
      <x:c r="D50" s="84">
        <x:f>ROUND(D14*$B16+D21*$B23,0)</x:f>
      </x:c>
      <x:c r="E50" s="84">
        <x:f>ROUND(E14*$B16+E21*$B23,0)</x:f>
      </x:c>
      <x:c r="F50" s="84">
        <x:f>ROUND(F14*$B16+F21*$B23,0)</x:f>
      </x:c>
      <x:c r="G50" s="84">
        <x:f>ROUND(G14*$B16+G21*$B23,0)</x:f>
      </x:c>
      <x:c r="H50" s="84">
        <x:f>ROUND(H14*$B16+H21*$B23,0)</x:f>
      </x:c>
      <x:c r="I50" s="84">
        <x:f>ROUND(I14*$B16+I21*$B23,0)</x:f>
      </x:c>
      <x:c r="J50" s="84">
        <x:f>ROUND(J14*$B16+J21*$B23,0)</x:f>
      </x:c>
      <x:c r="K50" s="84">
        <x:f>ROUND(K14*$B16+K21*$B23,0)</x:f>
      </x:c>
      <x:c r="L50" s="84">
        <x:f>ROUND(L14*$B16+L21*$B23,0)</x:f>
      </x:c>
      <x:c r="M50" s="84">
        <x:f>ROUND(M14*$B16+M21*$B23,0)</x:f>
      </x:c>
      <x:c r="N50" s="84">
        <x:f>ROUND(N14*$B16+N21*$B23,0)</x:f>
      </x:c>
      <x:c r="O50" s="84">
        <x:f>ROUND(O14*$B16+O21*$B23,0)</x:f>
      </x:c>
      <x:c r="P50" s="84">
        <x:f>ROUND(P14*$B16+P21*$B23,0)</x:f>
      </x:c>
      <x:c r="Q50" s="84">
        <x:f>ROUND(Q14*$B16+Q21*$B23,0)</x:f>
      </x:c>
      <x:c r="R50" s="84">
        <x:f>ROUND(R14*$B16+R21*$B23,0)</x:f>
      </x:c>
      <x:c r="S50" s="84">
        <x:f>ROUND(S14*$B16+S21*$B23,0)</x:f>
      </x:c>
      <x:c r="T50" s="84">
        <x:f>ROUND(T14*$B16+T21*$B23,0)</x:f>
      </x:c>
      <x:c r="U50" s="84">
        <x:f>ROUND(U14*$B16+U21*$B23,0)</x:f>
      </x:c>
      <x:c r="V50" s="84">
        <x:f>ROUND(V14*$B16+V21*$B23,0)</x:f>
      </x:c>
      <x:c r="W50" s="84">
        <x:f>ROUND(W14*$B16+W21*$B23,0)</x:f>
      </x:c>
      <x:c r="X50" s="84">
        <x:f>ROUND(X14*$B16+X21*$B23,0)</x:f>
      </x:c>
      <x:c r="Y50" s="84">
        <x:f>ROUND(Y14*$B16+Y21*$B23,0)</x:f>
      </x:c>
      <x:c r="Z50" s="84">
        <x:f>ROUND(Z14*$B16+Z21*$B23,0)</x:f>
      </x:c>
      <x:c r="AA50" s="84">
        <x:f>ROUND(AA14*$B16+AA21*$B23,0)</x:f>
      </x:c>
      <x:c r="AB50" s="84">
        <x:f>ROUND(AB14*$B16+AB21*$B23,0)</x:f>
      </x:c>
      <x:c r="AC50" s="84">
        <x:f>ROUND(AC14*$B16+AC21*$B23,0)</x:f>
      </x:c>
      <x:c r="AD50" s="84">
        <x:f>ROUND(AD14*$B16+AD21*$B23,0)</x:f>
      </x:c>
      <x:c r="AE50" s="84">
        <x:f>ROUND(AE14*$B16+AE21*$B23,0)</x:f>
      </x:c>
      <x:c r="AF50" s="84">
        <x:f>ROUND(AF14*$B16+AF21*$B23,0)</x:f>
      </x:c>
      <x:c r="AG50" s="84">
        <x:f>ROUND(AG14*$B16+AG21*$B23,0)</x:f>
      </x:c>
      <x:c r="AH50" s="84">
        <x:f>ROUND(AH14*$B16+AH21*$B23,0)</x:f>
      </x:c>
      <x:c r="AI50" s="84">
        <x:f>ROUND(AI14*$B16+AI21*$B23,0)</x:f>
      </x:c>
      <x:c r="AJ50" s="84">
        <x:f>ROUND(AJ14*$B16+AJ21*$B23,0)</x:f>
      </x:c>
      <x:c r="AK50" s="84">
        <x:f>ROUND(AK14*$B16+AK21*$B23,0)</x:f>
      </x:c>
      <x:c r="AL50" s="84">
        <x:f>ROUND(AL14*$B16+AL21*$B23,0)</x:f>
      </x:c>
      <x:c r="AM50" s="84">
        <x:f>ROUND(AM14*$B16+AM21*$B23,0)</x:f>
      </x:c>
      <x:c r="AN50" s="84">
        <x:f>ROUND(AN14*$B16+AN21*$B23,0)</x:f>
      </x:c>
      <x:c r="AO50" s="84">
        <x:f>ROUND(AO14*$B16+AO21*$B23,0)</x:f>
      </x:c>
      <x:c r="AP50" s="84">
        <x:f>ROUND(AP14*$B16+AP21*$B23,0)</x:f>
      </x:c>
      <x:c r="AQ50" s="84">
        <x:f>ROUND(AQ14*$B16+AQ21*$B23,0)</x:f>
      </x:c>
      <x:c r="AR50" s="84">
        <x:f>ROUND(AR14*$B16+AR21*$B23,0)</x:f>
      </x:c>
      <x:c r="AS50" s="84">
        <x:f>ROUND(AS14*$B16+AS21*$B23,0)</x:f>
      </x:c>
      <x:c r="AT50" s="84">
        <x:f>ROUND(AT14*$B16+AT21*$B23,0)</x:f>
      </x:c>
      <x:c r="AU50" s="84">
        <x:f>ROUND(AU14*$B16+AU21*$B23,0)</x:f>
      </x:c>
      <x:c r="AV50" s="84">
        <x:f>ROUND(AV14*$B16+AV21*$B23,0)</x:f>
      </x:c>
      <x:c r="AW50" s="84">
        <x:f>ROUND(AW14*$B16+AW21*$B23,0)</x:f>
      </x:c>
      <x:c r="AX50" s="84">
        <x:f>ROUND(AX14*$B16+AX21*$B23,0)</x:f>
      </x:c>
      <x:c r="AY50" s="84">
        <x:f>ROUND(AY14*$B16+AY21*$B23,0)</x:f>
      </x:c>
      <x:c r="AZ50" s="84">
        <x:f>ROUND(AZ14*$B16+AZ21*$B23,0)</x:f>
      </x:c>
      <x:c r="BA50" s="84">
        <x:f>ROUND(BA14*$B16+BA21*$B23,0)</x:f>
      </x:c>
      <x:c r="BB50" s="84">
        <x:f>ROUND(BB14*$B16+BB21*$B23,0)</x:f>
      </x:c>
      <x:c r="BC50" s="84">
        <x:f>ROUND(BC14*$B16+BC21*$B23,0)</x:f>
      </x:c>
      <x:c r="BD50" s="84">
        <x:f>ROUND(BD14*$B16+BD21*$B23,0)</x:f>
      </x:c>
      <x:c r="BE50" s="84">
        <x:f>ROUND(BE14*$B16+BE21*$B23,0)</x:f>
      </x:c>
      <x:c r="BF50" s="84">
        <x:f>ROUND(BF14*$B16+BF21*$B23,0)</x:f>
      </x:c>
      <x:c r="BG50" s="84">
        <x:f>ROUND(BG14*$B16+BG21*$B23,0)</x:f>
      </x:c>
      <x:c r="BH50" s="84">
        <x:f>ROUND(BH14*$B16+BH21*$B23,0)</x:f>
      </x:c>
      <x:c r="BI50" s="84">
        <x:f>ROUND(BI14*$B16+BI21*$B23,0)</x:f>
      </x:c>
      <x:c r="BJ50" s="84">
        <x:f>ROUND(BJ14*$B16+BJ21*$B23,0)</x:f>
      </x:c>
      <x:c r="BK50" s="84">
        <x:f>ROUND(BK14*$B16+BK21*$B23,0)</x:f>
      </x:c>
      <x:c r="BL50" s="84">
        <x:f>ROUND(BL14*$B16+BL21*$B23,0)</x:f>
      </x:c>
      <x:c r="BM50" s="84">
        <x:f>ROUND(BM14*$B16+BM21*$B23,0)</x:f>
      </x:c>
      <x:c r="BN50" s="84">
        <x:f>ROUND(BN14*$B16+BN21*$B23,0)</x:f>
      </x:c>
      <x:c r="BO50" s="84">
        <x:f>ROUND(BO14*$B16+BO21*$B23,0)</x:f>
      </x:c>
      <x:c r="BP50" s="84">
        <x:f>ROUND(BP14*$B16+BP21*$B23,0)</x:f>
      </x:c>
      <x:c r="BQ50" s="84">
        <x:f>ROUND(BQ14*$B16+BQ21*$B23,0)</x:f>
      </x:c>
      <x:c r="BR50" s="84">
        <x:f>ROUND(BR14*$B16+BR21*$B23,0)</x:f>
      </x:c>
      <x:c r="BS50" s="84">
        <x:f>ROUND(BS14*$B16+BS21*$B23,0)</x:f>
      </x:c>
      <x:c r="BT50" s="84">
        <x:f>ROUND(BT14*$B16+BT21*$B23,0)</x:f>
      </x:c>
      <x:c r="BU50" s="84">
        <x:f>ROUND(BU14*$B16+BU21*$B23,0)</x:f>
      </x:c>
      <x:c r="BV50" s="84">
        <x:f>ROUND(BV14*$B16+BV21*$B23,0)</x:f>
      </x:c>
      <x:c r="BW50" s="84">
        <x:f>ROUND(BW14*$B16+BW21*$B23,0)</x:f>
      </x:c>
      <x:c r="BX50" s="84">
        <x:f>ROUND(BX14*$B16+BX21*$B23,0)</x:f>
      </x:c>
      <x:c r="BY50" s="84">
        <x:f>ROUND(BY14*$B16+BY21*$B23,0)</x:f>
      </x:c>
      <x:c r="BZ50" s="84">
        <x:f>ROUND(BZ14*$B16+BZ21*$B23,0)</x:f>
      </x:c>
      <x:c r="CA50" s="84">
        <x:f>ROUND(CA14*$B16+CA21*$B23,0)</x:f>
      </x:c>
      <x:c r="CB50" s="84">
        <x:f>ROUND(CB14*$B16+CB21*$B23,0)</x:f>
      </x:c>
      <x:c r="CC50" s="84">
        <x:f>ROUND(CC14*$B16+CC21*$B23,0)</x:f>
      </x:c>
    </x:row>
    <x:row r="51" spans="1:81" x14ac:dyDescent="0.2">
      <x:c r="A51" s="0" t="s">
        <x:v>235</x:v>
      </x:c>
      <x:c r="D51" s="84">
        <x:f>ROUND(D16*$B17+D23*$B24,0)</x:f>
      </x:c>
      <x:c r="E51" s="84">
        <x:f>ROUND(E16*$B17+E23*$B24,0)</x:f>
      </x:c>
      <x:c r="F51" s="84">
        <x:f>ROUND(F16*$B17+F23*$B24,0)</x:f>
      </x:c>
      <x:c r="G51" s="84">
        <x:f>ROUND(G16*$B17+G23*$B24,0)</x:f>
      </x:c>
      <x:c r="H51" s="84">
        <x:f>ROUND(H16*$B17+H23*$B24,0)</x:f>
      </x:c>
      <x:c r="I51" s="84">
        <x:f>ROUND(I16*$B17+I23*$B24,0)</x:f>
      </x:c>
      <x:c r="J51" s="84">
        <x:f>ROUND(J16*$B17+J23*$B24,0)</x:f>
      </x:c>
      <x:c r="K51" s="84">
        <x:f>ROUND(K16*$B17+K23*$B24,0)</x:f>
      </x:c>
      <x:c r="L51" s="84">
        <x:f>ROUND(L16*$B17+L23*$B24,0)</x:f>
      </x:c>
      <x:c r="M51" s="84">
        <x:f>ROUND(M16*$B17+M23*$B24,0)</x:f>
      </x:c>
      <x:c r="N51" s="84">
        <x:f>ROUND(N16*$B17+N23*$B24,0)</x:f>
      </x:c>
      <x:c r="O51" s="84">
        <x:f>ROUND(O16*$B17+O23*$B24,0)</x:f>
      </x:c>
      <x:c r="P51" s="84">
        <x:f>ROUND(P16*$B17+P23*$B24,0)</x:f>
      </x:c>
      <x:c r="Q51" s="84">
        <x:f>ROUND(Q16*$B17+Q23*$B24,0)</x:f>
      </x:c>
      <x:c r="R51" s="84">
        <x:f>ROUND(R16*$B17+R23*$B24,0)</x:f>
      </x:c>
      <x:c r="S51" s="84">
        <x:f>ROUND(S16*$B17+S23*$B24,0)</x:f>
      </x:c>
      <x:c r="T51" s="84">
        <x:f>ROUND(T16*$B17+T23*$B24,0)</x:f>
      </x:c>
      <x:c r="U51" s="84">
        <x:f>ROUND(U16*$B17+U23*$B24,0)</x:f>
      </x:c>
      <x:c r="V51" s="84">
        <x:f>ROUND(V16*$B17+V23*$B24,0)</x:f>
      </x:c>
      <x:c r="W51" s="84">
        <x:f>ROUND(W16*$B17+W23*$B24,0)</x:f>
      </x:c>
      <x:c r="X51" s="84">
        <x:f>ROUND(X16*$B17+X23*$B24,0)</x:f>
      </x:c>
      <x:c r="Y51" s="84">
        <x:f>ROUND(Y16*$B17+Y23*$B24,0)</x:f>
      </x:c>
      <x:c r="Z51" s="84">
        <x:f>ROUND(Z16*$B17+Z23*$B24,0)</x:f>
      </x:c>
      <x:c r="AA51" s="84">
        <x:f>ROUND(AA16*$B17+AA23*$B24,0)</x:f>
      </x:c>
      <x:c r="AB51" s="84">
        <x:f>ROUND(AB16*$B17+AB23*$B24,0)</x:f>
      </x:c>
      <x:c r="AC51" s="84">
        <x:f>ROUND(AC16*$B17+AC23*$B24,0)</x:f>
      </x:c>
      <x:c r="AD51" s="84">
        <x:f>ROUND(AD16*$B17+AD23*$B24,0)</x:f>
      </x:c>
      <x:c r="AE51" s="84">
        <x:f>ROUND(AE16*$B17+AE23*$B24,0)</x:f>
      </x:c>
      <x:c r="AF51" s="84">
        <x:f>ROUND(AF16*$B17+AF23*$B24,0)</x:f>
      </x:c>
      <x:c r="AG51" s="84">
        <x:f>ROUND(AG16*$B17+AG23*$B24,0)</x:f>
      </x:c>
      <x:c r="AH51" s="84">
        <x:f>ROUND(AH16*$B17+AH23*$B24,0)</x:f>
      </x:c>
      <x:c r="AI51" s="84">
        <x:f>ROUND(AI16*$B17+AI23*$B24,0)</x:f>
      </x:c>
      <x:c r="AJ51" s="84">
        <x:f>ROUND(AJ16*$B17+AJ23*$B24,0)</x:f>
      </x:c>
      <x:c r="AK51" s="84">
        <x:f>ROUND(AK16*$B17+AK23*$B24,0)</x:f>
      </x:c>
      <x:c r="AL51" s="84">
        <x:f>ROUND(AL16*$B17+AL23*$B24,0)</x:f>
      </x:c>
      <x:c r="AM51" s="84">
        <x:f>ROUND(AM16*$B17+AM23*$B24,0)</x:f>
      </x:c>
      <x:c r="AN51" s="84">
        <x:f>ROUND(AN16*$B17+AN23*$B24,0)</x:f>
      </x:c>
      <x:c r="AO51" s="84">
        <x:f>ROUND(AO16*$B17+AO23*$B24,0)</x:f>
      </x:c>
      <x:c r="AP51" s="84">
        <x:f>ROUND(AP16*$B17+AP23*$B24,0)</x:f>
      </x:c>
      <x:c r="AQ51" s="84">
        <x:f>ROUND(AQ16*$B17+AQ23*$B24,0)</x:f>
      </x:c>
      <x:c r="AR51" s="84">
        <x:f>ROUND(AR16*$B17+AR23*$B24,0)</x:f>
      </x:c>
      <x:c r="AS51" s="84">
        <x:f>ROUND(AS16*$B17+AS23*$B24,0)</x:f>
      </x:c>
      <x:c r="AT51" s="84">
        <x:f>ROUND(AT16*$B17+AT23*$B24,0)</x:f>
      </x:c>
      <x:c r="AU51" s="84">
        <x:f>ROUND(AU16*$B17+AU23*$B24,0)</x:f>
      </x:c>
      <x:c r="AV51" s="84">
        <x:f>ROUND(AV16*$B17+AV23*$B24,0)</x:f>
      </x:c>
      <x:c r="AW51" s="84">
        <x:f>ROUND(AW16*$B17+AW23*$B24,0)</x:f>
      </x:c>
      <x:c r="AX51" s="84">
        <x:f>ROUND(AX16*$B17+AX23*$B24,0)</x:f>
      </x:c>
      <x:c r="AY51" s="84">
        <x:f>ROUND(AY16*$B17+AY23*$B24,0)</x:f>
      </x:c>
      <x:c r="AZ51" s="84">
        <x:f>ROUND(AZ16*$B17+AZ23*$B24,0)</x:f>
      </x:c>
      <x:c r="BA51" s="84">
        <x:f>ROUND(BA16*$B17+BA23*$B24,0)</x:f>
      </x:c>
      <x:c r="BB51" s="84">
        <x:f>ROUND(BB16*$B17+BB23*$B24,0)</x:f>
      </x:c>
      <x:c r="BC51" s="84">
        <x:f>ROUND(BC16*$B17+BC23*$B24,0)</x:f>
      </x:c>
      <x:c r="BD51" s="84">
        <x:f>ROUND(BD16*$B17+BD23*$B24,0)</x:f>
      </x:c>
      <x:c r="BE51" s="84">
        <x:f>ROUND(BE16*$B17+BE23*$B24,0)</x:f>
      </x:c>
      <x:c r="BF51" s="84">
        <x:f>ROUND(BF16*$B17+BF23*$B24,0)</x:f>
      </x:c>
      <x:c r="BG51" s="84">
        <x:f>ROUND(BG16*$B17+BG23*$B24,0)</x:f>
      </x:c>
      <x:c r="BH51" s="84">
        <x:f>ROUND(BH16*$B17+BH23*$B24,0)</x:f>
      </x:c>
      <x:c r="BI51" s="84">
        <x:f>ROUND(BI16*$B17+BI23*$B24,0)</x:f>
      </x:c>
      <x:c r="BJ51" s="84">
        <x:f>ROUND(BJ16*$B17+BJ23*$B24,0)</x:f>
      </x:c>
      <x:c r="BK51" s="84">
        <x:f>ROUND(BK16*$B17+BK23*$B24,0)</x:f>
      </x:c>
      <x:c r="BL51" s="84">
        <x:f>ROUND(BL16*$B17+BL23*$B24,0)</x:f>
      </x:c>
      <x:c r="BM51" s="84">
        <x:f>ROUND(BM16*$B17+BM23*$B24,0)</x:f>
      </x:c>
      <x:c r="BN51" s="84">
        <x:f>ROUND(BN16*$B17+BN23*$B24,0)</x:f>
      </x:c>
      <x:c r="BO51" s="84">
        <x:f>ROUND(BO16*$B17+BO23*$B24,0)</x:f>
      </x:c>
      <x:c r="BP51" s="84">
        <x:f>ROUND(BP16*$B17+BP23*$B24,0)</x:f>
      </x:c>
      <x:c r="BQ51" s="84">
        <x:f>ROUND(BQ16*$B17+BQ23*$B24,0)</x:f>
      </x:c>
      <x:c r="BR51" s="84">
        <x:f>ROUND(BR16*$B17+BR23*$B24,0)</x:f>
      </x:c>
      <x:c r="BS51" s="84">
        <x:f>ROUND(BS16*$B17+BS23*$B24,0)</x:f>
      </x:c>
      <x:c r="BT51" s="84">
        <x:f>ROUND(BT16*$B17+BT23*$B24,0)</x:f>
      </x:c>
      <x:c r="BU51" s="84">
        <x:f>ROUND(BU16*$B17+BU23*$B24,0)</x:f>
      </x:c>
      <x:c r="BV51" s="84">
        <x:f>ROUND(BV16*$B17+BV23*$B24,0)</x:f>
      </x:c>
      <x:c r="BW51" s="84">
        <x:f>ROUND(BW16*$B17+BW23*$B24,0)</x:f>
      </x:c>
      <x:c r="BX51" s="84">
        <x:f>ROUND(BX16*$B17+BX23*$B24,0)</x:f>
      </x:c>
      <x:c r="BY51" s="84">
        <x:f>ROUND(BY16*$B17+BY23*$B24,0)</x:f>
      </x:c>
      <x:c r="BZ51" s="84">
        <x:f>ROUND(BZ16*$B17+BZ23*$B24,0)</x:f>
      </x:c>
      <x:c r="CA51" s="84">
        <x:f>ROUND(CA16*$B17+CA23*$B24,0)</x:f>
      </x:c>
      <x:c r="CB51" s="84">
        <x:f>ROUND(CB16*$B17+CB23*$B24,0)</x:f>
      </x:c>
      <x:c r="CC51" s="84">
        <x:f>ROUND(CC16*$B17+CC23*$B24,0)</x:f>
      </x:c>
    </x:row>
    <x:row r="52" spans="1:81" x14ac:dyDescent="0.2">
      <x:c r="A52" s="0" t="s">
        <x:v>236</x:v>
      </x:c>
      <x:c r="D52" s="98">
        <x:f>ROUND(IF(D53=0,0,D54/D53),0)</x:f>
      </x:c>
      <x:c r="E52" s="98">
        <x:f>ROUND(IF(E53=0,0,E54/E53),0)</x:f>
      </x:c>
      <x:c r="F52" s="98">
        <x:f>ROUND(IF(F53=0,0,F54/F53),0)</x:f>
      </x:c>
      <x:c r="G52" s="98">
        <x:f>ROUND(IF(G53=0,0,G54/G53),0)</x:f>
      </x:c>
      <x:c r="H52" s="98">
        <x:f>ROUND(IF(H53=0,0,H54/H53),0)</x:f>
      </x:c>
      <x:c r="I52" s="98">
        <x:f>ROUND(IF(I53=0,0,I54/I53),0)</x:f>
      </x:c>
      <x:c r="J52" s="98">
        <x:f>ROUND(IF(J53=0,0,J54/J53),0)</x:f>
      </x:c>
      <x:c r="K52" s="98">
        <x:f>ROUND(IF(K53=0,0,K54/K53),0)</x:f>
      </x:c>
      <x:c r="L52" s="98">
        <x:f>ROUND(IF(L53=0,0,L54/L53),0)</x:f>
      </x:c>
      <x:c r="M52" s="98">
        <x:f>ROUND(IF(M53=0,0,M54/M53),0)</x:f>
      </x:c>
      <x:c r="N52" s="98">
        <x:f>ROUND(IF(N53=0,0,N54/N53),0)</x:f>
      </x:c>
      <x:c r="O52" s="98">
        <x:f>ROUND(IF(O53=0,0,O54/O53),0)</x:f>
      </x:c>
      <x:c r="P52" s="98">
        <x:f>ROUND(IF(P53=0,0,P54/P53),0)</x:f>
      </x:c>
      <x:c r="Q52" s="98">
        <x:f>ROUND(IF(Q53=0,0,Q54/Q53),0)</x:f>
      </x:c>
      <x:c r="R52" s="98">
        <x:f>ROUND(IF(R53=0,0,R54/R53),0)</x:f>
      </x:c>
      <x:c r="S52" s="98">
        <x:f>ROUND(IF(S53=0,0,S54/S53),0)</x:f>
      </x:c>
      <x:c r="T52" s="98">
        <x:f>ROUND(IF(T53=0,0,T54/T53),0)</x:f>
      </x:c>
      <x:c r="U52" s="98">
        <x:f>ROUND(IF(U53=0,0,U54/U53),0)</x:f>
      </x:c>
      <x:c r="V52" s="98">
        <x:f>ROUND(IF(V53=0,0,V54/V53),0)</x:f>
      </x:c>
      <x:c r="W52" s="98">
        <x:f>ROUND(IF(W53=0,0,W54/W53),0)</x:f>
      </x:c>
      <x:c r="X52" s="98">
        <x:f>ROUND(IF(X53=0,0,X54/X53),0)</x:f>
      </x:c>
      <x:c r="Y52" s="98">
        <x:f>ROUND(IF(Y53=0,0,Y54/Y53),0)</x:f>
      </x:c>
      <x:c r="Z52" s="98">
        <x:f>ROUND(IF(Z53=0,0,Z54/Z53),0)</x:f>
      </x:c>
      <x:c r="AA52" s="98">
        <x:f>ROUND(IF(AA53=0,0,AA54/AA53),0)</x:f>
      </x:c>
      <x:c r="AB52" s="98">
        <x:f>ROUND(IF(AB53=0,0,AB54/AB53),0)</x:f>
      </x:c>
      <x:c r="AC52" s="98">
        <x:f>ROUND(IF(AC53=0,0,AC54/AC53),0)</x:f>
      </x:c>
      <x:c r="AD52" s="98">
        <x:f>ROUND(IF(AD53=0,0,AD54/AD53),0)</x:f>
      </x:c>
      <x:c r="AE52" s="98">
        <x:f>ROUND(IF(AE53=0,0,AE54/AE53),0)</x:f>
      </x:c>
      <x:c r="AF52" s="98">
        <x:f>ROUND(IF(AF53=0,0,AF54/AF53),0)</x:f>
      </x:c>
      <x:c r="AG52" s="98">
        <x:f>ROUND(IF(AG53=0,0,AG54/AG53),0)</x:f>
      </x:c>
      <x:c r="AH52" s="98">
        <x:f>ROUND(IF(AH53=0,0,AH54/AH53),0)</x:f>
      </x:c>
      <x:c r="AI52" s="98">
        <x:f>ROUND(IF(AI53=0,0,AI54/AI53),0)</x:f>
      </x:c>
      <x:c r="AJ52" s="98">
        <x:f>ROUND(IF(AJ53=0,0,AJ54/AJ53),0)</x:f>
      </x:c>
      <x:c r="AK52" s="98">
        <x:f>ROUND(IF(AK53=0,0,AK54/AK53),0)</x:f>
      </x:c>
      <x:c r="AL52" s="98">
        <x:f>ROUND(IF(AL53=0,0,AL54/AL53),0)</x:f>
      </x:c>
      <x:c r="AM52" s="98">
        <x:f>ROUND(IF(AM53=0,0,AM54/AM53),0)</x:f>
      </x:c>
      <x:c r="AN52" s="98">
        <x:f>ROUND(IF(AN53=0,0,AN54/AN53),0)</x:f>
      </x:c>
      <x:c r="AO52" s="98">
        <x:f>ROUND(IF(AO53=0,0,AO54/AO53),0)</x:f>
      </x:c>
      <x:c r="AP52" s="98">
        <x:f>ROUND(IF(AP53=0,0,AP54/AP53),0)</x:f>
      </x:c>
      <x:c r="AQ52" s="98">
        <x:f>ROUND(IF(AQ53=0,0,AQ54/AQ53),0)</x:f>
      </x:c>
      <x:c r="AR52" s="98">
        <x:f>ROUND(IF(AR53=0,0,AR54/AR53),0)</x:f>
      </x:c>
      <x:c r="AS52" s="98">
        <x:f>ROUND(IF(AS53=0,0,AS54/AS53),0)</x:f>
      </x:c>
      <x:c r="AT52" s="98">
        <x:f>ROUND(IF(AT53=0,0,AT54/AT53),0)</x:f>
      </x:c>
      <x:c r="AU52" s="98">
        <x:f>ROUND(IF(AU53=0,0,AU54/AU53),0)</x:f>
      </x:c>
      <x:c r="AV52" s="98">
        <x:f>ROUND(IF(AV53=0,0,AV54/AV53),0)</x:f>
      </x:c>
      <x:c r="AW52" s="98">
        <x:f>ROUND(IF(AW53=0,0,AW54/AW53),0)</x:f>
      </x:c>
      <x:c r="AX52" s="98">
        <x:f>ROUND(IF(AX53=0,0,AX54/AX53),0)</x:f>
      </x:c>
      <x:c r="AY52" s="98">
        <x:f>ROUND(IF(AY53=0,0,AY54/AY53),0)</x:f>
      </x:c>
      <x:c r="AZ52" s="98">
        <x:f>ROUND(IF(AZ53=0,0,AZ54/AZ53),0)</x:f>
      </x:c>
      <x:c r="BA52" s="98">
        <x:f>ROUND(IF(BA53=0,0,BA54/BA53),0)</x:f>
      </x:c>
      <x:c r="BB52" s="98">
        <x:f>ROUND(IF(BB53=0,0,BB54/BB53),0)</x:f>
      </x:c>
      <x:c r="BC52" s="98">
        <x:f>ROUND(IF(BC53=0,0,BC54/BC53),0)</x:f>
      </x:c>
      <x:c r="BD52" s="98">
        <x:f>ROUND(IF(BD53=0,0,BD54/BD53),0)</x:f>
      </x:c>
      <x:c r="BE52" s="98">
        <x:f>ROUND(IF(BE53=0,0,BE54/BE53),0)</x:f>
      </x:c>
      <x:c r="BF52" s="98">
        <x:f>ROUND(IF(BF53=0,0,BF54/BF53),0)</x:f>
      </x:c>
      <x:c r="BG52" s="98">
        <x:f>ROUND(IF(BG53=0,0,BG54/BG53),0)</x:f>
      </x:c>
      <x:c r="BH52" s="98">
        <x:f>ROUND(IF(BH53=0,0,BH54/BH53),0)</x:f>
      </x:c>
      <x:c r="BI52" s="98">
        <x:f>ROUND(IF(BI53=0,0,BI54/BI53),0)</x:f>
      </x:c>
      <x:c r="BJ52" s="98">
        <x:f>ROUND(IF(BJ53=0,0,BJ54/BJ53),0)</x:f>
      </x:c>
      <x:c r="BK52" s="98">
        <x:f>ROUND(IF(BK53=0,0,BK54/BK53),0)</x:f>
      </x:c>
      <x:c r="BL52" s="98">
        <x:f>ROUND(IF(BL53=0,0,BL54/BL53),0)</x:f>
      </x:c>
      <x:c r="BM52" s="98">
        <x:f>ROUND(IF(BM53=0,0,BM54/BM53),0)</x:f>
      </x:c>
      <x:c r="BN52" s="98">
        <x:f>ROUND(IF(BN53=0,0,BN54/BN53),0)</x:f>
      </x:c>
      <x:c r="BO52" s="98">
        <x:f>ROUND(IF(BO53=0,0,BO54/BO53),0)</x:f>
      </x:c>
      <x:c r="BP52" s="98">
        <x:f>ROUND(IF(BP53=0,0,BP54/BP53),0)</x:f>
      </x:c>
      <x:c r="BQ52" s="98">
        <x:f>ROUND(IF(BQ53=0,0,BQ54/BQ53),0)</x:f>
      </x:c>
      <x:c r="BR52" s="98">
        <x:f>ROUND(IF(BR53=0,0,BR54/BR53),0)</x:f>
      </x:c>
      <x:c r="BS52" s="98">
        <x:f>ROUND(IF(BS53=0,0,BS54/BS53),0)</x:f>
      </x:c>
      <x:c r="BT52" s="98">
        <x:f>ROUND(IF(BT53=0,0,BT54/BT53),0)</x:f>
      </x:c>
      <x:c r="BU52" s="98">
        <x:f>ROUND(IF(BU53=0,0,BU54/BU53),0)</x:f>
      </x:c>
      <x:c r="BV52" s="98">
        <x:f>ROUND(IF(BV53=0,0,BV54/BV53),0)</x:f>
      </x:c>
      <x:c r="BW52" s="98">
        <x:f>ROUND(IF(BW53=0,0,BW54/BW53),0)</x:f>
      </x:c>
      <x:c r="BX52" s="98">
        <x:f>ROUND(IF(BX53=0,0,BX54/BX53),0)</x:f>
      </x:c>
      <x:c r="BY52" s="98">
        <x:f>ROUND(IF(BY53=0,0,BY54/BY53),0)</x:f>
      </x:c>
      <x:c r="BZ52" s="98">
        <x:f>ROUND(IF(BZ53=0,0,BZ54/BZ53),0)</x:f>
      </x:c>
      <x:c r="CA52" s="98">
        <x:f>ROUND(IF(CA53=0,0,CA54/CA53),0)</x:f>
      </x:c>
      <x:c r="CB52" s="98">
        <x:f>ROUND(IF(CB53=0,0,CB54/CB53),0)</x:f>
      </x:c>
      <x:c r="CC52" s="98">
        <x:f>ROUND(IF(CC53=0,0,CC54/CC53),0)</x:f>
      </x:c>
    </x:row>
    <x:row r="53" spans="1:81" x14ac:dyDescent="0.2">
      <x:c r="A53" s="0" t="s">
        <x:v>237</x:v>
      </x:c>
      <x:c r="D53" s="84">
        <x:f t="array" ref="D53:CC53">TRANSPOSE('T-PSD-B4'!U12:U89)</x:f>
      </x:c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  <x:c r="V53" s="84"/>
      <x:c r="W53" s="84"/>
      <x:c r="X53" s="84"/>
      <x:c r="Y53" s="84"/>
      <x:c r="Z53" s="84"/>
      <x:c r="AA53" s="84"/>
      <x:c r="AB53" s="84"/>
      <x:c r="AC53" s="84"/>
      <x:c r="AD53" s="84"/>
      <x:c r="AE53" s="84"/>
      <x:c r="AF53" s="84"/>
      <x:c r="AG53" s="84"/>
      <x:c r="AH53" s="84"/>
      <x:c r="AI53" s="84"/>
      <x:c r="AJ53" s="84"/>
      <x:c r="AK53" s="84"/>
      <x:c r="AL53" s="84"/>
      <x:c r="AM53" s="84"/>
      <x:c r="AN53" s="84"/>
      <x:c r="AO53" s="84"/>
      <x:c r="AP53" s="84"/>
      <x:c r="AQ53" s="84"/>
      <x:c r="AR53" s="84"/>
      <x:c r="AS53" s="84"/>
      <x:c r="AT53" s="84"/>
      <x:c r="AU53" s="84"/>
      <x:c r="AV53" s="84"/>
      <x:c r="AW53" s="84"/>
      <x:c r="AX53" s="84"/>
      <x:c r="AY53" s="84"/>
      <x:c r="AZ53" s="84"/>
      <x:c r="BA53" s="84"/>
      <x:c r="BB53" s="84"/>
      <x:c r="BC53" s="84"/>
      <x:c r="BD53" s="84"/>
      <x:c r="BE53" s="84"/>
      <x:c r="BF53" s="84"/>
      <x:c r="BG53" s="84"/>
      <x:c r="BH53" s="84"/>
      <x:c r="BI53" s="84"/>
      <x:c r="BJ53" s="84"/>
      <x:c r="BK53" s="84"/>
      <x:c r="BL53" s="84"/>
      <x:c r="BM53" s="84"/>
      <x:c r="BN53" s="84"/>
      <x:c r="BO53" s="84"/>
      <x:c r="BP53" s="84"/>
      <x:c r="BQ53" s="84"/>
      <x:c r="BR53" s="84"/>
      <x:c r="BS53" s="84"/>
      <x:c r="BT53" s="84"/>
      <x:c r="BU53" s="84"/>
      <x:c r="BV53" s="84"/>
      <x:c r="BW53" s="84"/>
      <x:c r="BX53" s="84"/>
      <x:c r="BY53" s="84"/>
      <x:c r="BZ53" s="84"/>
      <x:c r="CA53" s="84"/>
      <x:c r="CB53" s="84"/>
      <x:c r="CC53" s="84"/>
    </x:row>
    <x:row r="54" spans="1:81" x14ac:dyDescent="0.2">
      <x:c r="A54" s="0" t="s">
        <x:v>238</x:v>
      </x:c>
      <x:c r="D54" s="84">
        <x:f>IF(D55=0,0,ROUND(D46/(D55/100)/100,0))</x:f>
      </x:c>
      <x:c r="E54" s="84">
        <x:f>IF(E55=0,0,ROUND(E46/(E55/100)/100,0))</x:f>
      </x:c>
      <x:c r="F54" s="84">
        <x:f>IF(F55=0,0,ROUND(F46/(F55/100)/100,0))</x:f>
      </x:c>
      <x:c r="G54" s="84">
        <x:f>IF(G55=0,0,ROUND(G46/(G55/100)/100,0))</x:f>
      </x:c>
      <x:c r="H54" s="84">
        <x:f>IF(H55=0,0,ROUND(H46/(H55/100)/100,0))</x:f>
      </x:c>
      <x:c r="I54" s="84">
        <x:f>IF(I55=0,0,ROUND(I46/(I55/100)/100,0))</x:f>
      </x:c>
      <x:c r="J54" s="84">
        <x:f>IF(J55=0,0,ROUND(J46/(J55/100)/100,0))</x:f>
      </x:c>
      <x:c r="K54" s="84">
        <x:f>IF(K55=0,0,ROUND(K46/(K55/100)/100,0))</x:f>
      </x:c>
      <x:c r="L54" s="84">
        <x:f>IF(L55=0,0,ROUND(L46/(L55/100)/100,0))</x:f>
      </x:c>
      <x:c r="M54" s="84">
        <x:f>IF(M55=0,0,ROUND(M46/(M55/100)/100,0))</x:f>
      </x:c>
      <x:c r="N54" s="84">
        <x:f>IF(N55=0,0,ROUND(N46/(N55/100)/100,0))</x:f>
      </x:c>
      <x:c r="O54" s="84">
        <x:f>IF(O55=0,0,ROUND(O46/(O55/100)/100,0))</x:f>
      </x:c>
      <x:c r="P54" s="84">
        <x:f>IF(P55=0,0,ROUND(P46/(P55/100)/100,0))</x:f>
      </x:c>
      <x:c r="Q54" s="84">
        <x:f>IF(Q55=0,0,ROUND(Q46/(Q55/100)/100,0))</x:f>
      </x:c>
      <x:c r="R54" s="84">
        <x:f>IF(R55=0,0,ROUND(R46/(R55/100)/100,0))</x:f>
      </x:c>
      <x:c r="S54" s="84">
        <x:f>IF(S55=0,0,ROUND(S46/(S55/100)/100,0))</x:f>
      </x:c>
      <x:c r="T54" s="84">
        <x:f>IF(T55=0,0,ROUND(T46/(T55/100)/100,0))</x:f>
      </x:c>
      <x:c r="U54" s="84">
        <x:f>IF(U55=0,0,ROUND(U46/(U55/100)/100,0))</x:f>
      </x:c>
      <x:c r="V54" s="84">
        <x:f>IF(V55=0,0,ROUND(V46/(V55/100)/100,0))</x:f>
      </x:c>
      <x:c r="W54" s="84">
        <x:f>IF(W55=0,0,ROUND(W46/(W55/100)/100,0))</x:f>
      </x:c>
      <x:c r="X54" s="84">
        <x:f>IF(X55=0,0,ROUND(X46/(X55/100)/100,0))</x:f>
      </x:c>
      <x:c r="Y54" s="84">
        <x:f>IF(Y55=0,0,ROUND(Y46/(Y55/100)/100,0))</x:f>
      </x:c>
      <x:c r="Z54" s="84">
        <x:f>IF(Z55=0,0,ROUND(Z46/(Z55/100)/100,0))</x:f>
      </x:c>
      <x:c r="AA54" s="84">
        <x:f>IF(AA55=0,0,ROUND(AA46/(AA55/100)/100,0))</x:f>
      </x:c>
      <x:c r="AB54" s="84">
        <x:f>IF(AB55=0,0,ROUND(AB46/(AB55/100)/100,0))</x:f>
      </x:c>
      <x:c r="AC54" s="84">
        <x:f>IF(AC55=0,0,ROUND(AC46/(AC55/100)/100,0))</x:f>
      </x:c>
      <x:c r="AD54" s="84">
        <x:f>IF(AD55=0,0,ROUND(AD46/(AD55/100)/100,0))</x:f>
      </x:c>
      <x:c r="AE54" s="84">
        <x:f>IF(AE55=0,0,ROUND(AE46/(AE55/100)/100,0))</x:f>
      </x:c>
      <x:c r="AF54" s="84">
        <x:f>IF(AF55=0,0,ROUND(AF46/(AF55/100)/100,0))</x:f>
      </x:c>
      <x:c r="AG54" s="84">
        <x:f>IF(AG55=0,0,ROUND(AG46/(AG55/100)/100,0))</x:f>
      </x:c>
      <x:c r="AH54" s="84">
        <x:f>IF(AH55=0,0,ROUND(AH46/(AH55/100)/100,0))</x:f>
      </x:c>
      <x:c r="AI54" s="84">
        <x:f>IF(AI55=0,0,ROUND(AI46/(AI55/100)/100,0))</x:f>
      </x:c>
      <x:c r="AJ54" s="84">
        <x:f>IF(AJ55=0,0,ROUND(AJ46/(AJ55/100)/100,0))</x:f>
      </x:c>
      <x:c r="AK54" s="84">
        <x:f>IF(AK55=0,0,ROUND(AK46/(AK55/100)/100,0))</x:f>
      </x:c>
      <x:c r="AL54" s="84">
        <x:f>IF(AL55=0,0,ROUND(AL46/(AL55/100)/100,0))</x:f>
      </x:c>
      <x:c r="AM54" s="84">
        <x:f>IF(AM55=0,0,ROUND(AM46/(AM55/100)/100,0))</x:f>
      </x:c>
      <x:c r="AN54" s="84">
        <x:f>IF(AN55=0,0,ROUND(AN46/(AN55/100)/100,0))</x:f>
      </x:c>
      <x:c r="AO54" s="84">
        <x:f>IF(AO55=0,0,ROUND(AO46/(AO55/100)/100,0))</x:f>
      </x:c>
      <x:c r="AP54" s="84">
        <x:f>IF(AP55=0,0,ROUND(AP46/(AP55/100)/100,0))</x:f>
      </x:c>
      <x:c r="AQ54" s="84">
        <x:f>IF(AQ55=0,0,ROUND(AQ46/(AQ55/100)/100,0))</x:f>
      </x:c>
      <x:c r="AR54" s="84">
        <x:f>IF(AR55=0,0,ROUND(AR46/(AR55/100)/100,0))</x:f>
      </x:c>
      <x:c r="AS54" s="84">
        <x:f>IF(AS55=0,0,ROUND(AS46/(AS55/100)/100,0))</x:f>
      </x:c>
      <x:c r="AT54" s="84">
        <x:f>IF(AT55=0,0,ROUND(AT46/(AT55/100)/100,0))</x:f>
      </x:c>
      <x:c r="AU54" s="84">
        <x:f>IF(AU55=0,0,ROUND(AU46/(AU55/100)/100,0))</x:f>
      </x:c>
      <x:c r="AV54" s="84">
        <x:f>IF(AV55=0,0,ROUND(AV46/(AV55/100)/100,0))</x:f>
      </x:c>
      <x:c r="AW54" s="84">
        <x:f>IF(AW55=0,0,ROUND(AW46/(AW55/100)/100,0))</x:f>
      </x:c>
      <x:c r="AX54" s="84">
        <x:f>IF(AX55=0,0,ROUND(AX46/(AX55/100)/100,0))</x:f>
      </x:c>
      <x:c r="AY54" s="84">
        <x:f>IF(AY55=0,0,ROUND(AY46/(AY55/100)/100,0))</x:f>
      </x:c>
      <x:c r="AZ54" s="84">
        <x:f>IF(AZ55=0,0,ROUND(AZ46/(AZ55/100)/100,0))</x:f>
      </x:c>
      <x:c r="BA54" s="84">
        <x:f>IF(BA55=0,0,ROUND(BA46/(BA55/100)/100,0))</x:f>
      </x:c>
      <x:c r="BB54" s="84">
        <x:f>IF(BB55=0,0,ROUND(BB46/(BB55/100)/100,0))</x:f>
      </x:c>
      <x:c r="BC54" s="84">
        <x:f>IF(BC55=0,0,ROUND(BC46/(BC55/100)/100,0))</x:f>
      </x:c>
      <x:c r="BD54" s="84">
        <x:f>IF(BD55=0,0,ROUND(BD46/(BD55/100)/100,0))</x:f>
      </x:c>
      <x:c r="BE54" s="84">
        <x:f>IF(BE55=0,0,ROUND(BE46/(BE55/100)/100,0))</x:f>
      </x:c>
      <x:c r="BF54" s="84">
        <x:f>IF(BF55=0,0,ROUND(BF46/(BF55/100)/100,0))</x:f>
      </x:c>
      <x:c r="BG54" s="84">
        <x:f>IF(BG55=0,0,ROUND(BG46/(BG55/100)/100,0))</x:f>
      </x:c>
      <x:c r="BH54" s="84">
        <x:f>IF(BH55=0,0,ROUND(BH46/(BH55/100)/100,0))</x:f>
      </x:c>
      <x:c r="BI54" s="84">
        <x:f>IF(BI55=0,0,ROUND(BI46/(BI55/100)/100,0))</x:f>
      </x:c>
      <x:c r="BJ54" s="84">
        <x:f>IF(BJ55=0,0,ROUND(BJ46/(BJ55/100)/100,0))</x:f>
      </x:c>
      <x:c r="BK54" s="84">
        <x:f>IF(BK55=0,0,ROUND(BK46/(BK55/100)/100,0))</x:f>
      </x:c>
      <x:c r="BL54" s="84">
        <x:f>IF(BL55=0,0,ROUND(BL46/(BL55/100)/100,0))</x:f>
      </x:c>
      <x:c r="BM54" s="84">
        <x:f>IF(BM55=0,0,ROUND(BM46/(BM55/100)/100,0))</x:f>
      </x:c>
      <x:c r="BN54" s="84">
        <x:f>IF(BN55=0,0,ROUND(BN46/(BN55/100)/100,0))</x:f>
      </x:c>
      <x:c r="BO54" s="84">
        <x:f>IF(BO55=0,0,ROUND(BO46/(BO55/100)/100,0))</x:f>
      </x:c>
      <x:c r="BP54" s="84">
        <x:f>IF(BP55=0,0,ROUND(BP46/(BP55/100)/100,0))</x:f>
      </x:c>
      <x:c r="BQ54" s="84">
        <x:f>IF(BQ55=0,0,ROUND(BQ46/(BQ55/100)/100,0))</x:f>
      </x:c>
      <x:c r="BR54" s="84">
        <x:f>IF(BR55=0,0,ROUND(BR46/(BR55/100)/100,0))</x:f>
      </x:c>
      <x:c r="BS54" s="84">
        <x:f>IF(BS55=0,0,ROUND(BS46/(BS55/100)/100,0))</x:f>
      </x:c>
      <x:c r="BT54" s="84">
        <x:f>IF(BT55=0,0,ROUND(BT46/(BT55/100)/100,0))</x:f>
      </x:c>
      <x:c r="BU54" s="84">
        <x:f>IF(BU55=0,0,ROUND(BU46/(BU55/100)/100,0))</x:f>
      </x:c>
      <x:c r="BV54" s="84">
        <x:f>IF(BV55=0,0,ROUND(BV46/(BV55/100)/100,0))</x:f>
      </x:c>
      <x:c r="BW54" s="84">
        <x:f>IF(BW55=0,0,ROUND(BW46/(BW55/100)/100,0))</x:f>
      </x:c>
      <x:c r="BX54" s="84">
        <x:f>IF(BX55=0,0,ROUND(BX46/(BX55/100)/100,0))</x:f>
      </x:c>
      <x:c r="BY54" s="84">
        <x:f>IF(BY55=0,0,ROUND(BY46/(BY55/100)/100,0))</x:f>
      </x:c>
      <x:c r="BZ54" s="84">
        <x:f>IF(BZ55=0,0,ROUND(BZ46/(BZ55/100)/100,0))</x:f>
      </x:c>
      <x:c r="CA54" s="84">
        <x:f>IF(CA55=0,0,ROUND(CA46/(CA55/100)/100,0))</x:f>
      </x:c>
      <x:c r="CB54" s="84">
        <x:f>IF(CB55=0,0,ROUND(CB46/(CB55/100)/100,0))</x:f>
      </x:c>
      <x:c r="CC54" s="84">
        <x:f>IF(CC55=0,0,ROUND(CC46/(CC55/100)/100,0))</x:f>
      </x:c>
    </x:row>
    <x:row r="55" spans="1:81" x14ac:dyDescent="0.2">
      <x:c r="A55" s="0" t="s">
        <x:v>239</x:v>
      </x:c>
      <x:c r="D55" s="99">
        <x:f t="array" ref="D55:CC55">TRANSPOSE('T-PSD-B4'!AI12:AI89)</x:f>
      </x:c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</x:row>
    <x:row r="56" spans="1:81" x14ac:dyDescent="0.2">
      <x:c r="A56" s="0" t="s">
        <x:v>240</x:v>
      </x:c>
      <x:c r="D56" s="84">
        <x:f>ROUND(D19+D26,0)</x:f>
      </x:c>
      <x:c r="E56" s="84">
        <x:f>ROUND(E19+E26,0)</x:f>
      </x:c>
      <x:c r="F56" s="84">
        <x:f>ROUND(F19+F26,0)</x:f>
      </x:c>
      <x:c r="G56" s="84">
        <x:f>ROUND(G19+G26,0)</x:f>
      </x:c>
      <x:c r="H56" s="84">
        <x:f>ROUND(H19+H26,0)</x:f>
      </x:c>
      <x:c r="I56" s="84">
        <x:f>ROUND(I19+I26,0)</x:f>
      </x:c>
      <x:c r="J56" s="84">
        <x:f>ROUND(J19+J26,0)</x:f>
      </x:c>
      <x:c r="K56" s="84">
        <x:f>ROUND(K19+K26,0)</x:f>
      </x:c>
      <x:c r="L56" s="84">
        <x:f>ROUND(L19+L26,0)</x:f>
      </x:c>
      <x:c r="M56" s="84">
        <x:f>ROUND(M19+M26,0)</x:f>
      </x:c>
      <x:c r="N56" s="84">
        <x:f>ROUND(N19+N26,0)</x:f>
      </x:c>
      <x:c r="O56" s="84">
        <x:f>ROUND(O19+O26,0)</x:f>
      </x:c>
      <x:c r="P56" s="84">
        <x:f>ROUND(P19+P26,0)</x:f>
      </x:c>
      <x:c r="Q56" s="84">
        <x:f>ROUND(Q19+Q26,0)</x:f>
      </x:c>
      <x:c r="R56" s="84">
        <x:f>ROUND(R19+R26,0)</x:f>
      </x:c>
      <x:c r="S56" s="84">
        <x:f>ROUND(S19+S26,0)</x:f>
      </x:c>
      <x:c r="T56" s="84">
        <x:f>ROUND(T19+T26,0)</x:f>
      </x:c>
      <x:c r="U56" s="84">
        <x:f>ROUND(U19+U26,0)</x:f>
      </x:c>
      <x:c r="V56" s="84">
        <x:f>ROUND(V19+V26,0)</x:f>
      </x:c>
      <x:c r="W56" s="84">
        <x:f>ROUND(W19+W26,0)</x:f>
      </x:c>
      <x:c r="X56" s="84">
        <x:f>ROUND(X19+X26,0)</x:f>
      </x:c>
      <x:c r="Y56" s="84">
        <x:f>ROUND(Y19+Y26,0)</x:f>
      </x:c>
      <x:c r="Z56" s="84">
        <x:f>ROUND(Z19+Z26,0)</x:f>
      </x:c>
      <x:c r="AA56" s="84">
        <x:f>ROUND(AA19+AA26,0)</x:f>
      </x:c>
      <x:c r="AB56" s="84">
        <x:f>ROUND(AB19+AB26,0)</x:f>
      </x:c>
      <x:c r="AC56" s="84">
        <x:f>ROUND(AC19+AC26,0)</x:f>
      </x:c>
      <x:c r="AD56" s="84">
        <x:f>ROUND(AD19+AD26,0)</x:f>
      </x:c>
      <x:c r="AE56" s="84">
        <x:f>ROUND(AE19+AE26,0)</x:f>
      </x:c>
      <x:c r="AF56" s="84">
        <x:f>ROUND(AF19+AF26,0)</x:f>
      </x:c>
      <x:c r="AG56" s="84">
        <x:f>ROUND(AG19+AG26,0)</x:f>
      </x:c>
      <x:c r="AH56" s="84">
        <x:f>ROUND(AH19+AH26,0)</x:f>
      </x:c>
      <x:c r="AI56" s="84">
        <x:f>ROUND(AI19+AI26,0)</x:f>
      </x:c>
      <x:c r="AJ56" s="84">
        <x:f>ROUND(AJ19+AJ26,0)</x:f>
      </x:c>
      <x:c r="AK56" s="84">
        <x:f>ROUND(AK19+AK26,0)</x:f>
      </x:c>
      <x:c r="AL56" s="84">
        <x:f>ROUND(AL19+AL26,0)</x:f>
      </x:c>
      <x:c r="AM56" s="84">
        <x:f>ROUND(AM19+AM26,0)</x:f>
      </x:c>
      <x:c r="AN56" s="84">
        <x:f>ROUND(AN19+AN26,0)</x:f>
      </x:c>
      <x:c r="AO56" s="84">
        <x:f>ROUND(AO19+AO26,0)</x:f>
      </x:c>
      <x:c r="AP56" s="84">
        <x:f>ROUND(AP19+AP26,0)</x:f>
      </x:c>
      <x:c r="AQ56" s="84">
        <x:f>ROUND(AQ19+AQ26,0)</x:f>
      </x:c>
      <x:c r="AR56" s="84">
        <x:f>ROUND(AR19+AR26,0)</x:f>
      </x:c>
      <x:c r="AS56" s="84">
        <x:f>ROUND(AS19+AS26,0)</x:f>
      </x:c>
      <x:c r="AT56" s="84">
        <x:f>ROUND(AT19+AT26,0)</x:f>
      </x:c>
      <x:c r="AU56" s="84">
        <x:f>ROUND(AU19+AU26,0)</x:f>
      </x:c>
      <x:c r="AV56" s="84">
        <x:f>ROUND(AV19+AV26,0)</x:f>
      </x:c>
      <x:c r="AW56" s="84">
        <x:f>ROUND(AW19+AW26,0)</x:f>
      </x:c>
      <x:c r="AX56" s="84">
        <x:f>ROUND(AX19+AX26,0)</x:f>
      </x:c>
      <x:c r="AY56" s="84">
        <x:f>ROUND(AY19+AY26,0)</x:f>
      </x:c>
      <x:c r="AZ56" s="84">
        <x:f>ROUND(AZ19+AZ26,0)</x:f>
      </x:c>
      <x:c r="BA56" s="84">
        <x:f>ROUND(BA19+BA26,0)</x:f>
      </x:c>
      <x:c r="BB56" s="84">
        <x:f>ROUND(BB19+BB26,0)</x:f>
      </x:c>
      <x:c r="BC56" s="84">
        <x:f>ROUND(BC19+BC26,0)</x:f>
      </x:c>
      <x:c r="BD56" s="84">
        <x:f>ROUND(BD19+BD26,0)</x:f>
      </x:c>
      <x:c r="BE56" s="84">
        <x:f>ROUND(BE19+BE26,0)</x:f>
      </x:c>
      <x:c r="BF56" s="84">
        <x:f>ROUND(BF19+BF26,0)</x:f>
      </x:c>
      <x:c r="BG56" s="84">
        <x:f>ROUND(BG19+BG26,0)</x:f>
      </x:c>
      <x:c r="BH56" s="84">
        <x:f>ROUND(BH19+BH26,0)</x:f>
      </x:c>
      <x:c r="BI56" s="84">
        <x:f>ROUND(BI19+BI26,0)</x:f>
      </x:c>
      <x:c r="BJ56" s="84">
        <x:f>ROUND(BJ19+BJ26,0)</x:f>
      </x:c>
      <x:c r="BK56" s="84">
        <x:f>ROUND(BK19+BK26,0)</x:f>
      </x:c>
      <x:c r="BL56" s="84">
        <x:f>ROUND(BL19+BL26,0)</x:f>
      </x:c>
      <x:c r="BM56" s="84">
        <x:f>ROUND(BM19+BM26,0)</x:f>
      </x:c>
      <x:c r="BN56" s="84">
        <x:f>ROUND(BN19+BN26,0)</x:f>
      </x:c>
      <x:c r="BO56" s="84">
        <x:f>ROUND(BO19+BO26,0)</x:f>
      </x:c>
      <x:c r="BP56" s="84">
        <x:f>ROUND(BP19+BP26,0)</x:f>
      </x:c>
      <x:c r="BQ56" s="84">
        <x:f>ROUND(BQ19+BQ26,0)</x:f>
      </x:c>
      <x:c r="BR56" s="84">
        <x:f>ROUND(BR19+BR26,0)</x:f>
      </x:c>
      <x:c r="BS56" s="84">
        <x:f>ROUND(BS19+BS26,0)</x:f>
      </x:c>
      <x:c r="BT56" s="84">
        <x:f>ROUND(BT19+BT26,0)</x:f>
      </x:c>
      <x:c r="BU56" s="84">
        <x:f>ROUND(BU19+BU26,0)</x:f>
      </x:c>
      <x:c r="BV56" s="84">
        <x:f>ROUND(BV19+BV26,0)</x:f>
      </x:c>
      <x:c r="BW56" s="84">
        <x:f>ROUND(BW19+BW26,0)</x:f>
      </x:c>
      <x:c r="BX56" s="84">
        <x:f>ROUND(BX19+BX26,0)</x:f>
      </x:c>
      <x:c r="BY56" s="84">
        <x:f>ROUND(BY19+BY26,0)</x:f>
      </x:c>
      <x:c r="BZ56" s="84">
        <x:f>ROUND(BZ19+BZ26,0)</x:f>
      </x:c>
      <x:c r="CA56" s="84">
        <x:f>ROUND(CA19+CA26,0)</x:f>
      </x:c>
      <x:c r="CB56" s="84">
        <x:f>ROUND(CB19+CB26,0)</x:f>
      </x:c>
      <x:c r="CC56" s="84">
        <x:f>ROUND(CC19+CC26,0)</x:f>
      </x:c>
    </x:row>
    <x:row r="59" spans="1:81" x14ac:dyDescent="0.2">
      <x:c r="A59" s="0" t="s">
        <x:v>241</x:v>
      </x:c>
      <x:c r="D59" s="0">
        <x:f t="array" ref="D59:CC59">TRANSPOSE('T-PSD-B4'!AE12:AE89)</x:f>
      </x:c>
      <x:c r="E59" s="0"/>
      <x:c r="F59" s="0"/>
      <x:c r="G59" s="0"/>
      <x:c r="H59" s="0"/>
      <x:c r="I59" s="0"/>
      <x:c r="J59" s="0"/>
      <x:c r="K59" s="0"/>
      <x:c r="L59" s="0"/>
      <x:c r="M59" s="0"/>
      <x:c r="N59" s="0"/>
      <x:c r="O59" s="0"/>
      <x:c r="P59" s="0"/>
      <x:c r="Q59" s="0"/>
      <x:c r="R59" s="0"/>
      <x:c r="S59" s="0"/>
      <x:c r="T59" s="0"/>
      <x:c r="U59" s="0"/>
      <x:c r="V59" s="0"/>
      <x:c r="W59" s="0"/>
      <x:c r="X59" s="0"/>
      <x:c r="Y59" s="0"/>
      <x:c r="Z59" s="0"/>
      <x:c r="AA59" s="0"/>
      <x:c r="AB59" s="0"/>
      <x:c r="AC59" s="0"/>
      <x:c r="AD59" s="0"/>
      <x:c r="AE59" s="0"/>
      <x:c r="AF59" s="0"/>
      <x:c r="AG59" s="0"/>
      <x:c r="AH59" s="0"/>
      <x:c r="AI59" s="0"/>
      <x:c r="AJ59" s="0"/>
      <x:c r="AK59" s="0"/>
      <x:c r="AL59" s="0"/>
      <x:c r="AM59" s="0"/>
      <x:c r="AN59" s="0"/>
      <x:c r="AO59" s="0"/>
      <x:c r="AP59" s="0"/>
      <x:c r="AQ59" s="0"/>
      <x:c r="AR59" s="0"/>
      <x:c r="AS59" s="0"/>
      <x:c r="AT59" s="0"/>
      <x:c r="AU59" s="0"/>
      <x:c r="AV59" s="0"/>
      <x:c r="AW59" s="0"/>
      <x:c r="AX59" s="0"/>
      <x:c r="AY59" s="0"/>
      <x:c r="AZ59" s="0"/>
      <x:c r="BA59" s="0"/>
      <x:c r="BB59" s="0"/>
      <x:c r="BC59" s="0"/>
      <x:c r="BD59" s="0"/>
      <x:c r="BE59" s="0"/>
      <x:c r="BF59" s="0"/>
      <x:c r="BG59" s="0"/>
      <x:c r="BH59" s="0"/>
      <x:c r="BI59" s="0"/>
      <x:c r="BJ59" s="0"/>
      <x:c r="BK59" s="0"/>
      <x:c r="BL59" s="0"/>
      <x:c r="BM59" s="0"/>
      <x:c r="BN59" s="0"/>
      <x:c r="BO59" s="0"/>
      <x:c r="BP59" s="0"/>
      <x:c r="BQ59" s="0"/>
      <x:c r="BR59" s="0"/>
      <x:c r="BS59" s="0"/>
      <x:c r="BT59" s="0"/>
      <x:c r="BU59" s="0"/>
      <x:c r="BV59" s="0"/>
      <x:c r="BW59" s="0"/>
      <x:c r="BX59" s="0"/>
      <x:c r="BY59" s="0"/>
      <x:c r="BZ59" s="0"/>
      <x:c r="CA59" s="0"/>
      <x:c r="CB59" s="0"/>
      <x:c r="CC59" s="0"/>
    </x:row>
    <x:row r="60" spans="1:81" x14ac:dyDescent="0.2">
      <x:c r="A60" s="0" t="s">
        <x:v>56</x:v>
      </x:c>
      <x:c r="D60" s="0">
        <x:f t="array" ref="D60:CC60">TRANSPOSE('T-PSD-B4'!AH12:AH89)</x:f>
      </x:c>
      <x:c r="E60" s="0"/>
      <x:c r="F60" s="0"/>
      <x:c r="G60" s="0"/>
      <x:c r="H60" s="0"/>
      <x:c r="I60" s="0"/>
      <x:c r="J60" s="0"/>
      <x:c r="K60" s="0"/>
      <x:c r="L60" s="0"/>
      <x:c r="M60" s="0"/>
      <x:c r="N60" s="0"/>
      <x:c r="O60" s="0"/>
      <x:c r="P60" s="0"/>
      <x:c r="Q60" s="0"/>
      <x:c r="R60" s="0"/>
      <x:c r="S60" s="0"/>
      <x:c r="T60" s="0"/>
      <x:c r="U60" s="0"/>
      <x:c r="V60" s="0"/>
      <x:c r="W60" s="0"/>
      <x:c r="X60" s="0"/>
      <x:c r="Y60" s="0"/>
      <x:c r="Z60" s="0"/>
      <x:c r="AA60" s="0"/>
      <x:c r="AB60" s="0"/>
      <x:c r="AC60" s="0"/>
      <x:c r="AD60" s="0"/>
      <x:c r="AE60" s="0"/>
      <x:c r="AF60" s="0"/>
      <x:c r="AG60" s="0"/>
      <x:c r="AH60" s="0"/>
      <x:c r="AI60" s="0"/>
      <x:c r="AJ60" s="0"/>
      <x:c r="AK60" s="0"/>
      <x:c r="AL60" s="0"/>
      <x:c r="AM60" s="0"/>
      <x:c r="AN60" s="0"/>
      <x:c r="AO60" s="0"/>
      <x:c r="AP60" s="0"/>
      <x:c r="AQ60" s="0"/>
      <x:c r="AR60" s="0"/>
      <x:c r="AS60" s="0"/>
      <x:c r="AT60" s="0"/>
      <x:c r="AU60" s="0"/>
      <x:c r="AV60" s="0"/>
      <x:c r="AW60" s="0"/>
      <x:c r="AX60" s="0"/>
      <x:c r="AY60" s="0"/>
      <x:c r="AZ60" s="0"/>
      <x:c r="BA60" s="0"/>
      <x:c r="BB60" s="0"/>
      <x:c r="BC60" s="0"/>
      <x:c r="BD60" s="0"/>
      <x:c r="BE60" s="0"/>
      <x:c r="BF60" s="0"/>
      <x:c r="BG60" s="0"/>
      <x:c r="BH60" s="0"/>
      <x:c r="BI60" s="0"/>
      <x:c r="BJ60" s="0"/>
      <x:c r="BK60" s="0"/>
      <x:c r="BL60" s="0"/>
      <x:c r="BM60" s="0"/>
      <x:c r="BN60" s="0"/>
      <x:c r="BO60" s="0"/>
      <x:c r="BP60" s="0"/>
      <x:c r="BQ60" s="0"/>
      <x:c r="BR60" s="0"/>
      <x:c r="BS60" s="0"/>
      <x:c r="BT60" s="0"/>
      <x:c r="BU60" s="0"/>
      <x:c r="BV60" s="0"/>
      <x:c r="BW60" s="0"/>
      <x:c r="BX60" s="0"/>
      <x:c r="BY60" s="0"/>
      <x:c r="BZ60" s="0"/>
      <x:c r="CA60" s="0"/>
      <x:c r="CB60" s="0"/>
      <x:c r="CC60" s="0"/>
    </x:row>
    <x:row r="61" spans="1:81" x14ac:dyDescent="0.2">
      <x:c r="A61" s="0" t="s">
        <x:v>242</x:v>
      </x:c>
      <x:c r="D61" s="0">
        <x:f>ROUND(D17*$C19+D24*$C26,0)</x:f>
      </x:c>
      <x:c r="E61" s="0">
        <x:f>ROUND(E17*$C19+E24*$C26,0)</x:f>
      </x:c>
      <x:c r="F61" s="0">
        <x:f>ROUND(F17*$C19+F24*$C26,0)</x:f>
      </x:c>
      <x:c r="G61" s="0">
        <x:f>ROUND(G17*$C19+G24*$C26,0)</x:f>
      </x:c>
      <x:c r="H61" s="0">
        <x:f>ROUND(H17*$C19+H24*$C26,0)</x:f>
      </x:c>
      <x:c r="I61" s="0">
        <x:f>ROUND(I17*$C19+I24*$C26,0)</x:f>
      </x:c>
      <x:c r="J61" s="0">
        <x:f>ROUND(J17*$C19+J24*$C26,0)</x:f>
      </x:c>
      <x:c r="K61" s="0">
        <x:f>ROUND(K17*$C19+K24*$C26,0)</x:f>
      </x:c>
      <x:c r="L61" s="0">
        <x:f>ROUND(L17*$C19+L24*$C26,0)</x:f>
      </x:c>
      <x:c r="M61" s="0">
        <x:f>ROUND(M17*$C19+M24*$C26,0)</x:f>
      </x:c>
      <x:c r="N61" s="0">
        <x:f>ROUND(N17*$C19+N24*$C26,0)</x:f>
      </x:c>
      <x:c r="O61" s="0">
        <x:f>ROUND(O17*$C19+O24*$C26,0)</x:f>
      </x:c>
      <x:c r="P61" s="0">
        <x:f>ROUND(P17*$C19+P24*$C26,0)</x:f>
      </x:c>
      <x:c r="Q61" s="0">
        <x:f>ROUND(Q17*$C19+Q24*$C26,0)</x:f>
      </x:c>
      <x:c r="R61" s="0">
        <x:f>ROUND(R17*$C19+R24*$C26,0)</x:f>
      </x:c>
      <x:c r="S61" s="0">
        <x:f>ROUND(S17*$C19+S24*$C26,0)</x:f>
      </x:c>
      <x:c r="T61" s="0">
        <x:f>ROUND(T17*$C19+T24*$C26,0)</x:f>
      </x:c>
      <x:c r="U61" s="0">
        <x:f>ROUND(U17*$C19+U24*$C26,0)</x:f>
      </x:c>
      <x:c r="V61" s="0">
        <x:f>ROUND(V17*$C19+V24*$C26,0)</x:f>
      </x:c>
      <x:c r="W61" s="0">
        <x:f>ROUND(W17*$C19+W24*$C26,0)</x:f>
      </x:c>
      <x:c r="X61" s="0">
        <x:f>ROUND(X17*$C19+X24*$C26,0)</x:f>
      </x:c>
      <x:c r="Y61" s="0">
        <x:f>ROUND(Y17*$C19+Y24*$C26,0)</x:f>
      </x:c>
      <x:c r="Z61" s="0">
        <x:f>ROUND(Z17*$C19+Z24*$C26,0)</x:f>
      </x:c>
      <x:c r="AA61" s="0">
        <x:f>ROUND(AA17*$C19+AA24*$C26,0)</x:f>
      </x:c>
      <x:c r="AB61" s="0">
        <x:f>ROUND(AB17*$C19+AB24*$C26,0)</x:f>
      </x:c>
      <x:c r="AC61" s="0">
        <x:f>ROUND(AC17*$C19+AC24*$C26,0)</x:f>
      </x:c>
      <x:c r="AD61" s="0">
        <x:f>ROUND(AD17*$C19+AD24*$C26,0)</x:f>
      </x:c>
      <x:c r="AE61" s="0">
        <x:f>ROUND(AE17*$C19+AE24*$C26,0)</x:f>
      </x:c>
      <x:c r="AF61" s="0">
        <x:f>ROUND(AF17*$C19+AF24*$C26,0)</x:f>
      </x:c>
      <x:c r="AG61" s="0">
        <x:f>ROUND(AG17*$C19+AG24*$C26,0)</x:f>
      </x:c>
      <x:c r="AH61" s="0">
        <x:f>ROUND(AH17*$C19+AH24*$C26,0)</x:f>
      </x:c>
      <x:c r="AI61" s="0">
        <x:f>ROUND(AI17*$C19+AI24*$C26,0)</x:f>
      </x:c>
      <x:c r="AJ61" s="0">
        <x:f>ROUND(AJ17*$C19+AJ24*$C26,0)</x:f>
      </x:c>
      <x:c r="AK61" s="0">
        <x:f>ROUND(AK17*$C19+AK24*$C26,0)</x:f>
      </x:c>
      <x:c r="AL61" s="0">
        <x:f>ROUND(AL17*$C19+AL24*$C26,0)</x:f>
      </x:c>
      <x:c r="AM61" s="0">
        <x:f>ROUND(AM17*$C19+AM24*$C26,0)</x:f>
      </x:c>
      <x:c r="AN61" s="0">
        <x:f>ROUND(AN17*$C19+AN24*$C26,0)</x:f>
      </x:c>
      <x:c r="AO61" s="0">
        <x:f>ROUND(AO17*$C19+AO24*$C26,0)</x:f>
      </x:c>
      <x:c r="AP61" s="0">
        <x:f>ROUND(AP17*$C19+AP24*$C26,0)</x:f>
      </x:c>
      <x:c r="AQ61" s="0">
        <x:f>ROUND(AQ17*$C19+AQ24*$C26,0)</x:f>
      </x:c>
      <x:c r="AR61" s="0">
        <x:f>ROUND(AR17*$C19+AR24*$C26,0)</x:f>
      </x:c>
      <x:c r="AS61" s="0">
        <x:f>ROUND(AS17*$C19+AS24*$C26,0)</x:f>
      </x:c>
      <x:c r="AT61" s="0">
        <x:f>ROUND(AT17*$C19+AT24*$C26,0)</x:f>
      </x:c>
      <x:c r="AU61" s="0">
        <x:f>ROUND(AU17*$C19+AU24*$C26,0)</x:f>
      </x:c>
      <x:c r="AV61" s="0">
        <x:f>ROUND(AV17*$C19+AV24*$C26,0)</x:f>
      </x:c>
      <x:c r="AW61" s="0">
        <x:f>ROUND(AW17*$C19+AW24*$C26,0)</x:f>
      </x:c>
      <x:c r="AX61" s="0">
        <x:f>ROUND(AX17*$C19+AX24*$C26,0)</x:f>
      </x:c>
      <x:c r="AY61" s="0">
        <x:f>ROUND(AY17*$C19+AY24*$C26,0)</x:f>
      </x:c>
      <x:c r="AZ61" s="0">
        <x:f>ROUND(AZ17*$C19+AZ24*$C26,0)</x:f>
      </x:c>
      <x:c r="BA61" s="0">
        <x:f>ROUND(BA17*$C19+BA24*$C26,0)</x:f>
      </x:c>
      <x:c r="BB61" s="0">
        <x:f>ROUND(BB17*$C19+BB24*$C26,0)</x:f>
      </x:c>
      <x:c r="BC61" s="0">
        <x:f>ROUND(BC17*$C19+BC24*$C26,0)</x:f>
      </x:c>
      <x:c r="BD61" s="0">
        <x:f>ROUND(BD17*$C19+BD24*$C26,0)</x:f>
      </x:c>
      <x:c r="BE61" s="0">
        <x:f>ROUND(BE17*$C19+BE24*$C26,0)</x:f>
      </x:c>
      <x:c r="BF61" s="0">
        <x:f>ROUND(BF17*$C19+BF24*$C26,0)</x:f>
      </x:c>
      <x:c r="BG61" s="0">
        <x:f>ROUND(BG17*$C19+BG24*$C26,0)</x:f>
      </x:c>
      <x:c r="BH61" s="0">
        <x:f>ROUND(BH17*$C19+BH24*$C26,0)</x:f>
      </x:c>
      <x:c r="BI61" s="0">
        <x:f>ROUND(BI17*$C19+BI24*$C26,0)</x:f>
      </x:c>
      <x:c r="BJ61" s="0">
        <x:f>ROUND(BJ17*$C19+BJ24*$C26,0)</x:f>
      </x:c>
      <x:c r="BK61" s="0">
        <x:f>ROUND(BK17*$C19+BK24*$C26,0)</x:f>
      </x:c>
      <x:c r="BL61" s="0">
        <x:f>ROUND(BL17*$C19+BL24*$C26,0)</x:f>
      </x:c>
      <x:c r="BM61" s="0">
        <x:f>ROUND(BM17*$C19+BM24*$C26,0)</x:f>
      </x:c>
      <x:c r="BN61" s="0">
        <x:f>ROUND(BN17*$C19+BN24*$C26,0)</x:f>
      </x:c>
      <x:c r="BO61" s="0">
        <x:f>ROUND(BO17*$C19+BO24*$C26,0)</x:f>
      </x:c>
      <x:c r="BP61" s="0">
        <x:f>ROUND(BP17*$C19+BP24*$C26,0)</x:f>
      </x:c>
      <x:c r="BQ61" s="0">
        <x:f>ROUND(BQ17*$C19+BQ24*$C26,0)</x:f>
      </x:c>
      <x:c r="BR61" s="0">
        <x:f>ROUND(BR17*$C19+BR24*$C26,0)</x:f>
      </x:c>
      <x:c r="BS61" s="0">
        <x:f>ROUND(BS17*$C19+BS24*$C26,0)</x:f>
      </x:c>
      <x:c r="BT61" s="0">
        <x:f>ROUND(BT17*$C19+BT24*$C26,0)</x:f>
      </x:c>
      <x:c r="BU61" s="0">
        <x:f>ROUND(BU17*$C19+BU24*$C26,0)</x:f>
      </x:c>
      <x:c r="BV61" s="0">
        <x:f>ROUND(BV17*$C19+BV24*$C26,0)</x:f>
      </x:c>
      <x:c r="BW61" s="0">
        <x:f>ROUND(BW17*$C19+BW24*$C26,0)</x:f>
      </x:c>
      <x:c r="BX61" s="0">
        <x:f>ROUND(BX17*$C19+BX24*$C26,0)</x:f>
      </x:c>
      <x:c r="BY61" s="0">
        <x:f>ROUND(BY17*$C19+BY24*$C26,0)</x:f>
      </x:c>
      <x:c r="BZ61" s="0">
        <x:f>ROUND(BZ17*$C19+BZ24*$C26,0)</x:f>
      </x:c>
      <x:c r="CA61" s="0">
        <x:f>ROUND(CA17*$C19+CA24*$C26,0)</x:f>
      </x:c>
      <x:c r="CB61" s="0">
        <x:f>ROUND(CB17*$C19+CB24*$C26,0)</x:f>
      </x:c>
      <x:c r="CC61" s="0">
        <x:f>ROUND(CC17*$C19+CC24*$C26,0)</x:f>
      </x:c>
    </x:row>
    <x:row r="62" spans="1:81" x14ac:dyDescent="0.2">
      <x:c r="A62" s="0" t="s">
        <x:v>243</x:v>
      </x:c>
      <x:c r="D62" s="0">
        <x:f>ROUND(D17*$A19+D24*$A26,0)</x:f>
      </x:c>
      <x:c r="E62" s="0">
        <x:f>ROUND(E17*$A19+E24*$A26,0)</x:f>
      </x:c>
      <x:c r="F62" s="0">
        <x:f>ROUND(F17*$A19+F24*$A26,0)</x:f>
      </x:c>
      <x:c r="G62" s="0">
        <x:f>ROUND(G17*$A19+G24*$A26,0)</x:f>
      </x:c>
      <x:c r="H62" s="0">
        <x:f>ROUND(H17*$A19+H24*$A26,0)</x:f>
      </x:c>
      <x:c r="I62" s="0">
        <x:f>ROUND(I17*$A19+I24*$A26,0)</x:f>
      </x:c>
      <x:c r="J62" s="0">
        <x:f>ROUND(J17*$A19+J24*$A26,0)</x:f>
      </x:c>
      <x:c r="K62" s="0">
        <x:f>ROUND(K17*$A19+K24*$A26,0)</x:f>
      </x:c>
      <x:c r="L62" s="0">
        <x:f>ROUND(L17*$A19+L24*$A26,0)</x:f>
      </x:c>
      <x:c r="M62" s="0">
        <x:f>ROUND(M17*$A19+M24*$A26,0)</x:f>
      </x:c>
      <x:c r="N62" s="0">
        <x:f>ROUND(N17*$A19+N24*$A26,0)</x:f>
      </x:c>
      <x:c r="O62" s="0">
        <x:f>ROUND(O17*$A19+O24*$A26,0)</x:f>
      </x:c>
      <x:c r="P62" s="0">
        <x:f>ROUND(P17*$A19+P24*$A26,0)</x:f>
      </x:c>
      <x:c r="Q62" s="0">
        <x:f>ROUND(Q17*$A19+Q24*$A26,0)</x:f>
      </x:c>
      <x:c r="R62" s="0">
        <x:f>ROUND(R17*$A19+R24*$A26,0)</x:f>
      </x:c>
      <x:c r="S62" s="0">
        <x:f>ROUND(S17*$A19+S24*$A26,0)</x:f>
      </x:c>
      <x:c r="T62" s="0">
        <x:f>ROUND(T17*$A19+T24*$A26,0)</x:f>
      </x:c>
      <x:c r="U62" s="0">
        <x:f>ROUND(U17*$A19+U24*$A26,0)</x:f>
      </x:c>
      <x:c r="V62" s="0">
        <x:f>ROUND(V17*$A19+V24*$A26,0)</x:f>
      </x:c>
      <x:c r="W62" s="0">
        <x:f>ROUND(W17*$A19+W24*$A26,0)</x:f>
      </x:c>
      <x:c r="X62" s="0">
        <x:f>ROUND(X17*$A19+X24*$A26,0)</x:f>
      </x:c>
      <x:c r="Y62" s="0">
        <x:f>ROUND(Y17*$A19+Y24*$A26,0)</x:f>
      </x:c>
      <x:c r="Z62" s="0">
        <x:f>ROUND(Z17*$A19+Z24*$A26,0)</x:f>
      </x:c>
      <x:c r="AA62" s="0">
        <x:f>ROUND(AA17*$A19+AA24*$A26,0)</x:f>
      </x:c>
      <x:c r="AB62" s="0">
        <x:f>ROUND(AB17*$A19+AB24*$A26,0)</x:f>
      </x:c>
      <x:c r="AC62" s="0">
        <x:f>ROUND(AC17*$A19+AC24*$A26,0)</x:f>
      </x:c>
      <x:c r="AD62" s="0">
        <x:f>ROUND(AD17*$A19+AD24*$A26,0)</x:f>
      </x:c>
      <x:c r="AE62" s="0">
        <x:f>ROUND(AE17*$A19+AE24*$A26,0)</x:f>
      </x:c>
      <x:c r="AF62" s="0">
        <x:f>ROUND(AF17*$A19+AF24*$A26,0)</x:f>
      </x:c>
      <x:c r="AG62" s="0">
        <x:f>ROUND(AG17*$A19+AG24*$A26,0)</x:f>
      </x:c>
      <x:c r="AH62" s="0">
        <x:f>ROUND(AH17*$A19+AH24*$A26,0)</x:f>
      </x:c>
      <x:c r="AI62" s="0">
        <x:f>ROUND(AI17*$A19+AI24*$A26,0)</x:f>
      </x:c>
      <x:c r="AJ62" s="0">
        <x:f>ROUND(AJ17*$A19+AJ24*$A26,0)</x:f>
      </x:c>
      <x:c r="AK62" s="0">
        <x:f>ROUND(AK17*$A19+AK24*$A26,0)</x:f>
      </x:c>
      <x:c r="AL62" s="0">
        <x:f>ROUND(AL17*$A19+AL24*$A26,0)</x:f>
      </x:c>
      <x:c r="AM62" s="0">
        <x:f>ROUND(AM17*$A19+AM24*$A26,0)</x:f>
      </x:c>
      <x:c r="AN62" s="0">
        <x:f>ROUND(AN17*$A19+AN24*$A26,0)</x:f>
      </x:c>
      <x:c r="AO62" s="0">
        <x:f>ROUND(AO17*$A19+AO24*$A26,0)</x:f>
      </x:c>
      <x:c r="AP62" s="0">
        <x:f>ROUND(AP17*$A19+AP24*$A26,0)</x:f>
      </x:c>
      <x:c r="AQ62" s="0">
        <x:f>ROUND(AQ17*$A19+AQ24*$A26,0)</x:f>
      </x:c>
      <x:c r="AR62" s="0">
        <x:f>ROUND(AR17*$A19+AR24*$A26,0)</x:f>
      </x:c>
      <x:c r="AS62" s="0">
        <x:f>ROUND(AS17*$A19+AS24*$A26,0)</x:f>
      </x:c>
      <x:c r="AT62" s="0">
        <x:f>ROUND(AT17*$A19+AT24*$A26,0)</x:f>
      </x:c>
      <x:c r="AU62" s="0">
        <x:f>ROUND(AU17*$A19+AU24*$A26,0)</x:f>
      </x:c>
      <x:c r="AV62" s="0">
        <x:f>ROUND(AV17*$A19+AV24*$A26,0)</x:f>
      </x:c>
      <x:c r="AW62" s="0">
        <x:f>ROUND(AW17*$A19+AW24*$A26,0)</x:f>
      </x:c>
      <x:c r="AX62" s="0">
        <x:f>ROUND(AX17*$A19+AX24*$A26,0)</x:f>
      </x:c>
      <x:c r="AY62" s="0">
        <x:f>ROUND(AY17*$A19+AY24*$A26,0)</x:f>
      </x:c>
      <x:c r="AZ62" s="0">
        <x:f>ROUND(AZ17*$A19+AZ24*$A26,0)</x:f>
      </x:c>
      <x:c r="BA62" s="0">
        <x:f>ROUND(BA17*$A19+BA24*$A26,0)</x:f>
      </x:c>
      <x:c r="BB62" s="0">
        <x:f>ROUND(BB17*$A19+BB24*$A26,0)</x:f>
      </x:c>
      <x:c r="BC62" s="0">
        <x:f>ROUND(BC17*$A19+BC24*$A26,0)</x:f>
      </x:c>
      <x:c r="BD62" s="0">
        <x:f>ROUND(BD17*$A19+BD24*$A26,0)</x:f>
      </x:c>
      <x:c r="BE62" s="0">
        <x:f>ROUND(BE17*$A19+BE24*$A26,0)</x:f>
      </x:c>
      <x:c r="BF62" s="0">
        <x:f>ROUND(BF17*$A19+BF24*$A26,0)</x:f>
      </x:c>
      <x:c r="BG62" s="0">
        <x:f>ROUND(BG17*$A19+BG24*$A26,0)</x:f>
      </x:c>
      <x:c r="BH62" s="0">
        <x:f>ROUND(BH17*$A19+BH24*$A26,0)</x:f>
      </x:c>
      <x:c r="BI62" s="0">
        <x:f>ROUND(BI17*$A19+BI24*$A26,0)</x:f>
      </x:c>
      <x:c r="BJ62" s="0">
        <x:f>ROUND(BJ17*$A19+BJ24*$A26,0)</x:f>
      </x:c>
      <x:c r="BK62" s="0">
        <x:f>ROUND(BK17*$A19+BK24*$A26,0)</x:f>
      </x:c>
      <x:c r="BL62" s="0">
        <x:f>ROUND(BL17*$A19+BL24*$A26,0)</x:f>
      </x:c>
      <x:c r="BM62" s="0">
        <x:f>ROUND(BM17*$A19+BM24*$A26,0)</x:f>
      </x:c>
      <x:c r="BN62" s="0">
        <x:f>ROUND(BN17*$A19+BN24*$A26,0)</x:f>
      </x:c>
      <x:c r="BO62" s="0">
        <x:f>ROUND(BO17*$A19+BO24*$A26,0)</x:f>
      </x:c>
      <x:c r="BP62" s="0">
        <x:f>ROUND(BP17*$A19+BP24*$A26,0)</x:f>
      </x:c>
      <x:c r="BQ62" s="0">
        <x:f>ROUND(BQ17*$A19+BQ24*$A26,0)</x:f>
      </x:c>
      <x:c r="BR62" s="0">
        <x:f>ROUND(BR17*$A19+BR24*$A26,0)</x:f>
      </x:c>
      <x:c r="BS62" s="0">
        <x:f>ROUND(BS17*$A19+BS24*$A26,0)</x:f>
      </x:c>
      <x:c r="BT62" s="0">
        <x:f>ROUND(BT17*$A19+BT24*$A26,0)</x:f>
      </x:c>
      <x:c r="BU62" s="0">
        <x:f>ROUND(BU17*$A19+BU24*$A26,0)</x:f>
      </x:c>
      <x:c r="BV62" s="0">
        <x:f>ROUND(BV17*$A19+BV24*$A26,0)</x:f>
      </x:c>
      <x:c r="BW62" s="0">
        <x:f>ROUND(BW17*$A19+BW24*$A26,0)</x:f>
      </x:c>
      <x:c r="BX62" s="0">
        <x:f>ROUND(BX17*$A19+BX24*$A26,0)</x:f>
      </x:c>
      <x:c r="BY62" s="0">
        <x:f>ROUND(BY17*$A19+BY24*$A26,0)</x:f>
      </x:c>
      <x:c r="BZ62" s="0">
        <x:f>ROUND(BZ17*$A19+BZ24*$A26,0)</x:f>
      </x:c>
      <x:c r="CA62" s="0">
        <x:f>ROUND(CA17*$A19+CA24*$A26,0)</x:f>
      </x:c>
      <x:c r="CB62" s="0">
        <x:f>ROUND(CB17*$A19+CB24*$A26,0)</x:f>
      </x:c>
      <x:c r="CC62" s="0">
        <x:f>ROUND(CC17*$A19+CC24*$A26,0)</x:f>
      </x:c>
    </x:row>
    <x:row r="64" spans="1:81" x14ac:dyDescent="0.2">
      <x:c r="A64" s="0" t="s">
        <x:v>244</x:v>
      </x:c>
      <x:c r="D64" s="0">
        <x:f>ROUND(SUM(D48:OFFSET(D48:D48,0,B70-1))/SUM(D32:OFFSET(D32:D32,0,B70-1)),4)</x:f>
      </x:c>
    </x:row>
    <x:row r="65" spans="1:81" x14ac:dyDescent="0.2">
      <x:c r="A65" s="0" t="s">
        <x:v>245</x:v>
      </x:c>
      <x:c r="D65" s="0">
        <x:f>ROUND(SUM(D46:OFFSET(D46:D46,0,B70-1))/SUM(D31:OFFSET(D31:D31,0,B70-1)),4)</x:f>
      </x:c>
    </x:row>
    <x:row r="66" spans="1:81" x14ac:dyDescent="0.2">
      <x:c r="A66" s="0" t="s">
        <x:v>246</x:v>
      </x:c>
      <x:c r="D66" s="0">
        <x:f>ROUND(SUM(D61:OFFSET(D61:D61,0,B70-1))/SUM(D32:OFFSET(D32:D32,0,B70-1)),4)</x:f>
      </x:c>
    </x:row>
    <x:row r="67" spans="1:81" x14ac:dyDescent="0.2">
      <x:c r="A67" s="0" t="s">
        <x:v>247</x:v>
      </x:c>
      <x:c r="D67" s="0">
        <x:f>ROUND(SUM(D45:OFFSET(D45:D45,0,B70-1))/SUM(D31:OFFSET(D31:D31,0,B70-1)),4)</x:f>
      </x:c>
    </x:row>
    <x:row r="68" spans="1:81" x14ac:dyDescent="0.2">
      <x:c r="A68" s="0" t="s">
        <x:v>248</x:v>
      </x:c>
      <x:c r="D68" s="0">
        <x:f>ROUND(SUM(D62:OFFSET(D62:D62,0,B70-1))/SUM(D32:OFFSET(D32:D32,0,B70-1)),0)</x:f>
      </x:c>
    </x:row>
    <x:row r="69" spans="1:81" x14ac:dyDescent="0.2">
      <x:c r="A69" s="0" t="s">
        <x:v>249</x:v>
      </x:c>
      <x:c r="D69" s="0">
        <x:f>ROUND(SUM(D33:OFFSET(D33:D33,0,B70-1))/SUM(D31:OFFSET(D31:D31,0,B70-1)),0)</x:f>
      </x:c>
    </x:row>
    <x:row r="70" spans="1:81" x14ac:dyDescent="0.2">
      <x:c r="A70" s="0" t="s">
        <x:v>250</x:v>
      </x:c>
      <x:c r="B70" s="0">
        <x:v>12</x:v>
      </x:c>
    </x:row>
  </x:sheetData>
  <x:mergeCells count="23">
    <x:mergeCell ref="F1:G1"/>
    <x:mergeCell ref="H1:J1"/>
    <x:mergeCell ref="B3:M3"/>
    <x:mergeCell ref="C5:F5"/>
    <x:mergeCell ref="G5:H5"/>
    <x:mergeCell ref="I5:J5"/>
    <x:mergeCell ref="K5:L5"/>
    <x:mergeCell ref="C6:F6"/>
    <x:mergeCell ref="G6:H6"/>
    <x:mergeCell ref="I6:J6"/>
    <x:mergeCell ref="K6:L6"/>
    <x:mergeCell ref="C7:F7"/>
    <x:mergeCell ref="G7:H7"/>
    <x:mergeCell ref="I7:J7"/>
    <x:mergeCell ref="K7:L7"/>
    <x:mergeCell ref="E8:F8"/>
    <x:mergeCell ref="G8:H8"/>
    <x:mergeCell ref="I8:J8"/>
    <x:mergeCell ref="K8:L8"/>
    <x:mergeCell ref="E9:F9"/>
    <x:mergeCell ref="G9:H9"/>
    <x:mergeCell ref="I9:J9"/>
    <x:mergeCell ref="K9:L9"/>
  </x:mergeCells>
  <x:conditionalFormatting sqref="D27:CC28">
    <x:cfRule type="cellIs" dxfId="3" priority="1" stopIfTrue="1" operator="lessThan">
      <x:formula>0</x:formula>
    </x:cfRule>
  </x:conditionalFormatting>
  <x:conditionalFormatting sqref="D21:CC25 D27:CC56">
    <x:cfRule type="expression" dxfId="4" priority="2" stopIfTrue="1" operator="equal">
      <x:formula>D$36=0</x:formula>
    </x:cfRule>
  </x:conditionalFormatting>
  <x:conditionalFormatting sqref="D21:CC21">
    <x:cfRule type="cellIs" dxfId="5" priority="3" stopIfTrue="1" operator="lessThan">
      <x:formula>0</x:formula>
    </x:cfRule>
  </x:conditionalFormatting>
  <x:conditionalFormatting sqref="D11:CC18 D19:X19">
    <x:cfRule type="expression" dxfId="4" priority="4" stopIfTrue="1" operator="equal">
      <x:formula>D$36=0</x:formula>
    </x:cfRule>
  </x:conditionalFormatting>
  <x:conditionalFormatting sqref="D20:CC20 E21:X21 D26:X26">
    <x:cfRule type="cellIs" dxfId="3" priority="5" stopIfTrue="1" operator="lessThan">
      <x:formula>0</x:formula>
    </x:cfRule>
    <x:cfRule type="expression" dxfId="4" priority="6" stopIfTrue="1" operator="equal">
      <x:formula>D$36=0</x:formula>
    </x:cfRule>
  </x:conditionalFormatting>
  <x:conditionalFormatting sqref="D14:CC14">
    <x:cfRule type="cellIs" dxfId="5" priority="7" stopIfTrue="1" operator="lessThan">
      <x:formula>0</x:formula>
    </x:cfRule>
  </x:conditionalFormatting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 horizontalDpi="200" verticalDpi="200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83"/>
  <x:sheetViews>
    <x:sheetView workbookViewId="0"/>
  </x:sheetViews>
  <x:sheetFormatPr defaultRowHeight="15"/>
  <x:cols>
    <x:col min="1" max="1" width="17.424911" style="0" customWidth="1"/>
    <x:col min="2" max="2" width="11.139196" style="0" customWidth="1"/>
  </x:cols>
  <x:sheetData>
    <x:row r="1" spans="1:2" s="100" customFormat="1">
      <x:c r="A1" s="100" t="s">
        <x:v>251</x:v>
      </x:c>
      <x:c r="B1" s="100" t="s">
        <x:v>252</x:v>
      </x:c>
    </x:row>
    <x:row r="2" spans="1:2">
      <x:c r="A2" s="101" t="s">
        <x:v>253</x:v>
      </x:c>
      <x:c r="B2" s="0">
        <x:v>15</x:v>
      </x:c>
    </x:row>
    <x:row r="3" spans="1:2">
      <x:c r="A3" s="101" t="s">
        <x:v>254</x:v>
      </x:c>
      <x:c r="B3" s="0">
        <x:v>3</x:v>
      </x:c>
    </x:row>
    <x:row r="4" spans="1:2">
      <x:c r="A4" s="101" t="s">
        <x:v>255</x:v>
      </x:c>
      <x:c r="B4" s="0">
        <x:v>2250</x:v>
      </x:c>
    </x:row>
    <x:row r="5" spans="1:2">
      <x:c r="A5" s="101" t="s">
        <x:v>256</x:v>
      </x:c>
      <x:c r="B5" s="0">
        <x:v>1000</x:v>
      </x:c>
    </x:row>
    <x:row r="6" spans="1:2">
      <x:c r="A6" s="101" t="s">
        <x:v>257</x:v>
      </x:c>
      <x:c r="B6" s="0">
        <x:v>30</x:v>
      </x:c>
    </x:row>
    <x:row r="7" spans="1:2">
      <x:c r="A7" s="101" t="s">
        <x:v>258</x:v>
      </x:c>
      <x:c r="B7" s="0">
        <x:v>2</x:v>
      </x:c>
    </x:row>
    <x:row r="8" spans="1:2">
      <x:c r="A8" s="101" t="s">
        <x:v>259</x:v>
      </x:c>
      <x:c r="B8" s="0">
        <x:v>20</x:v>
      </x:c>
    </x:row>
    <x:row r="9" spans="1:2">
      <x:c r="A9" s="101" t="s">
        <x:v>260</x:v>
      </x:c>
      <x:c r="B9" s="0">
        <x:v>1</x:v>
      </x:c>
    </x:row>
    <x:row r="10" spans="1:2">
      <x:c r="A10" s="101" t="s">
        <x:v>261</x:v>
      </x:c>
      <x:c r="B10" s="0">
        <x:v>6</x:v>
      </x:c>
    </x:row>
    <x:row r="11" spans="1:2">
      <x:c r="A11" s="101" t="s">
        <x:v>262</x:v>
      </x:c>
      <x:c r="B11" s="0">
        <x:v>4</x:v>
      </x:c>
    </x:row>
    <x:row r="12" spans="1:2">
      <x:c r="A12" s="101" t="s">
        <x:v>263</x:v>
      </x:c>
      <x:c r="B12" s="0">
        <x:v>208</x:v>
      </x:c>
    </x:row>
    <x:row r="13" spans="1:2">
      <x:c r="A13" s="101" t="s">
        <x:v>264</x:v>
      </x:c>
      <x:c r="B13" s="0">
        <x:v>16</x:v>
      </x:c>
    </x:row>
    <x:row r="14" spans="1:2">
      <x:c r="A14" s="101" t="s">
        <x:v>265</x:v>
      </x:c>
      <x:c r="B14" s="0">
        <x:v>24</x:v>
      </x:c>
    </x:row>
    <x:row r="15" spans="1:2">
      <x:c r="A15" s="101" t="s">
        <x:v>266</x:v>
      </x:c>
      <x:c r="B15" s="0">
        <x:v>13</x:v>
      </x:c>
    </x:row>
    <x:row r="16" spans="1:2">
      <x:c r="A16" s="101" t="s">
        <x:v>267</x:v>
      </x:c>
      <x:c r="B16" s="0">
        <x:v>33</x:v>
      </x:c>
    </x:row>
    <x:row r="17" spans="1:2">
      <x:c r="A17" s="101" t="s">
        <x:v>268</x:v>
      </x:c>
      <x:c r="B17" s="0">
        <x:v>1</x:v>
      </x:c>
    </x:row>
    <x:row r="18" spans="1:2">
      <x:c r="A18" s="101" t="s">
        <x:v>269</x:v>
      </x:c>
      <x:c r="B18" s="0">
        <x:v>6</x:v>
      </x:c>
    </x:row>
    <x:row r="19" spans="1:2">
      <x:c r="A19" s="101" t="s">
        <x:v>270</x:v>
      </x:c>
      <x:c r="B19" s="0">
        <x:v>23</x:v>
      </x:c>
    </x:row>
    <x:row r="20" spans="1:2">
      <x:c r="A20" s="101" t="s">
        <x:v>271</x:v>
      </x:c>
      <x:c r="B20" s="0">
        <x:v>1</x:v>
      </x:c>
    </x:row>
    <x:row r="21" spans="1:2">
      <x:c r="A21" s="101" t="s">
        <x:v>272</x:v>
      </x:c>
      <x:c r="B21" s="0">
        <x:v>185</x:v>
      </x:c>
    </x:row>
    <x:row r="22" spans="1:2">
      <x:c r="A22" s="101" t="s">
        <x:v>273</x:v>
      </x:c>
      <x:c r="B22" s="0">
        <x:v>1</x:v>
      </x:c>
    </x:row>
    <x:row r="23" spans="1:2">
      <x:c r="A23" s="101" t="s">
        <x:v>274</x:v>
      </x:c>
      <x:c r="B23" s="0">
        <x:v>1</x:v>
      </x:c>
    </x:row>
    <x:row r="24" spans="1:2">
      <x:c r="A24" s="101" t="s">
        <x:v>275</x:v>
      </x:c>
      <x:c r="B24" s="0">
        <x:v>5</x:v>
      </x:c>
    </x:row>
    <x:row r="25" spans="1:2">
      <x:c r="A25" s="101" t="s">
        <x:v>276</x:v>
      </x:c>
      <x:c r="B25" s="0">
        <x:v>4</x:v>
      </x:c>
    </x:row>
    <x:row r="26" spans="1:2">
      <x:c r="A26" s="101" t="s">
        <x:v>277</x:v>
      </x:c>
      <x:c r="B26" s="0">
        <x:v>1</x:v>
      </x:c>
    </x:row>
    <x:row r="27" spans="1:2">
      <x:c r="A27" s="101" t="s">
        <x:v>278</x:v>
      </x:c>
      <x:c r="B27" s="0">
        <x:v>1</x:v>
      </x:c>
    </x:row>
    <x:row r="28" spans="1:2">
      <x:c r="A28" s="101" t="s">
        <x:v>279</x:v>
      </x:c>
      <x:c r="B28" s="0">
        <x:v>1</x:v>
      </x:c>
    </x:row>
    <x:row r="29" spans="1:2">
      <x:c r="A29" s="101" t="s">
        <x:v>280</x:v>
      </x:c>
      <x:c r="B29" s="0">
        <x:v>221</x:v>
      </x:c>
    </x:row>
    <x:row r="30" spans="1:2">
      <x:c r="A30" s="101" t="s">
        <x:v>281</x:v>
      </x:c>
      <x:c r="B30" s="0">
        <x:v>822</x:v>
      </x:c>
    </x:row>
    <x:row r="31" spans="1:2">
      <x:c r="A31" s="101" t="s">
        <x:v>282</x:v>
      </x:c>
      <x:c r="B31" s="0">
        <x:v>1</x:v>
      </x:c>
    </x:row>
    <x:row r="32" spans="1:2">
      <x:c r="A32" s="101" t="s">
        <x:v>283</x:v>
      </x:c>
      <x:c r="B32" s="0">
        <x:v>10</x:v>
      </x:c>
    </x:row>
    <x:row r="33" spans="1:2">
      <x:c r="A33" s="101" t="s">
        <x:v>284</x:v>
      </x:c>
      <x:c r="B33" s="0">
        <x:v>2</x:v>
      </x:c>
    </x:row>
    <x:row r="34" spans="1:2">
      <x:c r="A34" s="101" t="s">
        <x:v>285</x:v>
      </x:c>
      <x:c r="B34" s="0">
        <x:v>8</x:v>
      </x:c>
    </x:row>
    <x:row r="35" spans="1:2">
      <x:c r="A35" s="101" t="s">
        <x:v>286</x:v>
      </x:c>
      <x:c r="B35" s="0">
        <x:v>11</x:v>
      </x:c>
    </x:row>
    <x:row r="36" spans="1:2">
      <x:c r="A36" s="101" t="s">
        <x:v>287</x:v>
      </x:c>
      <x:c r="B36" s="0">
        <x:v>1</x:v>
      </x:c>
    </x:row>
    <x:row r="37" spans="1:2">
      <x:c r="A37" s="101" t="s">
        <x:v>288</x:v>
      </x:c>
      <x:c r="B37" s="0">
        <x:v>11</x:v>
      </x:c>
    </x:row>
    <x:row r="38" spans="1:2">
      <x:c r="A38" s="101" t="s">
        <x:v>289</x:v>
      </x:c>
      <x:c r="B38" s="0">
        <x:v>84</x:v>
      </x:c>
    </x:row>
    <x:row r="39" spans="1:2">
      <x:c r="A39" s="101" t="s">
        <x:v>290</x:v>
      </x:c>
      <x:c r="B39" s="0">
        <x:v>32</x:v>
      </x:c>
    </x:row>
    <x:row r="40" spans="1:2">
      <x:c r="A40" s="101" t="s">
        <x:v>291</x:v>
      </x:c>
      <x:c r="B40" s="0">
        <x:v>1</x:v>
      </x:c>
    </x:row>
    <x:row r="41" spans="1:2">
      <x:c r="A41" s="101" t="s">
        <x:v>292</x:v>
      </x:c>
      <x:c r="B41" s="0">
        <x:v>2</x:v>
      </x:c>
    </x:row>
    <x:row r="42" spans="1:2">
      <x:c r="A42" s="101" t="s">
        <x:v>293</x:v>
      </x:c>
      <x:c r="B42" s="0">
        <x:v>300</x:v>
      </x:c>
    </x:row>
    <x:row r="43" spans="1:2">
      <x:c r="A43" s="101" t="s">
        <x:v>294</x:v>
      </x:c>
      <x:c r="B43" s="0">
        <x:v>246</x:v>
      </x:c>
    </x:row>
    <x:row r="44" spans="1:2">
      <x:c r="A44" s="101" t="s">
        <x:v>295</x:v>
      </x:c>
      <x:c r="B44" s="0">
        <x:v>1</x:v>
      </x:c>
    </x:row>
    <x:row r="45" spans="1:2">
      <x:c r="A45" s="101" t="s">
        <x:v>296</x:v>
      </x:c>
      <x:c r="B45" s="0">
        <x:v>90</x:v>
      </x:c>
    </x:row>
    <x:row r="46" spans="1:2">
      <x:c r="A46" s="101" t="s">
        <x:v>297</x:v>
      </x:c>
      <x:c r="B46" s="0">
        <x:v>19</x:v>
      </x:c>
    </x:row>
    <x:row r="47" spans="1:2">
      <x:c r="A47" s="101" t="s">
        <x:v>298</x:v>
      </x:c>
      <x:c r="B47" s="0">
        <x:v>95</x:v>
      </x:c>
    </x:row>
    <x:row r="48" spans="1:2">
      <x:c r="A48" s="101" t="s">
        <x:v>299</x:v>
      </x:c>
      <x:c r="B48" s="0">
        <x:v>7</x:v>
      </x:c>
    </x:row>
    <x:row r="49" spans="1:2">
      <x:c r="A49" s="101" t="s">
        <x:v>300</x:v>
      </x:c>
      <x:c r="B49" s="0">
        <x:v>4</x:v>
      </x:c>
    </x:row>
    <x:row r="50" spans="1:2">
      <x:c r="A50" s="101" t="s">
        <x:v>301</x:v>
      </x:c>
      <x:c r="B50" s="0">
        <x:v>21</x:v>
      </x:c>
    </x:row>
    <x:row r="51" spans="1:2">
      <x:c r="A51" s="101" t="s">
        <x:v>302</x:v>
      </x:c>
      <x:c r="B51" s="0">
        <x:v>17</x:v>
      </x:c>
    </x:row>
    <x:row r="52" spans="1:2">
      <x:c r="A52" s="101" t="s">
        <x:v>303</x:v>
      </x:c>
      <x:c r="B52" s="0">
        <x:v>1</x:v>
      </x:c>
    </x:row>
    <x:row r="53" spans="1:2">
      <x:c r="A53" s="101" t="s">
        <x:v>304</x:v>
      </x:c>
      <x:c r="B53" s="0">
        <x:v>19</x:v>
      </x:c>
    </x:row>
    <x:row r="54" spans="1:2">
      <x:c r="A54" s="101" t="s">
        <x:v>305</x:v>
      </x:c>
      <x:c r="B54" s="0">
        <x:v>20</x:v>
      </x:c>
    </x:row>
    <x:row r="55" spans="1:2">
      <x:c r="A55" s="101" t="s">
        <x:v>306</x:v>
      </x:c>
      <x:c r="B55" s="0">
        <x:v>208</x:v>
      </x:c>
    </x:row>
    <x:row r="56" spans="1:2">
      <x:c r="A56" s="101" t="s">
        <x:v>307</x:v>
      </x:c>
      <x:c r="B56" s="0">
        <x:v>37</x:v>
      </x:c>
    </x:row>
    <x:row r="57" spans="1:2">
      <x:c r="A57" s="101" t="s">
        <x:v>308</x:v>
      </x:c>
      <x:c r="B57" s="0">
        <x:v>45</x:v>
      </x:c>
    </x:row>
    <x:row r="58" spans="1:2">
      <x:c r="A58" s="101" t="s">
        <x:v>309</x:v>
      </x:c>
      <x:c r="B58" s="0">
        <x:v>26</x:v>
      </x:c>
    </x:row>
    <x:row r="59" spans="1:2">
      <x:c r="A59" s="101" t="s">
        <x:v>310</x:v>
      </x:c>
      <x:c r="B59" s="0">
        <x:v>13</x:v>
      </x:c>
    </x:row>
    <x:row r="60" spans="1:2">
      <x:c r="A60" s="101" t="s">
        <x:v>311</x:v>
      </x:c>
      <x:c r="B60" s="0">
        <x:v>1</x:v>
      </x:c>
    </x:row>
    <x:row r="61" spans="1:2">
      <x:c r="A61" s="101" t="s">
        <x:v>312</x:v>
      </x:c>
      <x:c r="B61" s="0">
        <x:v>7</x:v>
      </x:c>
    </x:row>
    <x:row r="62" spans="1:2">
      <x:c r="A62" s="101" t="s">
        <x:v>313</x:v>
      </x:c>
      <x:c r="B62" s="0">
        <x:v>14</x:v>
      </x:c>
    </x:row>
    <x:row r="63" spans="1:2">
      <x:c r="A63" s="101" t="s">
        <x:v>314</x:v>
      </x:c>
      <x:c r="B63" s="0">
        <x:v>21</x:v>
      </x:c>
    </x:row>
    <x:row r="64" spans="1:2">
      <x:c r="A64" s="101" t="s">
        <x:v>315</x:v>
      </x:c>
      <x:c r="B64" s="0">
        <x:v>19</x:v>
      </x:c>
    </x:row>
    <x:row r="65" spans="1:2">
      <x:c r="A65" s="101" t="s">
        <x:v>316</x:v>
      </x:c>
      <x:c r="B65" s="0">
        <x:v>11</x:v>
      </x:c>
    </x:row>
    <x:row r="66" spans="1:2">
      <x:c r="A66" s="101" t="s">
        <x:v>317</x:v>
      </x:c>
      <x:c r="B66" s="0">
        <x:v>1</x:v>
      </x:c>
    </x:row>
    <x:row r="67" spans="1:2">
      <x:c r="A67" s="101" t="s">
        <x:v>318</x:v>
      </x:c>
      <x:c r="B67" s="0">
        <x:v>13</x:v>
      </x:c>
    </x:row>
    <x:row r="68" spans="1:2">
      <x:c r="A68" s="101" t="s">
        <x:v>319</x:v>
      </x:c>
      <x:c r="B68" s="0">
        <x:v>197</x:v>
      </x:c>
    </x:row>
    <x:row r="69" spans="1:2">
      <x:c r="A69" s="101" t="s">
        <x:v>320</x:v>
      </x:c>
      <x:c r="B69" s="0">
        <x:v>82</x:v>
      </x:c>
    </x:row>
    <x:row r="70" spans="1:2">
      <x:c r="A70" s="101" t="s">
        <x:v>321</x:v>
      </x:c>
      <x:c r="B70" s="0">
        <x:v>8</x:v>
      </x:c>
    </x:row>
    <x:row r="71" spans="1:2">
      <x:c r="A71" s="101" t="s">
        <x:v>322</x:v>
      </x:c>
      <x:c r="B71" s="0">
        <x:v>7</x:v>
      </x:c>
    </x:row>
    <x:row r="72" spans="1:2">
      <x:c r="A72" s="101" t="s">
        <x:v>323</x:v>
      </x:c>
      <x:c r="B72" s="0">
        <x:v>23</x:v>
      </x:c>
    </x:row>
    <x:row r="73" spans="1:2">
      <x:c r="A73" s="101" t="s">
        <x:v>324</x:v>
      </x:c>
      <x:c r="B73" s="0">
        <x:v>37</x:v>
      </x:c>
    </x:row>
    <x:row r="74" spans="1:2">
      <x:c r="A74" s="101" t="s">
        <x:v>325</x:v>
      </x:c>
      <x:c r="B74" s="0">
        <x:v>6</x:v>
      </x:c>
    </x:row>
    <x:row r="75" spans="1:2">
      <x:c r="A75" s="101" t="s">
        <x:v>326</x:v>
      </x:c>
      <x:c r="B75" s="0">
        <x:v>38</x:v>
      </x:c>
    </x:row>
    <x:row r="76" spans="1:2">
      <x:c r="A76" s="101" t="s">
        <x:v>327</x:v>
      </x:c>
      <x:c r="B76" s="0">
        <x:v>123</x:v>
      </x:c>
    </x:row>
    <x:row r="77" spans="1:2">
      <x:c r="A77" s="101" t="s">
        <x:v>328</x:v>
      </x:c>
      <x:c r="B77" s="0">
        <x:v>6</x:v>
      </x:c>
    </x:row>
    <x:row r="78" spans="1:2">
      <x:c r="A78" s="101" t="s">
        <x:v>329</x:v>
      </x:c>
      <x:c r="B78" s="0">
        <x:v>222</x:v>
      </x:c>
    </x:row>
    <x:row r="79" spans="1:2">
      <x:c r="A79" s="101" t="s">
        <x:v>330</x:v>
      </x:c>
      <x:c r="B79" s="0">
        <x:v>59</x:v>
      </x:c>
    </x:row>
    <x:row r="80" spans="1:2">
      <x:c r="A80" s="101" t="s">
        <x:v>331</x:v>
      </x:c>
      <x:c r="B80" s="0">
        <x:v>8</x:v>
      </x:c>
    </x:row>
    <x:row r="81" spans="1:2">
      <x:c r="A81" s="101" t="s">
        <x:v>332</x:v>
      </x:c>
      <x:c r="B81" s="0">
        <x:v>141</x:v>
      </x:c>
    </x:row>
    <x:row r="82" spans="1:2">
      <x:c r="A82" s="101" t="s">
        <x:v>333</x:v>
      </x:c>
      <x:c r="B82" s="0">
        <x:v>6</x:v>
      </x:c>
    </x:row>
    <x:row r="83" spans="1:2">
      <x:c r="A83" s="101" t="s">
        <x:v>334</x:v>
      </x:c>
      <x:c r="B83" s="0">
        <x:v>41</x:v>
      </x:c>
    </x:row>
    <x:row r="84" spans="1:2">
      <x:c r="A84" s="101" t="s">
        <x:v>335</x:v>
      </x:c>
      <x:c r="B84" s="0">
        <x:v>58</x:v>
      </x:c>
    </x:row>
    <x:row r="85" spans="1:2">
      <x:c r="A85" s="101" t="s">
        <x:v>336</x:v>
      </x:c>
      <x:c r="B85" s="0">
        <x:v>15</x:v>
      </x:c>
    </x:row>
    <x:row r="86" spans="1:2">
      <x:c r="A86" s="101" t="s">
        <x:v>337</x:v>
      </x:c>
      <x:c r="B86" s="0">
        <x:v>47</x:v>
      </x:c>
    </x:row>
    <x:row r="87" spans="1:2">
      <x:c r="A87" s="101" t="s">
        <x:v>338</x:v>
      </x:c>
      <x:c r="B87" s="0">
        <x:v>21</x:v>
      </x:c>
    </x:row>
    <x:row r="88" spans="1:2">
      <x:c r="A88" s="101" t="s">
        <x:v>339</x:v>
      </x:c>
      <x:c r="B88" s="0">
        <x:v>560</x:v>
      </x:c>
    </x:row>
    <x:row r="89" spans="1:2">
      <x:c r="A89" s="101" t="s">
        <x:v>340</x:v>
      </x:c>
      <x:c r="B89" s="0">
        <x:v>220</x:v>
      </x:c>
    </x:row>
    <x:row r="90" spans="1:2">
      <x:c r="A90" s="101" t="s">
        <x:v>341</x:v>
      </x:c>
      <x:c r="B90" s="0">
        <x:v>1300</x:v>
      </x:c>
    </x:row>
    <x:row r="91" spans="1:2">
      <x:c r="A91" s="101" t="s">
        <x:v>342</x:v>
      </x:c>
      <x:c r="B91" s="0">
        <x:v>540</x:v>
      </x:c>
    </x:row>
    <x:row r="92" spans="1:2">
      <x:c r="A92" s="101" t="s">
        <x:v>343</x:v>
      </x:c>
      <x:c r="B92" s="0">
        <x:v>4</x:v>
      </x:c>
    </x:row>
    <x:row r="93" spans="1:2">
      <x:c r="A93" s="101" t="s">
        <x:v>344</x:v>
      </x:c>
      <x:c r="B93" s="0">
        <x:v>9</x:v>
      </x:c>
    </x:row>
    <x:row r="94" spans="1:2">
      <x:c r="A94" s="101" t="s">
        <x:v>345</x:v>
      </x:c>
      <x:c r="B94" s="0">
        <x:v>87</x:v>
      </x:c>
    </x:row>
    <x:row r="95" spans="1:2">
      <x:c r="A95" s="101" t="s">
        <x:v>346</x:v>
      </x:c>
      <x:c r="B95" s="0">
        <x:v>1000</x:v>
      </x:c>
    </x:row>
    <x:row r="96" spans="1:2">
      <x:c r="A96" s="101" t="s">
        <x:v>347</x:v>
      </x:c>
      <x:c r="B96" s="0">
        <x:v>120</x:v>
      </x:c>
    </x:row>
    <x:row r="97" spans="1:2">
      <x:c r="A97" s="101" t="s">
        <x:v>348</x:v>
      </x:c>
      <x:c r="B97" s="0">
        <x:v>2220</x:v>
      </x:c>
    </x:row>
    <x:row r="98" spans="1:2">
      <x:c r="A98" s="101" t="s">
        <x:v>349</x:v>
      </x:c>
      <x:c r="B98" s="0">
        <x:v>1300</x:v>
      </x:c>
    </x:row>
    <x:row r="99" spans="1:2">
      <x:c r="A99" s="101" t="s">
        <x:v>350</x:v>
      </x:c>
      <x:c r="B99" s="0">
        <x:v>49</x:v>
      </x:c>
    </x:row>
    <x:row r="100" spans="1:2">
      <x:c r="A100" s="101" t="s">
        <x:v>351</x:v>
      </x:c>
      <x:c r="B100" s="0">
        <x:v>427</x:v>
      </x:c>
    </x:row>
    <x:row r="101" spans="1:2">
      <x:c r="A101" s="101" t="s">
        <x:v>352</x:v>
      </x:c>
      <x:c r="B101" s="0">
        <x:v>1922</x:v>
      </x:c>
    </x:row>
    <x:row r="102" spans="1:2">
      <x:c r="A102" s="101" t="s">
        <x:v>353</x:v>
      </x:c>
      <x:c r="B102" s="0">
        <x:v>663</x:v>
      </x:c>
    </x:row>
    <x:row r="103" spans="1:2">
      <x:c r="A103" s="101" t="s">
        <x:v>354</x:v>
      </x:c>
      <x:c r="B103" s="0">
        <x:v>602</x:v>
      </x:c>
    </x:row>
    <x:row r="104" spans="1:2">
      <x:c r="A104" s="101" t="s">
        <x:v>355</x:v>
      </x:c>
      <x:c r="B104" s="0">
        <x:v>42</x:v>
      </x:c>
    </x:row>
    <x:row r="105" spans="1:2">
      <x:c r="A105" s="101" t="s">
        <x:v>356</x:v>
      </x:c>
      <x:c r="B105" s="0">
        <x:v>197</x:v>
      </x:c>
    </x:row>
    <x:row r="106" spans="1:2">
      <x:c r="A106" s="101" t="s">
        <x:v>357</x:v>
      </x:c>
      <x:c r="B106" s="0">
        <x:v>540</x:v>
      </x:c>
    </x:row>
    <x:row r="107" spans="1:2">
      <x:c r="A107" s="101" t="s">
        <x:v>358</x:v>
      </x:c>
      <x:c r="B107" s="0">
        <x:v>60</x:v>
      </x:c>
    </x:row>
    <x:row r="108" spans="1:2">
      <x:c r="A108" s="101" t="s">
        <x:v>359</x:v>
      </x:c>
      <x:c r="B108" s="0">
        <x:v>15</x:v>
      </x:c>
    </x:row>
    <x:row r="109" spans="1:2">
      <x:c r="A109" s="101" t="s">
        <x:v>360</x:v>
      </x:c>
      <x:c r="B109" s="0">
        <x:v>1007</x:v>
      </x:c>
    </x:row>
    <x:row r="110" spans="1:2">
      <x:c r="A110" s="101" t="s">
        <x:v>361</x:v>
      </x:c>
      <x:c r="B110" s="0">
        <x:v>107</x:v>
      </x:c>
    </x:row>
    <x:row r="111" spans="1:2">
      <x:c r="A111" s="101" t="s">
        <x:v>362</x:v>
      </x:c>
      <x:c r="B111" s="0">
        <x:v>17</x:v>
      </x:c>
    </x:row>
    <x:row r="112" spans="1:2">
      <x:c r="A112" s="101" t="s">
        <x:v>363</x:v>
      </x:c>
      <x:c r="B112" s="0">
        <x:v>80</x:v>
      </x:c>
    </x:row>
    <x:row r="113" spans="1:2">
      <x:c r="A113" s="101" t="s">
        <x:v>364</x:v>
      </x:c>
      <x:c r="B113" s="0">
        <x:v>750</x:v>
      </x:c>
    </x:row>
    <x:row r="114" spans="1:2">
      <x:c r="A114" s="101" t="s">
        <x:v>365</x:v>
      </x:c>
      <x:c r="B114" s="0">
        <x:v>212</x:v>
      </x:c>
    </x:row>
    <x:row r="115" spans="1:2">
      <x:c r="A115" s="101" t="s">
        <x:v>366</x:v>
      </x:c>
      <x:c r="B115" s="0">
        <x:v>600</x:v>
      </x:c>
    </x:row>
    <x:row r="116" spans="1:2">
      <x:c r="A116" s="101" t="s">
        <x:v>367</x:v>
      </x:c>
      <x:c r="B116" s="0">
        <x:v>150</x:v>
      </x:c>
    </x:row>
    <x:row r="117" spans="1:2">
      <x:c r="A117" s="101" t="s">
        <x:v>368</x:v>
      </x:c>
      <x:c r="B117" s="0">
        <x:v>465</x:v>
      </x:c>
    </x:row>
    <x:row r="118" spans="1:2">
      <x:c r="A118" s="101" t="s">
        <x:v>369</x:v>
      </x:c>
      <x:c r="B118" s="0">
        <x:v>201</x:v>
      </x:c>
    </x:row>
    <x:row r="119" spans="1:2">
      <x:c r="A119" s="101" t="s">
        <x:v>370</x:v>
      </x:c>
      <x:c r="B119" s="0">
        <x:v>279</x:v>
      </x:c>
    </x:row>
    <x:row r="120" spans="1:2">
      <x:c r="A120" s="101" t="s">
        <x:v>371</x:v>
      </x:c>
      <x:c r="B120" s="0">
        <x:v>775</x:v>
      </x:c>
    </x:row>
    <x:row r="121" spans="1:2">
      <x:c r="A121" s="101" t="s">
        <x:v>372</x:v>
      </x:c>
      <x:c r="B121" s="0">
        <x:v>1475</x:v>
      </x:c>
    </x:row>
    <x:row r="122" spans="1:2">
      <x:c r="A122" s="101" t="s">
        <x:v>373</x:v>
      </x:c>
      <x:c r="B122" s="0">
        <x:v>485</x:v>
      </x:c>
    </x:row>
    <x:row r="123" spans="1:2">
      <x:c r="A123" s="101" t="s">
        <x:v>374</x:v>
      </x:c>
      <x:c r="B123" s="0">
        <x:v>200</x:v>
      </x:c>
    </x:row>
    <x:row r="124" spans="1:2">
      <x:c r="A124" s="101" t="s">
        <x:v>375</x:v>
      </x:c>
      <x:c r="B124" s="0">
        <x:v>106</x:v>
      </x:c>
    </x:row>
    <x:row r="125" spans="1:2">
      <x:c r="A125" s="101" t="s">
        <x:v>376</x:v>
      </x:c>
      <x:c r="B125" s="0">
        <x:v>2026</x:v>
      </x:c>
    </x:row>
    <x:row r="126" spans="1:2">
      <x:c r="A126" s="101" t="s">
        <x:v>377</x:v>
      </x:c>
      <x:c r="B126" s="0">
        <x:v>401</x:v>
      </x:c>
    </x:row>
    <x:row r="127" spans="1:2">
      <x:c r="A127" s="101" t="s">
        <x:v>378</x:v>
      </x:c>
      <x:c r="B127" s="0">
        <x:v>927</x:v>
      </x:c>
    </x:row>
    <x:row r="128" spans="1:2">
      <x:c r="A128" s="101" t="s">
        <x:v>379</x:v>
      </x:c>
      <x:c r="B128" s="0">
        <x:v>660</x:v>
      </x:c>
    </x:row>
    <x:row r="129" spans="1:2">
      <x:c r="A129" s="101" t="s">
        <x:v>380</x:v>
      </x:c>
      <x:c r="B129" s="0">
        <x:v>202</x:v>
      </x:c>
    </x:row>
    <x:row r="130" spans="1:2">
      <x:c r="A130" s="101" t="s">
        <x:v>381</x:v>
      </x:c>
      <x:c r="B130" s="0">
        <x:v>20</x:v>
      </x:c>
    </x:row>
    <x:row r="131" spans="1:2">
      <x:c r="A131" s="101" t="s">
        <x:v>382</x:v>
      </x:c>
      <x:c r="B131" s="0">
        <x:v>80</x:v>
      </x:c>
    </x:row>
    <x:row r="132" spans="1:2">
      <x:c r="A132" s="101" t="s">
        <x:v>383</x:v>
      </x:c>
      <x:c r="B132" s="0">
        <x:v>260</x:v>
      </x:c>
    </x:row>
    <x:row r="133" spans="1:2">
      <x:c r="A133" s="101" t="s">
        <x:v>384</x:v>
      </x:c>
      <x:c r="B133" s="0">
        <x:v>20</x:v>
      </x:c>
    </x:row>
    <x:row r="134" spans="1:2">
      <x:c r="A134" s="101" t="s">
        <x:v>385</x:v>
      </x:c>
      <x:c r="B134" s="0">
        <x:v>71</x:v>
      </x:c>
    </x:row>
    <x:row r="135" spans="1:2">
      <x:c r="A135" s="101" t="s">
        <x:v>386</x:v>
      </x:c>
      <x:c r="B135" s="0">
        <x:v>22</x:v>
      </x:c>
    </x:row>
    <x:row r="136" spans="1:2">
      <x:c r="A136" s="101" t="s">
        <x:v>387</x:v>
      </x:c>
      <x:c r="B136" s="0">
        <x:v>19</x:v>
      </x:c>
    </x:row>
    <x:row r="137" spans="1:2">
      <x:c r="A137" s="101" t="s">
        <x:v>388</x:v>
      </x:c>
      <x:c r="B137" s="0">
        <x:v>92</x:v>
      </x:c>
    </x:row>
    <x:row r="138" spans="1:2">
      <x:c r="A138" s="101" t="s">
        <x:v>389</x:v>
      </x:c>
      <x:c r="B138" s="0">
        <x:v>41</x:v>
      </x:c>
    </x:row>
    <x:row r="139" spans="1:2">
      <x:c r="A139" s="101" t="s">
        <x:v>390</x:v>
      </x:c>
      <x:c r="B139" s="0">
        <x:v>1</x:v>
      </x:c>
    </x:row>
    <x:row r="140" spans="1:2">
      <x:c r="A140" s="101" t="s">
        <x:v>391</x:v>
      </x:c>
      <x:c r="B140" s="0">
        <x:v>38</x:v>
      </x:c>
    </x:row>
    <x:row r="141" spans="1:2">
      <x:c r="A141" s="101" t="s">
        <x:v>392</x:v>
      </x:c>
      <x:c r="B141" s="0">
        <x:v>6</x:v>
      </x:c>
    </x:row>
    <x:row r="142" spans="1:2">
      <x:c r="A142" s="101" t="s">
        <x:v>393</x:v>
      </x:c>
      <x:c r="B142" s="0">
        <x:v>8</x:v>
      </x:c>
    </x:row>
    <x:row r="143" spans="1:2">
      <x:c r="A143" s="101" t="s">
        <x:v>394</x:v>
      </x:c>
      <x:c r="B143" s="0">
        <x:v>166</x:v>
      </x:c>
    </x:row>
    <x:row r="144" spans="1:2">
      <x:c r="A144" s="101" t="s">
        <x:v>395</x:v>
      </x:c>
      <x:c r="B144" s="0">
        <x:v>99</x:v>
      </x:c>
    </x:row>
    <x:row r="145" spans="1:2">
      <x:c r="A145" s="101" t="s">
        <x:v>396</x:v>
      </x:c>
      <x:c r="B145" s="0">
        <x:v>6</x:v>
      </x:c>
    </x:row>
    <x:row r="146" spans="1:2">
      <x:c r="A146" s="101" t="s">
        <x:v>397</x:v>
      </x:c>
      <x:c r="B146" s="0">
        <x:v>3</x:v>
      </x:c>
    </x:row>
    <x:row r="147" spans="1:2">
      <x:c r="A147" s="101" t="s">
        <x:v>398</x:v>
      </x:c>
      <x:c r="B147" s="0">
        <x:v>33</x:v>
      </x:c>
    </x:row>
    <x:row r="148" spans="1:2">
      <x:c r="A148" s="101" t="s">
        <x:v>399</x:v>
      </x:c>
      <x:c r="B148" s="0">
        <x:v>9</x:v>
      </x:c>
    </x:row>
    <x:row r="149" spans="1:2">
      <x:c r="A149" s="101" t="s">
        <x:v>400</x:v>
      </x:c>
      <x:c r="B149" s="0">
        <x:v>34</x:v>
      </x:c>
    </x:row>
    <x:row r="150" spans="1:2">
      <x:c r="A150" s="101" t="s">
        <x:v>401</x:v>
      </x:c>
      <x:c r="B150" s="0">
        <x:v>25</x:v>
      </x:c>
    </x:row>
    <x:row r="151" spans="1:2">
      <x:c r="A151" s="101" t="s">
        <x:v>402</x:v>
      </x:c>
      <x:c r="B151" s="0">
        <x:v>10</x:v>
      </x:c>
    </x:row>
    <x:row r="152" spans="1:2">
      <x:c r="A152" s="101" t="s">
        <x:v>403</x:v>
      </x:c>
      <x:c r="B152" s="0">
        <x:v>3</x:v>
      </x:c>
    </x:row>
    <x:row r="153" spans="1:2">
      <x:c r="A153" s="101" t="s">
        <x:v>404</x:v>
      </x:c>
      <x:c r="B153" s="0">
        <x:v>1</x:v>
      </x:c>
    </x:row>
    <x:row r="154" spans="1:2">
      <x:c r="A154" s="101" t="s">
        <x:v>405</x:v>
      </x:c>
      <x:c r="B154" s="0">
        <x:v>32</x:v>
      </x:c>
    </x:row>
    <x:row r="155" spans="1:2">
      <x:c r="A155" s="101" t="s">
        <x:v>406</x:v>
      </x:c>
      <x:c r="B155" s="0">
        <x:v>1</x:v>
      </x:c>
    </x:row>
    <x:row r="156" spans="1:2">
      <x:c r="A156" s="101" t="s">
        <x:v>407</x:v>
      </x:c>
      <x:c r="B156" s="0">
        <x:v>12</x:v>
      </x:c>
    </x:row>
    <x:row r="157" spans="1:2">
      <x:c r="A157" s="101" t="s">
        <x:v>408</x:v>
      </x:c>
      <x:c r="B157" s="0">
        <x:v>132</x:v>
      </x:c>
    </x:row>
    <x:row r="158" spans="1:2">
      <x:c r="A158" s="101" t="s">
        <x:v>409</x:v>
      </x:c>
      <x:c r="B158" s="0">
        <x:v>11</x:v>
      </x:c>
    </x:row>
    <x:row r="159" spans="1:2">
      <x:c r="A159" s="101" t="s">
        <x:v>410</x:v>
      </x:c>
      <x:c r="B159" s="0">
        <x:v>1</x:v>
      </x:c>
    </x:row>
    <x:row r="160" spans="1:2">
      <x:c r="A160" s="101" t="s">
        <x:v>411</x:v>
      </x:c>
      <x:c r="B160" s="0">
        <x:v>2</x:v>
      </x:c>
    </x:row>
    <x:row r="161" spans="1:2">
      <x:c r="A161" s="101" t="s">
        <x:v>412</x:v>
      </x:c>
      <x:c r="B161" s="0">
        <x:v>10</x:v>
      </x:c>
    </x:row>
    <x:row r="162" spans="1:2">
      <x:c r="A162" s="101" t="s">
        <x:v>413</x:v>
      </x:c>
      <x:c r="B162" s="0">
        <x:v>74</x:v>
      </x:c>
    </x:row>
    <x:row r="163" spans="1:2">
      <x:c r="A163" s="101" t="s">
        <x:v>414</x:v>
      </x:c>
      <x:c r="B163" s="0">
        <x:v>73</x:v>
      </x:c>
    </x:row>
    <x:row r="164" spans="1:2">
      <x:c r="A164" s="101" t="s">
        <x:v>415</x:v>
      </x:c>
      <x:c r="B164" s="0">
        <x:v>12</x:v>
      </x:c>
    </x:row>
    <x:row r="165" spans="1:2">
      <x:c r="A165" s="101" t="s">
        <x:v>416</x:v>
      </x:c>
      <x:c r="B165" s="0">
        <x:v>6</x:v>
      </x:c>
    </x:row>
    <x:row r="166" spans="1:2">
      <x:c r="A166" s="101" t="s">
        <x:v>417</x:v>
      </x:c>
      <x:c r="B166" s="0">
        <x:v>4</x:v>
      </x:c>
    </x:row>
    <x:row r="167" spans="1:2">
      <x:c r="A167" s="101" t="s">
        <x:v>418</x:v>
      </x:c>
      <x:c r="B167" s="0">
        <x:v>3</x:v>
      </x:c>
    </x:row>
    <x:row r="168" spans="1:2">
      <x:c r="A168" s="101" t="s">
        <x:v>419</x:v>
      </x:c>
      <x:c r="B168" s="0">
        <x:v>8</x:v>
      </x:c>
    </x:row>
    <x:row r="169" spans="1:2">
      <x:c r="A169" s="101" t="s">
        <x:v>420</x:v>
      </x:c>
      <x:c r="B169" s="0">
        <x:v>93</x:v>
      </x:c>
    </x:row>
    <x:row r="170" spans="1:2">
      <x:c r="A170" s="101" t="s">
        <x:v>421</x:v>
      </x:c>
      <x:c r="B170" s="0">
        <x:v>139</x:v>
      </x:c>
    </x:row>
    <x:row r="171" spans="1:2">
      <x:c r="A171" s="101" t="s">
        <x:v>422</x:v>
      </x:c>
      <x:c r="B171" s="0">
        <x:v>175</x:v>
      </x:c>
    </x:row>
    <x:row r="172" spans="1:2">
      <x:c r="A172" s="101" t="s">
        <x:v>423</x:v>
      </x:c>
      <x:c r="B172" s="0">
        <x:v>43</x:v>
      </x:c>
    </x:row>
    <x:row r="173" spans="1:2">
      <x:c r="A173" s="101" t="s">
        <x:v>424</x:v>
      </x:c>
      <x:c r="B173" s="0">
        <x:v>2</x:v>
      </x:c>
    </x:row>
    <x:row r="174" spans="1:2">
      <x:c r="A174" s="101" t="s">
        <x:v>425</x:v>
      </x:c>
      <x:c r="B174" s="0">
        <x:v>11</x:v>
      </x:c>
    </x:row>
    <x:row r="175" spans="1:2">
      <x:c r="A175" s="101" t="s">
        <x:v>426</x:v>
      </x:c>
      <x:c r="B175" s="0">
        <x:v>60</x:v>
      </x:c>
    </x:row>
    <x:row r="176" spans="1:2">
      <x:c r="A176" s="101" t="s">
        <x:v>427</x:v>
      </x:c>
      <x:c r="B176" s="0">
        <x:v>122</x:v>
      </x:c>
    </x:row>
    <x:row r="177" spans="1:2">
      <x:c r="A177" s="101" t="s">
        <x:v>428</x:v>
      </x:c>
      <x:c r="B177" s="0">
        <x:v>98</x:v>
      </x:c>
    </x:row>
    <x:row r="178" spans="1:2">
      <x:c r="A178" s="101" t="s">
        <x:v>429</x:v>
      </x:c>
      <x:c r="B178" s="0">
        <x:v>1</x:v>
      </x:c>
    </x:row>
    <x:row r="179" spans="1:2">
      <x:c r="A179" s="101" t="s">
        <x:v>430</x:v>
      </x:c>
      <x:c r="B179" s="0">
        <x:v>32</x:v>
      </x:c>
    </x:row>
    <x:row r="180" spans="1:2">
      <x:c r="A180" s="101" t="s">
        <x:v>431</x:v>
      </x:c>
      <x:c r="B180" s="0">
        <x:v>97</x:v>
      </x:c>
    </x:row>
    <x:row r="181" spans="1:2">
      <x:c r="A181" s="101" t="s">
        <x:v>432</x:v>
      </x:c>
      <x:c r="B181" s="0">
        <x:v>2</x:v>
      </x:c>
    </x:row>
    <x:row r="182" spans="1:2">
      <x:c r="A182" s="101" t="s">
        <x:v>433</x:v>
      </x:c>
      <x:c r="B182" s="0">
        <x:v>34</x:v>
      </x:c>
    </x:row>
    <x:row r="183" spans="1:2">
      <x:c r="A183" s="101" t="s">
        <x:v>434</x:v>
      </x:c>
      <x:c r="B183" s="0">
        <x:v>84</x:v>
      </x:c>
    </x:row>
    <x:row r="184" spans="1:2">
      <x:c r="A184" s="101" t="s">
        <x:v>435</x:v>
      </x:c>
      <x:c r="B184" s="0">
        <x:v>1</x:v>
      </x:c>
    </x:row>
    <x:row r="185" spans="1:2">
      <x:c r="A185" s="101" t="s">
        <x:v>436</x:v>
      </x:c>
      <x:c r="B185" s="0">
        <x:v>59</x:v>
      </x:c>
    </x:row>
    <x:row r="186" spans="1:2">
      <x:c r="A186" s="101" t="s">
        <x:v>437</x:v>
      </x:c>
      <x:c r="B186" s="0">
        <x:v>13</x:v>
      </x:c>
    </x:row>
    <x:row r="187" spans="1:2">
      <x:c r="A187" s="101" t="s">
        <x:v>438</x:v>
      </x:c>
      <x:c r="B187" s="0">
        <x:v>1</x:v>
      </x:c>
    </x:row>
    <x:row r="188" spans="1:2">
      <x:c r="A188" s="101" t="s">
        <x:v>439</x:v>
      </x:c>
      <x:c r="B188" s="0">
        <x:v>1</x:v>
      </x:c>
    </x:row>
    <x:row r="189" spans="1:2">
      <x:c r="A189" s="101" t="s">
        <x:v>440</x:v>
      </x:c>
      <x:c r="B189" s="0">
        <x:v>1</x:v>
      </x:c>
    </x:row>
    <x:row r="190" spans="1:2">
      <x:c r="A190" s="101" t="s">
        <x:v>441</x:v>
      </x:c>
      <x:c r="B190" s="0">
        <x:v>3</x:v>
      </x:c>
    </x:row>
    <x:row r="191" spans="1:2">
      <x:c r="A191" s="101" t="s">
        <x:v>442</x:v>
      </x:c>
      <x:c r="B191" s="0">
        <x:v>13</x:v>
      </x:c>
    </x:row>
    <x:row r="192" spans="1:2">
      <x:c r="A192" s="101" t="s">
        <x:v>443</x:v>
      </x:c>
      <x:c r="B192" s="0">
        <x:v>525</x:v>
      </x:c>
    </x:row>
    <x:row r="193" spans="1:2">
      <x:c r="A193" s="101" t="s">
        <x:v>444</x:v>
      </x:c>
      <x:c r="B193" s="0">
        <x:v>1591</x:v>
      </x:c>
    </x:row>
    <x:row r="194" spans="1:2">
      <x:c r="A194" s="101" t="s">
        <x:v>445</x:v>
      </x:c>
      <x:c r="B194" s="0">
        <x:v>975</x:v>
      </x:c>
    </x:row>
    <x:row r="195" spans="1:2">
      <x:c r="A195" s="101" t="s">
        <x:v>446</x:v>
      </x:c>
      <x:c r="B195" s="0">
        <x:v>3</x:v>
      </x:c>
    </x:row>
    <x:row r="196" spans="1:2">
      <x:c r="A196" s="101" t="s">
        <x:v>447</x:v>
      </x:c>
      <x:c r="B196" s="0">
        <x:v>234</x:v>
      </x:c>
    </x:row>
    <x:row r="197" spans="1:2">
      <x:c r="A197" s="101" t="s">
        <x:v>448</x:v>
      </x:c>
      <x:c r="B197" s="0">
        <x:v>2</x:v>
      </x:c>
    </x:row>
    <x:row r="198" spans="1:2">
      <x:c r="A198" s="101" t="s">
        <x:v>449</x:v>
      </x:c>
      <x:c r="B198" s="0">
        <x:v>144</x:v>
      </x:c>
    </x:row>
    <x:row r="199" spans="1:2">
      <x:c r="A199" s="101" t="s">
        <x:v>450</x:v>
      </x:c>
      <x:c r="B199" s="0">
        <x:v>549</x:v>
      </x:c>
    </x:row>
    <x:row r="200" spans="1:2">
      <x:c r="A200" s="101" t="s">
        <x:v>451</x:v>
      </x:c>
      <x:c r="B200" s="0">
        <x:v>2</x:v>
      </x:c>
    </x:row>
    <x:row r="201" spans="1:2">
      <x:c r="A201" s="101" t="s">
        <x:v>452</x:v>
      </x:c>
      <x:c r="B201" s="0">
        <x:v>335</x:v>
      </x:c>
    </x:row>
    <x:row r="202" spans="1:2">
      <x:c r="A202" s="101" t="s">
        <x:v>453</x:v>
      </x:c>
      <x:c r="B202" s="0">
        <x:v>585</x:v>
      </x:c>
    </x:row>
    <x:row r="203" spans="1:2">
      <x:c r="A203" s="101" t="s">
        <x:v>454</x:v>
      </x:c>
      <x:c r="B203" s="0">
        <x:v>15</x:v>
      </x:c>
    </x:row>
    <x:row r="204" spans="1:2">
      <x:c r="A204" s="101" t="s">
        <x:v>455</x:v>
      </x:c>
      <x:c r="B204" s="0">
        <x:v>426</x:v>
      </x:c>
    </x:row>
    <x:row r="205" spans="1:2">
      <x:c r="A205" s="101" t="s">
        <x:v>456</x:v>
      </x:c>
      <x:c r="B205" s="0">
        <x:v>215</x:v>
      </x:c>
    </x:row>
    <x:row r="206" spans="1:2">
      <x:c r="A206" s="101" t="s">
        <x:v>457</x:v>
      </x:c>
      <x:c r="B206" s="0">
        <x:v>2</x:v>
      </x:c>
    </x:row>
    <x:row r="207" spans="1:2">
      <x:c r="A207" s="101" t="s">
        <x:v>458</x:v>
      </x:c>
      <x:c r="B207" s="0">
        <x:v>210</x:v>
      </x:c>
    </x:row>
    <x:row r="208" spans="1:2">
      <x:c r="A208" s="101" t="s">
        <x:v>459</x:v>
      </x:c>
      <x:c r="B208" s="0">
        <x:v>1380</x:v>
      </x:c>
    </x:row>
    <x:row r="209" spans="1:2">
      <x:c r="A209" s="101" t="s">
        <x:v>460</x:v>
      </x:c>
      <x:c r="B209" s="0">
        <x:v>720</x:v>
      </x:c>
    </x:row>
    <x:row r="210" spans="1:2">
      <x:c r="A210" s="101" t="s">
        <x:v>461</x:v>
      </x:c>
      <x:c r="B210" s="0">
        <x:v>1140</x:v>
      </x:c>
    </x:row>
    <x:row r="211" spans="1:2">
      <x:c r="A211" s="101" t="s">
        <x:v>462</x:v>
      </x:c>
      <x:c r="B211" s="0">
        <x:v>842</x:v>
      </x:c>
    </x:row>
    <x:row r="212" spans="1:2">
      <x:c r="A212" s="101" t="s">
        <x:v>463</x:v>
      </x:c>
      <x:c r="B212" s="0">
        <x:v>15</x:v>
      </x:c>
    </x:row>
    <x:row r="213" spans="1:2">
      <x:c r="A213" s="101" t="s">
        <x:v>464</x:v>
      </x:c>
      <x:c r="B213" s="0">
        <x:v>1200</x:v>
      </x:c>
    </x:row>
    <x:row r="214" spans="1:2">
      <x:c r="A214" s="101" t="s">
        <x:v>465</x:v>
      </x:c>
      <x:c r="B214" s="0">
        <x:v>840</x:v>
      </x:c>
    </x:row>
    <x:row r="215" spans="1:2">
      <x:c r="A215" s="101" t="s">
        <x:v>466</x:v>
      </x:c>
      <x:c r="B215" s="0">
        <x:v>3</x:v>
      </x:c>
    </x:row>
    <x:row r="216" spans="1:2">
      <x:c r="A216" s="101" t="s">
        <x:v>467</x:v>
      </x:c>
      <x:c r="B216" s="0">
        <x:v>4</x:v>
      </x:c>
    </x:row>
    <x:row r="217" spans="1:2">
      <x:c r="A217" s="101" t="s">
        <x:v>468</x:v>
      </x:c>
      <x:c r="B217" s="0">
        <x:v>4</x:v>
      </x:c>
    </x:row>
    <x:row r="218" spans="1:2">
      <x:c r="A218" s="101" t="s">
        <x:v>469</x:v>
      </x:c>
      <x:c r="B218" s="0">
        <x:v>13</x:v>
      </x:c>
    </x:row>
    <x:row r="219" spans="1:2">
      <x:c r="A219" s="101" t="s">
        <x:v>470</x:v>
      </x:c>
      <x:c r="B219" s="0">
        <x:v>4</x:v>
      </x:c>
    </x:row>
    <x:row r="220" spans="1:2">
      <x:c r="A220" s="101" t="s">
        <x:v>471</x:v>
      </x:c>
      <x:c r="B220" s="0">
        <x:v>1</x:v>
      </x:c>
    </x:row>
    <x:row r="221" spans="1:2">
      <x:c r="A221" s="101" t="s">
        <x:v>472</x:v>
      </x:c>
      <x:c r="B221" s="0">
        <x:v>12</x:v>
      </x:c>
    </x:row>
    <x:row r="222" spans="1:2">
      <x:c r="A222" s="101" t="s">
        <x:v>473</x:v>
      </x:c>
      <x:c r="B222" s="0">
        <x:v>9</x:v>
      </x:c>
    </x:row>
    <x:row r="223" spans="1:2">
      <x:c r="A223" s="101" t="s">
        <x:v>474</x:v>
      </x:c>
      <x:c r="B223" s="0">
        <x:v>1</x:v>
      </x:c>
    </x:row>
    <x:row r="224" spans="1:2">
      <x:c r="A224" s="101" t="s">
        <x:v>475</x:v>
      </x:c>
      <x:c r="B224" s="0">
        <x:v>1081</x:v>
      </x:c>
    </x:row>
    <x:row r="225" spans="1:2">
      <x:c r="A225" s="101" t="s">
        <x:v>476</x:v>
      </x:c>
      <x:c r="B225" s="0">
        <x:v>120</x:v>
      </x:c>
    </x:row>
    <x:row r="226" spans="1:2">
      <x:c r="A226" s="101" t="s">
        <x:v>477</x:v>
      </x:c>
      <x:c r="B226" s="0">
        <x:v>1080</x:v>
      </x:c>
    </x:row>
    <x:row r="227" spans="1:2">
      <x:c r="A227" s="101" t="s">
        <x:v>478</x:v>
      </x:c>
      <x:c r="B227" s="0">
        <x:v>1320</x:v>
      </x:c>
    </x:row>
    <x:row r="228" spans="1:2">
      <x:c r="A228" s="101" t="s">
        <x:v>479</x:v>
      </x:c>
      <x:c r="B228" s="0">
        <x:v>2</x:v>
      </x:c>
    </x:row>
    <x:row r="229" spans="1:2">
      <x:c r="A229" s="101" t="s">
        <x:v>480</x:v>
      </x:c>
      <x:c r="B229" s="0">
        <x:v>1</x:v>
      </x:c>
    </x:row>
    <x:row r="230" spans="1:2">
      <x:c r="A230" s="101" t="s">
        <x:v>481</x:v>
      </x:c>
      <x:c r="B230" s="0">
        <x:v>115</x:v>
      </x:c>
    </x:row>
    <x:row r="231" spans="1:2">
      <x:c r="A231" s="101" t="s">
        <x:v>482</x:v>
      </x:c>
      <x:c r="B231" s="0">
        <x:v>261</x:v>
      </x:c>
    </x:row>
    <x:row r="232" spans="1:2">
      <x:c r="A232" s="101" t="s">
        <x:v>483</x:v>
      </x:c>
      <x:c r="B232" s="0">
        <x:v>323</x:v>
      </x:c>
    </x:row>
    <x:row r="233" spans="1:2">
      <x:c r="A233" s="101" t="s">
        <x:v>484</x:v>
      </x:c>
      <x:c r="B233" s="0">
        <x:v>8</x:v>
      </x:c>
    </x:row>
    <x:row r="234" spans="1:2">
      <x:c r="A234" s="101" t="s">
        <x:v>485</x:v>
      </x:c>
      <x:c r="B234" s="0">
        <x:v>146</x:v>
      </x:c>
    </x:row>
    <x:row r="235" spans="1:2">
      <x:c r="A235" s="101" t="s">
        <x:v>486</x:v>
      </x:c>
      <x:c r="B235" s="0">
        <x:v>15</x:v>
      </x:c>
    </x:row>
    <x:row r="236" spans="1:2">
      <x:c r="A236" s="101" t="s">
        <x:v>487</x:v>
      </x:c>
      <x:c r="B236" s="0">
        <x:v>10</x:v>
      </x:c>
    </x:row>
    <x:row r="237" spans="1:2">
      <x:c r="A237" s="101" t="s">
        <x:v>488</x:v>
      </x:c>
      <x:c r="B237" s="0">
        <x:v>197</x:v>
      </x:c>
    </x:row>
    <x:row r="238" spans="1:2">
      <x:c r="A238" s="101" t="s">
        <x:v>489</x:v>
      </x:c>
      <x:c r="B238" s="0">
        <x:v>12</x:v>
      </x:c>
    </x:row>
    <x:row r="239" spans="1:2">
      <x:c r="A239" s="101" t="s">
        <x:v>490</x:v>
      </x:c>
      <x:c r="B239" s="0">
        <x:v>14</x:v>
      </x:c>
    </x:row>
    <x:row r="240" spans="1:2">
      <x:c r="A240" s="101" t="s">
        <x:v>491</x:v>
      </x:c>
      <x:c r="B240" s="0">
        <x:v>58</x:v>
      </x:c>
    </x:row>
    <x:row r="241" spans="1:2">
      <x:c r="A241" s="101" t="s">
        <x:v>492</x:v>
      </x:c>
      <x:c r="B241" s="0">
        <x:v>6</x:v>
      </x:c>
    </x:row>
    <x:row r="242" spans="1:2">
      <x:c r="A242" s="101" t="s">
        <x:v>493</x:v>
      </x:c>
      <x:c r="B242" s="0">
        <x:v>4</x:v>
      </x:c>
    </x:row>
    <x:row r="243" spans="1:2">
      <x:c r="A243" s="101" t="s">
        <x:v>494</x:v>
      </x:c>
      <x:c r="B243" s="0">
        <x:v>8</x:v>
      </x:c>
    </x:row>
    <x:row r="244" spans="1:2">
      <x:c r="A244" s="101" t="s">
        <x:v>495</x:v>
      </x:c>
      <x:c r="B244" s="0">
        <x:v>143</x:v>
      </x:c>
    </x:row>
    <x:row r="245" spans="1:2">
      <x:c r="A245" s="101" t="s">
        <x:v>496</x:v>
      </x:c>
      <x:c r="B245" s="0">
        <x:v>2</x:v>
      </x:c>
    </x:row>
    <x:row r="246" spans="1:2">
      <x:c r="A246" s="101" t="s">
        <x:v>497</x:v>
      </x:c>
      <x:c r="B246" s="0">
        <x:v>6</x:v>
      </x:c>
    </x:row>
    <x:row r="247" spans="1:2">
      <x:c r="A247" s="101" t="s">
        <x:v>498</x:v>
      </x:c>
      <x:c r="B247" s="0">
        <x:v>4</x:v>
      </x:c>
    </x:row>
    <x:row r="248" spans="1:2">
      <x:c r="A248" s="101" t="s">
        <x:v>499</x:v>
      </x:c>
      <x:c r="B248" s="0">
        <x:v>21</x:v>
      </x:c>
    </x:row>
    <x:row r="249" spans="1:2">
      <x:c r="A249" s="101" t="s">
        <x:v>500</x:v>
      </x:c>
      <x:c r="B249" s="0">
        <x:v>615</x:v>
      </x:c>
    </x:row>
    <x:row r="250" spans="1:2">
      <x:c r="A250" s="101" t="s">
        <x:v>501</x:v>
      </x:c>
      <x:c r="B250" s="0">
        <x:v>308</x:v>
      </x:c>
    </x:row>
    <x:row r="251" spans="1:2">
      <x:c r="A251" s="101" t="s">
        <x:v>502</x:v>
      </x:c>
      <x:c r="B251" s="0">
        <x:v>6</x:v>
      </x:c>
    </x:row>
    <x:row r="252" spans="1:2">
      <x:c r="A252" s="101" t="s">
        <x:v>503</x:v>
      </x:c>
      <x:c r="B252" s="0">
        <x:v>200</x:v>
      </x:c>
    </x:row>
    <x:row r="253" spans="1:2">
      <x:c r="A253" s="101" t="s">
        <x:v>504</x:v>
      </x:c>
      <x:c r="B253" s="0">
        <x:v>840</x:v>
      </x:c>
    </x:row>
    <x:row r="254" spans="1:2">
      <x:c r="A254" s="101" t="s">
        <x:v>505</x:v>
      </x:c>
      <x:c r="B254" s="0">
        <x:v>326</x:v>
      </x:c>
    </x:row>
    <x:row r="255" spans="1:2">
      <x:c r="A255" s="101" t="s">
        <x:v>506</x:v>
      </x:c>
      <x:c r="B255" s="0">
        <x:v>360</x:v>
      </x:c>
    </x:row>
    <x:row r="256" spans="1:2">
      <x:c r="A256" s="101" t="s">
        <x:v>507</x:v>
      </x:c>
      <x:c r="B256" s="0">
        <x:v>625</x:v>
      </x:c>
    </x:row>
    <x:row r="257" spans="1:2">
      <x:c r="A257" s="101" t="s">
        <x:v>508</x:v>
      </x:c>
      <x:c r="B257" s="0">
        <x:v>140</x:v>
      </x:c>
    </x:row>
    <x:row r="258" spans="1:2">
      <x:c r="A258" s="101" t="s">
        <x:v>509</x:v>
      </x:c>
      <x:c r="B258" s="0">
        <x:v>1700</x:v>
      </x:c>
    </x:row>
    <x:row r="259" spans="1:2">
      <x:c r="A259" s="101" t="s">
        <x:v>510</x:v>
      </x:c>
      <x:c r="B259" s="0">
        <x:v>1800</x:v>
      </x:c>
    </x:row>
    <x:row r="260" spans="1:2">
      <x:c r="A260" s="101" t="s">
        <x:v>511</x:v>
      </x:c>
      <x:c r="B260" s="0">
        <x:v>360</x:v>
      </x:c>
    </x:row>
    <x:row r="261" spans="1:2">
      <x:c r="A261" s="101" t="s">
        <x:v>512</x:v>
      </x:c>
      <x:c r="B261" s="0">
        <x:v>420</x:v>
      </x:c>
    </x:row>
    <x:row r="262" spans="1:2">
      <x:c r="A262" s="101" t="s">
        <x:v>513</x:v>
      </x:c>
      <x:c r="B262" s="0">
        <x:v>1200</x:v>
      </x:c>
    </x:row>
    <x:row r="263" spans="1:2">
      <x:c r="A263" s="101" t="s">
        <x:v>514</x:v>
      </x:c>
      <x:c r="B263" s="0">
        <x:v>1620</x:v>
      </x:c>
    </x:row>
    <x:row r="264" spans="1:2">
      <x:c r="A264" s="101" t="s">
        <x:v>515</x:v>
      </x:c>
      <x:c r="B264" s="0">
        <x:v>6120</x:v>
      </x:c>
    </x:row>
    <x:row r="265" spans="1:2">
      <x:c r="A265" s="101" t="s">
        <x:v>516</x:v>
      </x:c>
      <x:c r="B265" s="0">
        <x:v>800</x:v>
      </x:c>
    </x:row>
    <x:row r="266" spans="1:2">
      <x:c r="A266" s="101" t="s">
        <x:v>517</x:v>
      </x:c>
      <x:c r="B266" s="0">
        <x:v>480</x:v>
      </x:c>
    </x:row>
    <x:row r="267" spans="1:2">
      <x:c r="A267" s="101" t="s">
        <x:v>518</x:v>
      </x:c>
      <x:c r="B267" s="0">
        <x:v>880</x:v>
      </x:c>
    </x:row>
    <x:row r="268" spans="1:2">
      <x:c r="A268" s="101" t="s">
        <x:v>519</x:v>
      </x:c>
      <x:c r="B268" s="0">
        <x:v>200</x:v>
      </x:c>
    </x:row>
    <x:row r="269" spans="1:2">
      <x:c r="A269" s="101" t="s">
        <x:v>520</x:v>
      </x:c>
      <x:c r="B269" s="0">
        <x:v>1040</x:v>
      </x:c>
    </x:row>
    <x:row r="270" spans="1:2">
      <x:c r="A270" s="101" t="s">
        <x:v>521</x:v>
      </x:c>
      <x:c r="B270" s="0">
        <x:v>360</x:v>
      </x:c>
    </x:row>
    <x:row r="271" spans="1:2">
      <x:c r="A271" s="101" t="s">
        <x:v>522</x:v>
      </x:c>
      <x:c r="B271" s="0">
        <x:v>221</x:v>
      </x:c>
    </x:row>
    <x:row r="272" spans="1:2">
      <x:c r="A272" s="101" t="s">
        <x:v>523</x:v>
      </x:c>
      <x:c r="B272" s="0">
        <x:v>320</x:v>
      </x:c>
    </x:row>
    <x:row r="273" spans="1:2">
      <x:c r="A273" s="101" t="s">
        <x:v>524</x:v>
      </x:c>
      <x:c r="B273" s="0">
        <x:v>680</x:v>
      </x:c>
    </x:row>
    <x:row r="274" spans="1:2">
      <x:c r="A274" s="101" t="s">
        <x:v>525</x:v>
      </x:c>
      <x:c r="B274" s="0">
        <x:v>220</x:v>
      </x:c>
    </x:row>
    <x:row r="275" spans="1:2">
      <x:c r="A275" s="101" t="s">
        <x:v>526</x:v>
      </x:c>
      <x:c r="B275" s="0">
        <x:v>2</x:v>
      </x:c>
    </x:row>
    <x:row r="276" spans="1:2">
      <x:c r="A276" s="101" t="s">
        <x:v>527</x:v>
      </x:c>
      <x:c r="B276" s="0">
        <x:v>3</x:v>
      </x:c>
    </x:row>
    <x:row r="277" spans="1:2">
      <x:c r="A277" s="101" t="s">
        <x:v>528</x:v>
      </x:c>
      <x:c r="B277" s="0">
        <x:v>4</x:v>
      </x:c>
    </x:row>
    <x:row r="278" spans="1:2">
      <x:c r="A278" s="101" t="s">
        <x:v>529</x:v>
      </x:c>
      <x:c r="B278" s="0">
        <x:v>300</x:v>
      </x:c>
    </x:row>
    <x:row r="279" spans="1:2">
      <x:c r="A279" s="101" t="s">
        <x:v>530</x:v>
      </x:c>
      <x:c r="B279" s="0">
        <x:v>120</x:v>
      </x:c>
    </x:row>
    <x:row r="280" spans="1:2">
      <x:c r="A280" s="101" t="s">
        <x:v>531</x:v>
      </x:c>
      <x:c r="B280" s="0">
        <x:v>1</x:v>
      </x:c>
    </x:row>
    <x:row r="281" spans="1:2">
      <x:c r="A281" s="101" t="s">
        <x:v>532</x:v>
      </x:c>
      <x:c r="B281" s="0">
        <x:v>60</x:v>
      </x:c>
    </x:row>
    <x:row r="282" spans="1:2">
      <x:c r="A282" s="101" t="s">
        <x:v>533</x:v>
      </x:c>
      <x:c r="B282" s="0">
        <x:v>120</x:v>
      </x:c>
    </x:row>
    <x:row r="283" spans="1:2">
      <x:c r="A283" s="101" t="s">
        <x:v>534</x:v>
      </x:c>
      <x:c r="B283" s="0">
        <x:v>30</x:v>
      </x:c>
    </x:row>
    <x:row r="284" spans="1:2">
      <x:c r="A284" s="101" t="s">
        <x:v>535</x:v>
      </x:c>
      <x:c r="B284" s="0">
        <x:v>220</x:v>
      </x:c>
    </x:row>
    <x:row r="285" spans="1:2">
      <x:c r="A285" s="101" t="s">
        <x:v>536</x:v>
      </x:c>
      <x:c r="B285" s="0">
        <x:v>188</x:v>
      </x:c>
    </x:row>
    <x:row r="286" spans="1:2">
      <x:c r="A286" s="101" t="s">
        <x:v>537</x:v>
      </x:c>
      <x:c r="B286" s="0">
        <x:v>24</x:v>
      </x:c>
    </x:row>
    <x:row r="287" spans="1:2">
      <x:c r="A287" s="101" t="s">
        <x:v>538</x:v>
      </x:c>
      <x:c r="B287" s="0">
        <x:v>120</x:v>
      </x:c>
    </x:row>
    <x:row r="288" spans="1:2">
      <x:c r="A288" s="101" t="s">
        <x:v>539</x:v>
      </x:c>
      <x:c r="B288" s="0">
        <x:v>75</x:v>
      </x:c>
    </x:row>
    <x:row r="289" spans="1:2">
      <x:c r="A289" s="101" t="s">
        <x:v>540</x:v>
      </x:c>
      <x:c r="B289" s="0">
        <x:v>1</x:v>
      </x:c>
    </x:row>
    <x:row r="290" spans="1:2">
      <x:c r="A290" s="101" t="s">
        <x:v>541</x:v>
      </x:c>
      <x:c r="B290" s="0">
        <x:v>2</x:v>
      </x:c>
    </x:row>
    <x:row r="291" spans="1:2">
      <x:c r="A291" s="101" t="s">
        <x:v>542</x:v>
      </x:c>
      <x:c r="B291" s="0">
        <x:v>297</x:v>
      </x:c>
    </x:row>
    <x:row r="292" spans="1:2">
      <x:c r="A292" s="101" t="s">
        <x:v>543</x:v>
      </x:c>
      <x:c r="B292" s="0">
        <x:v>440</x:v>
      </x:c>
    </x:row>
    <x:row r="293" spans="1:2">
      <x:c r="A293" s="101" t="s">
        <x:v>544</x:v>
      </x:c>
      <x:c r="B293" s="0">
        <x:v>130</x:v>
      </x:c>
    </x:row>
    <x:row r="294" spans="1:2">
      <x:c r="A294" s="101" t="s">
        <x:v>545</x:v>
      </x:c>
      <x:c r="B294" s="0">
        <x:v>130</x:v>
      </x:c>
    </x:row>
    <x:row r="295" spans="1:2">
      <x:c r="A295" s="101" t="s">
        <x:v>546</x:v>
      </x:c>
      <x:c r="B295" s="0">
        <x:v>110</x:v>
      </x:c>
    </x:row>
    <x:row r="296" spans="1:2">
      <x:c r="A296" s="101" t="s">
        <x:v>547</x:v>
      </x:c>
      <x:c r="B296" s="0">
        <x:v>100</x:v>
      </x:c>
    </x:row>
    <x:row r="297" spans="1:2">
      <x:c r="A297" s="101" t="s">
        <x:v>548</x:v>
      </x:c>
      <x:c r="B297" s="0">
        <x:v>74</x:v>
      </x:c>
    </x:row>
    <x:row r="298" spans="1:2">
      <x:c r="A298" s="101" t="s">
        <x:v>549</x:v>
      </x:c>
      <x:c r="B298" s="0">
        <x:v>74</x:v>
      </x:c>
    </x:row>
    <x:row r="299" spans="1:2">
      <x:c r="A299" s="101" t="s">
        <x:v>550</x:v>
      </x:c>
      <x:c r="B299" s="0">
        <x:v>10</x:v>
      </x:c>
    </x:row>
    <x:row r="300" spans="1:2">
      <x:c r="A300" s="101" t="s">
        <x:v>551</x:v>
      </x:c>
      <x:c r="B300" s="0">
        <x:v>16</x:v>
      </x:c>
    </x:row>
    <x:row r="301" spans="1:2">
      <x:c r="A301" s="101" t="s">
        <x:v>552</x:v>
      </x:c>
      <x:c r="B301" s="0">
        <x:v>1</x:v>
      </x:c>
    </x:row>
    <x:row r="302" spans="1:2">
      <x:c r="A302" s="101" t="s">
        <x:v>553</x:v>
      </x:c>
      <x:c r="B302" s="0">
        <x:v>40</x:v>
      </x:c>
    </x:row>
    <x:row r="303" spans="1:2">
      <x:c r="A303" s="101" t="s">
        <x:v>554</x:v>
      </x:c>
      <x:c r="B303" s="0">
        <x:v>1354</x:v>
      </x:c>
    </x:row>
    <x:row r="304" spans="1:2">
      <x:c r="A304" s="101" t="s">
        <x:v>555</x:v>
      </x:c>
      <x:c r="B304" s="0">
        <x:v>896</x:v>
      </x:c>
    </x:row>
    <x:row r="305" spans="1:2">
      <x:c r="A305" s="101" t="s">
        <x:v>556</x:v>
      </x:c>
      <x:c r="B305" s="0">
        <x:v>18</x:v>
      </x:c>
    </x:row>
    <x:row r="306" spans="1:2">
      <x:c r="A306" s="101" t="s">
        <x:v>557</x:v>
      </x:c>
      <x:c r="B306" s="0">
        <x:v>172</x:v>
      </x:c>
    </x:row>
    <x:row r="307" spans="1:2">
      <x:c r="A307" s="101" t="s">
        <x:v>558</x:v>
      </x:c>
      <x:c r="B307" s="0">
        <x:v>408</x:v>
      </x:c>
    </x:row>
    <x:row r="308" spans="1:2">
      <x:c r="A308" s="101" t="s">
        <x:v>559</x:v>
      </x:c>
      <x:c r="B308" s="0">
        <x:v>2</x:v>
      </x:c>
    </x:row>
    <x:row r="309" spans="1:2">
      <x:c r="A309" s="101" t="s">
        <x:v>560</x:v>
      </x:c>
      <x:c r="B309" s="0">
        <x:v>520</x:v>
      </x:c>
    </x:row>
    <x:row r="310" spans="1:2">
      <x:c r="A310" s="101" t="s">
        <x:v>561</x:v>
      </x:c>
      <x:c r="B310" s="0">
        <x:v>240</x:v>
      </x:c>
    </x:row>
    <x:row r="311" spans="1:2">
      <x:c r="A311" s="101" t="s">
        <x:v>562</x:v>
      </x:c>
      <x:c r="B311" s="0">
        <x:v>1620</x:v>
      </x:c>
    </x:row>
    <x:row r="312" spans="1:2">
      <x:c r="A312" s="101" t="s">
        <x:v>563</x:v>
      </x:c>
      <x:c r="B312" s="0">
        <x:v>100</x:v>
      </x:c>
    </x:row>
    <x:row r="313" spans="1:2">
      <x:c r="A313" s="101" t="s">
        <x:v>564</x:v>
      </x:c>
      <x:c r="B313" s="0">
        <x:v>135</x:v>
      </x:c>
    </x:row>
    <x:row r="314" spans="1:2">
      <x:c r="A314" s="101" t="s">
        <x:v>565</x:v>
      </x:c>
      <x:c r="B314" s="0">
        <x:v>100</x:v>
      </x:c>
    </x:row>
    <x:row r="315" spans="1:2">
      <x:c r="A315" s="101" t="s">
        <x:v>566</x:v>
      </x:c>
      <x:c r="B315" s="0">
        <x:v>170</x:v>
      </x:c>
    </x:row>
    <x:row r="316" spans="1:2">
      <x:c r="A316" s="101" t="s">
        <x:v>567</x:v>
      </x:c>
      <x:c r="B316" s="0">
        <x:v>198</x:v>
      </x:c>
    </x:row>
    <x:row r="317" spans="1:2">
      <x:c r="A317" s="101" t="s">
        <x:v>568</x:v>
      </x:c>
      <x:c r="B317" s="0">
        <x:v>1</x:v>
      </x:c>
    </x:row>
    <x:row r="318" spans="1:2">
      <x:c r="A318" s="101" t="s">
        <x:v>569</x:v>
      </x:c>
      <x:c r="B318" s="0">
        <x:v>1201</x:v>
      </x:c>
    </x:row>
    <x:row r="319" spans="1:2">
      <x:c r="A319" s="101" t="s">
        <x:v>570</x:v>
      </x:c>
      <x:c r="B319" s="0">
        <x:v>50</x:v>
      </x:c>
    </x:row>
    <x:row r="320" spans="1:2">
      <x:c r="A320" s="101" t="s">
        <x:v>571</x:v>
      </x:c>
      <x:c r="B320" s="0">
        <x:v>1</x:v>
      </x:c>
    </x:row>
    <x:row r="321" spans="1:2">
      <x:c r="A321" s="101" t="s">
        <x:v>572</x:v>
      </x:c>
      <x:c r="B321" s="0">
        <x:v>4</x:v>
      </x:c>
    </x:row>
    <x:row r="322" spans="1:2">
      <x:c r="A322" s="101" t="s">
        <x:v>573</x:v>
      </x:c>
      <x:c r="B322" s="0">
        <x:v>1</x:v>
      </x:c>
    </x:row>
    <x:row r="323" spans="1:2">
      <x:c r="A323" s="101" t="s">
        <x:v>574</x:v>
      </x:c>
      <x:c r="B323" s="0">
        <x:v>1</x:v>
      </x:c>
    </x:row>
    <x:row r="324" spans="1:2">
      <x:c r="A324" s="101" t="s">
        <x:v>575</x:v>
      </x:c>
      <x:c r="B324" s="0">
        <x:v>34</x:v>
      </x:c>
    </x:row>
    <x:row r="325" spans="1:2">
      <x:c r="A325" s="101" t="s">
        <x:v>576</x:v>
      </x:c>
      <x:c r="B325" s="0">
        <x:v>1</x:v>
      </x:c>
    </x:row>
    <x:row r="326" spans="1:2">
      <x:c r="A326" s="101" t="s">
        <x:v>577</x:v>
      </x:c>
      <x:c r="B326" s="0">
        <x:v>29</x:v>
      </x:c>
    </x:row>
    <x:row r="327" spans="1:2">
      <x:c r="A327" s="101" t="s">
        <x:v>578</x:v>
      </x:c>
      <x:c r="B327" s="0">
        <x:v>3</x:v>
      </x:c>
    </x:row>
    <x:row r="328" spans="1:2">
      <x:c r="A328" s="101" t="s">
        <x:v>579</x:v>
      </x:c>
      <x:c r="B328" s="0">
        <x:v>46</x:v>
      </x:c>
    </x:row>
    <x:row r="329" spans="1:2">
      <x:c r="A329" s="101" t="s">
        <x:v>580</x:v>
      </x:c>
      <x:c r="B329" s="0">
        <x:v>35</x:v>
      </x:c>
    </x:row>
    <x:row r="330" spans="1:2">
      <x:c r="A330" s="101" t="s">
        <x:v>581</x:v>
      </x:c>
      <x:c r="B330" s="0">
        <x:v>53</x:v>
      </x:c>
    </x:row>
    <x:row r="331" spans="1:2">
      <x:c r="A331" s="101" t="s">
        <x:v>582</x:v>
      </x:c>
      <x:c r="B331" s="0">
        <x:v>107</x:v>
      </x:c>
    </x:row>
    <x:row r="332" spans="1:2">
      <x:c r="A332" s="101" t="s">
        <x:v>583</x:v>
      </x:c>
      <x:c r="B332" s="0">
        <x:v>185</x:v>
      </x:c>
    </x:row>
    <x:row r="333" spans="1:2">
      <x:c r="A333" s="101" t="s">
        <x:v>584</x:v>
      </x:c>
      <x:c r="B333" s="0">
        <x:v>25</x:v>
      </x:c>
    </x:row>
    <x:row r="334" spans="1:2">
      <x:c r="A334" s="101" t="s">
        <x:v>585</x:v>
      </x:c>
      <x:c r="B334" s="0">
        <x:v>12</x:v>
      </x:c>
    </x:row>
    <x:row r="335" spans="1:2">
      <x:c r="A335" s="101" t="s">
        <x:v>586</x:v>
      </x:c>
      <x:c r="B335" s="0">
        <x:v>52</x:v>
      </x:c>
    </x:row>
    <x:row r="336" spans="1:2">
      <x:c r="A336" s="101" t="s">
        <x:v>587</x:v>
      </x:c>
      <x:c r="B336" s="0">
        <x:v>117</x:v>
      </x:c>
    </x:row>
    <x:row r="337" spans="1:2">
      <x:c r="A337" s="101" t="s">
        <x:v>588</x:v>
      </x:c>
      <x:c r="B337" s="0">
        <x:v>1</x:v>
      </x:c>
    </x:row>
    <x:row r="338" spans="1:2">
      <x:c r="A338" s="101" t="s">
        <x:v>589</x:v>
      </x:c>
      <x:c r="B338" s="0">
        <x:v>960</x:v>
      </x:c>
    </x:row>
    <x:row r="339" spans="1:2">
      <x:c r="A339" s="101" t="s">
        <x:v>590</x:v>
      </x:c>
      <x:c r="B339" s="0">
        <x:v>1</x:v>
      </x:c>
    </x:row>
    <x:row r="340" spans="1:2">
      <x:c r="A340" s="101" t="s">
        <x:v>591</x:v>
      </x:c>
      <x:c r="B340" s="0">
        <x:v>195</x:v>
      </x:c>
    </x:row>
    <x:row r="341" spans="1:2">
      <x:c r="A341" s="101" t="s">
        <x:v>592</x:v>
      </x:c>
      <x:c r="B341" s="0">
        <x:v>750</x:v>
      </x:c>
    </x:row>
    <x:row r="342" spans="1:2">
      <x:c r="A342" s="101" t="s">
        <x:v>593</x:v>
      </x:c>
      <x:c r="B342" s="0">
        <x:v>1</x:v>
      </x:c>
    </x:row>
    <x:row r="343" spans="1:2">
      <x:c r="A343" s="101" t="s">
        <x:v>594</x:v>
      </x:c>
      <x:c r="B343" s="0">
        <x:v>2</x:v>
      </x:c>
    </x:row>
    <x:row r="344" spans="1:2">
      <x:c r="A344" s="101" t="s">
        <x:v>595</x:v>
      </x:c>
      <x:c r="B344" s="0">
        <x:v>2960</x:v>
      </x:c>
    </x:row>
    <x:row r="345" spans="1:2">
      <x:c r="A345" s="101" t="s">
        <x:v>596</x:v>
      </x:c>
      <x:c r="B345" s="0">
        <x:v>620</x:v>
      </x:c>
    </x:row>
    <x:row r="346" spans="1:2">
      <x:c r="A346" s="101" t="s">
        <x:v>597</x:v>
      </x:c>
      <x:c r="B346" s="0">
        <x:v>180</x:v>
      </x:c>
    </x:row>
    <x:row r="347" spans="1:2">
      <x:c r="A347" s="101" t="s">
        <x:v>598</x:v>
      </x:c>
      <x:c r="B347" s="0">
        <x:v>11</x:v>
      </x:c>
    </x:row>
    <x:row r="348" spans="1:2">
      <x:c r="A348" s="101" t="s">
        <x:v>599</x:v>
      </x:c>
      <x:c r="B348" s="0">
        <x:v>11</x:v>
      </x:c>
    </x:row>
    <x:row r="349" spans="1:2">
      <x:c r="A349" s="101" t="s">
        <x:v>600</x:v>
      </x:c>
      <x:c r="B349" s="0">
        <x:v>575</x:v>
      </x:c>
    </x:row>
    <x:row r="350" spans="1:2">
      <x:c r="A350" s="101" t="s">
        <x:v>601</x:v>
      </x:c>
      <x:c r="B350" s="0">
        <x:v>175</x:v>
      </x:c>
    </x:row>
    <x:row r="351" spans="1:2">
      <x:c r="A351" s="101" t="s">
        <x:v>602</x:v>
      </x:c>
      <x:c r="B351" s="0">
        <x:v>100</x:v>
      </x:c>
    </x:row>
    <x:row r="352" spans="1:2">
      <x:c r="A352" s="101" t="s">
        <x:v>603</x:v>
      </x:c>
      <x:c r="B352" s="0">
        <x:v>504</x:v>
      </x:c>
    </x:row>
    <x:row r="353" spans="1:2">
      <x:c r="A353" s="101" t="s">
        <x:v>604</x:v>
      </x:c>
      <x:c r="B353" s="0">
        <x:v>161</x:v>
      </x:c>
    </x:row>
    <x:row r="354" spans="1:2">
      <x:c r="A354" s="101" t="s">
        <x:v>605</x:v>
      </x:c>
      <x:c r="B354" s="0">
        <x:v>700</x:v>
      </x:c>
    </x:row>
    <x:row r="355" spans="1:2">
      <x:c r="A355" s="101" t="s">
        <x:v>606</x:v>
      </x:c>
      <x:c r="B355" s="0">
        <x:v>50</x:v>
      </x:c>
    </x:row>
    <x:row r="356" spans="1:2">
      <x:c r="A356" s="101" t="s">
        <x:v>607</x:v>
      </x:c>
      <x:c r="B356" s="0">
        <x:v>1560</x:v>
      </x:c>
    </x:row>
    <x:row r="357" spans="1:2">
      <x:c r="A357" s="101" t="s">
        <x:v>608</x:v>
      </x:c>
      <x:c r="B357" s="0">
        <x:v>2400</x:v>
      </x:c>
    </x:row>
    <x:row r="358" spans="1:2">
      <x:c r="A358" s="101" t="s">
        <x:v>609</x:v>
      </x:c>
      <x:c r="B358" s="0">
        <x:v>1800</x:v>
      </x:c>
    </x:row>
    <x:row r="359" spans="1:2">
      <x:c r="A359" s="101" t="s">
        <x:v>610</x:v>
      </x:c>
      <x:c r="B359" s="0">
        <x:v>10000</x:v>
      </x:c>
    </x:row>
    <x:row r="360" spans="1:2">
      <x:c r="A360" s="101" t="s">
        <x:v>611</x:v>
      </x:c>
      <x:c r="B360" s="0">
        <x:v>1200</x:v>
      </x:c>
    </x:row>
    <x:row r="361" spans="1:2">
      <x:c r="A361" s="101" t="s">
        <x:v>612</x:v>
      </x:c>
      <x:c r="B361" s="0">
        <x:v>6300</x:v>
      </x:c>
    </x:row>
    <x:row r="362" spans="1:2">
      <x:c r="A362" s="101" t="s">
        <x:v>613</x:v>
      </x:c>
      <x:c r="B362" s="0">
        <x:v>3600</x:v>
      </x:c>
    </x:row>
    <x:row r="363" spans="1:2">
      <x:c r="A363" s="101" t="s">
        <x:v>614</x:v>
      </x:c>
      <x:c r="B363" s="0">
        <x:v>2100</x:v>
      </x:c>
    </x:row>
    <x:row r="364" spans="1:2">
      <x:c r="A364" s="101" t="s">
        <x:v>615</x:v>
      </x:c>
      <x:c r="B364" s="0">
        <x:v>2482</x:v>
      </x:c>
    </x:row>
    <x:row r="365" spans="1:2">
      <x:c r="A365" s="101" t="s">
        <x:v>616</x:v>
      </x:c>
      <x:c r="B365" s="0">
        <x:v>2442</x:v>
      </x:c>
    </x:row>
    <x:row r="366" spans="1:2">
      <x:c r="A366" s="101" t="s">
        <x:v>617</x:v>
      </x:c>
      <x:c r="B366" s="0">
        <x:v>600</x:v>
      </x:c>
    </x:row>
    <x:row r="367" spans="1:2">
      <x:c r="A367" s="101" t="s">
        <x:v>618</x:v>
      </x:c>
      <x:c r="B367" s="0">
        <x:v>550</x:v>
      </x:c>
    </x:row>
    <x:row r="368" spans="1:2">
      <x:c r="A368" s="101" t="s">
        <x:v>619</x:v>
      </x:c>
      <x:c r="B368" s="0">
        <x:v>3</x:v>
      </x:c>
    </x:row>
    <x:row r="369" spans="1:2">
      <x:c r="A369" s="101" t="s">
        <x:v>620</x:v>
      </x:c>
      <x:c r="B369" s="0">
        <x:v>4</x:v>
      </x:c>
    </x:row>
    <x:row r="370" spans="1:2">
      <x:c r="A370" s="101" t="s">
        <x:v>621</x:v>
      </x:c>
      <x:c r="B370" s="0">
        <x:v>520</x:v>
      </x:c>
    </x:row>
    <x:row r="371" spans="1:2">
      <x:c r="A371" s="101" t="s">
        <x:v>622</x:v>
      </x:c>
      <x:c r="B371" s="0">
        <x:v>480</x:v>
      </x:c>
    </x:row>
    <x:row r="372" spans="1:2">
      <x:c r="A372" s="101" t="s">
        <x:v>623</x:v>
      </x:c>
      <x:c r="B372" s="0">
        <x:v>3060</x:v>
      </x:c>
    </x:row>
    <x:row r="373" spans="1:2">
      <x:c r="A373" s="101" t="s">
        <x:v>624</x:v>
      </x:c>
      <x:c r="B373" s="0">
        <x:v>2550</x:v>
      </x:c>
    </x:row>
    <x:row r="374" spans="1:2">
      <x:c r="A374" s="101" t="s">
        <x:v>625</x:v>
      </x:c>
      <x:c r="B374" s="0">
        <x:v>180</x:v>
      </x:c>
    </x:row>
    <x:row r="375" spans="1:2">
      <x:c r="A375" s="101" t="s">
        <x:v>626</x:v>
      </x:c>
      <x:c r="B375" s="0">
        <x:v>180</x:v>
      </x:c>
    </x:row>
    <x:row r="376" spans="1:2">
      <x:c r="A376" s="101" t="s">
        <x:v>627</x:v>
      </x:c>
      <x:c r="B376" s="0">
        <x:v>34</x:v>
      </x:c>
    </x:row>
    <x:row r="377" spans="1:2">
      <x:c r="A377" s="101" t="s">
        <x:v>208</x:v>
      </x:c>
      <x:c r="B377" s="0">
        <x:v>11400</x:v>
      </x:c>
    </x:row>
    <x:row r="378" spans="1:2">
      <x:c r="A378" s="101" t="s">
        <x:v>218</x:v>
      </x:c>
      <x:c r="B378" s="0">
        <x:v>11550</x:v>
      </x:c>
    </x:row>
    <x:row r="379" spans="1:2">
      <x:c r="A379" s="101" t="s">
        <x:v>628</x:v>
      </x:c>
      <x:c r="B379" s="0">
        <x:v>6696</x:v>
      </x:c>
    </x:row>
    <x:row r="380" spans="1:2">
      <x:c r="A380" s="101" t="s">
        <x:v>629</x:v>
      </x:c>
      <x:c r="B380" s="0">
        <x:v>816</x:v>
      </x:c>
    </x:row>
    <x:row r="381" spans="1:2">
      <x:c r="A381" s="101" t="s">
        <x:v>630</x:v>
      </x:c>
      <x:c r="B381" s="0">
        <x:v>952</x:v>
      </x:c>
    </x:row>
    <x:row r="382" spans="1:2">
      <x:c r="A382" s="101" t="s">
        <x:v>631</x:v>
      </x:c>
      <x:c r="B382" s="0">
        <x:v>788</x:v>
      </x:c>
    </x:row>
    <x:row r="383" spans="1:2">
      <x:c r="A383" s="101" t="s">
        <x:v>632</x:v>
      </x:c>
      <x:c r="B383" s="0">
        <x:v>636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7"/>
  <x:sheetViews>
    <x:sheetView workbookViewId="0"/>
  </x:sheetViews>
  <x:sheetFormatPr defaultRowHeight="15"/>
  <x:cols>
    <x:col min="1" max="1" width="12.996339" style="0" customWidth="1"/>
    <x:col min="2" max="3" width="9.140625" style="0" customWidth="1"/>
  </x:cols>
  <x:sheetData>
    <x:row r="1" spans="1:3" s="100" customFormat="1">
      <x:c r="A1" s="100" t="s">
        <x:v>251</x:v>
      </x:c>
      <x:c r="B1" s="100" t="s">
        <x:v>633</x:v>
      </x:c>
      <x:c r="C1" s="100" t="s">
        <x:v>634</x:v>
      </x:c>
    </x:row>
    <x:row r="2" spans="1:3">
      <x:c r="A2" s="101" t="s">
        <x:v>534</x:v>
      </x:c>
      <x:c r="B2" s="0">
        <x:v>81</x:v>
      </x:c>
      <x:c r="C2" s="0">
        <x:v>0</x:v>
      </x:c>
    </x:row>
    <x:row r="3" spans="1:3">
      <x:c r="A3" s="101" t="s">
        <x:v>635</x:v>
      </x:c>
      <x:c r="B3" s="0">
        <x:v>0</x:v>
      </x:c>
      <x:c r="C3" s="0">
        <x:v>0</x:v>
      </x:c>
    </x:row>
    <x:row r="4" spans="1:3">
      <x:c r="A4" s="101" t="s">
        <x:v>636</x:v>
      </x:c>
      <x:c r="B4" s="0">
        <x:v>0</x:v>
      </x:c>
      <x:c r="C4" s="0">
        <x:v>0</x:v>
      </x:c>
    </x:row>
    <x:row r="5" spans="1:3">
      <x:c r="A5" s="101" t="s">
        <x:v>637</x:v>
      </x:c>
      <x:c r="B5" s="0">
        <x:v>0</x:v>
      </x:c>
      <x:c r="C5" s="0">
        <x:v>0</x:v>
      </x:c>
    </x:row>
    <x:row r="6" spans="1:3">
      <x:c r="A6" s="101" t="s">
        <x:v>638</x:v>
      </x:c>
      <x:c r="B6" s="0">
        <x:v>0</x:v>
      </x:c>
      <x:c r="C6" s="0">
        <x:v>75</x:v>
      </x:c>
    </x:row>
    <x:row r="7" spans="1:3">
      <x:c r="A7" s="101" t="s">
        <x:v>538</x:v>
      </x:c>
      <x:c r="B7" s="0">
        <x:v>75</x:v>
      </x:c>
      <x:c r="C7" s="0">
        <x:v>78</x:v>
      </x:c>
    </x:row>
    <x:row r="8" spans="1:3">
      <x:c r="A8" s="101" t="s">
        <x:v>639</x:v>
      </x:c>
      <x:c r="B8" s="0">
        <x:v>0</x:v>
      </x:c>
      <x:c r="C8" s="0">
        <x:v>0</x:v>
      </x:c>
    </x:row>
    <x:row r="9" spans="1:3">
      <x:c r="A9" s="101" t="s">
        <x:v>539</x:v>
      </x:c>
      <x:c r="B9" s="0">
        <x:v>0</x:v>
      </x:c>
      <x:c r="C9" s="0">
        <x:v>0</x:v>
      </x:c>
    </x:row>
    <x:row r="10" spans="1:3">
      <x:c r="A10" s="101" t="s">
        <x:v>640</x:v>
      </x:c>
      <x:c r="B10" s="0">
        <x:v>0</x:v>
      </x:c>
      <x:c r="C10" s="0">
        <x:v>0</x:v>
      </x:c>
    </x:row>
    <x:row r="11" spans="1:3">
      <x:c r="A11" s="101" t="s">
        <x:v>641</x:v>
      </x:c>
      <x:c r="B11" s="0">
        <x:v>0</x:v>
      </x:c>
      <x:c r="C11" s="0">
        <x:v>0</x:v>
      </x:c>
    </x:row>
    <x:row r="12" spans="1:3">
      <x:c r="A12" s="101" t="s">
        <x:v>642</x:v>
      </x:c>
      <x:c r="B12" s="0">
        <x:v>0</x:v>
      </x:c>
      <x:c r="C12" s="0">
        <x:v>0</x:v>
      </x:c>
    </x:row>
    <x:row r="13" spans="1:3">
      <x:c r="A13" s="101" t="s">
        <x:v>643</x:v>
      </x:c>
      <x:c r="B13" s="0">
        <x:v>0</x:v>
      </x:c>
      <x:c r="C13" s="0">
        <x:v>0</x:v>
      </x:c>
    </x:row>
    <x:row r="14" spans="1:3">
      <x:c r="A14" s="101" t="s">
        <x:v>644</x:v>
      </x:c>
      <x:c r="B14" s="0">
        <x:v>320</x:v>
      </x:c>
      <x:c r="C14" s="0">
        <x:v>0</x:v>
      </x:c>
    </x:row>
    <x:row r="15" spans="1:3">
      <x:c r="A15" s="101" t="s">
        <x:v>525</x:v>
      </x:c>
      <x:c r="B15" s="0">
        <x:v>420</x:v>
      </x:c>
      <x:c r="C15" s="0">
        <x:v>140</x:v>
      </x:c>
    </x:row>
    <x:row r="16" spans="1:3">
      <x:c r="A16" s="101" t="s">
        <x:v>526</x:v>
      </x:c>
      <x:c r="B16" s="0">
        <x:v>0</x:v>
      </x:c>
      <x:c r="C16" s="0">
        <x:v>0</x:v>
      </x:c>
    </x:row>
    <x:row r="17" spans="1:3">
      <x:c r="A17" s="101" t="s">
        <x:v>645</x:v>
      </x:c>
      <x:c r="B17" s="0">
        <x:v>180</x:v>
      </x:c>
      <x:c r="C17" s="0">
        <x:v>520</x:v>
      </x:c>
    </x:row>
    <x:row r="18" spans="1:3">
      <x:c r="A18" s="101" t="s">
        <x:v>527</x:v>
      </x:c>
      <x:c r="B18" s="0">
        <x:v>0</x:v>
      </x:c>
      <x:c r="C18" s="0">
        <x:v>0</x:v>
      </x:c>
    </x:row>
    <x:row r="19" spans="1:3">
      <x:c r="A19" s="101" t="s">
        <x:v>646</x:v>
      </x:c>
      <x:c r="B19" s="0">
        <x:v>400</x:v>
      </x:c>
      <x:c r="C19" s="0">
        <x:v>1000</x:v>
      </x:c>
    </x:row>
    <x:row r="20" spans="1:3">
      <x:c r="A20" s="101" t="s">
        <x:v>528</x:v>
      </x:c>
      <x:c r="B20" s="0">
        <x:v>0</x:v>
      </x:c>
      <x:c r="C20" s="0">
        <x:v>0</x:v>
      </x:c>
    </x:row>
    <x:row r="21" spans="1:3">
      <x:c r="A21" s="101" t="s">
        <x:v>647</x:v>
      </x:c>
      <x:c r="B21" s="0">
        <x:v>0</x:v>
      </x:c>
      <x:c r="C21" s="0">
        <x:v>0</x:v>
      </x:c>
    </x:row>
    <x:row r="22" spans="1:3">
      <x:c r="A22" s="101" t="s">
        <x:v>648</x:v>
      </x:c>
      <x:c r="B22" s="0">
        <x:v>0</x:v>
      </x:c>
      <x:c r="C22" s="0">
        <x:v>0</x:v>
      </x:c>
    </x:row>
    <x:row r="23" spans="1:3">
      <x:c r="A23" s="101" t="s">
        <x:v>540</x:v>
      </x:c>
      <x:c r="B23" s="0">
        <x:v>0</x:v>
      </x:c>
      <x:c r="C23" s="0">
        <x:v>0</x:v>
      </x:c>
    </x:row>
    <x:row r="24" spans="1:3">
      <x:c r="A24" s="101" t="s">
        <x:v>649</x:v>
      </x:c>
      <x:c r="B24" s="0">
        <x:v>0</x:v>
      </x:c>
      <x:c r="C24" s="0">
        <x:v>0</x:v>
      </x:c>
    </x:row>
    <x:row r="25" spans="1:3">
      <x:c r="A25" s="101" t="s">
        <x:v>650</x:v>
      </x:c>
      <x:c r="B25" s="0">
        <x:v>0</x:v>
      </x:c>
      <x:c r="C25" s="0">
        <x:v>0</x:v>
      </x:c>
    </x:row>
    <x:row r="26" spans="1:3">
      <x:c r="A26" s="101" t="s">
        <x:v>651</x:v>
      </x:c>
      <x:c r="B26" s="0">
        <x:v>0</x:v>
      </x:c>
      <x:c r="C26" s="0">
        <x:v>0</x:v>
      </x:c>
    </x:row>
    <x:row r="27" spans="1:3">
      <x:c r="A27" s="101" t="s">
        <x:v>652</x:v>
      </x:c>
      <x:c r="B27" s="0">
        <x:v>0</x:v>
      </x:c>
      <x:c r="C27" s="0">
        <x:v>0</x:v>
      </x:c>
    </x:row>
    <x:row r="28" spans="1:3">
      <x:c r="A28" s="101" t="s">
        <x:v>653</x:v>
      </x:c>
      <x:c r="B28" s="0">
        <x:v>0</x:v>
      </x:c>
      <x:c r="C28" s="0">
        <x:v>0</x:v>
      </x:c>
    </x:row>
    <x:row r="29" spans="1:3">
      <x:c r="A29" s="101" t="s">
        <x:v>654</x:v>
      </x:c>
      <x:c r="B29" s="0">
        <x:v>0</x:v>
      </x:c>
      <x:c r="C29" s="0">
        <x:v>0</x:v>
      </x:c>
    </x:row>
    <x:row r="30" spans="1:3">
      <x:c r="A30" s="101" t="s">
        <x:v>655</x:v>
      </x:c>
      <x:c r="B30" s="0">
        <x:v>0</x:v>
      </x:c>
      <x:c r="C30" s="0">
        <x:v>0</x:v>
      </x:c>
    </x:row>
    <x:row r="31" spans="1:3">
      <x:c r="A31" s="101" t="s">
        <x:v>656</x:v>
      </x:c>
      <x:c r="B31" s="0">
        <x:v>0</x:v>
      </x:c>
      <x:c r="C31" s="0">
        <x:v>0</x:v>
      </x:c>
    </x:row>
    <x:row r="32" spans="1:3">
      <x:c r="A32" s="101" t="s">
        <x:v>657</x:v>
      </x:c>
      <x:c r="B32" s="0">
        <x:v>0</x:v>
      </x:c>
      <x:c r="C32" s="0">
        <x:v>0</x:v>
      </x:c>
    </x:row>
    <x:row r="33" spans="1:3">
      <x:c r="A33" s="101" t="s">
        <x:v>535</x:v>
      </x:c>
      <x:c r="B33" s="0">
        <x:v>140</x:v>
      </x:c>
      <x:c r="C33" s="0">
        <x:v>173</x:v>
      </x:c>
    </x:row>
    <x:row r="34" spans="1:3">
      <x:c r="A34" s="101" t="s">
        <x:v>536</x:v>
      </x:c>
      <x:c r="B34" s="0">
        <x:v>106</x:v>
      </x:c>
      <x:c r="C34" s="0">
        <x:v>200</x:v>
      </x:c>
    </x:row>
    <x:row r="35" spans="1:3">
      <x:c r="A35" s="101" t="s">
        <x:v>537</x:v>
      </x:c>
      <x:c r="B35" s="0">
        <x:v>60</x:v>
      </x:c>
      <x:c r="C35" s="0">
        <x:v>0</x:v>
      </x:c>
    </x:row>
    <x:row r="36" spans="1:3">
      <x:c r="A36" s="101" t="s">
        <x:v>658</x:v>
      </x:c>
      <x:c r="B36" s="0">
        <x:v>60</x:v>
      </x:c>
      <x:c r="C36" s="0">
        <x:v>0</x:v>
      </x:c>
    </x:row>
    <x:row r="37" spans="1:3">
      <x:c r="A37" s="101" t="s">
        <x:v>509</x:v>
      </x:c>
      <x:c r="B37" s="0">
        <x:v>840</x:v>
      </x:c>
      <x:c r="C37" s="0">
        <x:v>850</x:v>
      </x:c>
    </x:row>
    <x:row r="38" spans="1:3">
      <x:c r="A38" s="101" t="s">
        <x:v>510</x:v>
      </x:c>
      <x:c r="B38" s="0">
        <x:v>840</x:v>
      </x:c>
      <x:c r="C38" s="0">
        <x:v>850</x:v>
      </x:c>
    </x:row>
    <x:row r="39" spans="1:3">
      <x:c r="A39" s="101" t="s">
        <x:v>511</x:v>
      </x:c>
      <x:c r="B39" s="0">
        <x:v>660</x:v>
      </x:c>
      <x:c r="C39" s="0">
        <x:v>1200</x:v>
      </x:c>
    </x:row>
    <x:row r="40" spans="1:3">
      <x:c r="A40" s="101" t="s">
        <x:v>512</x:v>
      </x:c>
      <x:c r="B40" s="0">
        <x:v>660</x:v>
      </x:c>
      <x:c r="C40" s="0">
        <x:v>1200</x:v>
      </x:c>
    </x:row>
    <x:row r="41" spans="1:3">
      <x:c r="A41" s="101" t="s">
        <x:v>513</x:v>
      </x:c>
      <x:c r="B41" s="0">
        <x:v>1020</x:v>
      </x:c>
      <x:c r="C41" s="0">
        <x:v>1505</x:v>
      </x:c>
    </x:row>
    <x:row r="42" spans="1:3">
      <x:c r="A42" s="101" t="s">
        <x:v>514</x:v>
      </x:c>
      <x:c r="B42" s="0">
        <x:v>1200</x:v>
      </x:c>
      <x:c r="C42" s="0">
        <x:v>1505</x:v>
      </x:c>
    </x:row>
    <x:row r="43" spans="1:3">
      <x:c r="A43" s="101" t="s">
        <x:v>515</x:v>
      </x:c>
      <x:c r="B43" s="0">
        <x:v>4440</x:v>
      </x:c>
      <x:c r="C43" s="0">
        <x:v>4440</x:v>
      </x:c>
    </x:row>
    <x:row r="44" spans="1:3">
      <x:c r="A44" s="101" t="s">
        <x:v>503</x:v>
      </x:c>
      <x:c r="B44" s="0">
        <x:v>0</x:v>
      </x:c>
      <x:c r="C44" s="0">
        <x:v>0</x:v>
      </x:c>
    </x:row>
    <x:row r="45" spans="1:3">
      <x:c r="A45" s="101" t="s">
        <x:v>659</x:v>
      </x:c>
      <x:c r="B45" s="0">
        <x:v>160</x:v>
      </x:c>
      <x:c r="C45" s="0">
        <x:v>120</x:v>
      </x:c>
    </x:row>
    <x:row r="46" spans="1:3">
      <x:c r="A46" s="101" t="s">
        <x:v>660</x:v>
      </x:c>
      <x:c r="B46" s="0">
        <x:v>0</x:v>
      </x:c>
      <x:c r="C46" s="0">
        <x:v>0</x:v>
      </x:c>
    </x:row>
    <x:row r="47" spans="1:3">
      <x:c r="A47" s="101" t="s">
        <x:v>661</x:v>
      </x:c>
      <x:c r="B47" s="0">
        <x:v>0</x:v>
      </x:c>
      <x:c r="C47" s="0">
        <x:v>120</x:v>
      </x:c>
    </x:row>
    <x:row r="48" spans="1:3">
      <x:c r="A48" s="101" t="s">
        <x:v>662</x:v>
      </x:c>
      <x:c r="B48" s="0">
        <x:v>0</x:v>
      </x:c>
      <x:c r="C48" s="0">
        <x:v>0</x:v>
      </x:c>
    </x:row>
    <x:row r="49" spans="1:3">
      <x:c r="A49" s="101" t="s">
        <x:v>504</x:v>
      </x:c>
      <x:c r="B49" s="0">
        <x:v>1360</x:v>
      </x:c>
      <x:c r="C49" s="0">
        <x:v>1200</x:v>
      </x:c>
    </x:row>
    <x:row r="50" spans="1:3">
      <x:c r="A50" s="101" t="s">
        <x:v>517</x:v>
      </x:c>
      <x:c r="B50" s="0">
        <x:v>1680</x:v>
      </x:c>
      <x:c r="C50" s="0">
        <x:v>800</x:v>
      </x:c>
    </x:row>
    <x:row r="51" spans="1:3">
      <x:c r="A51" s="101" t="s">
        <x:v>663</x:v>
      </x:c>
      <x:c r="B51" s="0">
        <x:v>0</x:v>
      </x:c>
      <x:c r="C51" s="0">
        <x:v>0</x:v>
      </x:c>
    </x:row>
    <x:row r="52" spans="1:3">
      <x:c r="A52" s="101" t="s">
        <x:v>664</x:v>
      </x:c>
      <x:c r="B52" s="0">
        <x:v>0</x:v>
      </x:c>
      <x:c r="C52" s="0">
        <x:v>0</x:v>
      </x:c>
    </x:row>
    <x:row r="53" spans="1:3">
      <x:c r="A53" s="101" t="s">
        <x:v>518</x:v>
      </x:c>
      <x:c r="B53" s="0">
        <x:v>1340</x:v>
      </x:c>
      <x:c r="C53" s="0">
        <x:v>0</x:v>
      </x:c>
    </x:row>
    <x:row r="54" spans="1:3">
      <x:c r="A54" s="101" t="s">
        <x:v>519</x:v>
      </x:c>
      <x:c r="B54" s="0">
        <x:v>0</x:v>
      </x:c>
      <x:c r="C54" s="0">
        <x:v>380</x:v>
      </x:c>
    </x:row>
    <x:row r="55" spans="1:3">
      <x:c r="A55" s="101" t="s">
        <x:v>520</x:v>
      </x:c>
      <x:c r="B55" s="0">
        <x:v>0</x:v>
      </x:c>
      <x:c r="C55" s="0">
        <x:v>0</x:v>
      </x:c>
    </x:row>
    <x:row r="56" spans="1:3">
      <x:c r="A56" s="101" t="s">
        <x:v>521</x:v>
      </x:c>
      <x:c r="B56" s="0">
        <x:v>560</x:v>
      </x:c>
      <x:c r="C56" s="0">
        <x:v>480</x:v>
      </x:c>
    </x:row>
    <x:row r="57" spans="1:3">
      <x:c r="A57" s="101" t="s">
        <x:v>665</x:v>
      </x:c>
      <x:c r="B57" s="0">
        <x:v>0</x:v>
      </x:c>
      <x:c r="C57" s="0">
        <x:v>0</x:v>
      </x:c>
    </x:row>
    <x:row r="58" spans="1:3">
      <x:c r="A58" s="101" t="s">
        <x:v>529</x:v>
      </x:c>
      <x:c r="B58" s="0">
        <x:v>280</x:v>
      </x:c>
      <x:c r="C58" s="0">
        <x:v>0</x:v>
      </x:c>
    </x:row>
    <x:row r="59" spans="1:3">
      <x:c r="A59" s="101" t="s">
        <x:v>530</x:v>
      </x:c>
      <x:c r="B59" s="0">
        <x:v>0</x:v>
      </x:c>
      <x:c r="C59" s="0">
        <x:v>0</x:v>
      </x:c>
    </x:row>
    <x:row r="60" spans="1:3">
      <x:c r="A60" s="101" t="s">
        <x:v>666</x:v>
      </x:c>
      <x:c r="B60" s="0">
        <x:v>0</x:v>
      </x:c>
      <x:c r="C60" s="0">
        <x:v>0</x:v>
      </x:c>
    </x:row>
    <x:row r="61" spans="1:3">
      <x:c r="A61" s="101" t="s">
        <x:v>667</x:v>
      </x:c>
      <x:c r="B61" s="0">
        <x:v>0</x:v>
      </x:c>
      <x:c r="C61" s="0">
        <x:v>0</x:v>
      </x:c>
    </x:row>
    <x:row r="62" spans="1:3">
      <x:c r="A62" s="101" t="s">
        <x:v>668</x:v>
      </x:c>
      <x:c r="B62" s="0">
        <x:v>0</x:v>
      </x:c>
      <x:c r="C62" s="0">
        <x:v>0</x:v>
      </x:c>
    </x:row>
    <x:row r="63" spans="1:3">
      <x:c r="A63" s="101" t="s">
        <x:v>669</x:v>
      </x:c>
      <x:c r="B63" s="0">
        <x:v>0</x:v>
      </x:c>
      <x:c r="C63" s="0">
        <x:v>0</x:v>
      </x:c>
    </x:row>
    <x:row r="64" spans="1:3">
      <x:c r="A64" s="101" t="s">
        <x:v>670</x:v>
      </x:c>
      <x:c r="B64" s="0">
        <x:v>0</x:v>
      </x:c>
      <x:c r="C64" s="0">
        <x:v>0</x:v>
      </x:c>
    </x:row>
    <x:row r="65" spans="1:3">
      <x:c r="A65" s="101" t="s">
        <x:v>671</x:v>
      </x:c>
      <x:c r="B65" s="0">
        <x:v>0</x:v>
      </x:c>
      <x:c r="C65" s="0">
        <x:v>180</x:v>
      </x:c>
    </x:row>
    <x:row r="66" spans="1:3">
      <x:c r="A66" s="101" t="s">
        <x:v>531</x:v>
      </x:c>
      <x:c r="B66" s="0">
        <x:v>0</x:v>
      </x:c>
      <x:c r="C66" s="0">
        <x:v>0</x:v>
      </x:c>
    </x:row>
    <x:row r="67" spans="1:3">
      <x:c r="A67" s="101" t="s">
        <x:v>672</x:v>
      </x:c>
      <x:c r="B67" s="0">
        <x:v>0</x:v>
      </x:c>
      <x:c r="C67" s="0">
        <x:v>0</x:v>
      </x:c>
    </x:row>
    <x:row r="68" spans="1:3">
      <x:c r="A68" s="101" t="s">
        <x:v>673</x:v>
      </x:c>
      <x:c r="B68" s="0">
        <x:v>0</x:v>
      </x:c>
      <x:c r="C68" s="0">
        <x:v>0</x:v>
      </x:c>
    </x:row>
    <x:row r="69" spans="1:3">
      <x:c r="A69" s="101" t="s">
        <x:v>674</x:v>
      </x:c>
      <x:c r="B69" s="0">
        <x:v>0</x:v>
      </x:c>
      <x:c r="C69" s="0">
        <x:v>0</x:v>
      </x:c>
    </x:row>
    <x:row r="70" spans="1:3">
      <x:c r="A70" s="101" t="s">
        <x:v>533</x:v>
      </x:c>
      <x:c r="B70" s="0">
        <x:v>300</x:v>
      </x:c>
      <x:c r="C70" s="0">
        <x:v>196</x:v>
      </x:c>
    </x:row>
    <x:row r="71" spans="1:3">
      <x:c r="A71" s="101" t="s">
        <x:v>675</x:v>
      </x:c>
      <x:c r="B71" s="0">
        <x:v>0</x:v>
      </x:c>
      <x:c r="C71" s="0">
        <x:v>0</x:v>
      </x:c>
    </x:row>
    <x:row r="72" spans="1:3">
      <x:c r="A72" s="101" t="s">
        <x:v>676</x:v>
      </x:c>
      <x:c r="B72" s="0">
        <x:v>0</x:v>
      </x:c>
      <x:c r="C72" s="0">
        <x:v>0</x:v>
      </x:c>
    </x:row>
    <x:row r="73" spans="1:3">
      <x:c r="A73" s="101" t="s">
        <x:v>677</x:v>
      </x:c>
      <x:c r="B73" s="0">
        <x:v>0</x:v>
      </x:c>
      <x:c r="C73" s="0">
        <x:v>0</x:v>
      </x:c>
    </x:row>
    <x:row r="74" spans="1:3">
      <x:c r="A74" s="101" t="s">
        <x:v>505</x:v>
      </x:c>
      <x:c r="B74" s="0">
        <x:v>0</x:v>
      </x:c>
      <x:c r="C74" s="0">
        <x:v>0</x:v>
      </x:c>
    </x:row>
    <x:row r="75" spans="1:3">
      <x:c r="A75" s="101" t="s">
        <x:v>678</x:v>
      </x:c>
      <x:c r="B75" s="0">
        <x:v>0</x:v>
      </x:c>
      <x:c r="C75" s="0">
        <x:v>0</x:v>
      </x:c>
    </x:row>
    <x:row r="76" spans="1:3">
      <x:c r="A76" s="101" t="s">
        <x:v>679</x:v>
      </x:c>
      <x:c r="B76" s="0">
        <x:v>0</x:v>
      </x:c>
      <x:c r="C76" s="0">
        <x:v>0</x:v>
      </x:c>
    </x:row>
    <x:row r="77" spans="1:3">
      <x:c r="A77" s="101" t="s">
        <x:v>680</x:v>
      </x:c>
      <x:c r="B77" s="0">
        <x:v>0</x:v>
      </x:c>
      <x:c r="C77" s="0">
        <x:v>0</x:v>
      </x:c>
    </x:row>
    <x:row r="78" spans="1:3">
      <x:c r="A78" s="101" t="s">
        <x:v>506</x:v>
      </x:c>
      <x:c r="B78" s="0">
        <x:v>0</x:v>
      </x:c>
      <x:c r="C78" s="0">
        <x:v>600</x:v>
      </x:c>
    </x:row>
    <x:row r="79" spans="1:3">
      <x:c r="A79" s="101" t="s">
        <x:v>507</x:v>
      </x:c>
      <x:c r="B79" s="0">
        <x:v>346</x:v>
      </x:c>
      <x:c r="C79" s="0">
        <x:v>600</x:v>
      </x:c>
    </x:row>
    <x:row r="80" spans="1:3">
      <x:c r="A80" s="101" t="s">
        <x:v>508</x:v>
      </x:c>
      <x:c r="B80" s="0">
        <x:v>0</x:v>
      </x:c>
      <x:c r="C80" s="0">
        <x:v>0</x:v>
      </x:c>
    </x:row>
    <x:row r="81" spans="1:3">
      <x:c r="A81" s="101" t="s">
        <x:v>681</x:v>
      </x:c>
      <x:c r="B81" s="0">
        <x:v>800</x:v>
      </x:c>
      <x:c r="C81" s="0">
        <x:v>0</x:v>
      </x:c>
    </x:row>
    <x:row r="82" spans="1:3">
      <x:c r="A82" s="101" t="s">
        <x:v>522</x:v>
      </x:c>
      <x:c r="B82" s="0">
        <x:v>200</x:v>
      </x:c>
      <x:c r="C82" s="0">
        <x:v>1100</x:v>
      </x:c>
    </x:row>
    <x:row r="83" spans="1:3">
      <x:c r="A83" s="101" t="s">
        <x:v>682</x:v>
      </x:c>
      <x:c r="B83" s="0">
        <x:v>0</x:v>
      </x:c>
      <x:c r="C83" s="0">
        <x:v>204</x:v>
      </x:c>
    </x:row>
    <x:row r="84" spans="1:3">
      <x:c r="A84" s="101" t="s">
        <x:v>683</x:v>
      </x:c>
      <x:c r="B84" s="0">
        <x:v>0</x:v>
      </x:c>
      <x:c r="C84" s="0">
        <x:v>0</x:v>
      </x:c>
    </x:row>
    <x:row r="85" spans="1:3">
      <x:c r="A85" s="101" t="s">
        <x:v>523</x:v>
      </x:c>
      <x:c r="B85" s="0">
        <x:v>0</x:v>
      </x:c>
      <x:c r="C85" s="0">
        <x:v>0</x:v>
      </x:c>
    </x:row>
    <x:row r="86" spans="1:3">
      <x:c r="A86" s="101" t="s">
        <x:v>524</x:v>
      </x:c>
      <x:c r="B86" s="0">
        <x:v>740</x:v>
      </x:c>
      <x:c r="C86" s="0">
        <x:v>1040</x:v>
      </x:c>
    </x:row>
    <x:row r="87" spans="1:3">
      <x:c r="A87" s="101" t="s">
        <x:v>684</x:v>
      </x:c>
      <x:c r="B87" s="0">
        <x:v>0</x:v>
      </x:c>
      <x:c r="C87" s="0">
        <x:v>0</x:v>
      </x:c>
    </x:row>
    <x:row r="88" spans="1:3">
      <x:c r="A88" s="101" t="s">
        <x:v>685</x:v>
      </x:c>
      <x:c r="B88" s="0">
        <x:v>0</x:v>
      </x:c>
      <x:c r="C88" s="0">
        <x:v>0</x:v>
      </x:c>
    </x:row>
    <x:row r="89" spans="1:3">
      <x:c r="A89" s="101" t="s">
        <x:v>686</x:v>
      </x:c>
      <x:c r="B89" s="0">
        <x:v>180</x:v>
      </x:c>
      <x:c r="C89" s="0">
        <x:v>0</x:v>
      </x:c>
    </x:row>
    <x:row r="90" spans="1:3">
      <x:c r="A90" s="101" t="s">
        <x:v>532</x:v>
      </x:c>
      <x:c r="B90" s="0">
        <x:v>0</x:v>
      </x:c>
      <x:c r="C90" s="0">
        <x:v>0</x:v>
      </x:c>
    </x:row>
    <x:row r="91" spans="1:3">
      <x:c r="A91" s="101" t="s">
        <x:v>687</x:v>
      </x:c>
      <x:c r="B91" s="0">
        <x:v>0</x:v>
      </x:c>
      <x:c r="C91" s="0">
        <x:v>0</x:v>
      </x:c>
    </x:row>
    <x:row r="92" spans="1:3">
      <x:c r="A92" s="101" t="s">
        <x:v>688</x:v>
      </x:c>
      <x:c r="B92" s="0">
        <x:v>0</x:v>
      </x:c>
      <x:c r="C92" s="0">
        <x:v>0</x:v>
      </x:c>
    </x:row>
    <x:row r="93" spans="1:3">
      <x:c r="A93" s="101" t="s">
        <x:v>689</x:v>
      </x:c>
      <x:c r="B93" s="0">
        <x:v>0</x:v>
      </x:c>
      <x:c r="C93" s="0">
        <x:v>0</x:v>
      </x:c>
    </x:row>
    <x:row r="94" spans="1:3">
      <x:c r="A94" s="101" t="s">
        <x:v>690</x:v>
      </x:c>
      <x:c r="B94" s="0">
        <x:v>0</x:v>
      </x:c>
      <x:c r="C94" s="0">
        <x:v>0</x:v>
      </x:c>
    </x:row>
    <x:row r="95" spans="1:3">
      <x:c r="A95" s="101" t="s">
        <x:v>691</x:v>
      </x:c>
      <x:c r="B95" s="0">
        <x:v>300</x:v>
      </x:c>
      <x:c r="C95" s="0">
        <x:v>0</x:v>
      </x:c>
    </x:row>
    <x:row r="96" spans="1:3">
      <x:c r="A96" s="101" t="s">
        <x:v>692</x:v>
      </x:c>
      <x:c r="B96" s="0">
        <x:v>0</x:v>
      </x:c>
      <x:c r="C96" s="0">
        <x:v>0</x:v>
      </x:c>
    </x:row>
    <x:row r="97" spans="1:3">
      <x:c r="A97" s="101" t="s">
        <x:v>693</x:v>
      </x:c>
      <x:c r="B97" s="0">
        <x:v>10</x:v>
      </x:c>
      <x:c r="C9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cols>
    <x:col min="1" max="1" width="12.996339" style="0" customWidth="1"/>
    <x:col min="2" max="2" width="11.139196" style="0" customWidth="1"/>
  </x:cols>
  <x:sheetData>
    <x:row r="1" spans="1:2" s="100" customFormat="1">
      <x:c r="A1" s="100" t="s">
        <x:v>251</x:v>
      </x:c>
      <x:c r="B1" s="100" t="s">
        <x:v>252</x:v>
      </x:c>
    </x:row>
    <x:row r="2" spans="1:2">
      <x:c r="A2" s="101" t="s">
        <x:v>208</x:v>
      </x:c>
      <x:c r="B2" s="0">
        <x:v>74950</x:v>
      </x:c>
    </x:row>
    <x:row r="3" spans="1:2">
      <x:c r="A3" s="101" t="s">
        <x:v>218</x:v>
      </x:c>
      <x:c r="B3" s="0">
        <x:v>74050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A3"/>
  <x:sheetViews>
    <x:sheetView workbookViewId="0"/>
  </x:sheetViews>
  <x:sheetFormatPr defaultRowHeight="15"/>
  <x:cols>
    <x:col min="1" max="1" width="12.996339" style="0" customWidth="1"/>
    <x:col min="2" max="79" width="8.710625" style="0" customWidth="1"/>
  </x:cols>
  <x:sheetData>
    <x:row r="1" spans="1:79" s="100" customFormat="1">
      <x:c r="A1" s="100" t="s">
        <x:v>251</x:v>
      </x:c>
      <x:c r="B1" s="100" t="s">
        <x:v>694</x:v>
      </x:c>
      <x:c r="C1" s="100" t="s">
        <x:v>695</x:v>
      </x:c>
      <x:c r="D1" s="100" t="s">
        <x:v>696</x:v>
      </x:c>
      <x:c r="E1" s="100" t="s">
        <x:v>697</x:v>
      </x:c>
      <x:c r="F1" s="100" t="s">
        <x:v>698</x:v>
      </x:c>
      <x:c r="G1" s="100" t="s">
        <x:v>699</x:v>
      </x:c>
      <x:c r="H1" s="100" t="s">
        <x:v>700</x:v>
      </x:c>
      <x:c r="I1" s="100" t="s">
        <x:v>701</x:v>
      </x:c>
      <x:c r="J1" s="100" t="s">
        <x:v>702</x:v>
      </x:c>
      <x:c r="K1" s="100" t="s">
        <x:v>703</x:v>
      </x:c>
      <x:c r="L1" s="100" t="s">
        <x:v>704</x:v>
      </x:c>
      <x:c r="M1" s="100" t="s">
        <x:v>705</x:v>
      </x:c>
      <x:c r="N1" s="100" t="s">
        <x:v>706</x:v>
      </x:c>
      <x:c r="O1" s="100" t="s">
        <x:v>707</x:v>
      </x:c>
      <x:c r="P1" s="100" t="s">
        <x:v>708</x:v>
      </x:c>
      <x:c r="Q1" s="100" t="s">
        <x:v>709</x:v>
      </x:c>
      <x:c r="R1" s="100" t="s">
        <x:v>710</x:v>
      </x:c>
      <x:c r="S1" s="100" t="s">
        <x:v>711</x:v>
      </x:c>
      <x:c r="T1" s="100" t="s">
        <x:v>712</x:v>
      </x:c>
      <x:c r="U1" s="100" t="s">
        <x:v>713</x:v>
      </x:c>
      <x:c r="V1" s="100" t="s">
        <x:v>714</x:v>
      </x:c>
      <x:c r="W1" s="100" t="s">
        <x:v>715</x:v>
      </x:c>
      <x:c r="X1" s="100" t="s">
        <x:v>716</x:v>
      </x:c>
      <x:c r="Y1" s="100" t="s">
        <x:v>717</x:v>
      </x:c>
      <x:c r="Z1" s="100" t="s">
        <x:v>718</x:v>
      </x:c>
      <x:c r="AA1" s="100" t="s">
        <x:v>719</x:v>
      </x:c>
      <x:c r="AB1" s="100" t="s">
        <x:v>720</x:v>
      </x:c>
      <x:c r="AC1" s="100" t="s">
        <x:v>721</x:v>
      </x:c>
      <x:c r="AD1" s="100" t="s">
        <x:v>722</x:v>
      </x:c>
      <x:c r="AE1" s="100" t="s">
        <x:v>723</x:v>
      </x:c>
      <x:c r="AF1" s="100" t="s">
        <x:v>724</x:v>
      </x:c>
      <x:c r="AG1" s="100" t="s">
        <x:v>725</x:v>
      </x:c>
      <x:c r="AH1" s="100" t="s">
        <x:v>726</x:v>
      </x:c>
      <x:c r="AI1" s="100" t="s">
        <x:v>727</x:v>
      </x:c>
      <x:c r="AJ1" s="100" t="s">
        <x:v>728</x:v>
      </x:c>
      <x:c r="AK1" s="100" t="s">
        <x:v>729</x:v>
      </x:c>
      <x:c r="AL1" s="100" t="s">
        <x:v>730</x:v>
      </x:c>
      <x:c r="AM1" s="100" t="s">
        <x:v>731</x:v>
      </x:c>
      <x:c r="AN1" s="100" t="s">
        <x:v>732</x:v>
      </x:c>
      <x:c r="AO1" s="100" t="s">
        <x:v>733</x:v>
      </x:c>
      <x:c r="AP1" s="100" t="s">
        <x:v>734</x:v>
      </x:c>
      <x:c r="AQ1" s="100" t="s">
        <x:v>735</x:v>
      </x:c>
      <x:c r="AR1" s="100" t="s">
        <x:v>736</x:v>
      </x:c>
      <x:c r="AS1" s="100" t="s">
        <x:v>737</x:v>
      </x:c>
      <x:c r="AT1" s="100" t="s">
        <x:v>738</x:v>
      </x:c>
      <x:c r="AU1" s="100" t="s">
        <x:v>739</x:v>
      </x:c>
      <x:c r="AV1" s="100" t="s">
        <x:v>740</x:v>
      </x:c>
      <x:c r="AW1" s="100" t="s">
        <x:v>741</x:v>
      </x:c>
      <x:c r="AX1" s="100" t="s">
        <x:v>742</x:v>
      </x:c>
      <x:c r="AY1" s="100" t="s">
        <x:v>743</x:v>
      </x:c>
      <x:c r="AZ1" s="100" t="s">
        <x:v>744</x:v>
      </x:c>
      <x:c r="BA1" s="100" t="s">
        <x:v>745</x:v>
      </x:c>
      <x:c r="BB1" s="100" t="s">
        <x:v>746</x:v>
      </x:c>
      <x:c r="BC1" s="100" t="s">
        <x:v>694</x:v>
      </x:c>
      <x:c r="BD1" s="100" t="s">
        <x:v>695</x:v>
      </x:c>
      <x:c r="BE1" s="100" t="s">
        <x:v>696</x:v>
      </x:c>
      <x:c r="BF1" s="100" t="s">
        <x:v>697</x:v>
      </x:c>
      <x:c r="BG1" s="100" t="s">
        <x:v>698</x:v>
      </x:c>
      <x:c r="BH1" s="100" t="s">
        <x:v>699</x:v>
      </x:c>
      <x:c r="BI1" s="100" t="s">
        <x:v>700</x:v>
      </x:c>
      <x:c r="BJ1" s="100" t="s">
        <x:v>701</x:v>
      </x:c>
      <x:c r="BK1" s="100" t="s">
        <x:v>702</x:v>
      </x:c>
      <x:c r="BL1" s="100" t="s">
        <x:v>703</x:v>
      </x:c>
      <x:c r="BM1" s="100" t="s">
        <x:v>704</x:v>
      </x:c>
      <x:c r="BN1" s="100" t="s">
        <x:v>705</x:v>
      </x:c>
      <x:c r="BO1" s="100" t="s">
        <x:v>706</x:v>
      </x:c>
      <x:c r="BP1" s="100" t="s">
        <x:v>707</x:v>
      </x:c>
      <x:c r="BQ1" s="100" t="s">
        <x:v>708</x:v>
      </x:c>
      <x:c r="BR1" s="100" t="s">
        <x:v>709</x:v>
      </x:c>
      <x:c r="BS1" s="100" t="s">
        <x:v>710</x:v>
      </x:c>
      <x:c r="BT1" s="100" t="s">
        <x:v>711</x:v>
      </x:c>
      <x:c r="BU1" s="100" t="s">
        <x:v>712</x:v>
      </x:c>
      <x:c r="BV1" s="100" t="s">
        <x:v>713</x:v>
      </x:c>
      <x:c r="BW1" s="100" t="s">
        <x:v>714</x:v>
      </x:c>
      <x:c r="BX1" s="100" t="s">
        <x:v>715</x:v>
      </x:c>
      <x:c r="BY1" s="100" t="s">
        <x:v>716</x:v>
      </x:c>
      <x:c r="BZ1" s="100" t="s">
        <x:v>717</x:v>
      </x:c>
      <x:c r="CA1" s="100" t="s">
        <x:v>718</x:v>
      </x:c>
    </x:row>
    <x:row r="2" spans="1:79">
      <x:c r="A2" s="101" t="s">
        <x:v>208</x:v>
      </x:c>
      <x:c r="B2" s="0">
        <x:v>0</x:v>
      </x:c>
      <x:c r="C2" s="0">
        <x:v>0</x:v>
      </x:c>
      <x:c r="D2" s="0">
        <x:v>0</x:v>
      </x:c>
      <x:c r="E2" s="0">
        <x:v>25600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25600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25600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25600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25600</x:v>
      </x:c>
      <x:c r="AB2" s="0">
        <x:v>0</x:v>
      </x:c>
      <x:c r="AC2" s="0">
        <x:v>0</x:v>
      </x:c>
      <x:c r="AD2" s="0">
        <x:v>0</x:v>
      </x:c>
      <x:c r="AE2" s="0">
        <x:v>25600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25600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25600</x:v>
      </x:c>
      <x:c r="AP2" s="0">
        <x:v>0</x:v>
      </x:c>
      <x:c r="AQ2" s="0">
        <x:v>0</x:v>
      </x:c>
      <x:c r="AR2" s="0">
        <x:v>0</x:v>
      </x:c>
      <x:c r="AS2" s="0">
        <x:v>25600</x:v>
      </x:c>
      <x:c r="AT2" s="0">
        <x:v>0</x:v>
      </x:c>
      <x:c r="AU2" s="0">
        <x:v>0</x:v>
      </x:c>
      <x:c r="AV2" s="0">
        <x:v>0</x:v>
      </x:c>
      <x:c r="AW2" s="0">
        <x:v>25600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25600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25600</x:v>
      </x:c>
      <x:c r="BH2" s="0">
        <x:v>0</x:v>
      </x:c>
      <x:c r="BI2" s="0">
        <x:v>0</x:v>
      </x:c>
      <x:c r="BJ2" s="0">
        <x:v>0</x:v>
      </x:c>
      <x:c r="BK2" s="0">
        <x:v>25600</x:v>
      </x:c>
      <x:c r="BL2" s="0">
        <x:v>0</x:v>
      </x:c>
      <x:c r="BM2" s="0">
        <x:v>0</x:v>
      </x:c>
      <x:c r="BN2" s="0">
        <x:v>0</x:v>
      </x:c>
      <x:c r="BO2" s="0">
        <x:v>0</x:v>
      </x:c>
      <x:c r="BP2" s="0">
        <x:v>25600</x:v>
      </x:c>
      <x:c r="BQ2" s="0">
        <x:v>0</x:v>
      </x:c>
      <x:c r="BR2" s="0">
        <x:v>0</x:v>
      </x:c>
      <x:c r="BS2" s="0">
        <x:v>0</x:v>
      </x:c>
      <x:c r="BT2" s="0">
        <x:v>25600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25600</x:v>
      </x:c>
      <x:c r="BZ2" s="0">
        <x:v>0</x:v>
      </x:c>
      <x:c r="CA2" s="0">
        <x:v>0</x:v>
      </x:c>
    </x:row>
    <x:row r="3" spans="1:79">
      <x:c r="A3" s="101" t="s">
        <x:v>218</x:v>
      </x:c>
      <x:c r="B3" s="0">
        <x:v>0</x:v>
      </x:c>
      <x:c r="C3" s="0">
        <x:v>0</x:v>
      </x:c>
      <x:c r="D3" s="0">
        <x:v>0</x:v>
      </x:c>
      <x:c r="E3" s="0">
        <x:v>25600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25600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25600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25600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25600</x:v>
      </x:c>
      <x:c r="AB3" s="0">
        <x:v>0</x:v>
      </x:c>
      <x:c r="AC3" s="0">
        <x:v>0</x:v>
      </x:c>
      <x:c r="AD3" s="0">
        <x:v>0</x:v>
      </x:c>
      <x:c r="AE3" s="0">
        <x:v>25600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25600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25600</x:v>
      </x:c>
      <x:c r="AP3" s="0">
        <x:v>0</x:v>
      </x:c>
      <x:c r="AQ3" s="0">
        <x:v>0</x:v>
      </x:c>
      <x:c r="AR3" s="0">
        <x:v>0</x:v>
      </x:c>
      <x:c r="AS3" s="0">
        <x:v>25600</x:v>
      </x:c>
      <x:c r="AT3" s="0">
        <x:v>0</x:v>
      </x:c>
      <x:c r="AU3" s="0">
        <x:v>0</x:v>
      </x:c>
      <x:c r="AV3" s="0">
        <x:v>0</x:v>
      </x:c>
      <x:c r="AW3" s="0">
        <x:v>25600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25600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25600</x:v>
      </x:c>
      <x:c r="BH3" s="0">
        <x:v>0</x:v>
      </x:c>
      <x:c r="BI3" s="0">
        <x:v>0</x:v>
      </x:c>
      <x:c r="BJ3" s="0">
        <x:v>0</x:v>
      </x:c>
      <x:c r="BK3" s="0">
        <x:v>25600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25600</x:v>
      </x:c>
      <x:c r="BQ3" s="0">
        <x:v>0</x:v>
      </x:c>
      <x:c r="BR3" s="0">
        <x:v>0</x:v>
      </x:c>
      <x:c r="BS3" s="0">
        <x:v>0</x:v>
      </x:c>
      <x:c r="BT3" s="0">
        <x:v>25600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25600</x:v>
      </x:c>
      <x:c r="BZ3" s="0">
        <x:v>0</x:v>
      </x:c>
      <x:c r="CA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T-PSD-B4</vt:lpstr>
      <vt:lpstr>B-PSD-B4</vt:lpstr>
      <vt:lpstr>WIP</vt:lpstr>
      <vt:lpstr>Plan</vt:lpstr>
      <vt:lpstr>OS</vt:lpstr>
      <vt:lpstr>Sales</vt:lpstr>
      <vt:lpstr>T-PSD-B4!Print_Area</vt:lpstr>
      <vt:lpstr>T-PSD-B4!Print_Titles</vt:lpstr>
      <vt:lpstr>B-PSD-B4!Print_Area</vt:lpstr>
      <vt:lpstr>B-PSD-B4!Print_Titles</vt:lpstr>
      <vt:lpstr>WIP!Print_Area</vt:lpstr>
      <vt:lpstr>WIP!Print_Titles</vt:lpstr>
      <vt:lpstr>Plan!Print_Area</vt:lpstr>
      <vt:lpstr>Plan!Print_Titles</vt:lpstr>
      <vt:lpstr>OS!Print_Area</vt:lpstr>
      <vt:lpstr>OS!Print_Titles</vt:lpstr>
      <vt:lpstr>Sales!Print_Area</vt:lpstr>
      <vt:lpstr>Sales!Print_Titles</vt:lpstr>
    </vt:vector>
  </ap:TitlesOfParts>
  <ap:Company>mind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ajaykumar</dc:creator>
  <lastModifiedBy>Yahiya, Mohamed (Port Said)</lastModifiedBy>
  <dcterms:created xsi:type="dcterms:W3CDTF">2010-09-27T07:03:10.0000000Z</dcterms:created>
  <dcterms:modified xsi:type="dcterms:W3CDTF">2026-05-12T05:24:59.0000000Z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NXPowerLiteLastOptimized">
    <vt:r8>21153</vt:r8>
  </op:property>
  <op:property fmtid="{D5CDD505-2E9C-101B-9397-08002B2CF9AE}" pid="3" name="NXPowerLiteSettings">
    <vt:lpwstr>F54006B004C800</vt:lpwstr>
  </op:property>
  <op:property fmtid="{D5CDD505-2E9C-101B-9397-08002B2CF9AE}" pid="4" name="NXPowerLiteVersion">
    <vt:lpwstr>S6.2.0</vt:lpwstr>
  </op:property>
</op:Properties>
</file>