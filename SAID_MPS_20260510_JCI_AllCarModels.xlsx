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L:\Assembly Planning\Reports\MPS Review\2026\WK 20\"/>
    </mc:Choice>
  </mc:AlternateContent>
  <xr:revisionPtr revIDLastSave="0" documentId="13_ncr:1_{62D2306D-3072-4AD9-A399-488628E4CF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JCI2 RH" sheetId="8" r:id="rId1"/>
    <sheet name="B-JCI2 RH" sheetId="7" r:id="rId2"/>
    <sheet name="T-JCI2 LH" sheetId="6" r:id="rId3"/>
    <sheet name="B-JCI2 LH" sheetId="5" r:id="rId4"/>
    <sheet name="T-ADIENT REAR SEAT" sheetId="4" r:id="rId5"/>
    <sheet name="B-ADIENT REAR SEAT" sheetId="3" r:id="rId6"/>
    <sheet name="T-ADIENT CHUSION" sheetId="9" r:id="rId7"/>
    <sheet name="B-ADIENT CHUSION" sheetId="10" r:id="rId8"/>
    <sheet name="WIP" sheetId="13" r:id="rId9"/>
    <sheet name="Plan" sheetId="14" r:id="rId10"/>
    <sheet name="OS" sheetId="15" r:id="rId11"/>
    <sheet name="Sales" sheetId="16" r:id="rId12"/>
  </sheets>
  <definedNames>
    <definedName name="_xlnm._FilterDatabase" localSheetId="7" hidden="1">'B-ADIENT CHUSION'!$A$13:$CC$62</definedName>
    <definedName name="_xlnm._FilterDatabase" localSheetId="5" hidden="1">'B-ADIENT REAR SEAT'!$A$13:$CC$62</definedName>
    <definedName name="_xlnm._FilterDatabase" localSheetId="3" hidden="1">'B-JCI2 LH'!$A$13:$CC$258</definedName>
    <definedName name="_xlnm._FilterDatabase" localSheetId="1" hidden="1">'B-JCI2 RH'!$A$13:$CC$258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3" l="1"/>
  <c r="E58" i="3"/>
  <c r="F51" i="3"/>
  <c r="E51" i="3"/>
  <c r="F44" i="3"/>
  <c r="E44" i="3"/>
  <c r="F37" i="3"/>
  <c r="E37" i="3"/>
  <c r="F30" i="3"/>
  <c r="E30" i="3"/>
  <c r="F23" i="3"/>
  <c r="E23" i="3"/>
  <c r="F16" i="3"/>
  <c r="F254" i="5"/>
  <c r="E254" i="5"/>
  <c r="F247" i="5"/>
  <c r="E247" i="5"/>
  <c r="F240" i="5"/>
  <c r="E240" i="5"/>
  <c r="F233" i="5"/>
  <c r="E233" i="5"/>
  <c r="F226" i="5"/>
  <c r="E226" i="5"/>
  <c r="F219" i="5"/>
  <c r="E219" i="5"/>
  <c r="F212" i="5"/>
  <c r="E212" i="5"/>
  <c r="F205" i="5"/>
  <c r="E205" i="5"/>
  <c r="F198" i="5"/>
  <c r="E198" i="5"/>
  <c r="F191" i="5"/>
  <c r="E191" i="5"/>
  <c r="F184" i="5"/>
  <c r="E184" i="5"/>
  <c r="F177" i="5"/>
  <c r="E177" i="5"/>
  <c r="F170" i="5"/>
  <c r="E170" i="5"/>
  <c r="F163" i="5"/>
  <c r="E163" i="5"/>
  <c r="F156" i="5"/>
  <c r="E156" i="5"/>
  <c r="F149" i="5"/>
  <c r="E149" i="5"/>
  <c r="F142" i="5"/>
  <c r="E142" i="5"/>
  <c r="F135" i="5"/>
  <c r="E135" i="5"/>
  <c r="F128" i="5"/>
  <c r="E128" i="5"/>
  <c r="F121" i="5"/>
  <c r="E121" i="5"/>
  <c r="F114" i="5"/>
  <c r="E114" i="5"/>
  <c r="F107" i="5"/>
  <c r="E107" i="5"/>
  <c r="F100" i="5"/>
  <c r="E100" i="5"/>
  <c r="F93" i="5"/>
  <c r="E93" i="5"/>
  <c r="F86" i="5"/>
  <c r="E86" i="5"/>
  <c r="F79" i="5"/>
  <c r="E79" i="5"/>
  <c r="F72" i="5"/>
  <c r="E72" i="5"/>
  <c r="F65" i="5"/>
  <c r="E65" i="5"/>
  <c r="F58" i="5"/>
  <c r="E58" i="5"/>
  <c r="F51" i="5"/>
  <c r="E51" i="5"/>
  <c r="F44" i="5"/>
  <c r="E44" i="5"/>
  <c r="F37" i="5"/>
  <c r="E37" i="5"/>
  <c r="F30" i="5"/>
  <c r="E30" i="5"/>
  <c r="F23" i="5"/>
  <c r="E23" i="5"/>
  <c r="F16" i="5"/>
  <c r="F254" i="7"/>
  <c r="E254" i="7"/>
  <c r="F247" i="7"/>
  <c r="E247" i="7"/>
  <c r="F240" i="7"/>
  <c r="E240" i="7"/>
  <c r="F233" i="7"/>
  <c r="E233" i="7"/>
  <c r="F226" i="7"/>
  <c r="E226" i="7"/>
  <c r="F219" i="7"/>
  <c r="E219" i="7"/>
  <c r="F212" i="7"/>
  <c r="E212" i="7"/>
  <c r="F205" i="7"/>
  <c r="E205" i="7"/>
  <c r="F198" i="7"/>
  <c r="E198" i="7"/>
  <c r="F191" i="7"/>
  <c r="E191" i="7"/>
  <c r="F184" i="7"/>
  <c r="E184" i="7"/>
  <c r="F177" i="7"/>
  <c r="E177" i="7"/>
  <c r="F170" i="7"/>
  <c r="E170" i="7"/>
  <c r="F163" i="7"/>
  <c r="E163" i="7"/>
  <c r="F156" i="7"/>
  <c r="E156" i="7"/>
  <c r="F149" i="7"/>
  <c r="E149" i="7"/>
  <c r="F142" i="7"/>
  <c r="E142" i="7"/>
  <c r="F135" i="7"/>
  <c r="E135" i="7"/>
  <c r="F128" i="7"/>
  <c r="E128" i="7"/>
  <c r="F121" i="7"/>
  <c r="E121" i="7"/>
  <c r="F114" i="7"/>
  <c r="E114" i="7"/>
  <c r="F107" i="7"/>
  <c r="E107" i="7"/>
  <c r="F100" i="7"/>
  <c r="E100" i="7"/>
  <c r="F93" i="7"/>
  <c r="E93" i="7"/>
  <c r="F86" i="7"/>
  <c r="E86" i="7"/>
  <c r="F79" i="7"/>
  <c r="E79" i="7"/>
  <c r="F72" i="7"/>
  <c r="E72" i="7"/>
  <c r="F65" i="7"/>
  <c r="E65" i="7"/>
  <c r="F58" i="7"/>
  <c r="E58" i="7"/>
  <c r="F51" i="7"/>
  <c r="E51" i="7"/>
  <c r="F44" i="7"/>
  <c r="E44" i="7"/>
  <c r="F37" i="7"/>
  <c r="E37" i="7"/>
  <c r="F30" i="7"/>
  <c r="E30" i="7"/>
  <c r="F23" i="7"/>
  <c r="E23" i="7"/>
  <c r="F16" i="7"/>
  <c r="F58" i="10"/>
  <c r="U12" i="8" l="1"/>
  <c r="Y12" i="8" s="1"/>
  <c r="W12" i="8"/>
  <c r="AC12" i="8"/>
  <c r="U13" i="8"/>
  <c r="Y13" i="8" s="1"/>
  <c r="W13" i="8"/>
  <c r="AE13" i="8" s="1"/>
  <c r="AC13" i="8"/>
  <c r="U14" i="8"/>
  <c r="W14" i="8"/>
  <c r="AE14" i="8" s="1"/>
  <c r="AC14" i="8"/>
  <c r="U15" i="8"/>
  <c r="Y15" i="8" s="1"/>
  <c r="W15" i="8"/>
  <c r="AE15" i="8" s="1"/>
  <c r="AC15" i="8"/>
  <c r="U16" i="8"/>
  <c r="W16" i="8"/>
  <c r="AE16" i="8" s="1"/>
  <c r="AC16" i="8"/>
  <c r="U17" i="8"/>
  <c r="Y17" i="8" s="1"/>
  <c r="W17" i="8"/>
  <c r="AE17" i="8" s="1"/>
  <c r="AC17" i="8"/>
  <c r="U18" i="8"/>
  <c r="Y18" i="8" s="1"/>
  <c r="W18" i="8"/>
  <c r="AE18" i="8" s="1"/>
  <c r="AC18" i="8"/>
  <c r="U19" i="8"/>
  <c r="Y19" i="8" s="1"/>
  <c r="W19" i="8"/>
  <c r="AE19" i="8" s="1"/>
  <c r="AC19" i="8"/>
  <c r="U20" i="8"/>
  <c r="Y20" i="8" s="1"/>
  <c r="W20" i="8"/>
  <c r="AE20" i="8" s="1"/>
  <c r="AC20" i="8"/>
  <c r="U21" i="8"/>
  <c r="W21" i="8"/>
  <c r="AE21" i="8" s="1"/>
  <c r="AC21" i="8"/>
  <c r="U22" i="8"/>
  <c r="W22" i="8"/>
  <c r="AE22" i="8" s="1"/>
  <c r="AC22" i="8"/>
  <c r="U23" i="8"/>
  <c r="W23" i="8"/>
  <c r="AE23" i="8" s="1"/>
  <c r="AC23" i="8"/>
  <c r="U24" i="8"/>
  <c r="Y24" i="8" s="1"/>
  <c r="W24" i="8"/>
  <c r="AE24" i="8" s="1"/>
  <c r="AC24" i="8"/>
  <c r="U25" i="8"/>
  <c r="W25" i="8"/>
  <c r="AE25" i="8" s="1"/>
  <c r="AC25" i="8"/>
  <c r="U26" i="8"/>
  <c r="Y26" i="8" s="1"/>
  <c r="W26" i="8"/>
  <c r="AE26" i="8" s="1"/>
  <c r="AC26" i="8"/>
  <c r="U27" i="8"/>
  <c r="W27" i="8"/>
  <c r="AE27" i="8" s="1"/>
  <c r="AC27" i="8"/>
  <c r="U28" i="8"/>
  <c r="Y28" i="8" s="1"/>
  <c r="W28" i="8"/>
  <c r="AE28" i="8" s="1"/>
  <c r="AC28" i="8"/>
  <c r="U29" i="8"/>
  <c r="W29" i="8"/>
  <c r="AE29" i="8" s="1"/>
  <c r="AC29" i="8"/>
  <c r="U30" i="8"/>
  <c r="Y30" i="8" s="1"/>
  <c r="W30" i="8"/>
  <c r="AE30" i="8" s="1"/>
  <c r="AC30" i="8"/>
  <c r="U31" i="8"/>
  <c r="W31" i="8"/>
  <c r="AE31" i="8" s="1"/>
  <c r="AC31" i="8"/>
  <c r="U32" i="8"/>
  <c r="Y32" i="8" s="1"/>
  <c r="W32" i="8"/>
  <c r="AE32" i="8" s="1"/>
  <c r="AC32" i="8"/>
  <c r="U33" i="8"/>
  <c r="W33" i="8"/>
  <c r="AE33" i="8" s="1"/>
  <c r="AC33" i="8"/>
  <c r="U34" i="8"/>
  <c r="Y34" i="8" s="1"/>
  <c r="W34" i="8"/>
  <c r="AE34" i="8" s="1"/>
  <c r="AC34" i="8"/>
  <c r="U35" i="8"/>
  <c r="W35" i="8"/>
  <c r="AE35" i="8" s="1"/>
  <c r="AC35" i="8"/>
  <c r="U36" i="8"/>
  <c r="Y36" i="8" s="1"/>
  <c r="W36" i="8"/>
  <c r="AC36" i="8"/>
  <c r="U37" i="8"/>
  <c r="W37" i="8"/>
  <c r="AC37" i="8"/>
  <c r="U38" i="8"/>
  <c r="Y38" i="8" s="1"/>
  <c r="W38" i="8"/>
  <c r="AC38" i="8"/>
  <c r="U39" i="8"/>
  <c r="W39" i="8"/>
  <c r="AC39" i="8"/>
  <c r="U40" i="8"/>
  <c r="W40" i="8"/>
  <c r="AC40" i="8"/>
  <c r="U41" i="8"/>
  <c r="W41" i="8"/>
  <c r="AC41" i="8"/>
  <c r="U42" i="8"/>
  <c r="W42" i="8"/>
  <c r="AE42" i="8" s="1"/>
  <c r="AC42" i="8"/>
  <c r="U43" i="8"/>
  <c r="W43" i="8"/>
  <c r="AE43" i="8" s="1"/>
  <c r="AC43" i="8"/>
  <c r="R44" i="8"/>
  <c r="U44" i="8"/>
  <c r="W44" i="8"/>
  <c r="AE44" i="8" s="1"/>
  <c r="AC44" i="8"/>
  <c r="R45" i="8"/>
  <c r="U45" i="8"/>
  <c r="W45" i="8"/>
  <c r="AE45" i="8" s="1"/>
  <c r="AC45" i="8"/>
  <c r="R46" i="8"/>
  <c r="U46" i="8"/>
  <c r="Y46" i="8" s="1"/>
  <c r="W46" i="8"/>
  <c r="AC46" i="8"/>
  <c r="R47" i="8"/>
  <c r="U47" i="8"/>
  <c r="W47" i="8"/>
  <c r="AE47" i="8" s="1"/>
  <c r="AC47" i="8"/>
  <c r="U48" i="8"/>
  <c r="Y48" i="8" s="1"/>
  <c r="W48" i="8"/>
  <c r="AE48" i="8" s="1"/>
  <c r="AC48" i="8"/>
  <c r="U49" i="8"/>
  <c r="Y49" i="8" s="1"/>
  <c r="W49" i="8"/>
  <c r="AC49" i="8"/>
  <c r="U50" i="8"/>
  <c r="Y50" i="8" s="1"/>
  <c r="W50" i="8"/>
  <c r="AE50" i="8" s="1"/>
  <c r="AC50" i="8"/>
  <c r="U51" i="8"/>
  <c r="W51" i="8"/>
  <c r="AC51" i="8"/>
  <c r="U52" i="8"/>
  <c r="W52" i="8"/>
  <c r="AC52" i="8"/>
  <c r="U53" i="8"/>
  <c r="Y53" i="8" s="1"/>
  <c r="W53" i="8"/>
  <c r="AE53" i="8" s="1"/>
  <c r="AC53" i="8"/>
  <c r="U54" i="8"/>
  <c r="Y54" i="8" s="1"/>
  <c r="W54" i="8"/>
  <c r="AE54" i="8" s="1"/>
  <c r="AC54" i="8"/>
  <c r="U55" i="8"/>
  <c r="Y55" i="8" s="1"/>
  <c r="W55" i="8"/>
  <c r="AE55" i="8" s="1"/>
  <c r="AC55" i="8"/>
  <c r="U56" i="8"/>
  <c r="Y56" i="8" s="1"/>
  <c r="W56" i="8"/>
  <c r="AE56" i="8" s="1"/>
  <c r="AC56" i="8"/>
  <c r="U57" i="8"/>
  <c r="W57" i="8"/>
  <c r="AC57" i="8"/>
  <c r="U58" i="8"/>
  <c r="W58" i="8"/>
  <c r="AC58" i="8"/>
  <c r="U59" i="8"/>
  <c r="Y59" i="8" s="1"/>
  <c r="W59" i="8"/>
  <c r="AE59" i="8" s="1"/>
  <c r="AC59" i="8"/>
  <c r="U60" i="8"/>
  <c r="Y60" i="8" s="1"/>
  <c r="W60" i="8"/>
  <c r="AE60" i="8" s="1"/>
  <c r="AC60" i="8"/>
  <c r="U61" i="8"/>
  <c r="Y61" i="8" s="1"/>
  <c r="W61" i="8"/>
  <c r="AE61" i="8" s="1"/>
  <c r="AC61" i="8"/>
  <c r="U62" i="8"/>
  <c r="W62" i="8"/>
  <c r="AE62" i="8" s="1"/>
  <c r="AC62" i="8"/>
  <c r="U63" i="8"/>
  <c r="W63" i="8"/>
  <c r="AC63" i="8"/>
  <c r="U64" i="8"/>
  <c r="W64" i="8"/>
  <c r="AC64" i="8"/>
  <c r="U65" i="8"/>
  <c r="Y65" i="8" s="1"/>
  <c r="W65" i="8"/>
  <c r="AE65" i="8" s="1"/>
  <c r="AC65" i="8"/>
  <c r="U66" i="8"/>
  <c r="Y66" i="8" s="1"/>
  <c r="W66" i="8"/>
  <c r="AE66" i="8" s="1"/>
  <c r="AC66" i="8"/>
  <c r="U67" i="8"/>
  <c r="Y67" i="8" s="1"/>
  <c r="W67" i="8"/>
  <c r="AE67" i="8" s="1"/>
  <c r="AC67" i="8"/>
  <c r="U68" i="8"/>
  <c r="AC68" i="8"/>
  <c r="AE68" i="8"/>
  <c r="U69" i="8"/>
  <c r="Y69" i="8" s="1"/>
  <c r="AC69" i="8"/>
  <c r="AE69" i="8"/>
  <c r="U70" i="8"/>
  <c r="AC70" i="8"/>
  <c r="AE70" i="8"/>
  <c r="U71" i="8"/>
  <c r="Y71" i="8" s="1"/>
  <c r="AC71" i="8"/>
  <c r="AE71" i="8"/>
  <c r="U72" i="8"/>
  <c r="Y72" i="8" s="1"/>
  <c r="AC72" i="8"/>
  <c r="AE72" i="8"/>
  <c r="U73" i="8"/>
  <c r="AC73" i="8"/>
  <c r="AE73" i="8"/>
  <c r="U74" i="8"/>
  <c r="AC74" i="8"/>
  <c r="AE74" i="8"/>
  <c r="R75" i="8"/>
  <c r="U75" i="8"/>
  <c r="Y75" i="8" s="1"/>
  <c r="AC75" i="8"/>
  <c r="AE75" i="8"/>
  <c r="R76" i="8"/>
  <c r="U76" i="8"/>
  <c r="AC76" i="8"/>
  <c r="AE76" i="8"/>
  <c r="R77" i="8"/>
  <c r="U77" i="8"/>
  <c r="Y77" i="8" s="1"/>
  <c r="AC77" i="8"/>
  <c r="AE77" i="8"/>
  <c r="R78" i="8"/>
  <c r="U78" i="8"/>
  <c r="AC78" i="8"/>
  <c r="AE78" i="8"/>
  <c r="U79" i="8"/>
  <c r="Y79" i="8" s="1"/>
  <c r="AC79" i="8"/>
  <c r="AE79" i="8"/>
  <c r="U80" i="8"/>
  <c r="Y80" i="8" s="1"/>
  <c r="AC80" i="8"/>
  <c r="AE80" i="8"/>
  <c r="U81" i="8"/>
  <c r="Y81" i="8" s="1"/>
  <c r="AC81" i="8"/>
  <c r="AE81" i="8"/>
  <c r="U82" i="8"/>
  <c r="AC82" i="8"/>
  <c r="AE82" i="8"/>
  <c r="U83" i="8"/>
  <c r="AC83" i="8"/>
  <c r="AE83" i="8"/>
  <c r="U84" i="8"/>
  <c r="Y84" i="8" s="1"/>
  <c r="AC84" i="8"/>
  <c r="AE84" i="8"/>
  <c r="U85" i="8"/>
  <c r="AC85" i="8"/>
  <c r="AE85" i="8"/>
  <c r="U86" i="8"/>
  <c r="Y86" i="8" s="1"/>
  <c r="AC86" i="8"/>
  <c r="AE86" i="8"/>
  <c r="U87" i="8"/>
  <c r="Y87" i="8" s="1"/>
  <c r="AC87" i="8"/>
  <c r="AE87" i="8"/>
  <c r="U88" i="8"/>
  <c r="Y88" i="8" s="1"/>
  <c r="AC88" i="8"/>
  <c r="AE88" i="8"/>
  <c r="U89" i="8"/>
  <c r="AC89" i="8"/>
  <c r="AE89" i="8"/>
  <c r="D14" i="7"/>
  <c r="D15" i="7"/>
  <c r="D16" i="7"/>
  <c r="D19" i="7" s="1"/>
  <c r="E16" i="7"/>
  <c r="E19" i="7" s="1"/>
  <c r="D17" i="7"/>
  <c r="E17" i="7"/>
  <c r="E18" i="7" s="1"/>
  <c r="F17" i="7"/>
  <c r="F18" i="7" s="1"/>
  <c r="G17" i="7"/>
  <c r="G18" i="7" s="1"/>
  <c r="H17" i="7"/>
  <c r="H18" i="7" s="1"/>
  <c r="I17" i="7"/>
  <c r="I18" i="7" s="1"/>
  <c r="J17" i="7"/>
  <c r="J18" i="7" s="1"/>
  <c r="K17" i="7"/>
  <c r="K18" i="7" s="1"/>
  <c r="L17" i="7"/>
  <c r="L18" i="7" s="1"/>
  <c r="M17" i="7"/>
  <c r="M18" i="7" s="1"/>
  <c r="N17" i="7"/>
  <c r="N18" i="7" s="1"/>
  <c r="O17" i="7"/>
  <c r="O18" i="7" s="1"/>
  <c r="P17" i="7"/>
  <c r="P18" i="7" s="1"/>
  <c r="Q17" i="7"/>
  <c r="Q18" i="7" s="1"/>
  <c r="R17" i="7"/>
  <c r="R18" i="7" s="1"/>
  <c r="S17" i="7"/>
  <c r="S18" i="7" s="1"/>
  <c r="T17" i="7"/>
  <c r="T18" i="7" s="1"/>
  <c r="U17" i="7"/>
  <c r="U18" i="7" s="1"/>
  <c r="V17" i="7"/>
  <c r="V18" i="7" s="1"/>
  <c r="W17" i="7"/>
  <c r="W18" i="7" s="1"/>
  <c r="X17" i="7"/>
  <c r="X18" i="7" s="1"/>
  <c r="Y17" i="7"/>
  <c r="Y18" i="7" s="1"/>
  <c r="Z17" i="7"/>
  <c r="Z18" i="7" s="1"/>
  <c r="AA17" i="7"/>
  <c r="AA18" i="7" s="1"/>
  <c r="AB17" i="7"/>
  <c r="AB18" i="7" s="1"/>
  <c r="AC17" i="7"/>
  <c r="AC18" i="7" s="1"/>
  <c r="AD17" i="7"/>
  <c r="AD18" i="7" s="1"/>
  <c r="AE17" i="7"/>
  <c r="AE18" i="7" s="1"/>
  <c r="AF17" i="7"/>
  <c r="AF18" i="7" s="1"/>
  <c r="AG17" i="7"/>
  <c r="AG18" i="7" s="1"/>
  <c r="AH17" i="7"/>
  <c r="AH18" i="7" s="1"/>
  <c r="AI17" i="7"/>
  <c r="AI18" i="7" s="1"/>
  <c r="AJ17" i="7"/>
  <c r="AJ18" i="7" s="1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D21" i="7"/>
  <c r="D22" i="7"/>
  <c r="D23" i="7"/>
  <c r="D26" i="7" s="1"/>
  <c r="E26" i="7"/>
  <c r="D24" i="7"/>
  <c r="E24" i="7"/>
  <c r="E25" i="7" s="1"/>
  <c r="F24" i="7"/>
  <c r="F25" i="7" s="1"/>
  <c r="G24" i="7"/>
  <c r="G25" i="7" s="1"/>
  <c r="H24" i="7"/>
  <c r="H25" i="7" s="1"/>
  <c r="I24" i="7"/>
  <c r="I25" i="7" s="1"/>
  <c r="J24" i="7"/>
  <c r="J25" i="7" s="1"/>
  <c r="K24" i="7"/>
  <c r="K25" i="7" s="1"/>
  <c r="L24" i="7"/>
  <c r="L25" i="7" s="1"/>
  <c r="M24" i="7"/>
  <c r="M25" i="7" s="1"/>
  <c r="N24" i="7"/>
  <c r="N25" i="7" s="1"/>
  <c r="O24" i="7"/>
  <c r="O25" i="7" s="1"/>
  <c r="P24" i="7"/>
  <c r="P25" i="7" s="1"/>
  <c r="Q24" i="7"/>
  <c r="Q25" i="7" s="1"/>
  <c r="R24" i="7"/>
  <c r="R25" i="7" s="1"/>
  <c r="S24" i="7"/>
  <c r="S25" i="7" s="1"/>
  <c r="T24" i="7"/>
  <c r="T25" i="7" s="1"/>
  <c r="U24" i="7"/>
  <c r="U25" i="7" s="1"/>
  <c r="V24" i="7"/>
  <c r="V25" i="7" s="1"/>
  <c r="W24" i="7"/>
  <c r="W25" i="7" s="1"/>
  <c r="X24" i="7"/>
  <c r="X25" i="7" s="1"/>
  <c r="Y24" i="7"/>
  <c r="Y25" i="7" s="1"/>
  <c r="Z24" i="7"/>
  <c r="Z25" i="7" s="1"/>
  <c r="AA24" i="7"/>
  <c r="AA25" i="7" s="1"/>
  <c r="AB24" i="7"/>
  <c r="AB25" i="7" s="1"/>
  <c r="AC24" i="7"/>
  <c r="AC25" i="7" s="1"/>
  <c r="AD24" i="7"/>
  <c r="AD25" i="7" s="1"/>
  <c r="AE24" i="7"/>
  <c r="AE25" i="7" s="1"/>
  <c r="AF24" i="7"/>
  <c r="AF25" i="7" s="1"/>
  <c r="AG24" i="7"/>
  <c r="AG25" i="7" s="1"/>
  <c r="AH24" i="7"/>
  <c r="AH25" i="7" s="1"/>
  <c r="AI24" i="7"/>
  <c r="AI25" i="7" s="1"/>
  <c r="AJ24" i="7"/>
  <c r="AJ25" i="7" s="1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D28" i="7"/>
  <c r="D29" i="7"/>
  <c r="D30" i="7"/>
  <c r="D33" i="7" s="1"/>
  <c r="E33" i="7"/>
  <c r="D31" i="7"/>
  <c r="E31" i="7"/>
  <c r="F31" i="7"/>
  <c r="F32" i="7" s="1"/>
  <c r="G31" i="7"/>
  <c r="G32" i="7" s="1"/>
  <c r="H31" i="7"/>
  <c r="H32" i="7" s="1"/>
  <c r="I31" i="7"/>
  <c r="I32" i="7" s="1"/>
  <c r="J31" i="7"/>
  <c r="J32" i="7" s="1"/>
  <c r="K31" i="7"/>
  <c r="L31" i="7"/>
  <c r="L32" i="7" s="1"/>
  <c r="M31" i="7"/>
  <c r="M32" i="7" s="1"/>
  <c r="N31" i="7"/>
  <c r="N32" i="7" s="1"/>
  <c r="O31" i="7"/>
  <c r="O32" i="7" s="1"/>
  <c r="P31" i="7"/>
  <c r="P32" i="7" s="1"/>
  <c r="Q31" i="7"/>
  <c r="Q32" i="7" s="1"/>
  <c r="R31" i="7"/>
  <c r="R32" i="7" s="1"/>
  <c r="S31" i="7"/>
  <c r="S32" i="7" s="1"/>
  <c r="T31" i="7"/>
  <c r="T32" i="7" s="1"/>
  <c r="U31" i="7"/>
  <c r="V31" i="7"/>
  <c r="W31" i="7"/>
  <c r="X31" i="7"/>
  <c r="Y31" i="7"/>
  <c r="Y32" i="7" s="1"/>
  <c r="Z31" i="7"/>
  <c r="Z32" i="7" s="1"/>
  <c r="AA31" i="7"/>
  <c r="AA32" i="7" s="1"/>
  <c r="AB31" i="7"/>
  <c r="AB32" i="7" s="1"/>
  <c r="AC31" i="7"/>
  <c r="AD31" i="7"/>
  <c r="AE31" i="7"/>
  <c r="AF31" i="7"/>
  <c r="AG31" i="7"/>
  <c r="AH31" i="7"/>
  <c r="AI31" i="7"/>
  <c r="AJ31" i="7"/>
  <c r="AJ32" i="7" s="1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D35" i="7"/>
  <c r="D36" i="7"/>
  <c r="D37" i="7"/>
  <c r="D40" i="7" s="1"/>
  <c r="E40" i="7"/>
  <c r="D38" i="7"/>
  <c r="E38" i="7"/>
  <c r="E39" i="7" s="1"/>
  <c r="F38" i="7"/>
  <c r="F39" i="7" s="1"/>
  <c r="G38" i="7"/>
  <c r="G39" i="7" s="1"/>
  <c r="H38" i="7"/>
  <c r="H39" i="7" s="1"/>
  <c r="I38" i="7"/>
  <c r="I39" i="7" s="1"/>
  <c r="J38" i="7"/>
  <c r="J39" i="7" s="1"/>
  <c r="K38" i="7"/>
  <c r="K39" i="7" s="1"/>
  <c r="L38" i="7"/>
  <c r="L39" i="7" s="1"/>
  <c r="M38" i="7"/>
  <c r="M39" i="7" s="1"/>
  <c r="N38" i="7"/>
  <c r="N39" i="7" s="1"/>
  <c r="O38" i="7"/>
  <c r="O39" i="7" s="1"/>
  <c r="P38" i="7"/>
  <c r="P39" i="7" s="1"/>
  <c r="Q38" i="7"/>
  <c r="Q39" i="7" s="1"/>
  <c r="R38" i="7"/>
  <c r="R39" i="7" s="1"/>
  <c r="S38" i="7"/>
  <c r="S39" i="7" s="1"/>
  <c r="T38" i="7"/>
  <c r="T39" i="7" s="1"/>
  <c r="U38" i="7"/>
  <c r="U39" i="7" s="1"/>
  <c r="V38" i="7"/>
  <c r="V39" i="7" s="1"/>
  <c r="W38" i="7"/>
  <c r="W39" i="7" s="1"/>
  <c r="X38" i="7"/>
  <c r="X39" i="7" s="1"/>
  <c r="Y38" i="7"/>
  <c r="Z38" i="7"/>
  <c r="AA38" i="7"/>
  <c r="AB38" i="7"/>
  <c r="AC38" i="7"/>
  <c r="AC39" i="7" s="1"/>
  <c r="AD38" i="7"/>
  <c r="AD39" i="7" s="1"/>
  <c r="AE38" i="7"/>
  <c r="AE39" i="7" s="1"/>
  <c r="AF38" i="7"/>
  <c r="AF39" i="7" s="1"/>
  <c r="AG38" i="7"/>
  <c r="AG39" i="7" s="1"/>
  <c r="AH38" i="7"/>
  <c r="AH39" i="7" s="1"/>
  <c r="AI38" i="7"/>
  <c r="AI39" i="7" s="1"/>
  <c r="AJ38" i="7"/>
  <c r="AJ39" i="7" s="1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D42" i="7"/>
  <c r="D43" i="7"/>
  <c r="D44" i="7"/>
  <c r="D47" i="7" s="1"/>
  <c r="E47" i="7"/>
  <c r="D45" i="7"/>
  <c r="E45" i="7"/>
  <c r="E46" i="7" s="1"/>
  <c r="F45" i="7"/>
  <c r="F46" i="7" s="1"/>
  <c r="G45" i="7"/>
  <c r="G46" i="7" s="1"/>
  <c r="H45" i="7"/>
  <c r="H46" i="7" s="1"/>
  <c r="I45" i="7"/>
  <c r="I46" i="7" s="1"/>
  <c r="J45" i="7"/>
  <c r="J46" i="7" s="1"/>
  <c r="K45" i="7"/>
  <c r="K46" i="7" s="1"/>
  <c r="L45" i="7"/>
  <c r="M45" i="7"/>
  <c r="M46" i="7" s="1"/>
  <c r="N45" i="7"/>
  <c r="N46" i="7" s="1"/>
  <c r="O45" i="7"/>
  <c r="O46" i="7" s="1"/>
  <c r="P45" i="7"/>
  <c r="P46" i="7" s="1"/>
  <c r="Q45" i="7"/>
  <c r="Q46" i="7" s="1"/>
  <c r="R45" i="7"/>
  <c r="R46" i="7" s="1"/>
  <c r="S45" i="7"/>
  <c r="S46" i="7" s="1"/>
  <c r="T45" i="7"/>
  <c r="T46" i="7" s="1"/>
  <c r="U45" i="7"/>
  <c r="U46" i="7" s="1"/>
  <c r="V45" i="7"/>
  <c r="V46" i="7" s="1"/>
  <c r="W45" i="7"/>
  <c r="W46" i="7" s="1"/>
  <c r="X45" i="7"/>
  <c r="X46" i="7" s="1"/>
  <c r="Y45" i="7"/>
  <c r="Y46" i="7" s="1"/>
  <c r="Z45" i="7"/>
  <c r="Z46" i="7" s="1"/>
  <c r="AA45" i="7"/>
  <c r="AA46" i="7" s="1"/>
  <c r="AB45" i="7"/>
  <c r="AB46" i="7" s="1"/>
  <c r="AC45" i="7"/>
  <c r="AC46" i="7" s="1"/>
  <c r="AD45" i="7"/>
  <c r="AD46" i="7" s="1"/>
  <c r="AE45" i="7"/>
  <c r="AE46" i="7" s="1"/>
  <c r="AF45" i="7"/>
  <c r="AF46" i="7" s="1"/>
  <c r="AG45" i="7"/>
  <c r="AG46" i="7" s="1"/>
  <c r="AH45" i="7"/>
  <c r="AH46" i="7" s="1"/>
  <c r="AI45" i="7"/>
  <c r="AI46" i="7" s="1"/>
  <c r="AJ45" i="7"/>
  <c r="AJ46" i="7" s="1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BV47" i="7"/>
  <c r="BW47" i="7"/>
  <c r="BX47" i="7"/>
  <c r="BY47" i="7"/>
  <c r="BZ47" i="7"/>
  <c r="CA47" i="7"/>
  <c r="CB47" i="7"/>
  <c r="CC47" i="7"/>
  <c r="D49" i="7"/>
  <c r="D50" i="7"/>
  <c r="D51" i="7"/>
  <c r="D54" i="7" s="1"/>
  <c r="E54" i="7"/>
  <c r="D52" i="7"/>
  <c r="E52" i="7"/>
  <c r="F52" i="7"/>
  <c r="F53" i="7" s="1"/>
  <c r="G52" i="7"/>
  <c r="G53" i="7" s="1"/>
  <c r="H52" i="7"/>
  <c r="H53" i="7" s="1"/>
  <c r="I52" i="7"/>
  <c r="I53" i="7" s="1"/>
  <c r="J52" i="7"/>
  <c r="K52" i="7"/>
  <c r="K53" i="7" s="1"/>
  <c r="L52" i="7"/>
  <c r="M52" i="7"/>
  <c r="N52" i="7"/>
  <c r="N53" i="7" s="1"/>
  <c r="O52" i="7"/>
  <c r="O53" i="7" s="1"/>
  <c r="P52" i="7"/>
  <c r="P53" i="7" s="1"/>
  <c r="Q52" i="7"/>
  <c r="Q53" i="7" s="1"/>
  <c r="R52" i="7"/>
  <c r="S52" i="7"/>
  <c r="S53" i="7" s="1"/>
  <c r="T52" i="7"/>
  <c r="U52" i="7"/>
  <c r="V52" i="7"/>
  <c r="W52" i="7"/>
  <c r="X52" i="7"/>
  <c r="Y52" i="7"/>
  <c r="Z52" i="7"/>
  <c r="AA52" i="7"/>
  <c r="AB52" i="7"/>
  <c r="AC52" i="7"/>
  <c r="AC53" i="7" s="1"/>
  <c r="AD52" i="7"/>
  <c r="AD53" i="7" s="1"/>
  <c r="AE52" i="7"/>
  <c r="AE53" i="7" s="1"/>
  <c r="AF52" i="7"/>
  <c r="AF53" i="7" s="1"/>
  <c r="AG52" i="7"/>
  <c r="AG53" i="7" s="1"/>
  <c r="AH52" i="7"/>
  <c r="AH53" i="7" s="1"/>
  <c r="AI52" i="7"/>
  <c r="AI53" i="7" s="1"/>
  <c r="AJ52" i="7"/>
  <c r="AJ53" i="7" s="1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D56" i="7"/>
  <c r="D57" i="7"/>
  <c r="D58" i="7"/>
  <c r="D61" i="7" s="1"/>
  <c r="D59" i="7"/>
  <c r="E59" i="7"/>
  <c r="E60" i="7" s="1"/>
  <c r="F59" i="7"/>
  <c r="F60" i="7" s="1"/>
  <c r="G59" i="7"/>
  <c r="G60" i="7" s="1"/>
  <c r="H59" i="7"/>
  <c r="H60" i="7" s="1"/>
  <c r="I59" i="7"/>
  <c r="I60" i="7" s="1"/>
  <c r="J59" i="7"/>
  <c r="K59" i="7"/>
  <c r="K60" i="7" s="1"/>
  <c r="L59" i="7"/>
  <c r="L60" i="7" s="1"/>
  <c r="M59" i="7"/>
  <c r="M60" i="7" s="1"/>
  <c r="N59" i="7"/>
  <c r="N60" i="7" s="1"/>
  <c r="O59" i="7"/>
  <c r="O60" i="7" s="1"/>
  <c r="P59" i="7"/>
  <c r="Q59" i="7"/>
  <c r="Q60" i="7" s="1"/>
  <c r="R59" i="7"/>
  <c r="R60" i="7" s="1"/>
  <c r="S59" i="7"/>
  <c r="S60" i="7" s="1"/>
  <c r="T59" i="7"/>
  <c r="T60" i="7" s="1"/>
  <c r="U59" i="7"/>
  <c r="U60" i="7" s="1"/>
  <c r="V59" i="7"/>
  <c r="W59" i="7"/>
  <c r="W60" i="7" s="1"/>
  <c r="X59" i="7"/>
  <c r="X60" i="7" s="1"/>
  <c r="Y59" i="7"/>
  <c r="Z59" i="7"/>
  <c r="AA59" i="7"/>
  <c r="AB59" i="7"/>
  <c r="AC59" i="7"/>
  <c r="AD59" i="7"/>
  <c r="AE59" i="7"/>
  <c r="AF59" i="7"/>
  <c r="AG59" i="7"/>
  <c r="AH59" i="7"/>
  <c r="AI59" i="7"/>
  <c r="AJ59" i="7"/>
  <c r="AJ60" i="7" s="1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D63" i="7"/>
  <c r="D64" i="7"/>
  <c r="D65" i="7"/>
  <c r="D68" i="7" s="1"/>
  <c r="D66" i="7"/>
  <c r="E66" i="7"/>
  <c r="E67" i="7" s="1"/>
  <c r="F66" i="7"/>
  <c r="G66" i="7"/>
  <c r="G67" i="7" s="1"/>
  <c r="H66" i="7"/>
  <c r="H67" i="7" s="1"/>
  <c r="I66" i="7"/>
  <c r="I67" i="7" s="1"/>
  <c r="J66" i="7"/>
  <c r="J67" i="7" s="1"/>
  <c r="K66" i="7"/>
  <c r="K67" i="7" s="1"/>
  <c r="L66" i="7"/>
  <c r="L67" i="7" s="1"/>
  <c r="M66" i="7"/>
  <c r="M67" i="7" s="1"/>
  <c r="N66" i="7"/>
  <c r="N67" i="7" s="1"/>
  <c r="O66" i="7"/>
  <c r="P66" i="7"/>
  <c r="P67" i="7" s="1"/>
  <c r="Q66" i="7"/>
  <c r="Q67" i="7" s="1"/>
  <c r="R66" i="7"/>
  <c r="S66" i="7"/>
  <c r="S67" i="7" s="1"/>
  <c r="T66" i="7"/>
  <c r="U66" i="7"/>
  <c r="U67" i="7" s="1"/>
  <c r="V66" i="7"/>
  <c r="V67" i="7" s="1"/>
  <c r="W66" i="7"/>
  <c r="W67" i="7" s="1"/>
  <c r="X66" i="7"/>
  <c r="X67" i="7" s="1"/>
  <c r="Y66" i="7"/>
  <c r="Y67" i="7" s="1"/>
  <c r="Z66" i="7"/>
  <c r="Z67" i="7" s="1"/>
  <c r="AA66" i="7"/>
  <c r="AB66" i="7"/>
  <c r="AB67" i="7" s="1"/>
  <c r="AC66" i="7"/>
  <c r="AC67" i="7" s="1"/>
  <c r="AD66" i="7"/>
  <c r="AE66" i="7"/>
  <c r="AE67" i="7" s="1"/>
  <c r="AF66" i="7"/>
  <c r="AF67" i="7" s="1"/>
  <c r="AG66" i="7"/>
  <c r="AG67" i="7" s="1"/>
  <c r="AH66" i="7"/>
  <c r="AH67" i="7" s="1"/>
  <c r="AI66" i="7"/>
  <c r="AI67" i="7" s="1"/>
  <c r="AJ66" i="7"/>
  <c r="AJ67" i="7" s="1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D70" i="7"/>
  <c r="D71" i="7"/>
  <c r="D72" i="7"/>
  <c r="D75" i="7" s="1"/>
  <c r="E75" i="7"/>
  <c r="D73" i="7"/>
  <c r="E73" i="7"/>
  <c r="E74" i="7" s="1"/>
  <c r="F73" i="7"/>
  <c r="F74" i="7" s="1"/>
  <c r="G73" i="7"/>
  <c r="G74" i="7" s="1"/>
  <c r="H73" i="7"/>
  <c r="H74" i="7" s="1"/>
  <c r="I73" i="7"/>
  <c r="I74" i="7" s="1"/>
  <c r="J73" i="7"/>
  <c r="J74" i="7" s="1"/>
  <c r="K73" i="7"/>
  <c r="K74" i="7" s="1"/>
  <c r="L73" i="7"/>
  <c r="M73" i="7"/>
  <c r="M74" i="7" s="1"/>
  <c r="N73" i="7"/>
  <c r="N74" i="7" s="1"/>
  <c r="O73" i="7"/>
  <c r="O74" i="7" s="1"/>
  <c r="P73" i="7"/>
  <c r="P74" i="7" s="1"/>
  <c r="Q73" i="7"/>
  <c r="Q74" i="7" s="1"/>
  <c r="R73" i="7"/>
  <c r="R74" i="7" s="1"/>
  <c r="S73" i="7"/>
  <c r="S74" i="7" s="1"/>
  <c r="T73" i="7"/>
  <c r="T74" i="7" s="1"/>
  <c r="U73" i="7"/>
  <c r="U74" i="7" s="1"/>
  <c r="V73" i="7"/>
  <c r="V74" i="7" s="1"/>
  <c r="W73" i="7"/>
  <c r="W74" i="7" s="1"/>
  <c r="X73" i="7"/>
  <c r="X74" i="7" s="1"/>
  <c r="Y73" i="7"/>
  <c r="Y74" i="7" s="1"/>
  <c r="Z73" i="7"/>
  <c r="Z74" i="7" s="1"/>
  <c r="AA73" i="7"/>
  <c r="AA74" i="7" s="1"/>
  <c r="AB73" i="7"/>
  <c r="AB74" i="7" s="1"/>
  <c r="AC73" i="7"/>
  <c r="AC74" i="7" s="1"/>
  <c r="AD73" i="7"/>
  <c r="AD74" i="7" s="1"/>
  <c r="AE73" i="7"/>
  <c r="AE74" i="7" s="1"/>
  <c r="AF73" i="7"/>
  <c r="AF74" i="7" s="1"/>
  <c r="AG73" i="7"/>
  <c r="AG74" i="7" s="1"/>
  <c r="AH73" i="7"/>
  <c r="AH74" i="7" s="1"/>
  <c r="AI73" i="7"/>
  <c r="AI74" i="7" s="1"/>
  <c r="AJ73" i="7"/>
  <c r="AJ74" i="7" s="1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D77" i="7"/>
  <c r="D78" i="7"/>
  <c r="D79" i="7"/>
  <c r="D82" i="7" s="1"/>
  <c r="E82" i="7"/>
  <c r="D80" i="7"/>
  <c r="E80" i="7"/>
  <c r="F80" i="7"/>
  <c r="G80" i="7"/>
  <c r="H80" i="7"/>
  <c r="I80" i="7"/>
  <c r="J80" i="7"/>
  <c r="K80" i="7"/>
  <c r="L80" i="7"/>
  <c r="M80" i="7"/>
  <c r="N80" i="7"/>
  <c r="N81" i="7" s="1"/>
  <c r="O80" i="7"/>
  <c r="O81" i="7" s="1"/>
  <c r="P80" i="7"/>
  <c r="P81" i="7" s="1"/>
  <c r="Q80" i="7"/>
  <c r="Q81" i="7" s="1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J81" i="7" s="1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BV82" i="7"/>
  <c r="BW82" i="7"/>
  <c r="BX82" i="7"/>
  <c r="BY82" i="7"/>
  <c r="BZ82" i="7"/>
  <c r="CA82" i="7"/>
  <c r="CB82" i="7"/>
  <c r="CC82" i="7"/>
  <c r="D84" i="7"/>
  <c r="D85" i="7"/>
  <c r="D86" i="7"/>
  <c r="D89" i="7" s="1"/>
  <c r="E89" i="7"/>
  <c r="D87" i="7"/>
  <c r="E87" i="7"/>
  <c r="F87" i="7"/>
  <c r="G87" i="7"/>
  <c r="H87" i="7"/>
  <c r="I87" i="7"/>
  <c r="J87" i="7"/>
  <c r="K87" i="7"/>
  <c r="L87" i="7"/>
  <c r="M87" i="7"/>
  <c r="N87" i="7"/>
  <c r="N88" i="7" s="1"/>
  <c r="O87" i="7"/>
  <c r="O88" i="7" s="1"/>
  <c r="P87" i="7"/>
  <c r="P88" i="7" s="1"/>
  <c r="Q87" i="7"/>
  <c r="Q88" i="7" s="1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J88" i="7" s="1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D91" i="7"/>
  <c r="D92" i="7"/>
  <c r="D93" i="7"/>
  <c r="D96" i="7" s="1"/>
  <c r="E96" i="7"/>
  <c r="D94" i="7"/>
  <c r="E94" i="7"/>
  <c r="F94" i="7"/>
  <c r="F95" i="7" s="1"/>
  <c r="G94" i="7"/>
  <c r="H94" i="7"/>
  <c r="I94" i="7"/>
  <c r="J94" i="7"/>
  <c r="K94" i="7"/>
  <c r="L94" i="7"/>
  <c r="M94" i="7"/>
  <c r="N94" i="7"/>
  <c r="N95" i="7" s="1"/>
  <c r="O94" i="7"/>
  <c r="P94" i="7"/>
  <c r="P95" i="7" s="1"/>
  <c r="Q94" i="7"/>
  <c r="Q95" i="7" s="1"/>
  <c r="R94" i="7"/>
  <c r="S94" i="7"/>
  <c r="T94" i="7"/>
  <c r="U94" i="7"/>
  <c r="V94" i="7"/>
  <c r="W94" i="7"/>
  <c r="X94" i="7"/>
  <c r="Y94" i="7"/>
  <c r="Z94" i="7"/>
  <c r="AA94" i="7"/>
  <c r="AB94" i="7"/>
  <c r="AC94" i="7"/>
  <c r="AC95" i="7" s="1"/>
  <c r="AD94" i="7"/>
  <c r="AD95" i="7" s="1"/>
  <c r="AE94" i="7"/>
  <c r="AE95" i="7" s="1"/>
  <c r="AF94" i="7"/>
  <c r="AF95" i="7" s="1"/>
  <c r="AG94" i="7"/>
  <c r="AG95" i="7" s="1"/>
  <c r="AH94" i="7"/>
  <c r="AH95" i="7" s="1"/>
  <c r="AI94" i="7"/>
  <c r="AI95" i="7" s="1"/>
  <c r="AJ94" i="7"/>
  <c r="AJ95" i="7" s="1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D98" i="7"/>
  <c r="D99" i="7"/>
  <c r="D100" i="7"/>
  <c r="D103" i="7" s="1"/>
  <c r="E103" i="7"/>
  <c r="D101" i="7"/>
  <c r="E101" i="7"/>
  <c r="E102" i="7" s="1"/>
  <c r="F101" i="7"/>
  <c r="F102" i="7" s="1"/>
  <c r="G101" i="7"/>
  <c r="G102" i="7" s="1"/>
  <c r="H101" i="7"/>
  <c r="H102" i="7" s="1"/>
  <c r="I101" i="7"/>
  <c r="I102" i="7" s="1"/>
  <c r="J101" i="7"/>
  <c r="K101" i="7"/>
  <c r="K102" i="7" s="1"/>
  <c r="L101" i="7"/>
  <c r="L102" i="7" s="1"/>
  <c r="M101" i="7"/>
  <c r="M102" i="7" s="1"/>
  <c r="N101" i="7"/>
  <c r="N102" i="7" s="1"/>
  <c r="O101" i="7"/>
  <c r="O102" i="7" s="1"/>
  <c r="P101" i="7"/>
  <c r="P102" i="7" s="1"/>
  <c r="Q101" i="7"/>
  <c r="Q102" i="7" s="1"/>
  <c r="R101" i="7"/>
  <c r="R102" i="7" s="1"/>
  <c r="S101" i="7"/>
  <c r="S102" i="7" s="1"/>
  <c r="T101" i="7"/>
  <c r="T102" i="7" s="1"/>
  <c r="U101" i="7"/>
  <c r="U102" i="7" s="1"/>
  <c r="V101" i="7"/>
  <c r="V102" i="7" s="1"/>
  <c r="W101" i="7"/>
  <c r="W102" i="7" s="1"/>
  <c r="X101" i="7"/>
  <c r="X102" i="7" s="1"/>
  <c r="Y101" i="7"/>
  <c r="Y102" i="7" s="1"/>
  <c r="Z101" i="7"/>
  <c r="Z102" i="7" s="1"/>
  <c r="AA101" i="7"/>
  <c r="AA102" i="7" s="1"/>
  <c r="AB101" i="7"/>
  <c r="AB102" i="7" s="1"/>
  <c r="AC101" i="7"/>
  <c r="AD101" i="7"/>
  <c r="AE101" i="7"/>
  <c r="AF101" i="7"/>
  <c r="AG101" i="7"/>
  <c r="AH101" i="7"/>
  <c r="AI101" i="7"/>
  <c r="AJ101" i="7"/>
  <c r="AJ102" i="7" s="1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D105" i="7"/>
  <c r="D106" i="7"/>
  <c r="D107" i="7"/>
  <c r="D110" i="7" s="1"/>
  <c r="E110" i="7"/>
  <c r="D108" i="7"/>
  <c r="E108" i="7"/>
  <c r="F108" i="7"/>
  <c r="F109" i="7" s="1"/>
  <c r="G108" i="7"/>
  <c r="H108" i="7"/>
  <c r="I108" i="7"/>
  <c r="J108" i="7"/>
  <c r="K108" i="7"/>
  <c r="L108" i="7"/>
  <c r="M108" i="7"/>
  <c r="N108" i="7"/>
  <c r="N109" i="7" s="1"/>
  <c r="O108" i="7"/>
  <c r="O109" i="7" s="1"/>
  <c r="P108" i="7"/>
  <c r="P109" i="7" s="1"/>
  <c r="Q108" i="7"/>
  <c r="Q109" i="7" s="1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J109" i="7" s="1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D112" i="7"/>
  <c r="D113" i="7"/>
  <c r="D114" i="7"/>
  <c r="D117" i="7" s="1"/>
  <c r="E117" i="7"/>
  <c r="D115" i="7"/>
  <c r="E115" i="7"/>
  <c r="E116" i="7" s="1"/>
  <c r="F115" i="7"/>
  <c r="F116" i="7" s="1"/>
  <c r="G115" i="7"/>
  <c r="G116" i="7" s="1"/>
  <c r="H115" i="7"/>
  <c r="I115" i="7"/>
  <c r="I116" i="7" s="1"/>
  <c r="J115" i="7"/>
  <c r="J116" i="7" s="1"/>
  <c r="K115" i="7"/>
  <c r="K116" i="7" s="1"/>
  <c r="L115" i="7"/>
  <c r="L116" i="7" s="1"/>
  <c r="M115" i="7"/>
  <c r="M116" i="7" s="1"/>
  <c r="N115" i="7"/>
  <c r="N116" i="7" s="1"/>
  <c r="O115" i="7"/>
  <c r="O116" i="7" s="1"/>
  <c r="P115" i="7"/>
  <c r="P116" i="7" s="1"/>
  <c r="Q115" i="7"/>
  <c r="Q116" i="7" s="1"/>
  <c r="R115" i="7"/>
  <c r="R116" i="7" s="1"/>
  <c r="S115" i="7"/>
  <c r="S116" i="7" s="1"/>
  <c r="T115" i="7"/>
  <c r="U115" i="7"/>
  <c r="U116" i="7" s="1"/>
  <c r="V115" i="7"/>
  <c r="V116" i="7" s="1"/>
  <c r="W115" i="7"/>
  <c r="W116" i="7" s="1"/>
  <c r="X115" i="7"/>
  <c r="X116" i="7" s="1"/>
  <c r="Y115" i="7"/>
  <c r="Y116" i="7" s="1"/>
  <c r="Z115" i="7"/>
  <c r="Z116" i="7" s="1"/>
  <c r="AA115" i="7"/>
  <c r="AA116" i="7" s="1"/>
  <c r="AB115" i="7"/>
  <c r="AB116" i="7" s="1"/>
  <c r="AC115" i="7"/>
  <c r="AD115" i="7"/>
  <c r="AE115" i="7"/>
  <c r="AE116" i="7" s="1"/>
  <c r="AF115" i="7"/>
  <c r="AF116" i="7" s="1"/>
  <c r="AG115" i="7"/>
  <c r="AG116" i="7" s="1"/>
  <c r="AH115" i="7"/>
  <c r="AH116" i="7" s="1"/>
  <c r="AI115" i="7"/>
  <c r="AI116" i="7" s="1"/>
  <c r="AJ115" i="7"/>
  <c r="AJ116" i="7" s="1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D119" i="7"/>
  <c r="D120" i="7"/>
  <c r="D121" i="7"/>
  <c r="D124" i="7" s="1"/>
  <c r="E124" i="7"/>
  <c r="D122" i="7"/>
  <c r="E122" i="7"/>
  <c r="F122" i="7"/>
  <c r="G122" i="7"/>
  <c r="H122" i="7"/>
  <c r="I122" i="7"/>
  <c r="J122" i="7"/>
  <c r="K122" i="7"/>
  <c r="L122" i="7"/>
  <c r="M122" i="7"/>
  <c r="N122" i="7"/>
  <c r="N123" i="7" s="1"/>
  <c r="O122" i="7"/>
  <c r="O123" i="7" s="1"/>
  <c r="P122" i="7"/>
  <c r="P123" i="7" s="1"/>
  <c r="Q122" i="7"/>
  <c r="Q123" i="7" s="1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J123" i="7" s="1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D126" i="7"/>
  <c r="D127" i="7"/>
  <c r="D128" i="7"/>
  <c r="D131" i="7" s="1"/>
  <c r="E131" i="7"/>
  <c r="D129" i="7"/>
  <c r="E129" i="7"/>
  <c r="E130" i="7" s="1"/>
  <c r="F129" i="7"/>
  <c r="F130" i="7" s="1"/>
  <c r="G129" i="7"/>
  <c r="G130" i="7" s="1"/>
  <c r="H129" i="7"/>
  <c r="H130" i="7" s="1"/>
  <c r="I129" i="7"/>
  <c r="I130" i="7" s="1"/>
  <c r="J129" i="7"/>
  <c r="J130" i="7" s="1"/>
  <c r="K129" i="7"/>
  <c r="K130" i="7" s="1"/>
  <c r="L129" i="7"/>
  <c r="L130" i="7" s="1"/>
  <c r="M129" i="7"/>
  <c r="M130" i="7" s="1"/>
  <c r="N129" i="7"/>
  <c r="N130" i="7" s="1"/>
  <c r="O129" i="7"/>
  <c r="O130" i="7" s="1"/>
  <c r="P129" i="7"/>
  <c r="P130" i="7" s="1"/>
  <c r="Q129" i="7"/>
  <c r="Q130" i="7" s="1"/>
  <c r="R129" i="7"/>
  <c r="R130" i="7" s="1"/>
  <c r="S129" i="7"/>
  <c r="S130" i="7" s="1"/>
  <c r="T129" i="7"/>
  <c r="T130" i="7" s="1"/>
  <c r="U129" i="7"/>
  <c r="U130" i="7" s="1"/>
  <c r="V129" i="7"/>
  <c r="V130" i="7" s="1"/>
  <c r="W129" i="7"/>
  <c r="W130" i="7" s="1"/>
  <c r="X129" i="7"/>
  <c r="X130" i="7" s="1"/>
  <c r="Y129" i="7"/>
  <c r="Y130" i="7" s="1"/>
  <c r="Z129" i="7"/>
  <c r="Z130" i="7" s="1"/>
  <c r="AA129" i="7"/>
  <c r="AA130" i="7" s="1"/>
  <c r="AB129" i="7"/>
  <c r="AB130" i="7" s="1"/>
  <c r="AC129" i="7"/>
  <c r="AD129" i="7"/>
  <c r="AE129" i="7"/>
  <c r="AF129" i="7"/>
  <c r="AG129" i="7"/>
  <c r="AG130" i="7" s="1"/>
  <c r="AH129" i="7"/>
  <c r="AI129" i="7"/>
  <c r="AJ129" i="7"/>
  <c r="AJ130" i="7" s="1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D133" i="7"/>
  <c r="D134" i="7"/>
  <c r="D135" i="7"/>
  <c r="D138" i="7" s="1"/>
  <c r="E138" i="7"/>
  <c r="D136" i="7"/>
  <c r="E136" i="7"/>
  <c r="F136" i="7"/>
  <c r="F137" i="7" s="1"/>
  <c r="G136" i="7"/>
  <c r="H136" i="7"/>
  <c r="I136" i="7"/>
  <c r="J136" i="7"/>
  <c r="K136" i="7"/>
  <c r="L136" i="7"/>
  <c r="M136" i="7"/>
  <c r="N136" i="7"/>
  <c r="N137" i="7" s="1"/>
  <c r="O136" i="7"/>
  <c r="O137" i="7" s="1"/>
  <c r="P136" i="7"/>
  <c r="P137" i="7" s="1"/>
  <c r="Q136" i="7"/>
  <c r="Q137" i="7" s="1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J137" i="7" s="1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D140" i="7"/>
  <c r="D141" i="7"/>
  <c r="D142" i="7"/>
  <c r="D145" i="7" s="1"/>
  <c r="E145" i="7"/>
  <c r="D143" i="7"/>
  <c r="E143" i="7"/>
  <c r="F143" i="7"/>
  <c r="F144" i="7" s="1"/>
  <c r="G143" i="7"/>
  <c r="H143" i="7"/>
  <c r="H144" i="7" s="1"/>
  <c r="I143" i="7"/>
  <c r="I144" i="7" s="1"/>
  <c r="J143" i="7"/>
  <c r="K143" i="7"/>
  <c r="L143" i="7"/>
  <c r="M143" i="7"/>
  <c r="N143" i="7"/>
  <c r="N144" i="7" s="1"/>
  <c r="O143" i="7"/>
  <c r="O144" i="7" s="1"/>
  <c r="P143" i="7"/>
  <c r="P144" i="7" s="1"/>
  <c r="Q143" i="7"/>
  <c r="Q144" i="7" s="1"/>
  <c r="R143" i="7"/>
  <c r="S143" i="7"/>
  <c r="T143" i="7"/>
  <c r="T144" i="7" s="1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G144" i="7" s="1"/>
  <c r="AH143" i="7"/>
  <c r="AI143" i="7"/>
  <c r="AJ143" i="7"/>
  <c r="AJ144" i="7" s="1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D147" i="7"/>
  <c r="D148" i="7"/>
  <c r="D149" i="7"/>
  <c r="D152" i="7" s="1"/>
  <c r="E152" i="7"/>
  <c r="D150" i="7"/>
  <c r="E150" i="7"/>
  <c r="F150" i="7"/>
  <c r="F151" i="7" s="1"/>
  <c r="G150" i="7"/>
  <c r="H150" i="7"/>
  <c r="I150" i="7"/>
  <c r="J150" i="7"/>
  <c r="K150" i="7"/>
  <c r="L150" i="7"/>
  <c r="M150" i="7"/>
  <c r="N150" i="7"/>
  <c r="N151" i="7" s="1"/>
  <c r="O150" i="7"/>
  <c r="O151" i="7" s="1"/>
  <c r="P150" i="7"/>
  <c r="P151" i="7" s="1"/>
  <c r="Q150" i="7"/>
  <c r="Q151" i="7" s="1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J151" i="7" s="1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D154" i="7"/>
  <c r="D155" i="7"/>
  <c r="D156" i="7"/>
  <c r="D159" i="7" s="1"/>
  <c r="E159" i="7"/>
  <c r="D157" i="7"/>
  <c r="E157" i="7"/>
  <c r="F157" i="7"/>
  <c r="G157" i="7"/>
  <c r="H157" i="7"/>
  <c r="I157" i="7"/>
  <c r="J157" i="7"/>
  <c r="K157" i="7"/>
  <c r="L157" i="7"/>
  <c r="M157" i="7"/>
  <c r="N157" i="7"/>
  <c r="N158" i="7" s="1"/>
  <c r="O157" i="7"/>
  <c r="O158" i="7" s="1"/>
  <c r="P157" i="7"/>
  <c r="P158" i="7" s="1"/>
  <c r="Q157" i="7"/>
  <c r="Q158" i="7" s="1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J158" i="7" s="1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D161" i="7"/>
  <c r="D162" i="7"/>
  <c r="D163" i="7"/>
  <c r="D166" i="7" s="1"/>
  <c r="E166" i="7"/>
  <c r="D164" i="7"/>
  <c r="E164" i="7"/>
  <c r="E165" i="7" s="1"/>
  <c r="F164" i="7"/>
  <c r="F165" i="7" s="1"/>
  <c r="G164" i="7"/>
  <c r="H164" i="7"/>
  <c r="H165" i="7" s="1"/>
  <c r="I164" i="7"/>
  <c r="J164" i="7"/>
  <c r="J165" i="7" s="1"/>
  <c r="K164" i="7"/>
  <c r="K165" i="7" s="1"/>
  <c r="L164" i="7"/>
  <c r="M164" i="7"/>
  <c r="M165" i="7" s="1"/>
  <c r="N164" i="7"/>
  <c r="N165" i="7" s="1"/>
  <c r="O164" i="7"/>
  <c r="O165" i="7" s="1"/>
  <c r="P164" i="7"/>
  <c r="P165" i="7" s="1"/>
  <c r="Q164" i="7"/>
  <c r="Q165" i="7" s="1"/>
  <c r="R164" i="7"/>
  <c r="S164" i="7"/>
  <c r="S165" i="7" s="1"/>
  <c r="T164" i="7"/>
  <c r="T165" i="7" s="1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J165" i="7" s="1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K166" i="7"/>
  <c r="AL166" i="7"/>
  <c r="AM166" i="7"/>
  <c r="AN166" i="7"/>
  <c r="AO166" i="7"/>
  <c r="AP166" i="7"/>
  <c r="AQ166" i="7"/>
  <c r="AR166" i="7"/>
  <c r="AS166" i="7"/>
  <c r="AT166" i="7"/>
  <c r="AU166" i="7"/>
  <c r="AV166" i="7"/>
  <c r="AW166" i="7"/>
  <c r="AX166" i="7"/>
  <c r="AY166" i="7"/>
  <c r="AZ166" i="7"/>
  <c r="BA166" i="7"/>
  <c r="BB166" i="7"/>
  <c r="BC166" i="7"/>
  <c r="BD166" i="7"/>
  <c r="BE166" i="7"/>
  <c r="BF166" i="7"/>
  <c r="BG166" i="7"/>
  <c r="BH166" i="7"/>
  <c r="BI166" i="7"/>
  <c r="BJ166" i="7"/>
  <c r="BK166" i="7"/>
  <c r="BL166" i="7"/>
  <c r="BM166" i="7"/>
  <c r="BN166" i="7"/>
  <c r="BO166" i="7"/>
  <c r="BP166" i="7"/>
  <c r="BQ166" i="7"/>
  <c r="BR166" i="7"/>
  <c r="BS166" i="7"/>
  <c r="BT166" i="7"/>
  <c r="BU166" i="7"/>
  <c r="BV166" i="7"/>
  <c r="BW166" i="7"/>
  <c r="BX166" i="7"/>
  <c r="BY166" i="7"/>
  <c r="BZ166" i="7"/>
  <c r="CA166" i="7"/>
  <c r="CB166" i="7"/>
  <c r="CC166" i="7"/>
  <c r="D168" i="7"/>
  <c r="D169" i="7"/>
  <c r="D170" i="7"/>
  <c r="D173" i="7" s="1"/>
  <c r="E173" i="7"/>
  <c r="D171" i="7"/>
  <c r="E171" i="7"/>
  <c r="E172" i="7" s="1"/>
  <c r="F171" i="7"/>
  <c r="F172" i="7" s="1"/>
  <c r="G171" i="7"/>
  <c r="G172" i="7" s="1"/>
  <c r="H171" i="7"/>
  <c r="I171" i="7"/>
  <c r="I172" i="7" s="1"/>
  <c r="J171" i="7"/>
  <c r="J172" i="7" s="1"/>
  <c r="K171" i="7"/>
  <c r="K172" i="7" s="1"/>
  <c r="L171" i="7"/>
  <c r="L172" i="7" s="1"/>
  <c r="M171" i="7"/>
  <c r="M172" i="7" s="1"/>
  <c r="N171" i="7"/>
  <c r="N172" i="7" s="1"/>
  <c r="O171" i="7"/>
  <c r="O172" i="7" s="1"/>
  <c r="P171" i="7"/>
  <c r="P172" i="7" s="1"/>
  <c r="Q171" i="7"/>
  <c r="Q172" i="7" s="1"/>
  <c r="R171" i="7"/>
  <c r="R172" i="7" s="1"/>
  <c r="S171" i="7"/>
  <c r="S172" i="7" s="1"/>
  <c r="T171" i="7"/>
  <c r="T172" i="7" s="1"/>
  <c r="U171" i="7"/>
  <c r="V171" i="7"/>
  <c r="W171" i="7"/>
  <c r="X171" i="7"/>
  <c r="Y171" i="7"/>
  <c r="Y172" i="7" s="1"/>
  <c r="Z171" i="7"/>
  <c r="Z172" i="7" s="1"/>
  <c r="AA171" i="7"/>
  <c r="AA172" i="7" s="1"/>
  <c r="AB171" i="7"/>
  <c r="AB172" i="7" s="1"/>
  <c r="AC171" i="7"/>
  <c r="AD171" i="7"/>
  <c r="AE171" i="7"/>
  <c r="AF171" i="7"/>
  <c r="AG171" i="7"/>
  <c r="AH171" i="7"/>
  <c r="AI171" i="7"/>
  <c r="AJ171" i="7"/>
  <c r="AJ172" i="7" s="1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D175" i="7"/>
  <c r="D176" i="7"/>
  <c r="D177" i="7"/>
  <c r="D180" i="7" s="1"/>
  <c r="E180" i="7"/>
  <c r="D178" i="7"/>
  <c r="E178" i="7"/>
  <c r="F178" i="7"/>
  <c r="G178" i="7"/>
  <c r="G179" i="7" s="1"/>
  <c r="H178" i="7"/>
  <c r="I178" i="7"/>
  <c r="I179" i="7" s="1"/>
  <c r="J178" i="7"/>
  <c r="J179" i="7" s="1"/>
  <c r="K178" i="7"/>
  <c r="K179" i="7" s="1"/>
  <c r="L178" i="7"/>
  <c r="L179" i="7" s="1"/>
  <c r="M178" i="7"/>
  <c r="M179" i="7" s="1"/>
  <c r="N178" i="7"/>
  <c r="N179" i="7" s="1"/>
  <c r="O178" i="7"/>
  <c r="O179" i="7" s="1"/>
  <c r="P178" i="7"/>
  <c r="P179" i="7" s="1"/>
  <c r="Q178" i="7"/>
  <c r="Q179" i="7" s="1"/>
  <c r="R178" i="7"/>
  <c r="R179" i="7" s="1"/>
  <c r="S178" i="7"/>
  <c r="S179" i="7" s="1"/>
  <c r="T178" i="7"/>
  <c r="T179" i="7" s="1"/>
  <c r="U178" i="7"/>
  <c r="U179" i="7" s="1"/>
  <c r="V178" i="7"/>
  <c r="V179" i="7" s="1"/>
  <c r="W178" i="7"/>
  <c r="W179" i="7" s="1"/>
  <c r="X178" i="7"/>
  <c r="X179" i="7" s="1"/>
  <c r="Y178" i="7"/>
  <c r="Y179" i="7" s="1"/>
  <c r="Z178" i="7"/>
  <c r="Z179" i="7" s="1"/>
  <c r="AA178" i="7"/>
  <c r="AA179" i="7" s="1"/>
  <c r="AB178" i="7"/>
  <c r="AB179" i="7" s="1"/>
  <c r="AC178" i="7"/>
  <c r="AC179" i="7" s="1"/>
  <c r="AD178" i="7"/>
  <c r="AD179" i="7" s="1"/>
  <c r="AE178" i="7"/>
  <c r="AE179" i="7" s="1"/>
  <c r="AF178" i="7"/>
  <c r="AF179" i="7" s="1"/>
  <c r="AG178" i="7"/>
  <c r="AG179" i="7" s="1"/>
  <c r="AH178" i="7"/>
  <c r="AH179" i="7" s="1"/>
  <c r="AI178" i="7"/>
  <c r="AI179" i="7" s="1"/>
  <c r="AJ178" i="7"/>
  <c r="AJ179" i="7" s="1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BS180" i="7"/>
  <c r="BT180" i="7"/>
  <c r="BU180" i="7"/>
  <c r="BV180" i="7"/>
  <c r="BW180" i="7"/>
  <c r="BX180" i="7"/>
  <c r="BY180" i="7"/>
  <c r="BZ180" i="7"/>
  <c r="CA180" i="7"/>
  <c r="CB180" i="7"/>
  <c r="CC180" i="7"/>
  <c r="D182" i="7"/>
  <c r="D183" i="7"/>
  <c r="D184" i="7"/>
  <c r="D187" i="7" s="1"/>
  <c r="E187" i="7"/>
  <c r="D185" i="7"/>
  <c r="E185" i="7"/>
  <c r="F185" i="7"/>
  <c r="F186" i="7" s="1"/>
  <c r="G185" i="7"/>
  <c r="G186" i="7" s="1"/>
  <c r="H185" i="7"/>
  <c r="I185" i="7"/>
  <c r="I186" i="7" s="1"/>
  <c r="J185" i="7"/>
  <c r="J186" i="7" s="1"/>
  <c r="K185" i="7"/>
  <c r="K186" i="7" s="1"/>
  <c r="L185" i="7"/>
  <c r="M185" i="7"/>
  <c r="M186" i="7" s="1"/>
  <c r="N185" i="7"/>
  <c r="N186" i="7" s="1"/>
  <c r="O185" i="7"/>
  <c r="O186" i="7" s="1"/>
  <c r="P185" i="7"/>
  <c r="P186" i="7" s="1"/>
  <c r="Q185" i="7"/>
  <c r="Q186" i="7" s="1"/>
  <c r="R185" i="7"/>
  <c r="R186" i="7" s="1"/>
  <c r="S185" i="7"/>
  <c r="T185" i="7"/>
  <c r="T186" i="7" s="1"/>
  <c r="U185" i="7"/>
  <c r="V185" i="7"/>
  <c r="W185" i="7"/>
  <c r="X185" i="7"/>
  <c r="Y185" i="7"/>
  <c r="Y186" i="7" s="1"/>
  <c r="Z185" i="7"/>
  <c r="Z186" i="7" s="1"/>
  <c r="AA185" i="7"/>
  <c r="AA186" i="7" s="1"/>
  <c r="AB185" i="7"/>
  <c r="AB186" i="7" s="1"/>
  <c r="AC185" i="7"/>
  <c r="AD185" i="7"/>
  <c r="AE185" i="7"/>
  <c r="AF185" i="7"/>
  <c r="AG185" i="7"/>
  <c r="AG186" i="7" s="1"/>
  <c r="AH185" i="7"/>
  <c r="AI185" i="7"/>
  <c r="AJ185" i="7"/>
  <c r="AJ186" i="7" s="1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L187" i="7"/>
  <c r="BM187" i="7"/>
  <c r="BN187" i="7"/>
  <c r="BO187" i="7"/>
  <c r="BP187" i="7"/>
  <c r="BQ187" i="7"/>
  <c r="BR187" i="7"/>
  <c r="BS187" i="7"/>
  <c r="BT187" i="7"/>
  <c r="BU187" i="7"/>
  <c r="BV187" i="7"/>
  <c r="BW187" i="7"/>
  <c r="BX187" i="7"/>
  <c r="BY187" i="7"/>
  <c r="BZ187" i="7"/>
  <c r="CA187" i="7"/>
  <c r="CB187" i="7"/>
  <c r="CC187" i="7"/>
  <c r="D189" i="7"/>
  <c r="D190" i="7"/>
  <c r="D191" i="7"/>
  <c r="D194" i="7" s="1"/>
  <c r="E194" i="7"/>
  <c r="D192" i="7"/>
  <c r="E192" i="7"/>
  <c r="E193" i="7" s="1"/>
  <c r="F192" i="7"/>
  <c r="F193" i="7" s="1"/>
  <c r="G192" i="7"/>
  <c r="G193" i="7" s="1"/>
  <c r="H192" i="7"/>
  <c r="H193" i="7" s="1"/>
  <c r="I192" i="7"/>
  <c r="I193" i="7" s="1"/>
  <c r="J192" i="7"/>
  <c r="K192" i="7"/>
  <c r="L192" i="7"/>
  <c r="M192" i="7"/>
  <c r="M193" i="7" s="1"/>
  <c r="N192" i="7"/>
  <c r="N193" i="7" s="1"/>
  <c r="O192" i="7"/>
  <c r="O193" i="7" s="1"/>
  <c r="P192" i="7"/>
  <c r="P193" i="7" s="1"/>
  <c r="Q192" i="7"/>
  <c r="Q193" i="7" s="1"/>
  <c r="R192" i="7"/>
  <c r="R193" i="7" s="1"/>
  <c r="S192" i="7"/>
  <c r="S193" i="7" s="1"/>
  <c r="T192" i="7"/>
  <c r="T193" i="7" s="1"/>
  <c r="U192" i="7"/>
  <c r="U193" i="7" s="1"/>
  <c r="V192" i="7"/>
  <c r="W192" i="7"/>
  <c r="X192" i="7"/>
  <c r="Y192" i="7"/>
  <c r="Y193" i="7" s="1"/>
  <c r="Z192" i="7"/>
  <c r="Z193" i="7" s="1"/>
  <c r="AA192" i="7"/>
  <c r="AA193" i="7" s="1"/>
  <c r="AB192" i="7"/>
  <c r="AB193" i="7" s="1"/>
  <c r="AC192" i="7"/>
  <c r="AC193" i="7" s="1"/>
  <c r="AD192" i="7"/>
  <c r="AD193" i="7" s="1"/>
  <c r="AE192" i="7"/>
  <c r="AE193" i="7" s="1"/>
  <c r="AF192" i="7"/>
  <c r="AF193" i="7" s="1"/>
  <c r="AG192" i="7"/>
  <c r="AG193" i="7" s="1"/>
  <c r="AH192" i="7"/>
  <c r="AH193" i="7" s="1"/>
  <c r="AI192" i="7"/>
  <c r="AJ192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BS194" i="7"/>
  <c r="BT194" i="7"/>
  <c r="BU194" i="7"/>
  <c r="BV194" i="7"/>
  <c r="BW194" i="7"/>
  <c r="BX194" i="7"/>
  <c r="BY194" i="7"/>
  <c r="BZ194" i="7"/>
  <c r="CA194" i="7"/>
  <c r="CB194" i="7"/>
  <c r="CC194" i="7"/>
  <c r="D196" i="7"/>
  <c r="D197" i="7"/>
  <c r="D198" i="7"/>
  <c r="E201" i="7"/>
  <c r="D199" i="7"/>
  <c r="E199" i="7"/>
  <c r="E200" i="7" s="1"/>
  <c r="F199" i="7"/>
  <c r="F200" i="7" s="1"/>
  <c r="G199" i="7"/>
  <c r="H199" i="7"/>
  <c r="H200" i="7" s="1"/>
  <c r="I199" i="7"/>
  <c r="I200" i="7" s="1"/>
  <c r="J199" i="7"/>
  <c r="J200" i="7" s="1"/>
  <c r="K199" i="7"/>
  <c r="K200" i="7" s="1"/>
  <c r="L199" i="7"/>
  <c r="L200" i="7" s="1"/>
  <c r="M199" i="7"/>
  <c r="M200" i="7" s="1"/>
  <c r="N199" i="7"/>
  <c r="O199" i="7"/>
  <c r="P199" i="7"/>
  <c r="Q199" i="7"/>
  <c r="Q200" i="7" s="1"/>
  <c r="R199" i="7"/>
  <c r="R200" i="7" s="1"/>
  <c r="S199" i="7"/>
  <c r="S200" i="7" s="1"/>
  <c r="T199" i="7"/>
  <c r="T200" i="7" s="1"/>
  <c r="U199" i="7"/>
  <c r="U200" i="7" s="1"/>
  <c r="V199" i="7"/>
  <c r="V200" i="7" s="1"/>
  <c r="W199" i="7"/>
  <c r="W200" i="7" s="1"/>
  <c r="X199" i="7"/>
  <c r="X200" i="7" s="1"/>
  <c r="Y199" i="7"/>
  <c r="Y200" i="7" s="1"/>
  <c r="Z199" i="7"/>
  <c r="AA199" i="7"/>
  <c r="AB199" i="7"/>
  <c r="AC199" i="7"/>
  <c r="AC200" i="7" s="1"/>
  <c r="AD199" i="7"/>
  <c r="AD200" i="7" s="1"/>
  <c r="AE199" i="7"/>
  <c r="AE200" i="7" s="1"/>
  <c r="AF199" i="7"/>
  <c r="AF200" i="7" s="1"/>
  <c r="AG199" i="7"/>
  <c r="AG200" i="7" s="1"/>
  <c r="AH199" i="7"/>
  <c r="AH200" i="7" s="1"/>
  <c r="AI199" i="7"/>
  <c r="AI200" i="7" s="1"/>
  <c r="AJ199" i="7"/>
  <c r="AJ200" i="7" s="1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K201" i="7"/>
  <c r="AL201" i="7"/>
  <c r="AM201" i="7"/>
  <c r="AN201" i="7"/>
  <c r="AO201" i="7"/>
  <c r="AP201" i="7"/>
  <c r="AQ201" i="7"/>
  <c r="AR201" i="7"/>
  <c r="AS201" i="7"/>
  <c r="AT201" i="7"/>
  <c r="AU201" i="7"/>
  <c r="AV201" i="7"/>
  <c r="AW201" i="7"/>
  <c r="AX201" i="7"/>
  <c r="AY201" i="7"/>
  <c r="AZ201" i="7"/>
  <c r="BA201" i="7"/>
  <c r="BB201" i="7"/>
  <c r="BC201" i="7"/>
  <c r="BD201" i="7"/>
  <c r="BE201" i="7"/>
  <c r="BF201" i="7"/>
  <c r="BG201" i="7"/>
  <c r="BH201" i="7"/>
  <c r="BI201" i="7"/>
  <c r="BJ201" i="7"/>
  <c r="BK201" i="7"/>
  <c r="BL201" i="7"/>
  <c r="BM201" i="7"/>
  <c r="BN201" i="7"/>
  <c r="BO201" i="7"/>
  <c r="BP201" i="7"/>
  <c r="BQ201" i="7"/>
  <c r="BR201" i="7"/>
  <c r="BS201" i="7"/>
  <c r="BT201" i="7"/>
  <c r="BU201" i="7"/>
  <c r="BV201" i="7"/>
  <c r="BW201" i="7"/>
  <c r="BX201" i="7"/>
  <c r="BY201" i="7"/>
  <c r="BZ201" i="7"/>
  <c r="CA201" i="7"/>
  <c r="CB201" i="7"/>
  <c r="CC201" i="7"/>
  <c r="D203" i="7"/>
  <c r="D204" i="7"/>
  <c r="D205" i="7"/>
  <c r="D208" i="7" s="1"/>
  <c r="E208" i="7"/>
  <c r="D206" i="7"/>
  <c r="E206" i="7"/>
  <c r="E207" i="7" s="1"/>
  <c r="F206" i="7"/>
  <c r="F207" i="7" s="1"/>
  <c r="G206" i="7"/>
  <c r="G207" i="7" s="1"/>
  <c r="H206" i="7"/>
  <c r="H207" i="7" s="1"/>
  <c r="I206" i="7"/>
  <c r="I207" i="7" s="1"/>
  <c r="J206" i="7"/>
  <c r="J207" i="7" s="1"/>
  <c r="K206" i="7"/>
  <c r="K207" i="7" s="1"/>
  <c r="L206" i="7"/>
  <c r="L207" i="7" s="1"/>
  <c r="M206" i="7"/>
  <c r="N206" i="7"/>
  <c r="N207" i="7" s="1"/>
  <c r="O206" i="7"/>
  <c r="O207" i="7" s="1"/>
  <c r="P206" i="7"/>
  <c r="P207" i="7" s="1"/>
  <c r="Q206" i="7"/>
  <c r="Q207" i="7" s="1"/>
  <c r="R206" i="7"/>
  <c r="R207" i="7" s="1"/>
  <c r="S206" i="7"/>
  <c r="S207" i="7" s="1"/>
  <c r="T206" i="7"/>
  <c r="T207" i="7" s="1"/>
  <c r="U206" i="7"/>
  <c r="U207" i="7" s="1"/>
  <c r="V206" i="7"/>
  <c r="V207" i="7" s="1"/>
  <c r="W206" i="7"/>
  <c r="W207" i="7" s="1"/>
  <c r="X206" i="7"/>
  <c r="X207" i="7" s="1"/>
  <c r="Y206" i="7"/>
  <c r="Z206" i="7"/>
  <c r="Z207" i="7" s="1"/>
  <c r="AA206" i="7"/>
  <c r="AA207" i="7" s="1"/>
  <c r="AB206" i="7"/>
  <c r="AB207" i="7" s="1"/>
  <c r="AC206" i="7"/>
  <c r="AC207" i="7" s="1"/>
  <c r="AD206" i="7"/>
  <c r="AD207" i="7" s="1"/>
  <c r="AE206" i="7"/>
  <c r="AE207" i="7" s="1"/>
  <c r="AF206" i="7"/>
  <c r="AF207" i="7" s="1"/>
  <c r="AG206" i="7"/>
  <c r="AG207" i="7" s="1"/>
  <c r="AH206" i="7"/>
  <c r="AH207" i="7" s="1"/>
  <c r="AI206" i="7"/>
  <c r="AI207" i="7" s="1"/>
  <c r="AJ206" i="7"/>
  <c r="AJ207" i="7" s="1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BI208" i="7"/>
  <c r="BJ208" i="7"/>
  <c r="BK208" i="7"/>
  <c r="BL208" i="7"/>
  <c r="BM208" i="7"/>
  <c r="BN208" i="7"/>
  <c r="BO208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D210" i="7"/>
  <c r="D211" i="7"/>
  <c r="D212" i="7"/>
  <c r="D215" i="7" s="1"/>
  <c r="E215" i="7"/>
  <c r="D213" i="7"/>
  <c r="E213" i="7"/>
  <c r="E214" i="7" s="1"/>
  <c r="F213" i="7"/>
  <c r="F214" i="7" s="1"/>
  <c r="G213" i="7"/>
  <c r="G214" i="7" s="1"/>
  <c r="H213" i="7"/>
  <c r="H214" i="7" s="1"/>
  <c r="I213" i="7"/>
  <c r="I214" i="7" s="1"/>
  <c r="J213" i="7"/>
  <c r="J214" i="7" s="1"/>
  <c r="K213" i="7"/>
  <c r="K214" i="7" s="1"/>
  <c r="L213" i="7"/>
  <c r="L214" i="7" s="1"/>
  <c r="M213" i="7"/>
  <c r="M214" i="7" s="1"/>
  <c r="N213" i="7"/>
  <c r="N214" i="7" s="1"/>
  <c r="O213" i="7"/>
  <c r="O214" i="7" s="1"/>
  <c r="P213" i="7"/>
  <c r="P214" i="7" s="1"/>
  <c r="Q213" i="7"/>
  <c r="Q214" i="7" s="1"/>
  <c r="R213" i="7"/>
  <c r="R214" i="7" s="1"/>
  <c r="S213" i="7"/>
  <c r="S214" i="7" s="1"/>
  <c r="T213" i="7"/>
  <c r="T214" i="7" s="1"/>
  <c r="U213" i="7"/>
  <c r="U214" i="7" s="1"/>
  <c r="V213" i="7"/>
  <c r="V214" i="7" s="1"/>
  <c r="W213" i="7"/>
  <c r="W214" i="7" s="1"/>
  <c r="X213" i="7"/>
  <c r="X214" i="7" s="1"/>
  <c r="Y213" i="7"/>
  <c r="Y214" i="7" s="1"/>
  <c r="Z213" i="7"/>
  <c r="Z214" i="7" s="1"/>
  <c r="AA213" i="7"/>
  <c r="AA214" i="7" s="1"/>
  <c r="AB213" i="7"/>
  <c r="AB214" i="7" s="1"/>
  <c r="AC213" i="7"/>
  <c r="AC214" i="7" s="1"/>
  <c r="AD213" i="7"/>
  <c r="AD214" i="7" s="1"/>
  <c r="AE213" i="7"/>
  <c r="AE214" i="7" s="1"/>
  <c r="AF213" i="7"/>
  <c r="AF214" i="7" s="1"/>
  <c r="AG213" i="7"/>
  <c r="AG214" i="7" s="1"/>
  <c r="AH213" i="7"/>
  <c r="AH214" i="7" s="1"/>
  <c r="AI213" i="7"/>
  <c r="AI214" i="7" s="1"/>
  <c r="AJ213" i="7"/>
  <c r="AJ214" i="7" s="1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K215" i="7"/>
  <c r="AL215" i="7"/>
  <c r="AM215" i="7"/>
  <c r="AN215" i="7"/>
  <c r="AO215" i="7"/>
  <c r="AP215" i="7"/>
  <c r="AQ215" i="7"/>
  <c r="AR215" i="7"/>
  <c r="AS215" i="7"/>
  <c r="AT215" i="7"/>
  <c r="AU215" i="7"/>
  <c r="AV215" i="7"/>
  <c r="AW215" i="7"/>
  <c r="AX215" i="7"/>
  <c r="AY215" i="7"/>
  <c r="AZ215" i="7"/>
  <c r="BA215" i="7"/>
  <c r="BB215" i="7"/>
  <c r="BC215" i="7"/>
  <c r="BD215" i="7"/>
  <c r="BE215" i="7"/>
  <c r="BF215" i="7"/>
  <c r="BG215" i="7"/>
  <c r="BH215" i="7"/>
  <c r="BI215" i="7"/>
  <c r="BJ215" i="7"/>
  <c r="BK215" i="7"/>
  <c r="BL215" i="7"/>
  <c r="BM215" i="7"/>
  <c r="BN215" i="7"/>
  <c r="BO215" i="7"/>
  <c r="BP215" i="7"/>
  <c r="BQ215" i="7"/>
  <c r="BR215" i="7"/>
  <c r="BS215" i="7"/>
  <c r="BT215" i="7"/>
  <c r="BU215" i="7"/>
  <c r="BV215" i="7"/>
  <c r="BW215" i="7"/>
  <c r="BX215" i="7"/>
  <c r="BY215" i="7"/>
  <c r="BZ215" i="7"/>
  <c r="CA215" i="7"/>
  <c r="CB215" i="7"/>
  <c r="CC215" i="7"/>
  <c r="D217" i="7"/>
  <c r="D218" i="7"/>
  <c r="D219" i="7"/>
  <c r="D222" i="7" s="1"/>
  <c r="E222" i="7"/>
  <c r="D220" i="7"/>
  <c r="E220" i="7"/>
  <c r="F220" i="7"/>
  <c r="G220" i="7"/>
  <c r="H220" i="7"/>
  <c r="I220" i="7"/>
  <c r="J220" i="7"/>
  <c r="K220" i="7"/>
  <c r="L220" i="7"/>
  <c r="M220" i="7"/>
  <c r="N220" i="7"/>
  <c r="N221" i="7" s="1"/>
  <c r="O220" i="7"/>
  <c r="O221" i="7" s="1"/>
  <c r="P220" i="7"/>
  <c r="P221" i="7" s="1"/>
  <c r="Q220" i="7"/>
  <c r="Q221" i="7" s="1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J221" i="7" s="1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K222" i="7"/>
  <c r="AL222" i="7"/>
  <c r="AM222" i="7"/>
  <c r="AN222" i="7"/>
  <c r="AO222" i="7"/>
  <c r="AP222" i="7"/>
  <c r="AQ222" i="7"/>
  <c r="AR222" i="7"/>
  <c r="AS222" i="7"/>
  <c r="AT222" i="7"/>
  <c r="AU222" i="7"/>
  <c r="AV222" i="7"/>
  <c r="AW222" i="7"/>
  <c r="AX222" i="7"/>
  <c r="AY222" i="7"/>
  <c r="AZ222" i="7"/>
  <c r="BA222" i="7"/>
  <c r="BB222" i="7"/>
  <c r="BC222" i="7"/>
  <c r="BD222" i="7"/>
  <c r="BE222" i="7"/>
  <c r="BF222" i="7"/>
  <c r="BG222" i="7"/>
  <c r="BH222" i="7"/>
  <c r="BI222" i="7"/>
  <c r="BJ222" i="7"/>
  <c r="BK222" i="7"/>
  <c r="BL222" i="7"/>
  <c r="BM222" i="7"/>
  <c r="BN222" i="7"/>
  <c r="BO222" i="7"/>
  <c r="BP222" i="7"/>
  <c r="BQ222" i="7"/>
  <c r="BR222" i="7"/>
  <c r="BS222" i="7"/>
  <c r="BT222" i="7"/>
  <c r="BU222" i="7"/>
  <c r="BV222" i="7"/>
  <c r="BW222" i="7"/>
  <c r="BX222" i="7"/>
  <c r="BY222" i="7"/>
  <c r="BZ222" i="7"/>
  <c r="CA222" i="7"/>
  <c r="CB222" i="7"/>
  <c r="CC222" i="7"/>
  <c r="D224" i="7"/>
  <c r="D225" i="7"/>
  <c r="D226" i="7"/>
  <c r="D229" i="7" s="1"/>
  <c r="E229" i="7"/>
  <c r="D227" i="7"/>
  <c r="E227" i="7"/>
  <c r="E228" i="7" s="1"/>
  <c r="F227" i="7"/>
  <c r="F228" i="7" s="1"/>
  <c r="G227" i="7"/>
  <c r="H227" i="7"/>
  <c r="H228" i="7" s="1"/>
  <c r="I227" i="7"/>
  <c r="J227" i="7"/>
  <c r="J228" i="7" s="1"/>
  <c r="K227" i="7"/>
  <c r="L227" i="7"/>
  <c r="L228" i="7" s="1"/>
  <c r="M227" i="7"/>
  <c r="M228" i="7" s="1"/>
  <c r="N227" i="7"/>
  <c r="N228" i="7" s="1"/>
  <c r="O227" i="7"/>
  <c r="O228" i="7" s="1"/>
  <c r="P227" i="7"/>
  <c r="P228" i="7" s="1"/>
  <c r="Q227" i="7"/>
  <c r="Q228" i="7" s="1"/>
  <c r="R227" i="7"/>
  <c r="S227" i="7"/>
  <c r="S228" i="7" s="1"/>
  <c r="T227" i="7"/>
  <c r="T228" i="7" s="1"/>
  <c r="U227" i="7"/>
  <c r="V227" i="7"/>
  <c r="V228" i="7" s="1"/>
  <c r="W227" i="7"/>
  <c r="W228" i="7" s="1"/>
  <c r="X227" i="7"/>
  <c r="X228" i="7" s="1"/>
  <c r="Y227" i="7"/>
  <c r="Y228" i="7" s="1"/>
  <c r="Z227" i="7"/>
  <c r="Z228" i="7" s="1"/>
  <c r="AA227" i="7"/>
  <c r="AA228" i="7" s="1"/>
  <c r="AB227" i="7"/>
  <c r="AB228" i="7" s="1"/>
  <c r="AC227" i="7"/>
  <c r="AD227" i="7"/>
  <c r="AE227" i="7"/>
  <c r="AF227" i="7"/>
  <c r="AG227" i="7"/>
  <c r="AH227" i="7"/>
  <c r="AI227" i="7"/>
  <c r="AJ227" i="7"/>
  <c r="AJ228" i="7" s="1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K229" i="7"/>
  <c r="AL229" i="7"/>
  <c r="AM229" i="7"/>
  <c r="AN229" i="7"/>
  <c r="AO229" i="7"/>
  <c r="AP229" i="7"/>
  <c r="AQ229" i="7"/>
  <c r="AR229" i="7"/>
  <c r="AS229" i="7"/>
  <c r="AT229" i="7"/>
  <c r="AU229" i="7"/>
  <c r="AV229" i="7"/>
  <c r="AW229" i="7"/>
  <c r="AX229" i="7"/>
  <c r="AY229" i="7"/>
  <c r="AZ229" i="7"/>
  <c r="BA229" i="7"/>
  <c r="BB229" i="7"/>
  <c r="BC229" i="7"/>
  <c r="BD229" i="7"/>
  <c r="BE229" i="7"/>
  <c r="BF229" i="7"/>
  <c r="BG229" i="7"/>
  <c r="BH229" i="7"/>
  <c r="BI229" i="7"/>
  <c r="BJ229" i="7"/>
  <c r="BK229" i="7"/>
  <c r="BL229" i="7"/>
  <c r="BM229" i="7"/>
  <c r="BN229" i="7"/>
  <c r="BO229" i="7"/>
  <c r="BP229" i="7"/>
  <c r="BQ229" i="7"/>
  <c r="BR229" i="7"/>
  <c r="BS229" i="7"/>
  <c r="BT229" i="7"/>
  <c r="BU229" i="7"/>
  <c r="BV229" i="7"/>
  <c r="BW229" i="7"/>
  <c r="BX229" i="7"/>
  <c r="BY229" i="7"/>
  <c r="BZ229" i="7"/>
  <c r="CA229" i="7"/>
  <c r="CB229" i="7"/>
  <c r="CC229" i="7"/>
  <c r="D231" i="7"/>
  <c r="D232" i="7"/>
  <c r="D233" i="7"/>
  <c r="E236" i="7"/>
  <c r="D234" i="7"/>
  <c r="E234" i="7"/>
  <c r="E235" i="7" s="1"/>
  <c r="F234" i="7"/>
  <c r="G234" i="7"/>
  <c r="G235" i="7" s="1"/>
  <c r="H234" i="7"/>
  <c r="H235" i="7" s="1"/>
  <c r="I234" i="7"/>
  <c r="I235" i="7" s="1"/>
  <c r="J234" i="7"/>
  <c r="J235" i="7" s="1"/>
  <c r="K234" i="7"/>
  <c r="K235" i="7" s="1"/>
  <c r="L234" i="7"/>
  <c r="M234" i="7"/>
  <c r="M235" i="7" s="1"/>
  <c r="N234" i="7"/>
  <c r="O234" i="7"/>
  <c r="O235" i="7" s="1"/>
  <c r="P234" i="7"/>
  <c r="P235" i="7" s="1"/>
  <c r="Q234" i="7"/>
  <c r="Q235" i="7" s="1"/>
  <c r="R234" i="7"/>
  <c r="R235" i="7" s="1"/>
  <c r="S234" i="7"/>
  <c r="S235" i="7" s="1"/>
  <c r="T234" i="7"/>
  <c r="T235" i="7" s="1"/>
  <c r="U234" i="7"/>
  <c r="U235" i="7" s="1"/>
  <c r="V234" i="7"/>
  <c r="V235" i="7" s="1"/>
  <c r="W234" i="7"/>
  <c r="W235" i="7" s="1"/>
  <c r="X234" i="7"/>
  <c r="X235" i="7" s="1"/>
  <c r="Y234" i="7"/>
  <c r="Y235" i="7" s="1"/>
  <c r="Z234" i="7"/>
  <c r="AA234" i="7"/>
  <c r="AA235" i="7" s="1"/>
  <c r="AB234" i="7"/>
  <c r="AB235" i="7" s="1"/>
  <c r="AC234" i="7"/>
  <c r="AD234" i="7"/>
  <c r="AE234" i="7"/>
  <c r="AF234" i="7"/>
  <c r="AG234" i="7"/>
  <c r="AH234" i="7"/>
  <c r="AH235" i="7" s="1"/>
  <c r="AI234" i="7"/>
  <c r="AI235" i="7" s="1"/>
  <c r="AJ234" i="7"/>
  <c r="AJ235" i="7" s="1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K236" i="7"/>
  <c r="AL236" i="7"/>
  <c r="AM236" i="7"/>
  <c r="AN236" i="7"/>
  <c r="AO236" i="7"/>
  <c r="AP236" i="7"/>
  <c r="AQ236" i="7"/>
  <c r="AR236" i="7"/>
  <c r="AS236" i="7"/>
  <c r="AT236" i="7"/>
  <c r="AU236" i="7"/>
  <c r="AV236" i="7"/>
  <c r="AW236" i="7"/>
  <c r="AX236" i="7"/>
  <c r="AY236" i="7"/>
  <c r="AZ236" i="7"/>
  <c r="BA236" i="7"/>
  <c r="BB236" i="7"/>
  <c r="BC236" i="7"/>
  <c r="BD236" i="7"/>
  <c r="BE236" i="7"/>
  <c r="BF236" i="7"/>
  <c r="BG236" i="7"/>
  <c r="BH236" i="7"/>
  <c r="BI236" i="7"/>
  <c r="BJ236" i="7"/>
  <c r="BK236" i="7"/>
  <c r="BL236" i="7"/>
  <c r="BM236" i="7"/>
  <c r="BN236" i="7"/>
  <c r="BO236" i="7"/>
  <c r="BP236" i="7"/>
  <c r="BQ236" i="7"/>
  <c r="BR236" i="7"/>
  <c r="BS236" i="7"/>
  <c r="BT236" i="7"/>
  <c r="BU236" i="7"/>
  <c r="BV236" i="7"/>
  <c r="BW236" i="7"/>
  <c r="BX236" i="7"/>
  <c r="BY236" i="7"/>
  <c r="BZ236" i="7"/>
  <c r="CA236" i="7"/>
  <c r="CB236" i="7"/>
  <c r="CC236" i="7"/>
  <c r="D238" i="7"/>
  <c r="D239" i="7"/>
  <c r="D240" i="7"/>
  <c r="D243" i="7" s="1"/>
  <c r="E243" i="7"/>
  <c r="D241" i="7"/>
  <c r="E241" i="7"/>
  <c r="F241" i="7"/>
  <c r="F242" i="7" s="1"/>
  <c r="G241" i="7"/>
  <c r="H241" i="7"/>
  <c r="H242" i="7" s="1"/>
  <c r="I241" i="7"/>
  <c r="J241" i="7"/>
  <c r="J242" i="7" s="1"/>
  <c r="K241" i="7"/>
  <c r="L241" i="7"/>
  <c r="M241" i="7"/>
  <c r="N241" i="7"/>
  <c r="N242" i="7" s="1"/>
  <c r="O241" i="7"/>
  <c r="O242" i="7" s="1"/>
  <c r="P241" i="7"/>
  <c r="P242" i="7" s="1"/>
  <c r="Q241" i="7"/>
  <c r="R241" i="7"/>
  <c r="R242" i="7" s="1"/>
  <c r="S241" i="7"/>
  <c r="T241" i="7"/>
  <c r="T242" i="7" s="1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H242" i="7" s="1"/>
  <c r="AI241" i="7"/>
  <c r="AI242" i="7" s="1"/>
  <c r="AJ241" i="7"/>
  <c r="AJ242" i="7" s="1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K243" i="7"/>
  <c r="AL243" i="7"/>
  <c r="AM243" i="7"/>
  <c r="AN243" i="7"/>
  <c r="AO243" i="7"/>
  <c r="AP243" i="7"/>
  <c r="AQ243" i="7"/>
  <c r="AR243" i="7"/>
  <c r="AS243" i="7"/>
  <c r="AT243" i="7"/>
  <c r="AU243" i="7"/>
  <c r="AV243" i="7"/>
  <c r="AW243" i="7"/>
  <c r="AX243" i="7"/>
  <c r="AY243" i="7"/>
  <c r="AZ243" i="7"/>
  <c r="BA243" i="7"/>
  <c r="BB243" i="7"/>
  <c r="BC243" i="7"/>
  <c r="BD243" i="7"/>
  <c r="BE243" i="7"/>
  <c r="BF243" i="7"/>
  <c r="BG243" i="7"/>
  <c r="BH243" i="7"/>
  <c r="BI243" i="7"/>
  <c r="BJ243" i="7"/>
  <c r="BK243" i="7"/>
  <c r="BL243" i="7"/>
  <c r="BM243" i="7"/>
  <c r="BN243" i="7"/>
  <c r="BO243" i="7"/>
  <c r="BP243" i="7"/>
  <c r="BQ243" i="7"/>
  <c r="BR243" i="7"/>
  <c r="BS243" i="7"/>
  <c r="BT243" i="7"/>
  <c r="BU243" i="7"/>
  <c r="BV243" i="7"/>
  <c r="BW243" i="7"/>
  <c r="BX243" i="7"/>
  <c r="BY243" i="7"/>
  <c r="BZ243" i="7"/>
  <c r="CA243" i="7"/>
  <c r="CB243" i="7"/>
  <c r="CC243" i="7"/>
  <c r="D245" i="7"/>
  <c r="D246" i="7"/>
  <c r="D247" i="7"/>
  <c r="D250" i="7" s="1"/>
  <c r="E250" i="7"/>
  <c r="D248" i="7"/>
  <c r="E248" i="7"/>
  <c r="E249" i="7" s="1"/>
  <c r="F248" i="7"/>
  <c r="F249" i="7" s="1"/>
  <c r="G248" i="7"/>
  <c r="G249" i="7" s="1"/>
  <c r="H248" i="7"/>
  <c r="H249" i="7" s="1"/>
  <c r="I248" i="7"/>
  <c r="I249" i="7" s="1"/>
  <c r="J248" i="7"/>
  <c r="J249" i="7" s="1"/>
  <c r="K248" i="7"/>
  <c r="K249" i="7" s="1"/>
  <c r="L248" i="7"/>
  <c r="L249" i="7" s="1"/>
  <c r="M248" i="7"/>
  <c r="M249" i="7" s="1"/>
  <c r="N248" i="7"/>
  <c r="N249" i="7" s="1"/>
  <c r="O248" i="7"/>
  <c r="O249" i="7" s="1"/>
  <c r="P248" i="7"/>
  <c r="P249" i="7" s="1"/>
  <c r="Q248" i="7"/>
  <c r="Q249" i="7" s="1"/>
  <c r="R248" i="7"/>
  <c r="R249" i="7" s="1"/>
  <c r="S248" i="7"/>
  <c r="S249" i="7" s="1"/>
  <c r="T248" i="7"/>
  <c r="T249" i="7" s="1"/>
  <c r="U248" i="7"/>
  <c r="U249" i="7" s="1"/>
  <c r="V248" i="7"/>
  <c r="V249" i="7" s="1"/>
  <c r="W248" i="7"/>
  <c r="X248" i="7"/>
  <c r="X249" i="7" s="1"/>
  <c r="Y248" i="7"/>
  <c r="Y249" i="7" s="1"/>
  <c r="Z248" i="7"/>
  <c r="Z249" i="7" s="1"/>
  <c r="AA248" i="7"/>
  <c r="AA249" i="7" s="1"/>
  <c r="AB248" i="7"/>
  <c r="AB249" i="7" s="1"/>
  <c r="AC248" i="7"/>
  <c r="AC249" i="7" s="1"/>
  <c r="AD248" i="7"/>
  <c r="AD249" i="7" s="1"/>
  <c r="AE248" i="7"/>
  <c r="AE249" i="7" s="1"/>
  <c r="AF248" i="7"/>
  <c r="AF249" i="7" s="1"/>
  <c r="AG248" i="7"/>
  <c r="AG249" i="7" s="1"/>
  <c r="AH248" i="7"/>
  <c r="AH249" i="7" s="1"/>
  <c r="AI248" i="7"/>
  <c r="AI249" i="7" s="1"/>
  <c r="AJ248" i="7"/>
  <c r="AJ249" i="7" s="1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K250" i="7"/>
  <c r="AL250" i="7"/>
  <c r="AM250" i="7"/>
  <c r="AN250" i="7"/>
  <c r="AO250" i="7"/>
  <c r="AP250" i="7"/>
  <c r="AQ250" i="7"/>
  <c r="AR250" i="7"/>
  <c r="AS250" i="7"/>
  <c r="AT250" i="7"/>
  <c r="AU250" i="7"/>
  <c r="AV250" i="7"/>
  <c r="AW250" i="7"/>
  <c r="AX250" i="7"/>
  <c r="AY250" i="7"/>
  <c r="AZ250" i="7"/>
  <c r="BA250" i="7"/>
  <c r="BB250" i="7"/>
  <c r="BC250" i="7"/>
  <c r="BD250" i="7"/>
  <c r="BE250" i="7"/>
  <c r="BF250" i="7"/>
  <c r="BG250" i="7"/>
  <c r="BH250" i="7"/>
  <c r="BI250" i="7"/>
  <c r="BJ250" i="7"/>
  <c r="BK250" i="7"/>
  <c r="BL250" i="7"/>
  <c r="BM250" i="7"/>
  <c r="BN250" i="7"/>
  <c r="BO250" i="7"/>
  <c r="BP250" i="7"/>
  <c r="BQ250" i="7"/>
  <c r="BR250" i="7"/>
  <c r="BS250" i="7"/>
  <c r="BT250" i="7"/>
  <c r="BU250" i="7"/>
  <c r="BV250" i="7"/>
  <c r="BW250" i="7"/>
  <c r="BX250" i="7"/>
  <c r="BY250" i="7"/>
  <c r="BZ250" i="7"/>
  <c r="CA250" i="7"/>
  <c r="CB250" i="7"/>
  <c r="CC250" i="7"/>
  <c r="D252" i="7"/>
  <c r="D253" i="7"/>
  <c r="D254" i="7"/>
  <c r="D257" i="7" s="1"/>
  <c r="E257" i="7"/>
  <c r="D255" i="7"/>
  <c r="E255" i="7"/>
  <c r="F255" i="7"/>
  <c r="F256" i="7" s="1"/>
  <c r="G255" i="7"/>
  <c r="G256" i="7" s="1"/>
  <c r="H255" i="7"/>
  <c r="H256" i="7" s="1"/>
  <c r="I255" i="7"/>
  <c r="I256" i="7" s="1"/>
  <c r="J255" i="7"/>
  <c r="J256" i="7" s="1"/>
  <c r="K255" i="7"/>
  <c r="K256" i="7" s="1"/>
  <c r="L255" i="7"/>
  <c r="L256" i="7" s="1"/>
  <c r="M255" i="7"/>
  <c r="M256" i="7" s="1"/>
  <c r="N255" i="7"/>
  <c r="N256" i="7" s="1"/>
  <c r="O255" i="7"/>
  <c r="O256" i="7" s="1"/>
  <c r="P255" i="7"/>
  <c r="Q255" i="7"/>
  <c r="R255" i="7"/>
  <c r="R256" i="7" s="1"/>
  <c r="S255" i="7"/>
  <c r="S256" i="7" s="1"/>
  <c r="T255" i="7"/>
  <c r="T256" i="7" s="1"/>
  <c r="U255" i="7"/>
  <c r="U256" i="7" s="1"/>
  <c r="V255" i="7"/>
  <c r="V256" i="7" s="1"/>
  <c r="W255" i="7"/>
  <c r="W256" i="7" s="1"/>
  <c r="X255" i="7"/>
  <c r="X256" i="7" s="1"/>
  <c r="Y255" i="7"/>
  <c r="Y256" i="7" s="1"/>
  <c r="Z255" i="7"/>
  <c r="Z256" i="7" s="1"/>
  <c r="AA255" i="7"/>
  <c r="AB255" i="7"/>
  <c r="AC255" i="7"/>
  <c r="AD255" i="7"/>
  <c r="AD256" i="7" s="1"/>
  <c r="AE255" i="7"/>
  <c r="AE256" i="7" s="1"/>
  <c r="AF255" i="7"/>
  <c r="AF256" i="7" s="1"/>
  <c r="AG255" i="7"/>
  <c r="AG256" i="7" s="1"/>
  <c r="AH255" i="7"/>
  <c r="AH256" i="7" s="1"/>
  <c r="AI255" i="7"/>
  <c r="AI256" i="7" s="1"/>
  <c r="AJ255" i="7"/>
  <c r="AJ256" i="7" s="1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AJ257" i="7"/>
  <c r="AK257" i="7"/>
  <c r="AL257" i="7"/>
  <c r="AM257" i="7"/>
  <c r="AN257" i="7"/>
  <c r="AO257" i="7"/>
  <c r="AP257" i="7"/>
  <c r="AQ257" i="7"/>
  <c r="AR257" i="7"/>
  <c r="AS257" i="7"/>
  <c r="AT257" i="7"/>
  <c r="AU257" i="7"/>
  <c r="AV257" i="7"/>
  <c r="AW257" i="7"/>
  <c r="AX257" i="7"/>
  <c r="AY257" i="7"/>
  <c r="AZ257" i="7"/>
  <c r="BA257" i="7"/>
  <c r="BB257" i="7"/>
  <c r="BC257" i="7"/>
  <c r="BD257" i="7"/>
  <c r="BE257" i="7"/>
  <c r="BF257" i="7"/>
  <c r="BG257" i="7"/>
  <c r="BH257" i="7"/>
  <c r="BI257" i="7"/>
  <c r="BJ257" i="7"/>
  <c r="BK257" i="7"/>
  <c r="BL257" i="7"/>
  <c r="BM257" i="7"/>
  <c r="BN257" i="7"/>
  <c r="BO257" i="7"/>
  <c r="BP257" i="7"/>
  <c r="BQ257" i="7"/>
  <c r="BR257" i="7"/>
  <c r="BS257" i="7"/>
  <c r="BT257" i="7"/>
  <c r="BU257" i="7"/>
  <c r="BV257" i="7"/>
  <c r="BW257" i="7"/>
  <c r="BX257" i="7"/>
  <c r="BY257" i="7"/>
  <c r="BZ257" i="7"/>
  <c r="CA257" i="7"/>
  <c r="CB257" i="7"/>
  <c r="CC257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AJ261" i="7"/>
  <c r="AK261" i="7"/>
  <c r="AL261" i="7"/>
  <c r="AM261" i="7"/>
  <c r="AN261" i="7"/>
  <c r="AO261" i="7"/>
  <c r="AP261" i="7"/>
  <c r="AQ261" i="7"/>
  <c r="AR261" i="7"/>
  <c r="AS261" i="7"/>
  <c r="AT261" i="7"/>
  <c r="AU261" i="7"/>
  <c r="AV261" i="7"/>
  <c r="AW261" i="7"/>
  <c r="AX261" i="7"/>
  <c r="AY261" i="7"/>
  <c r="AZ261" i="7"/>
  <c r="BA261" i="7"/>
  <c r="BB261" i="7"/>
  <c r="BC261" i="7"/>
  <c r="BD261" i="7"/>
  <c r="BE261" i="7"/>
  <c r="BF261" i="7"/>
  <c r="BG261" i="7"/>
  <c r="BH261" i="7"/>
  <c r="BI261" i="7"/>
  <c r="BJ261" i="7"/>
  <c r="BK261" i="7"/>
  <c r="BL261" i="7"/>
  <c r="BM261" i="7"/>
  <c r="BN261" i="7"/>
  <c r="BO261" i="7"/>
  <c r="BP261" i="7"/>
  <c r="BQ261" i="7"/>
  <c r="BR261" i="7"/>
  <c r="BS261" i="7"/>
  <c r="BT261" i="7"/>
  <c r="BU261" i="7"/>
  <c r="BV261" i="7"/>
  <c r="BW261" i="7"/>
  <c r="BX261" i="7"/>
  <c r="BY261" i="7"/>
  <c r="BZ261" i="7"/>
  <c r="CA261" i="7"/>
  <c r="CB261" i="7"/>
  <c r="CC261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AJ262" i="7"/>
  <c r="AK262" i="7"/>
  <c r="AL262" i="7"/>
  <c r="AM262" i="7"/>
  <c r="AN262" i="7"/>
  <c r="AO262" i="7"/>
  <c r="AP262" i="7"/>
  <c r="AQ262" i="7"/>
  <c r="AR262" i="7"/>
  <c r="AS262" i="7"/>
  <c r="AT262" i="7"/>
  <c r="AU262" i="7"/>
  <c r="AV262" i="7"/>
  <c r="AW262" i="7"/>
  <c r="AX262" i="7"/>
  <c r="AY262" i="7"/>
  <c r="AZ262" i="7"/>
  <c r="BA262" i="7"/>
  <c r="BB262" i="7"/>
  <c r="BC262" i="7"/>
  <c r="BD262" i="7"/>
  <c r="BE262" i="7"/>
  <c r="BF262" i="7"/>
  <c r="BG262" i="7"/>
  <c r="BH262" i="7"/>
  <c r="BI262" i="7"/>
  <c r="BJ262" i="7"/>
  <c r="BK262" i="7"/>
  <c r="BL262" i="7"/>
  <c r="BM262" i="7"/>
  <c r="BN262" i="7"/>
  <c r="BO262" i="7"/>
  <c r="BP262" i="7"/>
  <c r="BQ262" i="7"/>
  <c r="BR262" i="7"/>
  <c r="BS262" i="7"/>
  <c r="BT262" i="7"/>
  <c r="BU262" i="7"/>
  <c r="BV262" i="7"/>
  <c r="BW262" i="7"/>
  <c r="BX262" i="7"/>
  <c r="BY262" i="7"/>
  <c r="BZ262" i="7"/>
  <c r="CA262" i="7"/>
  <c r="CB262" i="7"/>
  <c r="CC262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AJ264" i="7"/>
  <c r="AK264" i="7"/>
  <c r="AL264" i="7"/>
  <c r="AM264" i="7"/>
  <c r="AN264" i="7"/>
  <c r="AO264" i="7"/>
  <c r="AP264" i="7"/>
  <c r="AQ264" i="7"/>
  <c r="AR264" i="7"/>
  <c r="AS264" i="7"/>
  <c r="AT264" i="7"/>
  <c r="AU264" i="7"/>
  <c r="AV264" i="7"/>
  <c r="AW264" i="7"/>
  <c r="AX264" i="7"/>
  <c r="AY264" i="7"/>
  <c r="AZ264" i="7"/>
  <c r="BA264" i="7"/>
  <c r="BB264" i="7"/>
  <c r="BC264" i="7"/>
  <c r="BD264" i="7"/>
  <c r="BE264" i="7"/>
  <c r="BF264" i="7"/>
  <c r="BG264" i="7"/>
  <c r="BH264" i="7"/>
  <c r="BI264" i="7"/>
  <c r="BJ264" i="7"/>
  <c r="BK264" i="7"/>
  <c r="BL264" i="7"/>
  <c r="BM264" i="7"/>
  <c r="BN264" i="7"/>
  <c r="BO264" i="7"/>
  <c r="BP264" i="7"/>
  <c r="BQ264" i="7"/>
  <c r="BR264" i="7"/>
  <c r="BS264" i="7"/>
  <c r="BT264" i="7"/>
  <c r="BU264" i="7"/>
  <c r="BV264" i="7"/>
  <c r="BW264" i="7"/>
  <c r="BX264" i="7"/>
  <c r="BY264" i="7"/>
  <c r="BZ264" i="7"/>
  <c r="CA264" i="7"/>
  <c r="CB264" i="7"/>
  <c r="CC264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AJ273" i="7"/>
  <c r="AK273" i="7"/>
  <c r="AL273" i="7"/>
  <c r="AM273" i="7"/>
  <c r="AN273" i="7"/>
  <c r="AO273" i="7"/>
  <c r="AP273" i="7"/>
  <c r="AQ273" i="7"/>
  <c r="AR273" i="7"/>
  <c r="AS273" i="7"/>
  <c r="AT273" i="7"/>
  <c r="AU273" i="7"/>
  <c r="AV273" i="7"/>
  <c r="AW273" i="7"/>
  <c r="AX273" i="7"/>
  <c r="AY273" i="7"/>
  <c r="AZ273" i="7"/>
  <c r="BA273" i="7"/>
  <c r="BB273" i="7"/>
  <c r="BC273" i="7"/>
  <c r="BD273" i="7"/>
  <c r="BE273" i="7"/>
  <c r="BF273" i="7"/>
  <c r="BG273" i="7"/>
  <c r="BH273" i="7"/>
  <c r="BI273" i="7"/>
  <c r="BJ273" i="7"/>
  <c r="BK273" i="7"/>
  <c r="BL273" i="7"/>
  <c r="BM273" i="7"/>
  <c r="BN273" i="7"/>
  <c r="BO273" i="7"/>
  <c r="BP273" i="7"/>
  <c r="BQ273" i="7"/>
  <c r="BR273" i="7"/>
  <c r="BS273" i="7"/>
  <c r="BT273" i="7"/>
  <c r="BU273" i="7"/>
  <c r="BV273" i="7"/>
  <c r="BW273" i="7"/>
  <c r="BX273" i="7"/>
  <c r="BY273" i="7"/>
  <c r="BZ273" i="7"/>
  <c r="CA273" i="7"/>
  <c r="CB273" i="7"/>
  <c r="CC273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AJ274" i="7"/>
  <c r="AK274" i="7"/>
  <c r="AL274" i="7"/>
  <c r="AM274" i="7"/>
  <c r="AN274" i="7"/>
  <c r="AO274" i="7"/>
  <c r="AP274" i="7"/>
  <c r="AQ274" i="7"/>
  <c r="AR274" i="7"/>
  <c r="AS274" i="7"/>
  <c r="AT274" i="7"/>
  <c r="AU274" i="7"/>
  <c r="AV274" i="7"/>
  <c r="AW274" i="7"/>
  <c r="AX274" i="7"/>
  <c r="AY274" i="7"/>
  <c r="AZ274" i="7"/>
  <c r="BA274" i="7"/>
  <c r="BB274" i="7"/>
  <c r="BC274" i="7"/>
  <c r="BD274" i="7"/>
  <c r="BE274" i="7"/>
  <c r="BF274" i="7"/>
  <c r="BG274" i="7"/>
  <c r="BH274" i="7"/>
  <c r="BI274" i="7"/>
  <c r="BJ274" i="7"/>
  <c r="BK274" i="7"/>
  <c r="BL274" i="7"/>
  <c r="BM274" i="7"/>
  <c r="BN274" i="7"/>
  <c r="BO274" i="7"/>
  <c r="BP274" i="7"/>
  <c r="BQ274" i="7"/>
  <c r="BR274" i="7"/>
  <c r="BS274" i="7"/>
  <c r="BT274" i="7"/>
  <c r="BU274" i="7"/>
  <c r="BV274" i="7"/>
  <c r="BW274" i="7"/>
  <c r="BX274" i="7"/>
  <c r="BY274" i="7"/>
  <c r="BZ274" i="7"/>
  <c r="CA274" i="7"/>
  <c r="CB274" i="7"/>
  <c r="CC274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AJ276" i="7"/>
  <c r="AK276" i="7"/>
  <c r="AL276" i="7"/>
  <c r="AM276" i="7"/>
  <c r="AN276" i="7"/>
  <c r="AO276" i="7"/>
  <c r="AP276" i="7"/>
  <c r="AQ276" i="7"/>
  <c r="AR276" i="7"/>
  <c r="AS276" i="7"/>
  <c r="AT276" i="7"/>
  <c r="AU276" i="7"/>
  <c r="AV276" i="7"/>
  <c r="AW276" i="7"/>
  <c r="AX276" i="7"/>
  <c r="AY276" i="7"/>
  <c r="AZ276" i="7"/>
  <c r="BA276" i="7"/>
  <c r="BB276" i="7"/>
  <c r="BC276" i="7"/>
  <c r="BD276" i="7"/>
  <c r="BE276" i="7"/>
  <c r="BF276" i="7"/>
  <c r="BG276" i="7"/>
  <c r="BH276" i="7"/>
  <c r="BI276" i="7"/>
  <c r="BJ276" i="7"/>
  <c r="BK276" i="7"/>
  <c r="BL276" i="7"/>
  <c r="BM276" i="7"/>
  <c r="BN276" i="7"/>
  <c r="BO276" i="7"/>
  <c r="BP276" i="7"/>
  <c r="BQ276" i="7"/>
  <c r="BR276" i="7"/>
  <c r="BS276" i="7"/>
  <c r="BT276" i="7"/>
  <c r="BU276" i="7"/>
  <c r="BV276" i="7"/>
  <c r="BW276" i="7"/>
  <c r="BX276" i="7"/>
  <c r="BY276" i="7"/>
  <c r="BZ276" i="7"/>
  <c r="CA276" i="7"/>
  <c r="CB276" i="7"/>
  <c r="CC276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AJ277" i="7"/>
  <c r="AK277" i="7"/>
  <c r="AL277" i="7"/>
  <c r="AM277" i="7"/>
  <c r="AN277" i="7"/>
  <c r="AO277" i="7"/>
  <c r="AP277" i="7"/>
  <c r="AQ277" i="7"/>
  <c r="AR277" i="7"/>
  <c r="AS277" i="7"/>
  <c r="AT277" i="7"/>
  <c r="AU277" i="7"/>
  <c r="AV277" i="7"/>
  <c r="AW277" i="7"/>
  <c r="AX277" i="7"/>
  <c r="AY277" i="7"/>
  <c r="AZ277" i="7"/>
  <c r="BA277" i="7"/>
  <c r="BB277" i="7"/>
  <c r="BC277" i="7"/>
  <c r="BD277" i="7"/>
  <c r="BE277" i="7"/>
  <c r="BF277" i="7"/>
  <c r="BG277" i="7"/>
  <c r="BH277" i="7"/>
  <c r="BI277" i="7"/>
  <c r="BJ277" i="7"/>
  <c r="BK277" i="7"/>
  <c r="BL277" i="7"/>
  <c r="BM277" i="7"/>
  <c r="BN277" i="7"/>
  <c r="BO277" i="7"/>
  <c r="BP277" i="7"/>
  <c r="BQ277" i="7"/>
  <c r="BR277" i="7"/>
  <c r="BS277" i="7"/>
  <c r="BT277" i="7"/>
  <c r="BU277" i="7"/>
  <c r="BV277" i="7"/>
  <c r="BW277" i="7"/>
  <c r="BX277" i="7"/>
  <c r="BY277" i="7"/>
  <c r="BZ277" i="7"/>
  <c r="CA277" i="7"/>
  <c r="CB277" i="7"/>
  <c r="CC277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AJ278" i="7"/>
  <c r="AK278" i="7"/>
  <c r="AL278" i="7"/>
  <c r="AM278" i="7"/>
  <c r="AN278" i="7"/>
  <c r="AO278" i="7"/>
  <c r="AP278" i="7"/>
  <c r="AQ278" i="7"/>
  <c r="AR278" i="7"/>
  <c r="AS278" i="7"/>
  <c r="AT278" i="7"/>
  <c r="AU278" i="7"/>
  <c r="AV278" i="7"/>
  <c r="AW278" i="7"/>
  <c r="AX278" i="7"/>
  <c r="AY278" i="7"/>
  <c r="AZ278" i="7"/>
  <c r="BA278" i="7"/>
  <c r="BB278" i="7"/>
  <c r="BC278" i="7"/>
  <c r="BD278" i="7"/>
  <c r="BE278" i="7"/>
  <c r="BF278" i="7"/>
  <c r="BG278" i="7"/>
  <c r="BH278" i="7"/>
  <c r="BI278" i="7"/>
  <c r="BJ278" i="7"/>
  <c r="BK278" i="7"/>
  <c r="BL278" i="7"/>
  <c r="BM278" i="7"/>
  <c r="BN278" i="7"/>
  <c r="BO278" i="7"/>
  <c r="BP278" i="7"/>
  <c r="BQ278" i="7"/>
  <c r="BR278" i="7"/>
  <c r="BS278" i="7"/>
  <c r="BT278" i="7"/>
  <c r="BU278" i="7"/>
  <c r="BV278" i="7"/>
  <c r="BW278" i="7"/>
  <c r="BX278" i="7"/>
  <c r="BY278" i="7"/>
  <c r="BZ278" i="7"/>
  <c r="CA278" i="7"/>
  <c r="CB278" i="7"/>
  <c r="CC278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K282" i="7"/>
  <c r="AL282" i="7"/>
  <c r="AM282" i="7"/>
  <c r="AN282" i="7"/>
  <c r="AO282" i="7"/>
  <c r="AP282" i="7"/>
  <c r="AQ282" i="7"/>
  <c r="AR282" i="7"/>
  <c r="AS282" i="7"/>
  <c r="AT282" i="7"/>
  <c r="AU282" i="7"/>
  <c r="AV282" i="7"/>
  <c r="AW282" i="7"/>
  <c r="AX282" i="7"/>
  <c r="AY282" i="7"/>
  <c r="AZ282" i="7"/>
  <c r="BA282" i="7"/>
  <c r="BB282" i="7"/>
  <c r="BC282" i="7"/>
  <c r="BD282" i="7"/>
  <c r="BE282" i="7"/>
  <c r="BF282" i="7"/>
  <c r="BG282" i="7"/>
  <c r="BH282" i="7"/>
  <c r="BI282" i="7"/>
  <c r="BJ282" i="7"/>
  <c r="BK282" i="7"/>
  <c r="BL282" i="7"/>
  <c r="BM282" i="7"/>
  <c r="BN282" i="7"/>
  <c r="BO282" i="7"/>
  <c r="BP282" i="7"/>
  <c r="BQ282" i="7"/>
  <c r="BR282" i="7"/>
  <c r="BS282" i="7"/>
  <c r="BT282" i="7"/>
  <c r="BU282" i="7"/>
  <c r="BV282" i="7"/>
  <c r="BW282" i="7"/>
  <c r="BX282" i="7"/>
  <c r="BY282" i="7"/>
  <c r="BZ282" i="7"/>
  <c r="CA282" i="7"/>
  <c r="CB282" i="7"/>
  <c r="CC282" i="7"/>
  <c r="U12" i="6"/>
  <c r="Y12" i="6" s="1"/>
  <c r="W12" i="6"/>
  <c r="AC12" i="6"/>
  <c r="U13" i="6"/>
  <c r="Y13" i="6" s="1"/>
  <c r="W13" i="6"/>
  <c r="AE13" i="6" s="1"/>
  <c r="AC13" i="6"/>
  <c r="U14" i="6"/>
  <c r="Y14" i="6" s="1"/>
  <c r="W14" i="6"/>
  <c r="AE14" i="6" s="1"/>
  <c r="AC14" i="6"/>
  <c r="U15" i="6"/>
  <c r="W15" i="6"/>
  <c r="AC15" i="6"/>
  <c r="U16" i="6"/>
  <c r="W16" i="6"/>
  <c r="AE16" i="6" s="1"/>
  <c r="AC16" i="6"/>
  <c r="U17" i="6"/>
  <c r="Y17" i="6" s="1"/>
  <c r="W17" i="6"/>
  <c r="AE17" i="6" s="1"/>
  <c r="AC17" i="6"/>
  <c r="U18" i="6"/>
  <c r="W18" i="6"/>
  <c r="AC18" i="6"/>
  <c r="U19" i="6"/>
  <c r="Y19" i="6" s="1"/>
  <c r="W19" i="6"/>
  <c r="AE19" i="6" s="1"/>
  <c r="AC19" i="6"/>
  <c r="U20" i="6"/>
  <c r="Y20" i="6" s="1"/>
  <c r="W20" i="6"/>
  <c r="AE20" i="6" s="1"/>
  <c r="AC20" i="6"/>
  <c r="U21" i="6"/>
  <c r="W21" i="6"/>
  <c r="AE21" i="6" s="1"/>
  <c r="AC21" i="6"/>
  <c r="U22" i="6"/>
  <c r="W22" i="6"/>
  <c r="AE22" i="6" s="1"/>
  <c r="AC22" i="6"/>
  <c r="U23" i="6"/>
  <c r="Y23" i="6" s="1"/>
  <c r="W23" i="6"/>
  <c r="AE23" i="6" s="1"/>
  <c r="AC23" i="6"/>
  <c r="U24" i="6"/>
  <c r="Y24" i="6" s="1"/>
  <c r="W24" i="6"/>
  <c r="AE24" i="6" s="1"/>
  <c r="AC24" i="6"/>
  <c r="U25" i="6"/>
  <c r="W25" i="6"/>
  <c r="AE25" i="6" s="1"/>
  <c r="AC25" i="6"/>
  <c r="U26" i="6"/>
  <c r="Y26" i="6" s="1"/>
  <c r="W26" i="6"/>
  <c r="AC26" i="6"/>
  <c r="U27" i="6"/>
  <c r="W27" i="6"/>
  <c r="AE27" i="6" s="1"/>
  <c r="AC27" i="6"/>
  <c r="U28" i="6"/>
  <c r="Y28" i="6" s="1"/>
  <c r="W28" i="6"/>
  <c r="AC28" i="6"/>
  <c r="U29" i="6"/>
  <c r="Y29" i="6" s="1"/>
  <c r="W29" i="6"/>
  <c r="AE29" i="6" s="1"/>
  <c r="AC29" i="6"/>
  <c r="U30" i="6"/>
  <c r="Y30" i="6" s="1"/>
  <c r="W30" i="6"/>
  <c r="AE30" i="6" s="1"/>
  <c r="AC30" i="6"/>
  <c r="U31" i="6"/>
  <c r="Y31" i="6" s="1"/>
  <c r="W31" i="6"/>
  <c r="AC31" i="6"/>
  <c r="U32" i="6"/>
  <c r="Y32" i="6" s="1"/>
  <c r="W32" i="6"/>
  <c r="AE32" i="6" s="1"/>
  <c r="AC32" i="6"/>
  <c r="U33" i="6"/>
  <c r="W33" i="6"/>
  <c r="AE33" i="6" s="1"/>
  <c r="AC33" i="6"/>
  <c r="U34" i="6"/>
  <c r="Y34" i="6" s="1"/>
  <c r="W34" i="6"/>
  <c r="AC34" i="6"/>
  <c r="U35" i="6"/>
  <c r="Y35" i="6" s="1"/>
  <c r="W35" i="6"/>
  <c r="AE35" i="6" s="1"/>
  <c r="AC35" i="6"/>
  <c r="U36" i="6"/>
  <c r="Y36" i="6" s="1"/>
  <c r="W36" i="6"/>
  <c r="AE36" i="6" s="1"/>
  <c r="AC36" i="6"/>
  <c r="U37" i="6"/>
  <c r="Y37" i="6" s="1"/>
  <c r="W37" i="6"/>
  <c r="AC37" i="6"/>
  <c r="U38" i="6"/>
  <c r="Y38" i="6" s="1"/>
  <c r="W38" i="6"/>
  <c r="AE38" i="6" s="1"/>
  <c r="AC38" i="6"/>
  <c r="U39" i="6"/>
  <c r="W39" i="6"/>
  <c r="AE39" i="6" s="1"/>
  <c r="AC39" i="6"/>
  <c r="U40" i="6"/>
  <c r="Y40" i="6" s="1"/>
  <c r="W40" i="6"/>
  <c r="AC40" i="6"/>
  <c r="U41" i="6"/>
  <c r="W41" i="6"/>
  <c r="AE41" i="6" s="1"/>
  <c r="AC41" i="6"/>
  <c r="U42" i="6"/>
  <c r="Y42" i="6" s="1"/>
  <c r="W42" i="6"/>
  <c r="AE42" i="6" s="1"/>
  <c r="AC42" i="6"/>
  <c r="U43" i="6"/>
  <c r="Y43" i="6" s="1"/>
  <c r="W43" i="6"/>
  <c r="AC43" i="6"/>
  <c r="R44" i="6"/>
  <c r="U44" i="6"/>
  <c r="Y44" i="6" s="1"/>
  <c r="W44" i="6"/>
  <c r="AE44" i="6" s="1"/>
  <c r="AC44" i="6"/>
  <c r="R45" i="6"/>
  <c r="U45" i="6"/>
  <c r="Y45" i="6" s="1"/>
  <c r="W45" i="6"/>
  <c r="AE45" i="6" s="1"/>
  <c r="AC45" i="6"/>
  <c r="R46" i="6"/>
  <c r="U46" i="6"/>
  <c r="Y46" i="6" s="1"/>
  <c r="W46" i="6"/>
  <c r="AE46" i="6" s="1"/>
  <c r="AC46" i="6"/>
  <c r="R47" i="6"/>
  <c r="U47" i="6"/>
  <c r="Y47" i="6" s="1"/>
  <c r="W47" i="6"/>
  <c r="AC47" i="6"/>
  <c r="U48" i="6"/>
  <c r="Y48" i="6" s="1"/>
  <c r="W48" i="6"/>
  <c r="AC48" i="6"/>
  <c r="U49" i="6"/>
  <c r="Y49" i="6" s="1"/>
  <c r="W49" i="6"/>
  <c r="AE49" i="6" s="1"/>
  <c r="AC49" i="6"/>
  <c r="U50" i="6"/>
  <c r="Y50" i="6" s="1"/>
  <c r="W50" i="6"/>
  <c r="AE50" i="6" s="1"/>
  <c r="AC50" i="6"/>
  <c r="U51" i="6"/>
  <c r="W51" i="6"/>
  <c r="AE51" i="6" s="1"/>
  <c r="AC51" i="6"/>
  <c r="U52" i="6"/>
  <c r="Y52" i="6" s="1"/>
  <c r="W52" i="6"/>
  <c r="AE52" i="6" s="1"/>
  <c r="AC52" i="6"/>
  <c r="U53" i="6"/>
  <c r="W53" i="6"/>
  <c r="AC53" i="6"/>
  <c r="U54" i="6"/>
  <c r="Y54" i="6" s="1"/>
  <c r="W54" i="6"/>
  <c r="AE54" i="6" s="1"/>
  <c r="AC54" i="6"/>
  <c r="U55" i="6"/>
  <c r="Y55" i="6" s="1"/>
  <c r="W55" i="6"/>
  <c r="AE55" i="6" s="1"/>
  <c r="AC55" i="6"/>
  <c r="U56" i="6"/>
  <c r="Y56" i="6" s="1"/>
  <c r="W56" i="6"/>
  <c r="AE56" i="6" s="1"/>
  <c r="AC56" i="6"/>
  <c r="U57" i="6"/>
  <c r="W57" i="6"/>
  <c r="AE57" i="6" s="1"/>
  <c r="AC57" i="6"/>
  <c r="U58" i="6"/>
  <c r="Y58" i="6" s="1"/>
  <c r="W58" i="6"/>
  <c r="AC58" i="6"/>
  <c r="U59" i="6"/>
  <c r="Y59" i="6" s="1"/>
  <c r="W59" i="6"/>
  <c r="AE59" i="6" s="1"/>
  <c r="AC59" i="6"/>
  <c r="U60" i="6"/>
  <c r="Y60" i="6" s="1"/>
  <c r="W60" i="6"/>
  <c r="AC60" i="6"/>
  <c r="U61" i="6"/>
  <c r="Y61" i="6" s="1"/>
  <c r="W61" i="6"/>
  <c r="AE61" i="6" s="1"/>
  <c r="AC61" i="6"/>
  <c r="U62" i="6"/>
  <c r="Y62" i="6" s="1"/>
  <c r="W62" i="6"/>
  <c r="AE62" i="6" s="1"/>
  <c r="AC62" i="6"/>
  <c r="U63" i="6"/>
  <c r="W63" i="6"/>
  <c r="AE63" i="6" s="1"/>
  <c r="AC63" i="6"/>
  <c r="U64" i="6"/>
  <c r="Y64" i="6" s="1"/>
  <c r="W64" i="6"/>
  <c r="AE64" i="6" s="1"/>
  <c r="AC64" i="6"/>
  <c r="U65" i="6"/>
  <c r="Y65" i="6" s="1"/>
  <c r="AC65" i="6"/>
  <c r="AE65" i="6"/>
  <c r="U66" i="6"/>
  <c r="Y66" i="6" s="1"/>
  <c r="AC66" i="6"/>
  <c r="AE66" i="6"/>
  <c r="U67" i="6"/>
  <c r="Y67" i="6" s="1"/>
  <c r="AC67" i="6"/>
  <c r="AE67" i="6"/>
  <c r="U68" i="6"/>
  <c r="Y68" i="6" s="1"/>
  <c r="AC68" i="6"/>
  <c r="AE68" i="6"/>
  <c r="U69" i="6"/>
  <c r="AC69" i="6"/>
  <c r="AE69" i="6"/>
  <c r="U70" i="6"/>
  <c r="Y70" i="6" s="1"/>
  <c r="AC70" i="6"/>
  <c r="AE70" i="6"/>
  <c r="U71" i="6"/>
  <c r="Y71" i="6" s="1"/>
  <c r="AC71" i="6"/>
  <c r="AE71" i="6"/>
  <c r="U72" i="6"/>
  <c r="AC72" i="6"/>
  <c r="AE72" i="6"/>
  <c r="U73" i="6"/>
  <c r="Y73" i="6" s="1"/>
  <c r="AC73" i="6"/>
  <c r="AE73" i="6"/>
  <c r="U74" i="6"/>
  <c r="AC74" i="6"/>
  <c r="AE74" i="6"/>
  <c r="R75" i="6"/>
  <c r="U75" i="6"/>
  <c r="AC75" i="6"/>
  <c r="AE75" i="6"/>
  <c r="R76" i="6"/>
  <c r="U76" i="6"/>
  <c r="AC76" i="6"/>
  <c r="AE76" i="6"/>
  <c r="R77" i="6"/>
  <c r="U77" i="6"/>
  <c r="Y77" i="6" s="1"/>
  <c r="AC77" i="6"/>
  <c r="AE77" i="6"/>
  <c r="R78" i="6"/>
  <c r="U78" i="6"/>
  <c r="Y78" i="6" s="1"/>
  <c r="AC78" i="6"/>
  <c r="AE78" i="6"/>
  <c r="U79" i="6"/>
  <c r="Y79" i="6" s="1"/>
  <c r="AC79" i="6"/>
  <c r="AE79" i="6"/>
  <c r="U80" i="6"/>
  <c r="Y80" i="6" s="1"/>
  <c r="AC80" i="6"/>
  <c r="AE80" i="6"/>
  <c r="U81" i="6"/>
  <c r="AC81" i="6"/>
  <c r="AE81" i="6"/>
  <c r="U82" i="6"/>
  <c r="Y82" i="6" s="1"/>
  <c r="AC82" i="6"/>
  <c r="AE82" i="6"/>
  <c r="U83" i="6"/>
  <c r="Y83" i="6" s="1"/>
  <c r="AC83" i="6"/>
  <c r="AE83" i="6"/>
  <c r="U84" i="6"/>
  <c r="AC84" i="6"/>
  <c r="AE84" i="6"/>
  <c r="U85" i="6"/>
  <c r="AC85" i="6"/>
  <c r="AE85" i="6"/>
  <c r="U86" i="6"/>
  <c r="Y86" i="6" s="1"/>
  <c r="AC86" i="6"/>
  <c r="AE86" i="6"/>
  <c r="U87" i="6"/>
  <c r="Y87" i="6" s="1"/>
  <c r="AC87" i="6"/>
  <c r="AE87" i="6"/>
  <c r="U88" i="6"/>
  <c r="AC88" i="6"/>
  <c r="AE88" i="6"/>
  <c r="U89" i="6"/>
  <c r="Y89" i="6" s="1"/>
  <c r="AC89" i="6"/>
  <c r="AE89" i="6"/>
  <c r="D14" i="5"/>
  <c r="D15" i="5"/>
  <c r="D16" i="5"/>
  <c r="E16" i="5"/>
  <c r="E19" i="5" s="1"/>
  <c r="D17" i="5"/>
  <c r="E17" i="5"/>
  <c r="F17" i="5"/>
  <c r="F18" i="5" s="1"/>
  <c r="G17" i="5"/>
  <c r="G18" i="5" s="1"/>
  <c r="H17" i="5"/>
  <c r="H18" i="5" s="1"/>
  <c r="I17" i="5"/>
  <c r="I18" i="5" s="1"/>
  <c r="J17" i="5"/>
  <c r="J18" i="5" s="1"/>
  <c r="K17" i="5"/>
  <c r="K18" i="5" s="1"/>
  <c r="L17" i="5"/>
  <c r="L18" i="5" s="1"/>
  <c r="M17" i="5"/>
  <c r="M18" i="5" s="1"/>
  <c r="N17" i="5"/>
  <c r="O17" i="5"/>
  <c r="O18" i="5" s="1"/>
  <c r="P17" i="5"/>
  <c r="P18" i="5" s="1"/>
  <c r="Q17" i="5"/>
  <c r="Q18" i="5" s="1"/>
  <c r="R17" i="5"/>
  <c r="R18" i="5" s="1"/>
  <c r="S17" i="5"/>
  <c r="T17" i="5"/>
  <c r="T18" i="5" s="1"/>
  <c r="U17" i="5"/>
  <c r="U18" i="5" s="1"/>
  <c r="V17" i="5"/>
  <c r="V18" i="5" s="1"/>
  <c r="W17" i="5"/>
  <c r="W18" i="5" s="1"/>
  <c r="X17" i="5"/>
  <c r="X18" i="5" s="1"/>
  <c r="Y17" i="5"/>
  <c r="Y18" i="5" s="1"/>
  <c r="Z17" i="5"/>
  <c r="AA17" i="5"/>
  <c r="AA18" i="5" s="1"/>
  <c r="AB17" i="5"/>
  <c r="AC17" i="5"/>
  <c r="AD17" i="5"/>
  <c r="AD18" i="5" s="1"/>
  <c r="AE17" i="5"/>
  <c r="AE18" i="5" s="1"/>
  <c r="AF17" i="5"/>
  <c r="AF18" i="5" s="1"/>
  <c r="AG17" i="5"/>
  <c r="AG18" i="5" s="1"/>
  <c r="AH17" i="5"/>
  <c r="AH18" i="5" s="1"/>
  <c r="AI17" i="5"/>
  <c r="AI18" i="5" s="1"/>
  <c r="AJ17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D21" i="5"/>
  <c r="D22" i="5"/>
  <c r="D23" i="5"/>
  <c r="D26" i="5" s="1"/>
  <c r="E26" i="5"/>
  <c r="D24" i="5"/>
  <c r="E24" i="5"/>
  <c r="F24" i="5"/>
  <c r="G24" i="5"/>
  <c r="H24" i="5"/>
  <c r="I24" i="5"/>
  <c r="J24" i="5"/>
  <c r="K24" i="5"/>
  <c r="L24" i="5"/>
  <c r="M24" i="5"/>
  <c r="N24" i="5"/>
  <c r="N25" i="5" s="1"/>
  <c r="O24" i="5"/>
  <c r="O25" i="5" s="1"/>
  <c r="P24" i="5"/>
  <c r="P25" i="5" s="1"/>
  <c r="Q24" i="5"/>
  <c r="Q25" i="5" s="1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J25" i="5" s="1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D28" i="5"/>
  <c r="D29" i="5"/>
  <c r="D30" i="5"/>
  <c r="D33" i="5" s="1"/>
  <c r="E33" i="5"/>
  <c r="D31" i="5"/>
  <c r="E31" i="5"/>
  <c r="F31" i="5"/>
  <c r="F32" i="5" s="1"/>
  <c r="G31" i="5"/>
  <c r="G32" i="5" s="1"/>
  <c r="H31" i="5"/>
  <c r="I31" i="5"/>
  <c r="J31" i="5"/>
  <c r="J32" i="5" s="1"/>
  <c r="K31" i="5"/>
  <c r="L31" i="5"/>
  <c r="M31" i="5"/>
  <c r="N31" i="5"/>
  <c r="N32" i="5" s="1"/>
  <c r="O31" i="5"/>
  <c r="P31" i="5"/>
  <c r="P32" i="5" s="1"/>
  <c r="Q31" i="5"/>
  <c r="Q32" i="5" s="1"/>
  <c r="R31" i="5"/>
  <c r="S31" i="5"/>
  <c r="S32" i="5" s="1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J32" i="5" s="1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D35" i="5"/>
  <c r="D36" i="5"/>
  <c r="D37" i="5"/>
  <c r="D40" i="5" s="1"/>
  <c r="E40" i="5"/>
  <c r="D38" i="5"/>
  <c r="E38" i="5"/>
  <c r="E39" i="5" s="1"/>
  <c r="F38" i="5"/>
  <c r="F39" i="5" s="1"/>
  <c r="G38" i="5"/>
  <c r="H38" i="5"/>
  <c r="H39" i="5" s="1"/>
  <c r="I38" i="5"/>
  <c r="J38" i="5"/>
  <c r="K38" i="5"/>
  <c r="K39" i="5" s="1"/>
  <c r="L38" i="5"/>
  <c r="L39" i="5" s="1"/>
  <c r="M38" i="5"/>
  <c r="N38" i="5"/>
  <c r="N39" i="5" s="1"/>
  <c r="O38" i="5"/>
  <c r="O39" i="5" s="1"/>
  <c r="P38" i="5"/>
  <c r="P39" i="5" s="1"/>
  <c r="Q38" i="5"/>
  <c r="Q39" i="5" s="1"/>
  <c r="R38" i="5"/>
  <c r="S38" i="5"/>
  <c r="T38" i="5"/>
  <c r="T39" i="5" s="1"/>
  <c r="U38" i="5"/>
  <c r="U39" i="5" s="1"/>
  <c r="V38" i="5"/>
  <c r="W38" i="5"/>
  <c r="W39" i="5" s="1"/>
  <c r="X38" i="5"/>
  <c r="X39" i="5" s="1"/>
  <c r="Y38" i="5"/>
  <c r="Z38" i="5"/>
  <c r="AA38" i="5"/>
  <c r="AB38" i="5"/>
  <c r="AC38" i="5"/>
  <c r="AC39" i="5" s="1"/>
  <c r="AD38" i="5"/>
  <c r="AD39" i="5" s="1"/>
  <c r="AE38" i="5"/>
  <c r="AF38" i="5"/>
  <c r="AF39" i="5" s="1"/>
  <c r="AG38" i="5"/>
  <c r="AG39" i="5" s="1"/>
  <c r="AH38" i="5"/>
  <c r="AI38" i="5"/>
  <c r="AI39" i="5" s="1"/>
  <c r="AJ38" i="5"/>
  <c r="AJ39" i="5" s="1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D42" i="5"/>
  <c r="D43" i="5"/>
  <c r="D44" i="5"/>
  <c r="D47" i="5" s="1"/>
  <c r="E47" i="5"/>
  <c r="D45" i="5"/>
  <c r="E45" i="5"/>
  <c r="F45" i="5"/>
  <c r="G45" i="5"/>
  <c r="H45" i="5"/>
  <c r="H46" i="5" s="1"/>
  <c r="I45" i="5"/>
  <c r="J45" i="5"/>
  <c r="K45" i="5"/>
  <c r="L45" i="5"/>
  <c r="M45" i="5"/>
  <c r="N45" i="5"/>
  <c r="N46" i="5" s="1"/>
  <c r="O45" i="5"/>
  <c r="O46" i="5" s="1"/>
  <c r="P45" i="5"/>
  <c r="P46" i="5" s="1"/>
  <c r="Q45" i="5"/>
  <c r="R45" i="5"/>
  <c r="R46" i="5" s="1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J46" i="5" s="1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D49" i="5"/>
  <c r="D50" i="5"/>
  <c r="D51" i="5"/>
  <c r="D54" i="5" s="1"/>
  <c r="E54" i="5"/>
  <c r="D52" i="5"/>
  <c r="E52" i="5"/>
  <c r="E53" i="5" s="1"/>
  <c r="F52" i="5"/>
  <c r="F53" i="5" s="1"/>
  <c r="G52" i="5"/>
  <c r="G53" i="5" s="1"/>
  <c r="H52" i="5"/>
  <c r="H53" i="5" s="1"/>
  <c r="I52" i="5"/>
  <c r="I53" i="5" s="1"/>
  <c r="J52" i="5"/>
  <c r="J53" i="5" s="1"/>
  <c r="K52" i="5"/>
  <c r="K53" i="5" s="1"/>
  <c r="L52" i="5"/>
  <c r="L53" i="5" s="1"/>
  <c r="M52" i="5"/>
  <c r="M53" i="5" s="1"/>
  <c r="N52" i="5"/>
  <c r="N53" i="5" s="1"/>
  <c r="O52" i="5"/>
  <c r="O53" i="5" s="1"/>
  <c r="P52" i="5"/>
  <c r="P53" i="5" s="1"/>
  <c r="Q52" i="5"/>
  <c r="Q53" i="5" s="1"/>
  <c r="R52" i="5"/>
  <c r="R53" i="5" s="1"/>
  <c r="S52" i="5"/>
  <c r="S53" i="5" s="1"/>
  <c r="T52" i="5"/>
  <c r="T53" i="5" s="1"/>
  <c r="U52" i="5"/>
  <c r="U53" i="5" s="1"/>
  <c r="V52" i="5"/>
  <c r="V53" i="5" s="1"/>
  <c r="W52" i="5"/>
  <c r="W53" i="5" s="1"/>
  <c r="X52" i="5"/>
  <c r="X53" i="5" s="1"/>
  <c r="Y52" i="5"/>
  <c r="Y53" i="5" s="1"/>
  <c r="Z52" i="5"/>
  <c r="Z53" i="5" s="1"/>
  <c r="AA52" i="5"/>
  <c r="AA53" i="5" s="1"/>
  <c r="AB52" i="5"/>
  <c r="AB53" i="5" s="1"/>
  <c r="AC52" i="5"/>
  <c r="AC53" i="5" s="1"/>
  <c r="AD52" i="5"/>
  <c r="AD53" i="5" s="1"/>
  <c r="AE52" i="5"/>
  <c r="AE53" i="5" s="1"/>
  <c r="AF52" i="5"/>
  <c r="AF53" i="5" s="1"/>
  <c r="AG52" i="5"/>
  <c r="AG53" i="5" s="1"/>
  <c r="AH52" i="5"/>
  <c r="AH53" i="5" s="1"/>
  <c r="AI52" i="5"/>
  <c r="AI53" i="5" s="1"/>
  <c r="AJ52" i="5"/>
  <c r="AJ53" i="5" s="1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D56" i="5"/>
  <c r="D57" i="5"/>
  <c r="D58" i="5"/>
  <c r="D61" i="5" s="1"/>
  <c r="E61" i="5"/>
  <c r="D59" i="5"/>
  <c r="E59" i="5"/>
  <c r="E60" i="5" s="1"/>
  <c r="F59" i="5"/>
  <c r="F60" i="5" s="1"/>
  <c r="G59" i="5"/>
  <c r="G60" i="5" s="1"/>
  <c r="H59" i="5"/>
  <c r="H60" i="5" s="1"/>
  <c r="I59" i="5"/>
  <c r="I60" i="5" s="1"/>
  <c r="J59" i="5"/>
  <c r="K59" i="5"/>
  <c r="K60" i="5" s="1"/>
  <c r="L59" i="5"/>
  <c r="L60" i="5" s="1"/>
  <c r="M59" i="5"/>
  <c r="N59" i="5"/>
  <c r="N60" i="5" s="1"/>
  <c r="O59" i="5"/>
  <c r="O60" i="5" s="1"/>
  <c r="P59" i="5"/>
  <c r="P60" i="5" s="1"/>
  <c r="Q59" i="5"/>
  <c r="Q60" i="5" s="1"/>
  <c r="R59" i="5"/>
  <c r="R60" i="5" s="1"/>
  <c r="S59" i="5"/>
  <c r="S60" i="5" s="1"/>
  <c r="T59" i="5"/>
  <c r="T60" i="5" s="1"/>
  <c r="U59" i="5"/>
  <c r="U60" i="5" s="1"/>
  <c r="V59" i="5"/>
  <c r="V60" i="5" s="1"/>
  <c r="W59" i="5"/>
  <c r="W60" i="5" s="1"/>
  <c r="X59" i="5"/>
  <c r="X60" i="5" s="1"/>
  <c r="Y59" i="5"/>
  <c r="Z59" i="5"/>
  <c r="Z60" i="5" s="1"/>
  <c r="AA59" i="5"/>
  <c r="AA60" i="5" s="1"/>
  <c r="AB59" i="5"/>
  <c r="AB60" i="5" s="1"/>
  <c r="AC59" i="5"/>
  <c r="AC60" i="5" s="1"/>
  <c r="AD59" i="5"/>
  <c r="AD60" i="5" s="1"/>
  <c r="AE59" i="5"/>
  <c r="AE60" i="5" s="1"/>
  <c r="AF59" i="5"/>
  <c r="AF60" i="5" s="1"/>
  <c r="AG59" i="5"/>
  <c r="AG60" i="5" s="1"/>
  <c r="AH59" i="5"/>
  <c r="AH60" i="5" s="1"/>
  <c r="AI59" i="5"/>
  <c r="AI60" i="5" s="1"/>
  <c r="AJ59" i="5"/>
  <c r="AJ60" i="5" s="1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D63" i="5"/>
  <c r="D64" i="5"/>
  <c r="D65" i="5"/>
  <c r="D68" i="5" s="1"/>
  <c r="E68" i="5"/>
  <c r="D66" i="5"/>
  <c r="E66" i="5"/>
  <c r="E67" i="5" s="1"/>
  <c r="F66" i="5"/>
  <c r="F67" i="5" s="1"/>
  <c r="G66" i="5"/>
  <c r="G67" i="5" s="1"/>
  <c r="H66" i="5"/>
  <c r="I66" i="5"/>
  <c r="I67" i="5" s="1"/>
  <c r="J66" i="5"/>
  <c r="J67" i="5" s="1"/>
  <c r="K66" i="5"/>
  <c r="K67" i="5" s="1"/>
  <c r="L66" i="5"/>
  <c r="L67" i="5" s="1"/>
  <c r="M66" i="5"/>
  <c r="M67" i="5" s="1"/>
  <c r="N66" i="5"/>
  <c r="N67" i="5" s="1"/>
  <c r="O66" i="5"/>
  <c r="O67" i="5" s="1"/>
  <c r="P66" i="5"/>
  <c r="P67" i="5" s="1"/>
  <c r="Q66" i="5"/>
  <c r="Q67" i="5" s="1"/>
  <c r="R66" i="5"/>
  <c r="R67" i="5" s="1"/>
  <c r="S66" i="5"/>
  <c r="S67" i="5" s="1"/>
  <c r="T66" i="5"/>
  <c r="U66" i="5"/>
  <c r="U67" i="5" s="1"/>
  <c r="V66" i="5"/>
  <c r="V67" i="5" s="1"/>
  <c r="W66" i="5"/>
  <c r="W67" i="5" s="1"/>
  <c r="X66" i="5"/>
  <c r="X67" i="5" s="1"/>
  <c r="Y66" i="5"/>
  <c r="Y67" i="5" s="1"/>
  <c r="Z66" i="5"/>
  <c r="Z67" i="5" s="1"/>
  <c r="AA66" i="5"/>
  <c r="AA67" i="5" s="1"/>
  <c r="AB66" i="5"/>
  <c r="AB67" i="5" s="1"/>
  <c r="AC66" i="5"/>
  <c r="AC67" i="5" s="1"/>
  <c r="AD66" i="5"/>
  <c r="AD67" i="5" s="1"/>
  <c r="AE66" i="5"/>
  <c r="AE67" i="5" s="1"/>
  <c r="AF66" i="5"/>
  <c r="AG66" i="5"/>
  <c r="AG67" i="5" s="1"/>
  <c r="AH66" i="5"/>
  <c r="AH67" i="5" s="1"/>
  <c r="AI66" i="5"/>
  <c r="AI67" i="5" s="1"/>
  <c r="AJ66" i="5"/>
  <c r="AJ67" i="5" s="1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D70" i="5"/>
  <c r="D71" i="5"/>
  <c r="D72" i="5"/>
  <c r="D75" i="5" s="1"/>
  <c r="E75" i="5"/>
  <c r="D73" i="5"/>
  <c r="E73" i="5"/>
  <c r="E74" i="5" s="1"/>
  <c r="F73" i="5"/>
  <c r="G73" i="5"/>
  <c r="G74" i="5" s="1"/>
  <c r="H73" i="5"/>
  <c r="H74" i="5" s="1"/>
  <c r="I73" i="5"/>
  <c r="I74" i="5" s="1"/>
  <c r="J73" i="5"/>
  <c r="J74" i="5" s="1"/>
  <c r="K73" i="5"/>
  <c r="K74" i="5" s="1"/>
  <c r="L73" i="5"/>
  <c r="L74" i="5" s="1"/>
  <c r="M73" i="5"/>
  <c r="M74" i="5" s="1"/>
  <c r="N73" i="5"/>
  <c r="N74" i="5" s="1"/>
  <c r="O73" i="5"/>
  <c r="O74" i="5" s="1"/>
  <c r="P73" i="5"/>
  <c r="P74" i="5" s="1"/>
  <c r="Q73" i="5"/>
  <c r="Q74" i="5" s="1"/>
  <c r="R73" i="5"/>
  <c r="S73" i="5"/>
  <c r="S74" i="5" s="1"/>
  <c r="T73" i="5"/>
  <c r="T74" i="5" s="1"/>
  <c r="U73" i="5"/>
  <c r="U74" i="5" s="1"/>
  <c r="V73" i="5"/>
  <c r="V74" i="5" s="1"/>
  <c r="W73" i="5"/>
  <c r="W74" i="5" s="1"/>
  <c r="X73" i="5"/>
  <c r="X74" i="5" s="1"/>
  <c r="Y73" i="5"/>
  <c r="Y74" i="5" s="1"/>
  <c r="Z73" i="5"/>
  <c r="Z74" i="5" s="1"/>
  <c r="AA73" i="5"/>
  <c r="AA74" i="5" s="1"/>
  <c r="AB73" i="5"/>
  <c r="AB74" i="5" s="1"/>
  <c r="AC73" i="5"/>
  <c r="AC74" i="5" s="1"/>
  <c r="AD73" i="5"/>
  <c r="AE73" i="5"/>
  <c r="AE74" i="5" s="1"/>
  <c r="AF73" i="5"/>
  <c r="AF74" i="5" s="1"/>
  <c r="AG73" i="5"/>
  <c r="AG74" i="5" s="1"/>
  <c r="AH73" i="5"/>
  <c r="AH74" i="5" s="1"/>
  <c r="AI73" i="5"/>
  <c r="AI74" i="5" s="1"/>
  <c r="AJ73" i="5"/>
  <c r="AJ74" i="5" s="1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D77" i="5"/>
  <c r="D78" i="5"/>
  <c r="D79" i="5"/>
  <c r="D82" i="5" s="1"/>
  <c r="E82" i="5"/>
  <c r="D80" i="5"/>
  <c r="E80" i="5"/>
  <c r="F80" i="5"/>
  <c r="G80" i="5"/>
  <c r="H80" i="5"/>
  <c r="I80" i="5"/>
  <c r="J80" i="5"/>
  <c r="K80" i="5"/>
  <c r="L80" i="5"/>
  <c r="M80" i="5"/>
  <c r="N80" i="5"/>
  <c r="N81" i="5" s="1"/>
  <c r="O80" i="5"/>
  <c r="O81" i="5" s="1"/>
  <c r="P80" i="5"/>
  <c r="P81" i="5" s="1"/>
  <c r="Q80" i="5"/>
  <c r="Q81" i="5" s="1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J81" i="5" s="1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D84" i="5"/>
  <c r="D85" i="5"/>
  <c r="D86" i="5"/>
  <c r="D89" i="5" s="1"/>
  <c r="E89" i="5"/>
  <c r="D87" i="5"/>
  <c r="E87" i="5"/>
  <c r="F87" i="5"/>
  <c r="G87" i="5"/>
  <c r="H87" i="5"/>
  <c r="I87" i="5"/>
  <c r="J87" i="5"/>
  <c r="K87" i="5"/>
  <c r="L87" i="5"/>
  <c r="M87" i="5"/>
  <c r="N87" i="5"/>
  <c r="N88" i="5" s="1"/>
  <c r="O87" i="5"/>
  <c r="O88" i="5" s="1"/>
  <c r="P87" i="5"/>
  <c r="P88" i="5" s="1"/>
  <c r="Q87" i="5"/>
  <c r="Q88" i="5" s="1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J88" i="5" s="1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D91" i="5"/>
  <c r="D92" i="5"/>
  <c r="D93" i="5"/>
  <c r="D96" i="5" s="1"/>
  <c r="E96" i="5"/>
  <c r="D94" i="5"/>
  <c r="E94" i="5"/>
  <c r="F94" i="5"/>
  <c r="F95" i="5" s="1"/>
  <c r="G94" i="5"/>
  <c r="G95" i="5" s="1"/>
  <c r="H94" i="5"/>
  <c r="I94" i="5"/>
  <c r="J94" i="5"/>
  <c r="K94" i="5"/>
  <c r="K95" i="5" s="1"/>
  <c r="L94" i="5"/>
  <c r="M94" i="5"/>
  <c r="N94" i="5"/>
  <c r="N95" i="5" s="1"/>
  <c r="O94" i="5"/>
  <c r="O95" i="5" s="1"/>
  <c r="P94" i="5"/>
  <c r="P95" i="5" s="1"/>
  <c r="Q94" i="5"/>
  <c r="Q95" i="5" s="1"/>
  <c r="R94" i="5"/>
  <c r="S94" i="5"/>
  <c r="S95" i="5" s="1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J95" i="5" s="1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D98" i="5"/>
  <c r="D99" i="5"/>
  <c r="D100" i="5"/>
  <c r="D103" i="5" s="1"/>
  <c r="E103" i="5"/>
  <c r="D101" i="5"/>
  <c r="E101" i="5"/>
  <c r="E102" i="5" s="1"/>
  <c r="F101" i="5"/>
  <c r="G101" i="5"/>
  <c r="G102" i="5" s="1"/>
  <c r="H101" i="5"/>
  <c r="H102" i="5" s="1"/>
  <c r="I101" i="5"/>
  <c r="I102" i="5" s="1"/>
  <c r="J101" i="5"/>
  <c r="J102" i="5" s="1"/>
  <c r="K101" i="5"/>
  <c r="K102" i="5" s="1"/>
  <c r="L101" i="5"/>
  <c r="M101" i="5"/>
  <c r="M102" i="5" s="1"/>
  <c r="N101" i="5"/>
  <c r="N102" i="5" s="1"/>
  <c r="O101" i="5"/>
  <c r="O102" i="5" s="1"/>
  <c r="P101" i="5"/>
  <c r="P102" i="5" s="1"/>
  <c r="Q101" i="5"/>
  <c r="Q102" i="5" s="1"/>
  <c r="R101" i="5"/>
  <c r="S101" i="5"/>
  <c r="S102" i="5" s="1"/>
  <c r="T101" i="5"/>
  <c r="T102" i="5" s="1"/>
  <c r="U101" i="5"/>
  <c r="U102" i="5" s="1"/>
  <c r="V101" i="5"/>
  <c r="V102" i="5" s="1"/>
  <c r="W101" i="5"/>
  <c r="W102" i="5" s="1"/>
  <c r="X101" i="5"/>
  <c r="Y101" i="5"/>
  <c r="Z101" i="5"/>
  <c r="AA101" i="5"/>
  <c r="AB101" i="5"/>
  <c r="AC101" i="5"/>
  <c r="AC102" i="5" s="1"/>
  <c r="AD101" i="5"/>
  <c r="AE101" i="5"/>
  <c r="AE102" i="5" s="1"/>
  <c r="AF101" i="5"/>
  <c r="AF102" i="5" s="1"/>
  <c r="AG101" i="5"/>
  <c r="AG102" i="5" s="1"/>
  <c r="AH101" i="5"/>
  <c r="AH102" i="5" s="1"/>
  <c r="AI101" i="5"/>
  <c r="AI102" i="5" s="1"/>
  <c r="AJ101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D105" i="5"/>
  <c r="D106" i="5"/>
  <c r="D107" i="5"/>
  <c r="D110" i="5" s="1"/>
  <c r="E110" i="5"/>
  <c r="D108" i="5"/>
  <c r="E108" i="5"/>
  <c r="F108" i="5"/>
  <c r="G108" i="5"/>
  <c r="H108" i="5"/>
  <c r="I108" i="5"/>
  <c r="J108" i="5"/>
  <c r="K108" i="5"/>
  <c r="L108" i="5"/>
  <c r="M108" i="5"/>
  <c r="N108" i="5"/>
  <c r="N109" i="5" s="1"/>
  <c r="O108" i="5"/>
  <c r="O109" i="5" s="1"/>
  <c r="P108" i="5"/>
  <c r="P109" i="5" s="1"/>
  <c r="Q108" i="5"/>
  <c r="Q109" i="5" s="1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J109" i="5" s="1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D112" i="5"/>
  <c r="D113" i="5"/>
  <c r="D114" i="5"/>
  <c r="D117" i="5" s="1"/>
  <c r="E117" i="5"/>
  <c r="D115" i="5"/>
  <c r="E115" i="5"/>
  <c r="F115" i="5"/>
  <c r="F116" i="5" s="1"/>
  <c r="G115" i="5"/>
  <c r="H115" i="5"/>
  <c r="I115" i="5"/>
  <c r="J115" i="5"/>
  <c r="K115" i="5"/>
  <c r="L115" i="5"/>
  <c r="M115" i="5"/>
  <c r="N115" i="5"/>
  <c r="N116" i="5" s="1"/>
  <c r="O115" i="5"/>
  <c r="O116" i="5" s="1"/>
  <c r="P115" i="5"/>
  <c r="P116" i="5" s="1"/>
  <c r="Q115" i="5"/>
  <c r="Q116" i="5" s="1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J116" i="5" s="1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D119" i="5"/>
  <c r="D120" i="5"/>
  <c r="D121" i="5"/>
  <c r="D124" i="5" s="1"/>
  <c r="E124" i="5"/>
  <c r="D122" i="5"/>
  <c r="E122" i="5"/>
  <c r="F122" i="5"/>
  <c r="F123" i="5" s="1"/>
  <c r="G122" i="5"/>
  <c r="H122" i="5"/>
  <c r="I122" i="5"/>
  <c r="J122" i="5"/>
  <c r="K122" i="5"/>
  <c r="L122" i="5"/>
  <c r="M122" i="5"/>
  <c r="N122" i="5"/>
  <c r="N123" i="5" s="1"/>
  <c r="O122" i="5"/>
  <c r="O123" i="5" s="1"/>
  <c r="P122" i="5"/>
  <c r="P123" i="5" s="1"/>
  <c r="Q122" i="5"/>
  <c r="Q123" i="5" s="1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J123" i="5" s="1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D126" i="5"/>
  <c r="D127" i="5"/>
  <c r="D128" i="5"/>
  <c r="D131" i="5" s="1"/>
  <c r="E131" i="5"/>
  <c r="D129" i="5"/>
  <c r="E129" i="5"/>
  <c r="E130" i="5" s="1"/>
  <c r="F129" i="5"/>
  <c r="F130" i="5" s="1"/>
  <c r="G129" i="5"/>
  <c r="G130" i="5" s="1"/>
  <c r="H129" i="5"/>
  <c r="H130" i="5" s="1"/>
  <c r="I129" i="5"/>
  <c r="I130" i="5" s="1"/>
  <c r="J129" i="5"/>
  <c r="J130" i="5" s="1"/>
  <c r="K129" i="5"/>
  <c r="K130" i="5" s="1"/>
  <c r="L129" i="5"/>
  <c r="L130" i="5" s="1"/>
  <c r="M129" i="5"/>
  <c r="M130" i="5" s="1"/>
  <c r="N129" i="5"/>
  <c r="N130" i="5" s="1"/>
  <c r="O129" i="5"/>
  <c r="O130" i="5" s="1"/>
  <c r="P129" i="5"/>
  <c r="P130" i="5" s="1"/>
  <c r="Q129" i="5"/>
  <c r="Q130" i="5" s="1"/>
  <c r="R129" i="5"/>
  <c r="R130" i="5" s="1"/>
  <c r="S129" i="5"/>
  <c r="S130" i="5" s="1"/>
  <c r="T129" i="5"/>
  <c r="T130" i="5" s="1"/>
  <c r="U129" i="5"/>
  <c r="U130" i="5" s="1"/>
  <c r="V129" i="5"/>
  <c r="V130" i="5" s="1"/>
  <c r="W129" i="5"/>
  <c r="W130" i="5" s="1"/>
  <c r="X129" i="5"/>
  <c r="X130" i="5" s="1"/>
  <c r="Y129" i="5"/>
  <c r="Y130" i="5" s="1"/>
  <c r="Z129" i="5"/>
  <c r="Z130" i="5" s="1"/>
  <c r="AA129" i="5"/>
  <c r="AA130" i="5" s="1"/>
  <c r="AB129" i="5"/>
  <c r="AB130" i="5" s="1"/>
  <c r="AC129" i="5"/>
  <c r="AD129" i="5"/>
  <c r="AE129" i="5"/>
  <c r="AF129" i="5"/>
  <c r="AG129" i="5"/>
  <c r="AG130" i="5" s="1"/>
  <c r="AH129" i="5"/>
  <c r="AH130" i="5" s="1"/>
  <c r="AI129" i="5"/>
  <c r="AI130" i="5" s="1"/>
  <c r="AJ129" i="5"/>
  <c r="AJ130" i="5" s="1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D133" i="5"/>
  <c r="D134" i="5"/>
  <c r="D135" i="5"/>
  <c r="D138" i="5" s="1"/>
  <c r="E138" i="5"/>
  <c r="D136" i="5"/>
  <c r="E136" i="5"/>
  <c r="F136" i="5"/>
  <c r="F137" i="5" s="1"/>
  <c r="G136" i="5"/>
  <c r="H136" i="5"/>
  <c r="I136" i="5"/>
  <c r="J136" i="5"/>
  <c r="K136" i="5"/>
  <c r="L136" i="5"/>
  <c r="M136" i="5"/>
  <c r="N136" i="5"/>
  <c r="N137" i="5" s="1"/>
  <c r="O136" i="5"/>
  <c r="O137" i="5" s="1"/>
  <c r="P136" i="5"/>
  <c r="P137" i="5" s="1"/>
  <c r="Q136" i="5"/>
  <c r="Q137" i="5" s="1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J137" i="5" s="1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D140" i="5"/>
  <c r="D141" i="5"/>
  <c r="D142" i="5"/>
  <c r="D145" i="5" s="1"/>
  <c r="E145" i="5"/>
  <c r="D143" i="5"/>
  <c r="E143" i="5"/>
  <c r="E144" i="5" s="1"/>
  <c r="F143" i="5"/>
  <c r="F144" i="5" s="1"/>
  <c r="G143" i="5"/>
  <c r="G144" i="5" s="1"/>
  <c r="H143" i="5"/>
  <c r="H144" i="5" s="1"/>
  <c r="I143" i="5"/>
  <c r="I144" i="5" s="1"/>
  <c r="J143" i="5"/>
  <c r="J144" i="5" s="1"/>
  <c r="K143" i="5"/>
  <c r="K144" i="5" s="1"/>
  <c r="L143" i="5"/>
  <c r="L144" i="5" s="1"/>
  <c r="M143" i="5"/>
  <c r="M144" i="5" s="1"/>
  <c r="N143" i="5"/>
  <c r="N144" i="5" s="1"/>
  <c r="O143" i="5"/>
  <c r="O144" i="5" s="1"/>
  <c r="P143" i="5"/>
  <c r="P144" i="5" s="1"/>
  <c r="Q143" i="5"/>
  <c r="Q144" i="5" s="1"/>
  <c r="R143" i="5"/>
  <c r="R144" i="5" s="1"/>
  <c r="S143" i="5"/>
  <c r="S144" i="5" s="1"/>
  <c r="T143" i="5"/>
  <c r="T144" i="5" s="1"/>
  <c r="U143" i="5"/>
  <c r="U144" i="5" s="1"/>
  <c r="V143" i="5"/>
  <c r="V144" i="5" s="1"/>
  <c r="W143" i="5"/>
  <c r="W144" i="5" s="1"/>
  <c r="X143" i="5"/>
  <c r="X144" i="5" s="1"/>
  <c r="Y143" i="5"/>
  <c r="Y144" i="5" s="1"/>
  <c r="Z143" i="5"/>
  <c r="Z144" i="5" s="1"/>
  <c r="AA143" i="5"/>
  <c r="AA144" i="5" s="1"/>
  <c r="AB143" i="5"/>
  <c r="AB144" i="5" s="1"/>
  <c r="AC143" i="5"/>
  <c r="AD143" i="5"/>
  <c r="AE143" i="5"/>
  <c r="AF143" i="5"/>
  <c r="AG143" i="5"/>
  <c r="AG144" i="5" s="1"/>
  <c r="AH143" i="5"/>
  <c r="AH144" i="5" s="1"/>
  <c r="AI143" i="5"/>
  <c r="AI144" i="5" s="1"/>
  <c r="AJ143" i="5"/>
  <c r="AJ144" i="5" s="1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D147" i="5"/>
  <c r="D148" i="5"/>
  <c r="D149" i="5"/>
  <c r="D152" i="5" s="1"/>
  <c r="E152" i="5"/>
  <c r="D150" i="5"/>
  <c r="E150" i="5"/>
  <c r="F150" i="5"/>
  <c r="G150" i="5"/>
  <c r="H150" i="5"/>
  <c r="I150" i="5"/>
  <c r="J150" i="5"/>
  <c r="K150" i="5"/>
  <c r="L150" i="5"/>
  <c r="M150" i="5"/>
  <c r="N150" i="5"/>
  <c r="N151" i="5" s="1"/>
  <c r="O150" i="5"/>
  <c r="O151" i="5" s="1"/>
  <c r="P150" i="5"/>
  <c r="P151" i="5" s="1"/>
  <c r="Q150" i="5"/>
  <c r="Q151" i="5" s="1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J151" i="5" s="1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D154" i="5"/>
  <c r="D155" i="5"/>
  <c r="D156" i="5"/>
  <c r="D159" i="5" s="1"/>
  <c r="E159" i="5"/>
  <c r="D157" i="5"/>
  <c r="E157" i="5"/>
  <c r="F157" i="5"/>
  <c r="F158" i="5" s="1"/>
  <c r="G157" i="5"/>
  <c r="G158" i="5" s="1"/>
  <c r="H157" i="5"/>
  <c r="H158" i="5" s="1"/>
  <c r="I157" i="5"/>
  <c r="J157" i="5"/>
  <c r="J158" i="5" s="1"/>
  <c r="K157" i="5"/>
  <c r="L157" i="5"/>
  <c r="L158" i="5" s="1"/>
  <c r="M157" i="5"/>
  <c r="M158" i="5" s="1"/>
  <c r="N157" i="5"/>
  <c r="N158" i="5" s="1"/>
  <c r="O157" i="5"/>
  <c r="O158" i="5" s="1"/>
  <c r="P157" i="5"/>
  <c r="P158" i="5" s="1"/>
  <c r="Q157" i="5"/>
  <c r="Q158" i="5" s="1"/>
  <c r="R157" i="5"/>
  <c r="S157" i="5"/>
  <c r="S158" i="5" s="1"/>
  <c r="T157" i="5"/>
  <c r="U157" i="5"/>
  <c r="V157" i="5"/>
  <c r="W157" i="5"/>
  <c r="X157" i="5"/>
  <c r="Y157" i="5"/>
  <c r="Z157" i="5"/>
  <c r="AA157" i="5"/>
  <c r="AB157" i="5"/>
  <c r="AC157" i="5"/>
  <c r="AC158" i="5" s="1"/>
  <c r="AD157" i="5"/>
  <c r="AD158" i="5" s="1"/>
  <c r="AE157" i="5"/>
  <c r="AE158" i="5" s="1"/>
  <c r="AF157" i="5"/>
  <c r="AF158" i="5" s="1"/>
  <c r="AG157" i="5"/>
  <c r="AG158" i="5" s="1"/>
  <c r="AH157" i="5"/>
  <c r="AI157" i="5"/>
  <c r="AJ157" i="5"/>
  <c r="AJ158" i="5" s="1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BB159" i="5"/>
  <c r="BC159" i="5"/>
  <c r="BD159" i="5"/>
  <c r="BE159" i="5"/>
  <c r="BF159" i="5"/>
  <c r="BG159" i="5"/>
  <c r="BH159" i="5"/>
  <c r="BI159" i="5"/>
  <c r="BJ159" i="5"/>
  <c r="BK159" i="5"/>
  <c r="BL159" i="5"/>
  <c r="BM159" i="5"/>
  <c r="BN159" i="5"/>
  <c r="BO159" i="5"/>
  <c r="BP159" i="5"/>
  <c r="BQ159" i="5"/>
  <c r="BR159" i="5"/>
  <c r="BS159" i="5"/>
  <c r="BT159" i="5"/>
  <c r="BU159" i="5"/>
  <c r="BV159" i="5"/>
  <c r="BW159" i="5"/>
  <c r="BX159" i="5"/>
  <c r="BY159" i="5"/>
  <c r="BZ159" i="5"/>
  <c r="CA159" i="5"/>
  <c r="CB159" i="5"/>
  <c r="CC159" i="5"/>
  <c r="D161" i="5"/>
  <c r="D162" i="5"/>
  <c r="D163" i="5"/>
  <c r="D166" i="5" s="1"/>
  <c r="E166" i="5"/>
  <c r="D164" i="5"/>
  <c r="E164" i="5"/>
  <c r="E165" i="5" s="1"/>
  <c r="F164" i="5"/>
  <c r="F165" i="5" s="1"/>
  <c r="G164" i="5"/>
  <c r="G165" i="5" s="1"/>
  <c r="H164" i="5"/>
  <c r="H165" i="5" s="1"/>
  <c r="I164" i="5"/>
  <c r="I165" i="5" s="1"/>
  <c r="J164" i="5"/>
  <c r="J165" i="5" s="1"/>
  <c r="K164" i="5"/>
  <c r="K165" i="5" s="1"/>
  <c r="L164" i="5"/>
  <c r="L165" i="5" s="1"/>
  <c r="M164" i="5"/>
  <c r="M165" i="5" s="1"/>
  <c r="N164" i="5"/>
  <c r="N165" i="5" s="1"/>
  <c r="O164" i="5"/>
  <c r="O165" i="5" s="1"/>
  <c r="P164" i="5"/>
  <c r="P165" i="5" s="1"/>
  <c r="Q164" i="5"/>
  <c r="Q165" i="5" s="1"/>
  <c r="R164" i="5"/>
  <c r="R165" i="5" s="1"/>
  <c r="S164" i="5"/>
  <c r="S165" i="5" s="1"/>
  <c r="T164" i="5"/>
  <c r="T165" i="5" s="1"/>
  <c r="U164" i="5"/>
  <c r="U165" i="5" s="1"/>
  <c r="V164" i="5"/>
  <c r="V165" i="5" s="1"/>
  <c r="W164" i="5"/>
  <c r="W165" i="5" s="1"/>
  <c r="X164" i="5"/>
  <c r="X165" i="5" s="1"/>
  <c r="Y164" i="5"/>
  <c r="Y165" i="5" s="1"/>
  <c r="Z164" i="5"/>
  <c r="Z165" i="5" s="1"/>
  <c r="AA164" i="5"/>
  <c r="AA165" i="5" s="1"/>
  <c r="AB164" i="5"/>
  <c r="AB165" i="5" s="1"/>
  <c r="AC164" i="5"/>
  <c r="AC165" i="5" s="1"/>
  <c r="AD164" i="5"/>
  <c r="AD165" i="5" s="1"/>
  <c r="AE164" i="5"/>
  <c r="AE165" i="5" s="1"/>
  <c r="AF164" i="5"/>
  <c r="AF165" i="5" s="1"/>
  <c r="AG164" i="5"/>
  <c r="AG165" i="5" s="1"/>
  <c r="AH164" i="5"/>
  <c r="AH165" i="5" s="1"/>
  <c r="AI164" i="5"/>
  <c r="AI165" i="5" s="1"/>
  <c r="AJ164" i="5"/>
  <c r="AJ165" i="5" s="1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BB166" i="5"/>
  <c r="BC166" i="5"/>
  <c r="BD166" i="5"/>
  <c r="BE166" i="5"/>
  <c r="BF166" i="5"/>
  <c r="BG166" i="5"/>
  <c r="BH166" i="5"/>
  <c r="BI166" i="5"/>
  <c r="BJ166" i="5"/>
  <c r="BK166" i="5"/>
  <c r="BL166" i="5"/>
  <c r="BM166" i="5"/>
  <c r="BN166" i="5"/>
  <c r="BO166" i="5"/>
  <c r="BP166" i="5"/>
  <c r="BQ166" i="5"/>
  <c r="BR166" i="5"/>
  <c r="BS166" i="5"/>
  <c r="BT166" i="5"/>
  <c r="BU166" i="5"/>
  <c r="BV166" i="5"/>
  <c r="BW166" i="5"/>
  <c r="BX166" i="5"/>
  <c r="BY166" i="5"/>
  <c r="BZ166" i="5"/>
  <c r="CA166" i="5"/>
  <c r="CB166" i="5"/>
  <c r="CC166" i="5"/>
  <c r="D168" i="5"/>
  <c r="D169" i="5"/>
  <c r="D170" i="5"/>
  <c r="D173" i="5" s="1"/>
  <c r="E173" i="5"/>
  <c r="D171" i="5"/>
  <c r="E171" i="5"/>
  <c r="E172" i="5" s="1"/>
  <c r="F171" i="5"/>
  <c r="F172" i="5" s="1"/>
  <c r="G171" i="5"/>
  <c r="G172" i="5" s="1"/>
  <c r="H171" i="5"/>
  <c r="H172" i="5" s="1"/>
  <c r="I171" i="5"/>
  <c r="I172" i="5" s="1"/>
  <c r="J171" i="5"/>
  <c r="J172" i="5" s="1"/>
  <c r="K171" i="5"/>
  <c r="K172" i="5" s="1"/>
  <c r="L171" i="5"/>
  <c r="L172" i="5" s="1"/>
  <c r="M171" i="5"/>
  <c r="M172" i="5" s="1"/>
  <c r="N171" i="5"/>
  <c r="N172" i="5" s="1"/>
  <c r="O171" i="5"/>
  <c r="O172" i="5" s="1"/>
  <c r="P171" i="5"/>
  <c r="P172" i="5" s="1"/>
  <c r="Q171" i="5"/>
  <c r="Q172" i="5" s="1"/>
  <c r="R171" i="5"/>
  <c r="R172" i="5" s="1"/>
  <c r="S171" i="5"/>
  <c r="S172" i="5" s="1"/>
  <c r="T171" i="5"/>
  <c r="T172" i="5" s="1"/>
  <c r="U171" i="5"/>
  <c r="V171" i="5"/>
  <c r="W171" i="5"/>
  <c r="X171" i="5"/>
  <c r="Y171" i="5"/>
  <c r="Y172" i="5" s="1"/>
  <c r="Z171" i="5"/>
  <c r="Z172" i="5" s="1"/>
  <c r="AA171" i="5"/>
  <c r="AA172" i="5" s="1"/>
  <c r="AB171" i="5"/>
  <c r="AB172" i="5" s="1"/>
  <c r="AC171" i="5"/>
  <c r="AC172" i="5" s="1"/>
  <c r="AD171" i="5"/>
  <c r="AD172" i="5" s="1"/>
  <c r="AE171" i="5"/>
  <c r="AE172" i="5" s="1"/>
  <c r="AF171" i="5"/>
  <c r="AF172" i="5" s="1"/>
  <c r="AG171" i="5"/>
  <c r="AG172" i="5" s="1"/>
  <c r="AH171" i="5"/>
  <c r="AH172" i="5" s="1"/>
  <c r="AI171" i="5"/>
  <c r="AI172" i="5" s="1"/>
  <c r="AJ171" i="5"/>
  <c r="AJ172" i="5" s="1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AV173" i="5"/>
  <c r="AW173" i="5"/>
  <c r="AX173" i="5"/>
  <c r="AY173" i="5"/>
  <c r="AZ173" i="5"/>
  <c r="BA173" i="5"/>
  <c r="BB173" i="5"/>
  <c r="BC173" i="5"/>
  <c r="BD173" i="5"/>
  <c r="BE173" i="5"/>
  <c r="BF173" i="5"/>
  <c r="BG173" i="5"/>
  <c r="BH173" i="5"/>
  <c r="BI173" i="5"/>
  <c r="BJ173" i="5"/>
  <c r="BK173" i="5"/>
  <c r="BL173" i="5"/>
  <c r="BM173" i="5"/>
  <c r="BN173" i="5"/>
  <c r="BO173" i="5"/>
  <c r="BP173" i="5"/>
  <c r="BQ173" i="5"/>
  <c r="BR173" i="5"/>
  <c r="BS173" i="5"/>
  <c r="BT173" i="5"/>
  <c r="BU173" i="5"/>
  <c r="BV173" i="5"/>
  <c r="BW173" i="5"/>
  <c r="BX173" i="5"/>
  <c r="BY173" i="5"/>
  <c r="BZ173" i="5"/>
  <c r="CA173" i="5"/>
  <c r="CB173" i="5"/>
  <c r="CC173" i="5"/>
  <c r="D175" i="5"/>
  <c r="D176" i="5"/>
  <c r="D177" i="5"/>
  <c r="D180" i="5" s="1"/>
  <c r="E180" i="5"/>
  <c r="D178" i="5"/>
  <c r="E178" i="5"/>
  <c r="F178" i="5"/>
  <c r="G178" i="5"/>
  <c r="G179" i="5" s="1"/>
  <c r="H178" i="5"/>
  <c r="I178" i="5"/>
  <c r="I179" i="5" s="1"/>
  <c r="J178" i="5"/>
  <c r="J179" i="5" s="1"/>
  <c r="K178" i="5"/>
  <c r="K179" i="5" s="1"/>
  <c r="L178" i="5"/>
  <c r="L179" i="5" s="1"/>
  <c r="M178" i="5"/>
  <c r="M179" i="5" s="1"/>
  <c r="N178" i="5"/>
  <c r="N179" i="5" s="1"/>
  <c r="O178" i="5"/>
  <c r="O179" i="5" s="1"/>
  <c r="P178" i="5"/>
  <c r="P179" i="5" s="1"/>
  <c r="Q178" i="5"/>
  <c r="Q179" i="5" s="1"/>
  <c r="R178" i="5"/>
  <c r="R179" i="5" s="1"/>
  <c r="S178" i="5"/>
  <c r="S179" i="5" s="1"/>
  <c r="T178" i="5"/>
  <c r="T179" i="5" s="1"/>
  <c r="U178" i="5"/>
  <c r="U179" i="5" s="1"/>
  <c r="V178" i="5"/>
  <c r="V179" i="5" s="1"/>
  <c r="W178" i="5"/>
  <c r="W179" i="5" s="1"/>
  <c r="X178" i="5"/>
  <c r="X179" i="5" s="1"/>
  <c r="Y178" i="5"/>
  <c r="Y179" i="5" s="1"/>
  <c r="Z178" i="5"/>
  <c r="Z179" i="5" s="1"/>
  <c r="AA178" i="5"/>
  <c r="AA179" i="5" s="1"/>
  <c r="AB178" i="5"/>
  <c r="AB179" i="5" s="1"/>
  <c r="AC178" i="5"/>
  <c r="AC179" i="5" s="1"/>
  <c r="AD178" i="5"/>
  <c r="AD179" i="5" s="1"/>
  <c r="AE178" i="5"/>
  <c r="AE179" i="5" s="1"/>
  <c r="AF178" i="5"/>
  <c r="AF179" i="5" s="1"/>
  <c r="AG178" i="5"/>
  <c r="AG179" i="5" s="1"/>
  <c r="AH178" i="5"/>
  <c r="AH179" i="5" s="1"/>
  <c r="AI178" i="5"/>
  <c r="AI179" i="5" s="1"/>
  <c r="AJ178" i="5"/>
  <c r="AJ179" i="5" s="1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BB180" i="5"/>
  <c r="BC180" i="5"/>
  <c r="BD180" i="5"/>
  <c r="BE180" i="5"/>
  <c r="BF180" i="5"/>
  <c r="BG180" i="5"/>
  <c r="BH180" i="5"/>
  <c r="BI180" i="5"/>
  <c r="BJ180" i="5"/>
  <c r="BK180" i="5"/>
  <c r="BL180" i="5"/>
  <c r="BM180" i="5"/>
  <c r="BN180" i="5"/>
  <c r="BO180" i="5"/>
  <c r="BP180" i="5"/>
  <c r="BQ180" i="5"/>
  <c r="BR180" i="5"/>
  <c r="BS180" i="5"/>
  <c r="BT180" i="5"/>
  <c r="BU180" i="5"/>
  <c r="BV180" i="5"/>
  <c r="BW180" i="5"/>
  <c r="BX180" i="5"/>
  <c r="BY180" i="5"/>
  <c r="BZ180" i="5"/>
  <c r="CA180" i="5"/>
  <c r="CB180" i="5"/>
  <c r="CC180" i="5"/>
  <c r="D182" i="5"/>
  <c r="D183" i="5"/>
  <c r="D184" i="5"/>
  <c r="D187" i="5" s="1"/>
  <c r="E187" i="5"/>
  <c r="D185" i="5"/>
  <c r="E185" i="5"/>
  <c r="E186" i="5" s="1"/>
  <c r="F185" i="5"/>
  <c r="F186" i="5" s="1"/>
  <c r="G185" i="5"/>
  <c r="G186" i="5" s="1"/>
  <c r="H185" i="5"/>
  <c r="H186" i="5" s="1"/>
  <c r="I185" i="5"/>
  <c r="I186" i="5" s="1"/>
  <c r="J185" i="5"/>
  <c r="J186" i="5" s="1"/>
  <c r="K185" i="5"/>
  <c r="K186" i="5" s="1"/>
  <c r="L185" i="5"/>
  <c r="L186" i="5" s="1"/>
  <c r="M185" i="5"/>
  <c r="M186" i="5" s="1"/>
  <c r="N185" i="5"/>
  <c r="N186" i="5" s="1"/>
  <c r="O185" i="5"/>
  <c r="O186" i="5" s="1"/>
  <c r="P185" i="5"/>
  <c r="P186" i="5" s="1"/>
  <c r="Q185" i="5"/>
  <c r="Q186" i="5" s="1"/>
  <c r="R185" i="5"/>
  <c r="R186" i="5" s="1"/>
  <c r="S185" i="5"/>
  <c r="S186" i="5" s="1"/>
  <c r="T185" i="5"/>
  <c r="T186" i="5" s="1"/>
  <c r="U185" i="5"/>
  <c r="U186" i="5" s="1"/>
  <c r="V185" i="5"/>
  <c r="V186" i="5" s="1"/>
  <c r="W185" i="5"/>
  <c r="W186" i="5" s="1"/>
  <c r="X185" i="5"/>
  <c r="X186" i="5" s="1"/>
  <c r="Y185" i="5"/>
  <c r="Y186" i="5" s="1"/>
  <c r="Z185" i="5"/>
  <c r="Z186" i="5" s="1"/>
  <c r="AA185" i="5"/>
  <c r="AA186" i="5" s="1"/>
  <c r="AB185" i="5"/>
  <c r="AB186" i="5" s="1"/>
  <c r="AC185" i="5"/>
  <c r="AC186" i="5" s="1"/>
  <c r="AD185" i="5"/>
  <c r="AD186" i="5" s="1"/>
  <c r="AE185" i="5"/>
  <c r="AE186" i="5" s="1"/>
  <c r="AF185" i="5"/>
  <c r="AF186" i="5" s="1"/>
  <c r="AG185" i="5"/>
  <c r="AG186" i="5" s="1"/>
  <c r="AH185" i="5"/>
  <c r="AH186" i="5" s="1"/>
  <c r="AI185" i="5"/>
  <c r="AI186" i="5" s="1"/>
  <c r="AJ185" i="5"/>
  <c r="AJ186" i="5" s="1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BB187" i="5"/>
  <c r="BC187" i="5"/>
  <c r="BD187" i="5"/>
  <c r="BE187" i="5"/>
  <c r="BF187" i="5"/>
  <c r="BG187" i="5"/>
  <c r="BH187" i="5"/>
  <c r="BI187" i="5"/>
  <c r="BJ187" i="5"/>
  <c r="BK187" i="5"/>
  <c r="BL187" i="5"/>
  <c r="BM187" i="5"/>
  <c r="BN187" i="5"/>
  <c r="BO187" i="5"/>
  <c r="BP187" i="5"/>
  <c r="BQ187" i="5"/>
  <c r="BR187" i="5"/>
  <c r="BS187" i="5"/>
  <c r="BT187" i="5"/>
  <c r="BU187" i="5"/>
  <c r="BV187" i="5"/>
  <c r="BW187" i="5"/>
  <c r="BX187" i="5"/>
  <c r="BY187" i="5"/>
  <c r="BZ187" i="5"/>
  <c r="CA187" i="5"/>
  <c r="CB187" i="5"/>
  <c r="CC187" i="5"/>
  <c r="D189" i="5"/>
  <c r="D190" i="5"/>
  <c r="D191" i="5"/>
  <c r="D194" i="5" s="1"/>
  <c r="D192" i="5"/>
  <c r="E192" i="5"/>
  <c r="E193" i="5" s="1"/>
  <c r="F192" i="5"/>
  <c r="F193" i="5" s="1"/>
  <c r="G192" i="5"/>
  <c r="G193" i="5" s="1"/>
  <c r="H192" i="5"/>
  <c r="H193" i="5" s="1"/>
  <c r="I192" i="5"/>
  <c r="I193" i="5" s="1"/>
  <c r="J192" i="5"/>
  <c r="J193" i="5" s="1"/>
  <c r="K192" i="5"/>
  <c r="K193" i="5" s="1"/>
  <c r="L192" i="5"/>
  <c r="L193" i="5" s="1"/>
  <c r="M192" i="5"/>
  <c r="M193" i="5" s="1"/>
  <c r="N192" i="5"/>
  <c r="N193" i="5" s="1"/>
  <c r="O192" i="5"/>
  <c r="O193" i="5" s="1"/>
  <c r="P192" i="5"/>
  <c r="P193" i="5" s="1"/>
  <c r="Q192" i="5"/>
  <c r="Q193" i="5" s="1"/>
  <c r="R192" i="5"/>
  <c r="R193" i="5" s="1"/>
  <c r="S192" i="5"/>
  <c r="S193" i="5" s="1"/>
  <c r="T192" i="5"/>
  <c r="T193" i="5" s="1"/>
  <c r="U192" i="5"/>
  <c r="U193" i="5" s="1"/>
  <c r="V192" i="5"/>
  <c r="V193" i="5" s="1"/>
  <c r="W192" i="5"/>
  <c r="W193" i="5" s="1"/>
  <c r="X192" i="5"/>
  <c r="X193" i="5" s="1"/>
  <c r="Y192" i="5"/>
  <c r="Y193" i="5" s="1"/>
  <c r="Z192" i="5"/>
  <c r="Z193" i="5" s="1"/>
  <c r="AA192" i="5"/>
  <c r="AA193" i="5" s="1"/>
  <c r="AB192" i="5"/>
  <c r="AB193" i="5" s="1"/>
  <c r="AC192" i="5"/>
  <c r="AC193" i="5" s="1"/>
  <c r="AD192" i="5"/>
  <c r="AD193" i="5" s="1"/>
  <c r="AE192" i="5"/>
  <c r="AE193" i="5" s="1"/>
  <c r="AF192" i="5"/>
  <c r="AF193" i="5" s="1"/>
  <c r="AG192" i="5"/>
  <c r="AG193" i="5" s="1"/>
  <c r="AH192" i="5"/>
  <c r="AH193" i="5" s="1"/>
  <c r="AI192" i="5"/>
  <c r="AI193" i="5" s="1"/>
  <c r="AJ192" i="5"/>
  <c r="AJ193" i="5" s="1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BB194" i="5"/>
  <c r="BC194" i="5"/>
  <c r="BD194" i="5"/>
  <c r="BE194" i="5"/>
  <c r="BF194" i="5"/>
  <c r="BG194" i="5"/>
  <c r="BH194" i="5"/>
  <c r="BI194" i="5"/>
  <c r="BJ194" i="5"/>
  <c r="BK194" i="5"/>
  <c r="BL194" i="5"/>
  <c r="BM194" i="5"/>
  <c r="BN194" i="5"/>
  <c r="BO194" i="5"/>
  <c r="BP194" i="5"/>
  <c r="BQ194" i="5"/>
  <c r="BR194" i="5"/>
  <c r="BS194" i="5"/>
  <c r="BT194" i="5"/>
  <c r="BU194" i="5"/>
  <c r="BV194" i="5"/>
  <c r="BW194" i="5"/>
  <c r="BX194" i="5"/>
  <c r="BY194" i="5"/>
  <c r="BZ194" i="5"/>
  <c r="CA194" i="5"/>
  <c r="CB194" i="5"/>
  <c r="CC194" i="5"/>
  <c r="D196" i="5"/>
  <c r="D197" i="5"/>
  <c r="D198" i="5"/>
  <c r="D201" i="5" s="1"/>
  <c r="E201" i="5"/>
  <c r="D199" i="5"/>
  <c r="E199" i="5"/>
  <c r="F199" i="5"/>
  <c r="F200" i="5" s="1"/>
  <c r="G199" i="5"/>
  <c r="G200" i="5" s="1"/>
  <c r="H199" i="5"/>
  <c r="I199" i="5"/>
  <c r="I200" i="5" s="1"/>
  <c r="J199" i="5"/>
  <c r="J200" i="5" s="1"/>
  <c r="K199" i="5"/>
  <c r="L199" i="5"/>
  <c r="L200" i="5" s="1"/>
  <c r="M199" i="5"/>
  <c r="N199" i="5"/>
  <c r="N200" i="5" s="1"/>
  <c r="O199" i="5"/>
  <c r="O200" i="5" s="1"/>
  <c r="P199" i="5"/>
  <c r="P200" i="5" s="1"/>
  <c r="Q199" i="5"/>
  <c r="Q200" i="5" s="1"/>
  <c r="R199" i="5"/>
  <c r="R200" i="5" s="1"/>
  <c r="S199" i="5"/>
  <c r="S200" i="5" s="1"/>
  <c r="T199" i="5"/>
  <c r="T200" i="5" s="1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G200" i="5" s="1"/>
  <c r="AH199" i="5"/>
  <c r="AI199" i="5"/>
  <c r="AJ199" i="5"/>
  <c r="AJ200" i="5" s="1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BB201" i="5"/>
  <c r="BC201" i="5"/>
  <c r="BD201" i="5"/>
  <c r="BE201" i="5"/>
  <c r="BF201" i="5"/>
  <c r="BG201" i="5"/>
  <c r="BH201" i="5"/>
  <c r="BI201" i="5"/>
  <c r="BJ201" i="5"/>
  <c r="BK201" i="5"/>
  <c r="BL201" i="5"/>
  <c r="BM201" i="5"/>
  <c r="BN201" i="5"/>
  <c r="BO201" i="5"/>
  <c r="BP201" i="5"/>
  <c r="BQ201" i="5"/>
  <c r="BR201" i="5"/>
  <c r="BS201" i="5"/>
  <c r="BT201" i="5"/>
  <c r="BU201" i="5"/>
  <c r="BV201" i="5"/>
  <c r="BW201" i="5"/>
  <c r="BX201" i="5"/>
  <c r="BY201" i="5"/>
  <c r="BZ201" i="5"/>
  <c r="CA201" i="5"/>
  <c r="CB201" i="5"/>
  <c r="CC201" i="5"/>
  <c r="D203" i="5"/>
  <c r="D204" i="5"/>
  <c r="D205" i="5"/>
  <c r="D208" i="5" s="1"/>
  <c r="E208" i="5"/>
  <c r="D206" i="5"/>
  <c r="E206" i="5"/>
  <c r="E207" i="5" s="1"/>
  <c r="F206" i="5"/>
  <c r="F207" i="5" s="1"/>
  <c r="G206" i="5"/>
  <c r="G207" i="5" s="1"/>
  <c r="H206" i="5"/>
  <c r="H207" i="5" s="1"/>
  <c r="I206" i="5"/>
  <c r="I207" i="5" s="1"/>
  <c r="J206" i="5"/>
  <c r="J207" i="5" s="1"/>
  <c r="K206" i="5"/>
  <c r="K207" i="5" s="1"/>
  <c r="L206" i="5"/>
  <c r="L207" i="5" s="1"/>
  <c r="M206" i="5"/>
  <c r="M207" i="5" s="1"/>
  <c r="N206" i="5"/>
  <c r="N207" i="5" s="1"/>
  <c r="O206" i="5"/>
  <c r="O207" i="5" s="1"/>
  <c r="P206" i="5"/>
  <c r="P207" i="5" s="1"/>
  <c r="Q206" i="5"/>
  <c r="Q207" i="5" s="1"/>
  <c r="R206" i="5"/>
  <c r="R207" i="5" s="1"/>
  <c r="S206" i="5"/>
  <c r="S207" i="5" s="1"/>
  <c r="T206" i="5"/>
  <c r="T207" i="5" s="1"/>
  <c r="U206" i="5"/>
  <c r="U207" i="5" s="1"/>
  <c r="V206" i="5"/>
  <c r="V207" i="5" s="1"/>
  <c r="W206" i="5"/>
  <c r="W207" i="5" s="1"/>
  <c r="X206" i="5"/>
  <c r="X207" i="5" s="1"/>
  <c r="Y206" i="5"/>
  <c r="Y207" i="5" s="1"/>
  <c r="Z206" i="5"/>
  <c r="Z207" i="5" s="1"/>
  <c r="AA206" i="5"/>
  <c r="AA207" i="5" s="1"/>
  <c r="AB206" i="5"/>
  <c r="AB207" i="5" s="1"/>
  <c r="AC206" i="5"/>
  <c r="AC207" i="5" s="1"/>
  <c r="AD206" i="5"/>
  <c r="AD207" i="5" s="1"/>
  <c r="AE206" i="5"/>
  <c r="AE207" i="5" s="1"/>
  <c r="AF206" i="5"/>
  <c r="AF207" i="5" s="1"/>
  <c r="AG206" i="5"/>
  <c r="AG207" i="5" s="1"/>
  <c r="AH206" i="5"/>
  <c r="AH207" i="5" s="1"/>
  <c r="AI206" i="5"/>
  <c r="AI207" i="5" s="1"/>
  <c r="AJ206" i="5"/>
  <c r="AJ207" i="5" s="1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BB208" i="5"/>
  <c r="BC208" i="5"/>
  <c r="BD208" i="5"/>
  <c r="BE208" i="5"/>
  <c r="BF208" i="5"/>
  <c r="BG208" i="5"/>
  <c r="BH208" i="5"/>
  <c r="BI208" i="5"/>
  <c r="BJ208" i="5"/>
  <c r="BK208" i="5"/>
  <c r="BL208" i="5"/>
  <c r="BM208" i="5"/>
  <c r="BN208" i="5"/>
  <c r="BO208" i="5"/>
  <c r="BP208" i="5"/>
  <c r="BQ208" i="5"/>
  <c r="BR208" i="5"/>
  <c r="BS208" i="5"/>
  <c r="BT208" i="5"/>
  <c r="BU208" i="5"/>
  <c r="BV208" i="5"/>
  <c r="BW208" i="5"/>
  <c r="BX208" i="5"/>
  <c r="BY208" i="5"/>
  <c r="BZ208" i="5"/>
  <c r="CA208" i="5"/>
  <c r="CB208" i="5"/>
  <c r="CC208" i="5"/>
  <c r="D210" i="5"/>
  <c r="D211" i="5"/>
  <c r="D212" i="5"/>
  <c r="D215" i="5" s="1"/>
  <c r="E215" i="5"/>
  <c r="D213" i="5"/>
  <c r="E213" i="5"/>
  <c r="F213" i="5"/>
  <c r="F214" i="5" s="1"/>
  <c r="G213" i="5"/>
  <c r="H213" i="5"/>
  <c r="H214" i="5" s="1"/>
  <c r="I213" i="5"/>
  <c r="J213" i="5"/>
  <c r="J214" i="5" s="1"/>
  <c r="K213" i="5"/>
  <c r="K214" i="5" s="1"/>
  <c r="L213" i="5"/>
  <c r="L214" i="5" s="1"/>
  <c r="M213" i="5"/>
  <c r="N213" i="5"/>
  <c r="N214" i="5" s="1"/>
  <c r="O213" i="5"/>
  <c r="O214" i="5" s="1"/>
  <c r="P213" i="5"/>
  <c r="P214" i="5" s="1"/>
  <c r="Q213" i="5"/>
  <c r="Q214" i="5" s="1"/>
  <c r="R213" i="5"/>
  <c r="R214" i="5" s="1"/>
  <c r="S213" i="5"/>
  <c r="T213" i="5"/>
  <c r="T214" i="5" s="1"/>
  <c r="U213" i="5"/>
  <c r="V213" i="5"/>
  <c r="W213" i="5"/>
  <c r="X213" i="5"/>
  <c r="Y213" i="5"/>
  <c r="Y214" i="5" s="1"/>
  <c r="Z213" i="5"/>
  <c r="Z214" i="5" s="1"/>
  <c r="AA213" i="5"/>
  <c r="AA214" i="5" s="1"/>
  <c r="AB213" i="5"/>
  <c r="AB214" i="5" s="1"/>
  <c r="AC213" i="5"/>
  <c r="AD213" i="5"/>
  <c r="AE213" i="5"/>
  <c r="AF213" i="5"/>
  <c r="AG213" i="5"/>
  <c r="AH213" i="5"/>
  <c r="AH214" i="5" s="1"/>
  <c r="AI213" i="5"/>
  <c r="AI214" i="5" s="1"/>
  <c r="AJ213" i="5"/>
  <c r="AJ214" i="5" s="1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AV215" i="5"/>
  <c r="AW215" i="5"/>
  <c r="AX215" i="5"/>
  <c r="AY215" i="5"/>
  <c r="AZ215" i="5"/>
  <c r="BA215" i="5"/>
  <c r="BB215" i="5"/>
  <c r="BC215" i="5"/>
  <c r="BD215" i="5"/>
  <c r="BE215" i="5"/>
  <c r="BF215" i="5"/>
  <c r="BG215" i="5"/>
  <c r="BH215" i="5"/>
  <c r="BI215" i="5"/>
  <c r="BJ215" i="5"/>
  <c r="BK215" i="5"/>
  <c r="BL215" i="5"/>
  <c r="BM215" i="5"/>
  <c r="BN215" i="5"/>
  <c r="BO215" i="5"/>
  <c r="BP215" i="5"/>
  <c r="BQ215" i="5"/>
  <c r="BR215" i="5"/>
  <c r="BS215" i="5"/>
  <c r="BT215" i="5"/>
  <c r="BU215" i="5"/>
  <c r="BV215" i="5"/>
  <c r="BW215" i="5"/>
  <c r="BX215" i="5"/>
  <c r="BY215" i="5"/>
  <c r="BZ215" i="5"/>
  <c r="CA215" i="5"/>
  <c r="CB215" i="5"/>
  <c r="CC215" i="5"/>
  <c r="D217" i="5"/>
  <c r="D218" i="5"/>
  <c r="D219" i="5"/>
  <c r="D222" i="5" s="1"/>
  <c r="E222" i="5"/>
  <c r="D220" i="5"/>
  <c r="E220" i="5"/>
  <c r="E221" i="5" s="1"/>
  <c r="F220" i="5"/>
  <c r="F221" i="5" s="1"/>
  <c r="G220" i="5"/>
  <c r="G221" i="5" s="1"/>
  <c r="H220" i="5"/>
  <c r="H221" i="5" s="1"/>
  <c r="I220" i="5"/>
  <c r="I221" i="5" s="1"/>
  <c r="J220" i="5"/>
  <c r="J221" i="5" s="1"/>
  <c r="K220" i="5"/>
  <c r="K221" i="5" s="1"/>
  <c r="L220" i="5"/>
  <c r="L221" i="5" s="1"/>
  <c r="M220" i="5"/>
  <c r="M221" i="5" s="1"/>
  <c r="N220" i="5"/>
  <c r="N221" i="5" s="1"/>
  <c r="O220" i="5"/>
  <c r="O221" i="5" s="1"/>
  <c r="P220" i="5"/>
  <c r="P221" i="5" s="1"/>
  <c r="Q220" i="5"/>
  <c r="Q221" i="5" s="1"/>
  <c r="R220" i="5"/>
  <c r="R221" i="5" s="1"/>
  <c r="S220" i="5"/>
  <c r="S221" i="5" s="1"/>
  <c r="T220" i="5"/>
  <c r="T221" i="5" s="1"/>
  <c r="U220" i="5"/>
  <c r="V220" i="5"/>
  <c r="W220" i="5"/>
  <c r="X220" i="5"/>
  <c r="Y220" i="5"/>
  <c r="Y221" i="5" s="1"/>
  <c r="Z220" i="5"/>
  <c r="Z221" i="5" s="1"/>
  <c r="AA220" i="5"/>
  <c r="AA221" i="5" s="1"/>
  <c r="AB220" i="5"/>
  <c r="AB221" i="5" s="1"/>
  <c r="AC220" i="5"/>
  <c r="AC221" i="5" s="1"/>
  <c r="AD220" i="5"/>
  <c r="AD221" i="5" s="1"/>
  <c r="AE220" i="5"/>
  <c r="AE221" i="5" s="1"/>
  <c r="AF220" i="5"/>
  <c r="AF221" i="5" s="1"/>
  <c r="AG220" i="5"/>
  <c r="AG221" i="5" s="1"/>
  <c r="AH220" i="5"/>
  <c r="AH221" i="5" s="1"/>
  <c r="AI220" i="5"/>
  <c r="AI221" i="5" s="1"/>
  <c r="AJ220" i="5"/>
  <c r="AJ221" i="5" s="1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AS222" i="5"/>
  <c r="AT222" i="5"/>
  <c r="AU222" i="5"/>
  <c r="AV222" i="5"/>
  <c r="AW222" i="5"/>
  <c r="AX222" i="5"/>
  <c r="AY222" i="5"/>
  <c r="AZ222" i="5"/>
  <c r="BA222" i="5"/>
  <c r="BB222" i="5"/>
  <c r="BC222" i="5"/>
  <c r="BD222" i="5"/>
  <c r="BE222" i="5"/>
  <c r="BF222" i="5"/>
  <c r="BG222" i="5"/>
  <c r="BH222" i="5"/>
  <c r="BI222" i="5"/>
  <c r="BJ222" i="5"/>
  <c r="BK222" i="5"/>
  <c r="BL222" i="5"/>
  <c r="BM222" i="5"/>
  <c r="BN222" i="5"/>
  <c r="BO222" i="5"/>
  <c r="BP222" i="5"/>
  <c r="BQ222" i="5"/>
  <c r="BR222" i="5"/>
  <c r="BS222" i="5"/>
  <c r="BT222" i="5"/>
  <c r="BU222" i="5"/>
  <c r="BV222" i="5"/>
  <c r="BW222" i="5"/>
  <c r="BX222" i="5"/>
  <c r="BY222" i="5"/>
  <c r="BZ222" i="5"/>
  <c r="CA222" i="5"/>
  <c r="CB222" i="5"/>
  <c r="CC222" i="5"/>
  <c r="D224" i="5"/>
  <c r="D225" i="5"/>
  <c r="D226" i="5"/>
  <c r="D229" i="5" s="1"/>
  <c r="E229" i="5"/>
  <c r="D227" i="5"/>
  <c r="E227" i="5"/>
  <c r="E228" i="5" s="1"/>
  <c r="F227" i="5"/>
  <c r="F228" i="5" s="1"/>
  <c r="G227" i="5"/>
  <c r="G228" i="5" s="1"/>
  <c r="H227" i="5"/>
  <c r="H228" i="5" s="1"/>
  <c r="I227" i="5"/>
  <c r="I228" i="5" s="1"/>
  <c r="J227" i="5"/>
  <c r="J228" i="5" s="1"/>
  <c r="K227" i="5"/>
  <c r="K228" i="5" s="1"/>
  <c r="L227" i="5"/>
  <c r="L228" i="5" s="1"/>
  <c r="M227" i="5"/>
  <c r="M228" i="5" s="1"/>
  <c r="N227" i="5"/>
  <c r="N228" i="5" s="1"/>
  <c r="O227" i="5"/>
  <c r="O228" i="5" s="1"/>
  <c r="P227" i="5"/>
  <c r="P228" i="5" s="1"/>
  <c r="Q227" i="5"/>
  <c r="Q228" i="5" s="1"/>
  <c r="R227" i="5"/>
  <c r="R228" i="5" s="1"/>
  <c r="S227" i="5"/>
  <c r="S228" i="5" s="1"/>
  <c r="T227" i="5"/>
  <c r="T228" i="5" s="1"/>
  <c r="U227" i="5"/>
  <c r="U228" i="5" s="1"/>
  <c r="V227" i="5"/>
  <c r="V228" i="5" s="1"/>
  <c r="W227" i="5"/>
  <c r="X227" i="5"/>
  <c r="X228" i="5" s="1"/>
  <c r="Y227" i="5"/>
  <c r="Y228" i="5" s="1"/>
  <c r="Z227" i="5"/>
  <c r="AA227" i="5"/>
  <c r="AA228" i="5" s="1"/>
  <c r="AB227" i="5"/>
  <c r="AB228" i="5" s="1"/>
  <c r="AC227" i="5"/>
  <c r="AC228" i="5" s="1"/>
  <c r="AD227" i="5"/>
  <c r="AD228" i="5" s="1"/>
  <c r="AE227" i="5"/>
  <c r="AE228" i="5" s="1"/>
  <c r="AF227" i="5"/>
  <c r="AF228" i="5" s="1"/>
  <c r="AG227" i="5"/>
  <c r="AG228" i="5" s="1"/>
  <c r="AH227" i="5"/>
  <c r="AH228" i="5" s="1"/>
  <c r="AI227" i="5"/>
  <c r="AJ227" i="5"/>
  <c r="AJ228" i="5" s="1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AR229" i="5"/>
  <c r="AS229" i="5"/>
  <c r="AT229" i="5"/>
  <c r="AU229" i="5"/>
  <c r="AV229" i="5"/>
  <c r="AW229" i="5"/>
  <c r="AX229" i="5"/>
  <c r="AY229" i="5"/>
  <c r="AZ229" i="5"/>
  <c r="BA229" i="5"/>
  <c r="BB229" i="5"/>
  <c r="BC229" i="5"/>
  <c r="BD229" i="5"/>
  <c r="BE229" i="5"/>
  <c r="BF229" i="5"/>
  <c r="BG229" i="5"/>
  <c r="BH229" i="5"/>
  <c r="BI229" i="5"/>
  <c r="BJ229" i="5"/>
  <c r="BK229" i="5"/>
  <c r="BL229" i="5"/>
  <c r="BM229" i="5"/>
  <c r="BN229" i="5"/>
  <c r="BO229" i="5"/>
  <c r="BP229" i="5"/>
  <c r="BQ229" i="5"/>
  <c r="BR229" i="5"/>
  <c r="BS229" i="5"/>
  <c r="BT229" i="5"/>
  <c r="BU229" i="5"/>
  <c r="BV229" i="5"/>
  <c r="BW229" i="5"/>
  <c r="BX229" i="5"/>
  <c r="BY229" i="5"/>
  <c r="BZ229" i="5"/>
  <c r="CA229" i="5"/>
  <c r="CB229" i="5"/>
  <c r="CC229" i="5"/>
  <c r="D231" i="5"/>
  <c r="D232" i="5"/>
  <c r="D233" i="5"/>
  <c r="D236" i="5" s="1"/>
  <c r="E236" i="5"/>
  <c r="D234" i="5"/>
  <c r="E234" i="5"/>
  <c r="F234" i="5"/>
  <c r="G234" i="5"/>
  <c r="H234" i="5"/>
  <c r="I234" i="5"/>
  <c r="J234" i="5"/>
  <c r="K234" i="5"/>
  <c r="L234" i="5"/>
  <c r="M234" i="5"/>
  <c r="N234" i="5"/>
  <c r="N235" i="5" s="1"/>
  <c r="O234" i="5"/>
  <c r="O235" i="5" s="1"/>
  <c r="P234" i="5"/>
  <c r="P235" i="5" s="1"/>
  <c r="Q234" i="5"/>
  <c r="Q235" i="5" s="1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J235" i="5" s="1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AS236" i="5"/>
  <c r="AT236" i="5"/>
  <c r="AU236" i="5"/>
  <c r="AV236" i="5"/>
  <c r="AW236" i="5"/>
  <c r="AX236" i="5"/>
  <c r="AY236" i="5"/>
  <c r="AZ236" i="5"/>
  <c r="BA236" i="5"/>
  <c r="BB236" i="5"/>
  <c r="BC236" i="5"/>
  <c r="BD236" i="5"/>
  <c r="BE236" i="5"/>
  <c r="BF236" i="5"/>
  <c r="BG236" i="5"/>
  <c r="BH236" i="5"/>
  <c r="BI236" i="5"/>
  <c r="BJ236" i="5"/>
  <c r="BK236" i="5"/>
  <c r="BL236" i="5"/>
  <c r="BM236" i="5"/>
  <c r="BN236" i="5"/>
  <c r="BO236" i="5"/>
  <c r="BP236" i="5"/>
  <c r="BQ236" i="5"/>
  <c r="BR236" i="5"/>
  <c r="BS236" i="5"/>
  <c r="BT236" i="5"/>
  <c r="BU236" i="5"/>
  <c r="BV236" i="5"/>
  <c r="BW236" i="5"/>
  <c r="BX236" i="5"/>
  <c r="BY236" i="5"/>
  <c r="BZ236" i="5"/>
  <c r="CA236" i="5"/>
  <c r="CB236" i="5"/>
  <c r="CC236" i="5"/>
  <c r="D238" i="5"/>
  <c r="D239" i="5"/>
  <c r="D240" i="5"/>
  <c r="D243" i="5" s="1"/>
  <c r="E243" i="5"/>
  <c r="D241" i="5"/>
  <c r="E241" i="5"/>
  <c r="E242" i="5" s="1"/>
  <c r="F241" i="5"/>
  <c r="F242" i="5" s="1"/>
  <c r="G241" i="5"/>
  <c r="G242" i="5" s="1"/>
  <c r="H241" i="5"/>
  <c r="H242" i="5" s="1"/>
  <c r="I241" i="5"/>
  <c r="J241" i="5"/>
  <c r="J242" i="5" s="1"/>
  <c r="K241" i="5"/>
  <c r="K242" i="5" s="1"/>
  <c r="L241" i="5"/>
  <c r="L242" i="5" s="1"/>
  <c r="M241" i="5"/>
  <c r="N241" i="5"/>
  <c r="N242" i="5" s="1"/>
  <c r="O241" i="5"/>
  <c r="O242" i="5" s="1"/>
  <c r="P241" i="5"/>
  <c r="P242" i="5" s="1"/>
  <c r="Q241" i="5"/>
  <c r="Q242" i="5" s="1"/>
  <c r="R241" i="5"/>
  <c r="R242" i="5" s="1"/>
  <c r="S241" i="5"/>
  <c r="S242" i="5" s="1"/>
  <c r="T241" i="5"/>
  <c r="T242" i="5" s="1"/>
  <c r="U241" i="5"/>
  <c r="U242" i="5" s="1"/>
  <c r="V241" i="5"/>
  <c r="V242" i="5" s="1"/>
  <c r="W241" i="5"/>
  <c r="W242" i="5" s="1"/>
  <c r="X241" i="5"/>
  <c r="X242" i="5" s="1"/>
  <c r="Y241" i="5"/>
  <c r="Y242" i="5" s="1"/>
  <c r="Z241" i="5"/>
  <c r="Z242" i="5" s="1"/>
  <c r="AA241" i="5"/>
  <c r="AA242" i="5" s="1"/>
  <c r="AB241" i="5"/>
  <c r="AB242" i="5" s="1"/>
  <c r="AC241" i="5"/>
  <c r="AC242" i="5" s="1"/>
  <c r="AD241" i="5"/>
  <c r="AD242" i="5" s="1"/>
  <c r="AE241" i="5"/>
  <c r="AE242" i="5" s="1"/>
  <c r="AF241" i="5"/>
  <c r="AF242" i="5" s="1"/>
  <c r="AG241" i="5"/>
  <c r="AG242" i="5" s="1"/>
  <c r="AH241" i="5"/>
  <c r="AH242" i="5" s="1"/>
  <c r="AI241" i="5"/>
  <c r="AI242" i="5" s="1"/>
  <c r="AJ241" i="5"/>
  <c r="AJ242" i="5" s="1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AR243" i="5"/>
  <c r="AS243" i="5"/>
  <c r="AT243" i="5"/>
  <c r="AU243" i="5"/>
  <c r="AV243" i="5"/>
  <c r="AW243" i="5"/>
  <c r="AX243" i="5"/>
  <c r="AY243" i="5"/>
  <c r="AZ243" i="5"/>
  <c r="BA243" i="5"/>
  <c r="BB243" i="5"/>
  <c r="BC243" i="5"/>
  <c r="BD243" i="5"/>
  <c r="BE243" i="5"/>
  <c r="BF243" i="5"/>
  <c r="BG243" i="5"/>
  <c r="BH243" i="5"/>
  <c r="BI243" i="5"/>
  <c r="BJ243" i="5"/>
  <c r="BK243" i="5"/>
  <c r="BL243" i="5"/>
  <c r="BM243" i="5"/>
  <c r="BN243" i="5"/>
  <c r="BO243" i="5"/>
  <c r="BP243" i="5"/>
  <c r="BQ243" i="5"/>
  <c r="BR243" i="5"/>
  <c r="BS243" i="5"/>
  <c r="BT243" i="5"/>
  <c r="BU243" i="5"/>
  <c r="BV243" i="5"/>
  <c r="BW243" i="5"/>
  <c r="BX243" i="5"/>
  <c r="BY243" i="5"/>
  <c r="BZ243" i="5"/>
  <c r="CA243" i="5"/>
  <c r="CB243" i="5"/>
  <c r="CC243" i="5"/>
  <c r="D245" i="5"/>
  <c r="D246" i="5"/>
  <c r="D247" i="5"/>
  <c r="D250" i="5" s="1"/>
  <c r="E250" i="5"/>
  <c r="D248" i="5"/>
  <c r="E248" i="5"/>
  <c r="E249" i="5" s="1"/>
  <c r="F248" i="5"/>
  <c r="F249" i="5" s="1"/>
  <c r="G248" i="5"/>
  <c r="G249" i="5" s="1"/>
  <c r="H248" i="5"/>
  <c r="H249" i="5" s="1"/>
  <c r="I248" i="5"/>
  <c r="I249" i="5" s="1"/>
  <c r="J248" i="5"/>
  <c r="J249" i="5" s="1"/>
  <c r="K248" i="5"/>
  <c r="K249" i="5" s="1"/>
  <c r="L248" i="5"/>
  <c r="L249" i="5" s="1"/>
  <c r="M248" i="5"/>
  <c r="M249" i="5" s="1"/>
  <c r="N248" i="5"/>
  <c r="N249" i="5" s="1"/>
  <c r="O248" i="5"/>
  <c r="P248" i="5"/>
  <c r="P249" i="5" s="1"/>
  <c r="Q248" i="5"/>
  <c r="Q249" i="5" s="1"/>
  <c r="R248" i="5"/>
  <c r="R249" i="5" s="1"/>
  <c r="S248" i="5"/>
  <c r="S249" i="5" s="1"/>
  <c r="T248" i="5"/>
  <c r="T249" i="5" s="1"/>
  <c r="U248" i="5"/>
  <c r="U249" i="5" s="1"/>
  <c r="V248" i="5"/>
  <c r="V249" i="5" s="1"/>
  <c r="W248" i="5"/>
  <c r="W249" i="5" s="1"/>
  <c r="X248" i="5"/>
  <c r="X249" i="5" s="1"/>
  <c r="Y248" i="5"/>
  <c r="Y249" i="5" s="1"/>
  <c r="Z248" i="5"/>
  <c r="Z249" i="5" s="1"/>
  <c r="AA248" i="5"/>
  <c r="AB248" i="5"/>
  <c r="AB249" i="5" s="1"/>
  <c r="AC248" i="5"/>
  <c r="AC249" i="5" s="1"/>
  <c r="AD248" i="5"/>
  <c r="AD249" i="5" s="1"/>
  <c r="AE248" i="5"/>
  <c r="AE249" i="5" s="1"/>
  <c r="AF248" i="5"/>
  <c r="AF249" i="5" s="1"/>
  <c r="AG248" i="5"/>
  <c r="AG249" i="5" s="1"/>
  <c r="AH248" i="5"/>
  <c r="AH249" i="5" s="1"/>
  <c r="AI248" i="5"/>
  <c r="AI249" i="5" s="1"/>
  <c r="AJ248" i="5"/>
  <c r="AJ249" i="5" s="1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I250" i="5"/>
  <c r="AJ250" i="5"/>
  <c r="AK250" i="5"/>
  <c r="AL250" i="5"/>
  <c r="AM250" i="5"/>
  <c r="AN250" i="5"/>
  <c r="AO250" i="5"/>
  <c r="AP250" i="5"/>
  <c r="AQ250" i="5"/>
  <c r="AR250" i="5"/>
  <c r="AS250" i="5"/>
  <c r="AT250" i="5"/>
  <c r="AU250" i="5"/>
  <c r="AV250" i="5"/>
  <c r="AW250" i="5"/>
  <c r="AX250" i="5"/>
  <c r="AY250" i="5"/>
  <c r="AZ250" i="5"/>
  <c r="BA250" i="5"/>
  <c r="BB250" i="5"/>
  <c r="BC250" i="5"/>
  <c r="BD250" i="5"/>
  <c r="BE250" i="5"/>
  <c r="BF250" i="5"/>
  <c r="BG250" i="5"/>
  <c r="BH250" i="5"/>
  <c r="BI250" i="5"/>
  <c r="BJ250" i="5"/>
  <c r="BK250" i="5"/>
  <c r="BL250" i="5"/>
  <c r="BM250" i="5"/>
  <c r="BN250" i="5"/>
  <c r="BO250" i="5"/>
  <c r="BP250" i="5"/>
  <c r="BQ250" i="5"/>
  <c r="BR250" i="5"/>
  <c r="BS250" i="5"/>
  <c r="BT250" i="5"/>
  <c r="BU250" i="5"/>
  <c r="BV250" i="5"/>
  <c r="BW250" i="5"/>
  <c r="BX250" i="5"/>
  <c r="BY250" i="5"/>
  <c r="BZ250" i="5"/>
  <c r="CA250" i="5"/>
  <c r="CB250" i="5"/>
  <c r="CC250" i="5"/>
  <c r="D252" i="5"/>
  <c r="D253" i="5"/>
  <c r="D254" i="5"/>
  <c r="D257" i="5" s="1"/>
  <c r="E257" i="5"/>
  <c r="D255" i="5"/>
  <c r="E255" i="5"/>
  <c r="E256" i="5" s="1"/>
  <c r="F255" i="5"/>
  <c r="F256" i="5" s="1"/>
  <c r="G255" i="5"/>
  <c r="G256" i="5" s="1"/>
  <c r="H255" i="5"/>
  <c r="H256" i="5" s="1"/>
  <c r="I255" i="5"/>
  <c r="I256" i="5" s="1"/>
  <c r="J255" i="5"/>
  <c r="J256" i="5" s="1"/>
  <c r="K255" i="5"/>
  <c r="K256" i="5" s="1"/>
  <c r="L255" i="5"/>
  <c r="L256" i="5" s="1"/>
  <c r="M255" i="5"/>
  <c r="N255" i="5"/>
  <c r="N256" i="5" s="1"/>
  <c r="O255" i="5"/>
  <c r="O256" i="5" s="1"/>
  <c r="P255" i="5"/>
  <c r="P256" i="5" s="1"/>
  <c r="Q255" i="5"/>
  <c r="Q256" i="5" s="1"/>
  <c r="R255" i="5"/>
  <c r="R256" i="5" s="1"/>
  <c r="S255" i="5"/>
  <c r="S256" i="5" s="1"/>
  <c r="T255" i="5"/>
  <c r="T256" i="5" s="1"/>
  <c r="U255" i="5"/>
  <c r="U256" i="5" s="1"/>
  <c r="V255" i="5"/>
  <c r="V256" i="5" s="1"/>
  <c r="W255" i="5"/>
  <c r="W256" i="5" s="1"/>
  <c r="X255" i="5"/>
  <c r="X256" i="5" s="1"/>
  <c r="Y255" i="5"/>
  <c r="Y256" i="5" s="1"/>
  <c r="Z255" i="5"/>
  <c r="Z256" i="5" s="1"/>
  <c r="AA255" i="5"/>
  <c r="AA256" i="5" s="1"/>
  <c r="AB255" i="5"/>
  <c r="AB256" i="5" s="1"/>
  <c r="AC255" i="5"/>
  <c r="AD255" i="5"/>
  <c r="AE255" i="5"/>
  <c r="AF255" i="5"/>
  <c r="AG255" i="5"/>
  <c r="AG256" i="5" s="1"/>
  <c r="AH255" i="5"/>
  <c r="AH256" i="5" s="1"/>
  <c r="AI255" i="5"/>
  <c r="AI256" i="5" s="1"/>
  <c r="AJ255" i="5"/>
  <c r="AJ256" i="5" s="1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AG257" i="5"/>
  <c r="AH257" i="5"/>
  <c r="AI257" i="5"/>
  <c r="AJ257" i="5"/>
  <c r="AK257" i="5"/>
  <c r="AL257" i="5"/>
  <c r="AM257" i="5"/>
  <c r="AN257" i="5"/>
  <c r="AO257" i="5"/>
  <c r="AP257" i="5"/>
  <c r="AQ257" i="5"/>
  <c r="AR257" i="5"/>
  <c r="AS257" i="5"/>
  <c r="AT257" i="5"/>
  <c r="AU257" i="5"/>
  <c r="AV257" i="5"/>
  <c r="AW257" i="5"/>
  <c r="AX257" i="5"/>
  <c r="AY257" i="5"/>
  <c r="AZ257" i="5"/>
  <c r="BA257" i="5"/>
  <c r="BB257" i="5"/>
  <c r="BC257" i="5"/>
  <c r="BD257" i="5"/>
  <c r="BE257" i="5"/>
  <c r="BF257" i="5"/>
  <c r="BG257" i="5"/>
  <c r="BH257" i="5"/>
  <c r="BI257" i="5"/>
  <c r="BJ257" i="5"/>
  <c r="BK257" i="5"/>
  <c r="BL257" i="5"/>
  <c r="BM257" i="5"/>
  <c r="BN257" i="5"/>
  <c r="BO257" i="5"/>
  <c r="BP257" i="5"/>
  <c r="BQ257" i="5"/>
  <c r="BR257" i="5"/>
  <c r="BS257" i="5"/>
  <c r="BT257" i="5"/>
  <c r="BU257" i="5"/>
  <c r="BV257" i="5"/>
  <c r="BW257" i="5"/>
  <c r="BX257" i="5"/>
  <c r="BY257" i="5"/>
  <c r="BZ257" i="5"/>
  <c r="CA257" i="5"/>
  <c r="CB257" i="5"/>
  <c r="CC257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AG261" i="5"/>
  <c r="AH261" i="5"/>
  <c r="AI261" i="5"/>
  <c r="AJ261" i="5"/>
  <c r="AK261" i="5"/>
  <c r="AL261" i="5"/>
  <c r="AM261" i="5"/>
  <c r="AN261" i="5"/>
  <c r="AO261" i="5"/>
  <c r="AP261" i="5"/>
  <c r="AQ261" i="5"/>
  <c r="AR261" i="5"/>
  <c r="AS261" i="5"/>
  <c r="AT261" i="5"/>
  <c r="AU261" i="5"/>
  <c r="AV261" i="5"/>
  <c r="AW261" i="5"/>
  <c r="AX261" i="5"/>
  <c r="AY261" i="5"/>
  <c r="AZ261" i="5"/>
  <c r="BA261" i="5"/>
  <c r="BB261" i="5"/>
  <c r="BC261" i="5"/>
  <c r="BD261" i="5"/>
  <c r="BE261" i="5"/>
  <c r="BF261" i="5"/>
  <c r="BG261" i="5"/>
  <c r="BH261" i="5"/>
  <c r="BI261" i="5"/>
  <c r="BJ261" i="5"/>
  <c r="BK261" i="5"/>
  <c r="BL261" i="5"/>
  <c r="BM261" i="5"/>
  <c r="BN261" i="5"/>
  <c r="BO261" i="5"/>
  <c r="BP261" i="5"/>
  <c r="BQ261" i="5"/>
  <c r="BR261" i="5"/>
  <c r="BS261" i="5"/>
  <c r="BT261" i="5"/>
  <c r="BU261" i="5"/>
  <c r="BV261" i="5"/>
  <c r="BW261" i="5"/>
  <c r="BX261" i="5"/>
  <c r="BY261" i="5"/>
  <c r="BZ261" i="5"/>
  <c r="CA261" i="5"/>
  <c r="CB261" i="5"/>
  <c r="CC261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AG262" i="5"/>
  <c r="AH262" i="5"/>
  <c r="AI262" i="5"/>
  <c r="AJ262" i="5"/>
  <c r="AK262" i="5"/>
  <c r="AL262" i="5"/>
  <c r="AM262" i="5"/>
  <c r="AN262" i="5"/>
  <c r="AO262" i="5"/>
  <c r="AP262" i="5"/>
  <c r="AQ262" i="5"/>
  <c r="AR262" i="5"/>
  <c r="AS262" i="5"/>
  <c r="AT262" i="5"/>
  <c r="AU262" i="5"/>
  <c r="AV262" i="5"/>
  <c r="AW262" i="5"/>
  <c r="AX262" i="5"/>
  <c r="AY262" i="5"/>
  <c r="AZ262" i="5"/>
  <c r="BA262" i="5"/>
  <c r="BB262" i="5"/>
  <c r="BC262" i="5"/>
  <c r="BD262" i="5"/>
  <c r="BE262" i="5"/>
  <c r="BF262" i="5"/>
  <c r="BG262" i="5"/>
  <c r="BH262" i="5"/>
  <c r="BI262" i="5"/>
  <c r="BJ262" i="5"/>
  <c r="BK262" i="5"/>
  <c r="BL262" i="5"/>
  <c r="BM262" i="5"/>
  <c r="BN262" i="5"/>
  <c r="BO262" i="5"/>
  <c r="BP262" i="5"/>
  <c r="BQ262" i="5"/>
  <c r="BR262" i="5"/>
  <c r="BS262" i="5"/>
  <c r="BT262" i="5"/>
  <c r="BU262" i="5"/>
  <c r="BV262" i="5"/>
  <c r="BW262" i="5"/>
  <c r="BX262" i="5"/>
  <c r="BY262" i="5"/>
  <c r="BZ262" i="5"/>
  <c r="CA262" i="5"/>
  <c r="CB262" i="5"/>
  <c r="CC262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AG264" i="5"/>
  <c r="AH264" i="5"/>
  <c r="AI264" i="5"/>
  <c r="AJ264" i="5"/>
  <c r="AK264" i="5"/>
  <c r="AL264" i="5"/>
  <c r="AM264" i="5"/>
  <c r="AN264" i="5"/>
  <c r="AO264" i="5"/>
  <c r="AP264" i="5"/>
  <c r="AQ264" i="5"/>
  <c r="AR264" i="5"/>
  <c r="AS264" i="5"/>
  <c r="AT264" i="5"/>
  <c r="AU264" i="5"/>
  <c r="AV264" i="5"/>
  <c r="AW264" i="5"/>
  <c r="AX264" i="5"/>
  <c r="AY264" i="5"/>
  <c r="AZ264" i="5"/>
  <c r="BA264" i="5"/>
  <c r="BB264" i="5"/>
  <c r="BC264" i="5"/>
  <c r="BD264" i="5"/>
  <c r="BE264" i="5"/>
  <c r="BF264" i="5"/>
  <c r="BG264" i="5"/>
  <c r="BH264" i="5"/>
  <c r="BI264" i="5"/>
  <c r="BJ264" i="5"/>
  <c r="BK264" i="5"/>
  <c r="BL264" i="5"/>
  <c r="BM264" i="5"/>
  <c r="BN264" i="5"/>
  <c r="BO264" i="5"/>
  <c r="BP264" i="5"/>
  <c r="BQ264" i="5"/>
  <c r="BR264" i="5"/>
  <c r="BS264" i="5"/>
  <c r="BT264" i="5"/>
  <c r="BU264" i="5"/>
  <c r="BV264" i="5"/>
  <c r="BW264" i="5"/>
  <c r="BX264" i="5"/>
  <c r="BY264" i="5"/>
  <c r="BZ264" i="5"/>
  <c r="CA264" i="5"/>
  <c r="CB264" i="5"/>
  <c r="CC264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AG273" i="5"/>
  <c r="AH273" i="5"/>
  <c r="AI273" i="5"/>
  <c r="AJ273" i="5"/>
  <c r="AK273" i="5"/>
  <c r="AL273" i="5"/>
  <c r="AM273" i="5"/>
  <c r="AN273" i="5"/>
  <c r="AO273" i="5"/>
  <c r="AP273" i="5"/>
  <c r="AQ273" i="5"/>
  <c r="AR273" i="5"/>
  <c r="AS273" i="5"/>
  <c r="AT273" i="5"/>
  <c r="AU273" i="5"/>
  <c r="AV273" i="5"/>
  <c r="AW273" i="5"/>
  <c r="AX273" i="5"/>
  <c r="AY273" i="5"/>
  <c r="AZ273" i="5"/>
  <c r="BA273" i="5"/>
  <c r="BB273" i="5"/>
  <c r="BC273" i="5"/>
  <c r="BD273" i="5"/>
  <c r="BE273" i="5"/>
  <c r="BF273" i="5"/>
  <c r="BG273" i="5"/>
  <c r="BH273" i="5"/>
  <c r="BI273" i="5"/>
  <c r="BJ273" i="5"/>
  <c r="BK273" i="5"/>
  <c r="BL273" i="5"/>
  <c r="BM273" i="5"/>
  <c r="BN273" i="5"/>
  <c r="BO273" i="5"/>
  <c r="BP273" i="5"/>
  <c r="BQ273" i="5"/>
  <c r="BR273" i="5"/>
  <c r="BS273" i="5"/>
  <c r="BT273" i="5"/>
  <c r="BU273" i="5"/>
  <c r="BV273" i="5"/>
  <c r="BW273" i="5"/>
  <c r="BX273" i="5"/>
  <c r="BY273" i="5"/>
  <c r="BZ273" i="5"/>
  <c r="CA273" i="5"/>
  <c r="CB273" i="5"/>
  <c r="CC273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AG274" i="5"/>
  <c r="AH274" i="5"/>
  <c r="AI274" i="5"/>
  <c r="AJ274" i="5"/>
  <c r="AK274" i="5"/>
  <c r="AL274" i="5"/>
  <c r="AM274" i="5"/>
  <c r="AN274" i="5"/>
  <c r="AO274" i="5"/>
  <c r="AP274" i="5"/>
  <c r="AQ274" i="5"/>
  <c r="AR274" i="5"/>
  <c r="AS274" i="5"/>
  <c r="AT274" i="5"/>
  <c r="AU274" i="5"/>
  <c r="AV274" i="5"/>
  <c r="AW274" i="5"/>
  <c r="AX274" i="5"/>
  <c r="AY274" i="5"/>
  <c r="AZ274" i="5"/>
  <c r="BA274" i="5"/>
  <c r="BB274" i="5"/>
  <c r="BC274" i="5"/>
  <c r="BD274" i="5"/>
  <c r="BE274" i="5"/>
  <c r="BF274" i="5"/>
  <c r="BG274" i="5"/>
  <c r="BH274" i="5"/>
  <c r="BI274" i="5"/>
  <c r="BJ274" i="5"/>
  <c r="BK274" i="5"/>
  <c r="BL274" i="5"/>
  <c r="BM274" i="5"/>
  <c r="BN274" i="5"/>
  <c r="BO274" i="5"/>
  <c r="BP274" i="5"/>
  <c r="BQ274" i="5"/>
  <c r="BR274" i="5"/>
  <c r="BS274" i="5"/>
  <c r="BT274" i="5"/>
  <c r="BU274" i="5"/>
  <c r="BV274" i="5"/>
  <c r="BW274" i="5"/>
  <c r="BX274" i="5"/>
  <c r="BY274" i="5"/>
  <c r="BZ274" i="5"/>
  <c r="CA274" i="5"/>
  <c r="CB274" i="5"/>
  <c r="CC274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AG276" i="5"/>
  <c r="AH276" i="5"/>
  <c r="AI276" i="5"/>
  <c r="AJ276" i="5"/>
  <c r="AK276" i="5"/>
  <c r="AL276" i="5"/>
  <c r="AM276" i="5"/>
  <c r="AN276" i="5"/>
  <c r="AO276" i="5"/>
  <c r="AP276" i="5"/>
  <c r="AQ276" i="5"/>
  <c r="AR276" i="5"/>
  <c r="AS276" i="5"/>
  <c r="AT276" i="5"/>
  <c r="AU276" i="5"/>
  <c r="AV276" i="5"/>
  <c r="AW276" i="5"/>
  <c r="AX276" i="5"/>
  <c r="AY276" i="5"/>
  <c r="AZ276" i="5"/>
  <c r="BA276" i="5"/>
  <c r="BB276" i="5"/>
  <c r="BC276" i="5"/>
  <c r="BD276" i="5"/>
  <c r="BE276" i="5"/>
  <c r="BF276" i="5"/>
  <c r="BG276" i="5"/>
  <c r="BH276" i="5"/>
  <c r="BI276" i="5"/>
  <c r="BJ276" i="5"/>
  <c r="BK276" i="5"/>
  <c r="BL276" i="5"/>
  <c r="BM276" i="5"/>
  <c r="BN276" i="5"/>
  <c r="BO276" i="5"/>
  <c r="BP276" i="5"/>
  <c r="BQ276" i="5"/>
  <c r="BR276" i="5"/>
  <c r="BS276" i="5"/>
  <c r="BT276" i="5"/>
  <c r="BU276" i="5"/>
  <c r="BV276" i="5"/>
  <c r="BW276" i="5"/>
  <c r="BX276" i="5"/>
  <c r="BY276" i="5"/>
  <c r="BZ276" i="5"/>
  <c r="CA276" i="5"/>
  <c r="CB276" i="5"/>
  <c r="CC276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AG277" i="5"/>
  <c r="AH277" i="5"/>
  <c r="AI277" i="5"/>
  <c r="AJ277" i="5"/>
  <c r="AK277" i="5"/>
  <c r="AL277" i="5"/>
  <c r="AM277" i="5"/>
  <c r="AN277" i="5"/>
  <c r="AO277" i="5"/>
  <c r="AP277" i="5"/>
  <c r="AQ277" i="5"/>
  <c r="AR277" i="5"/>
  <c r="AS277" i="5"/>
  <c r="AT277" i="5"/>
  <c r="AU277" i="5"/>
  <c r="AV277" i="5"/>
  <c r="AW277" i="5"/>
  <c r="AX277" i="5"/>
  <c r="AY277" i="5"/>
  <c r="AZ277" i="5"/>
  <c r="BA277" i="5"/>
  <c r="BB277" i="5"/>
  <c r="BC277" i="5"/>
  <c r="BD277" i="5"/>
  <c r="BE277" i="5"/>
  <c r="BF277" i="5"/>
  <c r="BG277" i="5"/>
  <c r="BH277" i="5"/>
  <c r="BI277" i="5"/>
  <c r="BJ277" i="5"/>
  <c r="BK277" i="5"/>
  <c r="BL277" i="5"/>
  <c r="BM277" i="5"/>
  <c r="BN277" i="5"/>
  <c r="BO277" i="5"/>
  <c r="BP277" i="5"/>
  <c r="BQ277" i="5"/>
  <c r="BR277" i="5"/>
  <c r="BS277" i="5"/>
  <c r="BT277" i="5"/>
  <c r="BU277" i="5"/>
  <c r="BV277" i="5"/>
  <c r="BW277" i="5"/>
  <c r="BX277" i="5"/>
  <c r="BY277" i="5"/>
  <c r="BZ277" i="5"/>
  <c r="CA277" i="5"/>
  <c r="CB277" i="5"/>
  <c r="CC277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AG278" i="5"/>
  <c r="AH278" i="5"/>
  <c r="AI278" i="5"/>
  <c r="AJ278" i="5"/>
  <c r="AK278" i="5"/>
  <c r="AL278" i="5"/>
  <c r="AM278" i="5"/>
  <c r="AN278" i="5"/>
  <c r="AO278" i="5"/>
  <c r="AP278" i="5"/>
  <c r="AQ278" i="5"/>
  <c r="AR278" i="5"/>
  <c r="AS278" i="5"/>
  <c r="AT278" i="5"/>
  <c r="AU278" i="5"/>
  <c r="AV278" i="5"/>
  <c r="AW278" i="5"/>
  <c r="AX278" i="5"/>
  <c r="AY278" i="5"/>
  <c r="AZ278" i="5"/>
  <c r="BA278" i="5"/>
  <c r="BB278" i="5"/>
  <c r="BC278" i="5"/>
  <c r="BD278" i="5"/>
  <c r="BE278" i="5"/>
  <c r="BF278" i="5"/>
  <c r="BG278" i="5"/>
  <c r="BH278" i="5"/>
  <c r="BI278" i="5"/>
  <c r="BJ278" i="5"/>
  <c r="BK278" i="5"/>
  <c r="BL278" i="5"/>
  <c r="BM278" i="5"/>
  <c r="BN278" i="5"/>
  <c r="BO278" i="5"/>
  <c r="BP278" i="5"/>
  <c r="BQ278" i="5"/>
  <c r="BR278" i="5"/>
  <c r="BS278" i="5"/>
  <c r="BT278" i="5"/>
  <c r="BU278" i="5"/>
  <c r="BV278" i="5"/>
  <c r="BW278" i="5"/>
  <c r="BX278" i="5"/>
  <c r="BY278" i="5"/>
  <c r="BZ278" i="5"/>
  <c r="CA278" i="5"/>
  <c r="CB278" i="5"/>
  <c r="CC278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AG282" i="5"/>
  <c r="AH282" i="5"/>
  <c r="AI282" i="5"/>
  <c r="AJ282" i="5"/>
  <c r="AK282" i="5"/>
  <c r="AL282" i="5"/>
  <c r="AM282" i="5"/>
  <c r="AN282" i="5"/>
  <c r="AO282" i="5"/>
  <c r="AP282" i="5"/>
  <c r="AQ282" i="5"/>
  <c r="AR282" i="5"/>
  <c r="AS282" i="5"/>
  <c r="AT282" i="5"/>
  <c r="AU282" i="5"/>
  <c r="AV282" i="5"/>
  <c r="AW282" i="5"/>
  <c r="AX282" i="5"/>
  <c r="AY282" i="5"/>
  <c r="AZ282" i="5"/>
  <c r="BA282" i="5"/>
  <c r="BB282" i="5"/>
  <c r="BC282" i="5"/>
  <c r="BD282" i="5"/>
  <c r="BE282" i="5"/>
  <c r="BF282" i="5"/>
  <c r="BG282" i="5"/>
  <c r="BH282" i="5"/>
  <c r="BI282" i="5"/>
  <c r="BJ282" i="5"/>
  <c r="BK282" i="5"/>
  <c r="BL282" i="5"/>
  <c r="BM282" i="5"/>
  <c r="BN282" i="5"/>
  <c r="BO282" i="5"/>
  <c r="BP282" i="5"/>
  <c r="BQ282" i="5"/>
  <c r="BR282" i="5"/>
  <c r="BS282" i="5"/>
  <c r="BT282" i="5"/>
  <c r="BU282" i="5"/>
  <c r="BV282" i="5"/>
  <c r="BW282" i="5"/>
  <c r="BX282" i="5"/>
  <c r="BY282" i="5"/>
  <c r="BZ282" i="5"/>
  <c r="CA282" i="5"/>
  <c r="CB282" i="5"/>
  <c r="CC282" i="5"/>
  <c r="U12" i="4"/>
  <c r="W12" i="4"/>
  <c r="AA12" i="4" s="1"/>
  <c r="AC12" i="4"/>
  <c r="U13" i="4"/>
  <c r="W13" i="4"/>
  <c r="AA13" i="4" s="1"/>
  <c r="AC13" i="4"/>
  <c r="R14" i="4"/>
  <c r="U14" i="4"/>
  <c r="W14" i="4"/>
  <c r="AA14" i="4" s="1"/>
  <c r="AC14" i="4"/>
  <c r="U15" i="4"/>
  <c r="W15" i="4"/>
  <c r="AA15" i="4" s="1"/>
  <c r="AC15" i="4"/>
  <c r="U16" i="4"/>
  <c r="W16" i="4"/>
  <c r="AA16" i="4" s="1"/>
  <c r="AC16" i="4"/>
  <c r="U17" i="4"/>
  <c r="W17" i="4"/>
  <c r="AA17" i="4" s="1"/>
  <c r="AC17" i="4"/>
  <c r="U18" i="4"/>
  <c r="W18" i="4"/>
  <c r="AA18" i="4" s="1"/>
  <c r="AC18" i="4"/>
  <c r="U19" i="4"/>
  <c r="W19" i="4"/>
  <c r="AA19" i="4" s="1"/>
  <c r="AC19" i="4"/>
  <c r="U20" i="4"/>
  <c r="Y20" i="4" s="1"/>
  <c r="W20" i="4"/>
  <c r="AA20" i="4" s="1"/>
  <c r="AC20" i="4"/>
  <c r="U21" i="4"/>
  <c r="W21" i="4"/>
  <c r="AA21" i="4" s="1"/>
  <c r="AC21" i="4"/>
  <c r="U22" i="4"/>
  <c r="W22" i="4"/>
  <c r="AA22" i="4" s="1"/>
  <c r="AC22" i="4"/>
  <c r="U23" i="4"/>
  <c r="W23" i="4"/>
  <c r="AA23" i="4" s="1"/>
  <c r="AC23" i="4"/>
  <c r="U24" i="4"/>
  <c r="W24" i="4"/>
  <c r="AC24" i="4"/>
  <c r="U25" i="4"/>
  <c r="Y25" i="4" s="1"/>
  <c r="W25" i="4"/>
  <c r="AC25" i="4"/>
  <c r="U26" i="4"/>
  <c r="Y26" i="4" s="1"/>
  <c r="W26" i="4"/>
  <c r="AC26" i="4"/>
  <c r="U27" i="4"/>
  <c r="W27" i="4"/>
  <c r="AC27" i="4"/>
  <c r="U28" i="4"/>
  <c r="W28" i="4"/>
  <c r="AA28" i="4" s="1"/>
  <c r="AC28" i="4"/>
  <c r="U29" i="4"/>
  <c r="Y29" i="4" s="1"/>
  <c r="W29" i="4"/>
  <c r="AA29" i="4" s="1"/>
  <c r="AC29" i="4"/>
  <c r="U30" i="4"/>
  <c r="Y30" i="4" s="1"/>
  <c r="W30" i="4"/>
  <c r="AC30" i="4"/>
  <c r="U31" i="4"/>
  <c r="W31" i="4"/>
  <c r="AA31" i="4" s="1"/>
  <c r="AC31" i="4"/>
  <c r="U32" i="4"/>
  <c r="W32" i="4"/>
  <c r="AA32" i="4" s="1"/>
  <c r="AC32" i="4"/>
  <c r="U33" i="4"/>
  <c r="Y33" i="4" s="1"/>
  <c r="W33" i="4"/>
  <c r="AA33" i="4" s="1"/>
  <c r="AC33" i="4"/>
  <c r="U34" i="4"/>
  <c r="Y34" i="4" s="1"/>
  <c r="W34" i="4"/>
  <c r="AC34" i="4"/>
  <c r="U35" i="4"/>
  <c r="Y35" i="4" s="1"/>
  <c r="W35" i="4"/>
  <c r="AC35" i="4"/>
  <c r="U36" i="4"/>
  <c r="Y36" i="4" s="1"/>
  <c r="W36" i="4"/>
  <c r="AC36" i="4"/>
  <c r="U37" i="4"/>
  <c r="W37" i="4"/>
  <c r="AA37" i="4" s="1"/>
  <c r="AC37" i="4"/>
  <c r="U38" i="4"/>
  <c r="W38" i="4"/>
  <c r="AA38" i="4" s="1"/>
  <c r="AC38" i="4"/>
  <c r="U39" i="4"/>
  <c r="Y39" i="4" s="1"/>
  <c r="W39" i="4"/>
  <c r="AA39" i="4" s="1"/>
  <c r="AC39" i="4"/>
  <c r="U40" i="4"/>
  <c r="Y40" i="4" s="1"/>
  <c r="W40" i="4"/>
  <c r="AC40" i="4"/>
  <c r="U41" i="4"/>
  <c r="Y41" i="4" s="1"/>
  <c r="W41" i="4"/>
  <c r="AC41" i="4"/>
  <c r="U42" i="4"/>
  <c r="W42" i="4"/>
  <c r="AC42" i="4"/>
  <c r="U43" i="4"/>
  <c r="W43" i="4"/>
  <c r="AA43" i="4" s="1"/>
  <c r="AC43" i="4"/>
  <c r="R44" i="4"/>
  <c r="U44" i="4"/>
  <c r="W44" i="4"/>
  <c r="AA44" i="4" s="1"/>
  <c r="AC44" i="4"/>
  <c r="R45" i="4"/>
  <c r="U45" i="4"/>
  <c r="Y45" i="4" s="1"/>
  <c r="W45" i="4"/>
  <c r="AA45" i="4" s="1"/>
  <c r="AC45" i="4"/>
  <c r="R46" i="4"/>
  <c r="U46" i="4"/>
  <c r="Y46" i="4" s="1"/>
  <c r="W46" i="4"/>
  <c r="AC46" i="4"/>
  <c r="R47" i="4"/>
  <c r="U47" i="4"/>
  <c r="Y47" i="4" s="1"/>
  <c r="W47" i="4"/>
  <c r="AC47" i="4"/>
  <c r="U48" i="4"/>
  <c r="Y48" i="4" s="1"/>
  <c r="W48" i="4"/>
  <c r="AC48" i="4"/>
  <c r="U49" i="4"/>
  <c r="W49" i="4"/>
  <c r="AA49" i="4" s="1"/>
  <c r="AC49" i="4"/>
  <c r="U50" i="4"/>
  <c r="W50" i="4"/>
  <c r="AA50" i="4" s="1"/>
  <c r="AC50" i="4"/>
  <c r="U51" i="4"/>
  <c r="Y51" i="4" s="1"/>
  <c r="W51" i="4"/>
  <c r="AA51" i="4" s="1"/>
  <c r="AC51" i="4"/>
  <c r="U52" i="4"/>
  <c r="Y52" i="4" s="1"/>
  <c r="W52" i="4"/>
  <c r="AC52" i="4"/>
  <c r="U53" i="4"/>
  <c r="Y53" i="4" s="1"/>
  <c r="W53" i="4"/>
  <c r="AC53" i="4"/>
  <c r="U54" i="4"/>
  <c r="W54" i="4"/>
  <c r="AC54" i="4"/>
  <c r="U55" i="4"/>
  <c r="W55" i="4"/>
  <c r="AA55" i="4" s="1"/>
  <c r="AC55" i="4"/>
  <c r="U56" i="4"/>
  <c r="W56" i="4"/>
  <c r="AA56" i="4" s="1"/>
  <c r="AC56" i="4"/>
  <c r="U57" i="4"/>
  <c r="Y57" i="4" s="1"/>
  <c r="W57" i="4"/>
  <c r="AC57" i="4"/>
  <c r="U58" i="4"/>
  <c r="Y58" i="4" s="1"/>
  <c r="W58" i="4"/>
  <c r="AA58" i="4" s="1"/>
  <c r="AC58" i="4"/>
  <c r="U59" i="4"/>
  <c r="Y59" i="4" s="1"/>
  <c r="W59" i="4"/>
  <c r="AC59" i="4"/>
  <c r="U60" i="4"/>
  <c r="Y60" i="4" s="1"/>
  <c r="W60" i="4"/>
  <c r="AC60" i="4"/>
  <c r="U61" i="4"/>
  <c r="W61" i="4"/>
  <c r="AA61" i="4" s="1"/>
  <c r="AC61" i="4"/>
  <c r="U62" i="4"/>
  <c r="W62" i="4"/>
  <c r="AA62" i="4" s="1"/>
  <c r="AC62" i="4"/>
  <c r="U63" i="4"/>
  <c r="Y63" i="4" s="1"/>
  <c r="W63" i="4"/>
  <c r="AA63" i="4" s="1"/>
  <c r="AC63" i="4"/>
  <c r="U64" i="4"/>
  <c r="W64" i="4"/>
  <c r="AC64" i="4"/>
  <c r="U65" i="4"/>
  <c r="Y65" i="4" s="1"/>
  <c r="W65" i="4"/>
  <c r="AC65" i="4"/>
  <c r="U66" i="4"/>
  <c r="W66" i="4"/>
  <c r="AC66" i="4"/>
  <c r="U67" i="4"/>
  <c r="W67" i="4"/>
  <c r="AA67" i="4" s="1"/>
  <c r="AC67" i="4"/>
  <c r="U68" i="4"/>
  <c r="W68" i="4"/>
  <c r="AA68" i="4" s="1"/>
  <c r="AC68" i="4"/>
  <c r="U69" i="4"/>
  <c r="Y69" i="4" s="1"/>
  <c r="W69" i="4"/>
  <c r="AC69" i="4"/>
  <c r="U70" i="4"/>
  <c r="Y70" i="4" s="1"/>
  <c r="W70" i="4"/>
  <c r="AC70" i="4"/>
  <c r="U71" i="4"/>
  <c r="W71" i="4"/>
  <c r="AC71" i="4"/>
  <c r="U72" i="4"/>
  <c r="Y72" i="4" s="1"/>
  <c r="W72" i="4"/>
  <c r="AA72" i="4" s="1"/>
  <c r="AC72" i="4"/>
  <c r="U73" i="4"/>
  <c r="W73" i="4"/>
  <c r="AA73" i="4" s="1"/>
  <c r="AC73" i="4"/>
  <c r="U74" i="4"/>
  <c r="W74" i="4"/>
  <c r="AA74" i="4" s="1"/>
  <c r="AC74" i="4"/>
  <c r="R75" i="4"/>
  <c r="U75" i="4"/>
  <c r="Y75" i="4" s="1"/>
  <c r="W75" i="4"/>
  <c r="AA75" i="4" s="1"/>
  <c r="AC75" i="4"/>
  <c r="R76" i="4"/>
  <c r="U76" i="4"/>
  <c r="W76" i="4"/>
  <c r="AC76" i="4"/>
  <c r="R77" i="4"/>
  <c r="U77" i="4"/>
  <c r="W77" i="4"/>
  <c r="AC77" i="4"/>
  <c r="R78" i="4"/>
  <c r="U78" i="4"/>
  <c r="W78" i="4"/>
  <c r="AA78" i="4" s="1"/>
  <c r="AE78" i="4" s="1"/>
  <c r="AC78" i="4"/>
  <c r="U79" i="4"/>
  <c r="W79" i="4"/>
  <c r="AA79" i="4" s="1"/>
  <c r="AC79" i="4"/>
  <c r="U80" i="4"/>
  <c r="Y80" i="4" s="1"/>
  <c r="W80" i="4"/>
  <c r="AA80" i="4" s="1"/>
  <c r="AC80" i="4"/>
  <c r="U81" i="4"/>
  <c r="Y81" i="4" s="1"/>
  <c r="W81" i="4"/>
  <c r="AC81" i="4"/>
  <c r="U82" i="4"/>
  <c r="Y82" i="4" s="1"/>
  <c r="W82" i="4"/>
  <c r="AC82" i="4"/>
  <c r="U83" i="4"/>
  <c r="W83" i="4"/>
  <c r="AC83" i="4"/>
  <c r="U84" i="4"/>
  <c r="W84" i="4"/>
  <c r="AA84" i="4" s="1"/>
  <c r="AC84" i="4"/>
  <c r="U85" i="4"/>
  <c r="Y85" i="4" s="1"/>
  <c r="W85" i="4"/>
  <c r="AA85" i="4" s="1"/>
  <c r="AC85" i="4"/>
  <c r="U86" i="4"/>
  <c r="Y86" i="4" s="1"/>
  <c r="W86" i="4"/>
  <c r="AC86" i="4"/>
  <c r="U87" i="4"/>
  <c r="Y87" i="4" s="1"/>
  <c r="W87" i="4"/>
  <c r="AC87" i="4"/>
  <c r="U88" i="4"/>
  <c r="Y88" i="4" s="1"/>
  <c r="W88" i="4"/>
  <c r="AC88" i="4"/>
  <c r="U89" i="4"/>
  <c r="W89" i="4"/>
  <c r="AC89" i="4"/>
  <c r="D14" i="3"/>
  <c r="D15" i="3"/>
  <c r="D16" i="3"/>
  <c r="E16" i="3"/>
  <c r="E19" i="3" s="1"/>
  <c r="D17" i="3"/>
  <c r="E17" i="3"/>
  <c r="F17" i="3"/>
  <c r="F18" i="3" s="1"/>
  <c r="G17" i="3"/>
  <c r="H17" i="3"/>
  <c r="I17" i="3"/>
  <c r="J17" i="3"/>
  <c r="K17" i="3"/>
  <c r="L17" i="3"/>
  <c r="M17" i="3"/>
  <c r="N17" i="3"/>
  <c r="O17" i="3"/>
  <c r="O18" i="3" s="1"/>
  <c r="P17" i="3"/>
  <c r="P18" i="3" s="1"/>
  <c r="Q17" i="3"/>
  <c r="Q18" i="3" s="1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D21" i="3"/>
  <c r="D22" i="3"/>
  <c r="D23" i="3"/>
  <c r="D26" i="3" s="1"/>
  <c r="D24" i="3"/>
  <c r="E24" i="3"/>
  <c r="F24" i="3"/>
  <c r="G24" i="3"/>
  <c r="H24" i="3"/>
  <c r="I24" i="3"/>
  <c r="J24" i="3"/>
  <c r="K24" i="3"/>
  <c r="L24" i="3"/>
  <c r="M24" i="3"/>
  <c r="N24" i="3"/>
  <c r="N25" i="3" s="1"/>
  <c r="O24" i="3"/>
  <c r="O25" i="3" s="1"/>
  <c r="P24" i="3"/>
  <c r="P25" i="3" s="1"/>
  <c r="Q24" i="3"/>
  <c r="Q25" i="3" s="1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J25" i="3" s="1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D28" i="3"/>
  <c r="D29" i="3"/>
  <c r="D30" i="3"/>
  <c r="D33" i="3" s="1"/>
  <c r="E33" i="3"/>
  <c r="D31" i="3"/>
  <c r="E31" i="3"/>
  <c r="F31" i="3"/>
  <c r="G31" i="3"/>
  <c r="H31" i="3"/>
  <c r="I31" i="3"/>
  <c r="J31" i="3"/>
  <c r="K31" i="3"/>
  <c r="L31" i="3"/>
  <c r="M31" i="3"/>
  <c r="N31" i="3"/>
  <c r="N32" i="3" s="1"/>
  <c r="O31" i="3"/>
  <c r="O32" i="3" s="1"/>
  <c r="P31" i="3"/>
  <c r="P32" i="3" s="1"/>
  <c r="Q31" i="3"/>
  <c r="Q32" i="3" s="1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J32" i="3" s="1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D35" i="3"/>
  <c r="D36" i="3"/>
  <c r="D37" i="3"/>
  <c r="D40" i="3" s="1"/>
  <c r="E40" i="3"/>
  <c r="D38" i="3"/>
  <c r="E38" i="3"/>
  <c r="F38" i="3"/>
  <c r="G38" i="3"/>
  <c r="H38" i="3"/>
  <c r="I38" i="3"/>
  <c r="J38" i="3"/>
  <c r="K38" i="3"/>
  <c r="L38" i="3"/>
  <c r="M38" i="3"/>
  <c r="N38" i="3"/>
  <c r="N39" i="3" s="1"/>
  <c r="O38" i="3"/>
  <c r="O39" i="3" s="1"/>
  <c r="P38" i="3"/>
  <c r="P39" i="3" s="1"/>
  <c r="Q38" i="3"/>
  <c r="Q39" i="3" s="1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J39" i="3" s="1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D42" i="3"/>
  <c r="D43" i="3"/>
  <c r="D44" i="3"/>
  <c r="D47" i="3" s="1"/>
  <c r="E47" i="3"/>
  <c r="D45" i="3"/>
  <c r="E45" i="3"/>
  <c r="F45" i="3"/>
  <c r="F46" i="3" s="1"/>
  <c r="G45" i="3"/>
  <c r="H45" i="3"/>
  <c r="I45" i="3"/>
  <c r="J45" i="3"/>
  <c r="K45" i="3"/>
  <c r="L45" i="3"/>
  <c r="M45" i="3"/>
  <c r="N45" i="3"/>
  <c r="N46" i="3" s="1"/>
  <c r="O45" i="3"/>
  <c r="O46" i="3" s="1"/>
  <c r="P45" i="3"/>
  <c r="P46" i="3" s="1"/>
  <c r="Q45" i="3"/>
  <c r="Q46" i="3" s="1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J46" i="3" s="1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D49" i="3"/>
  <c r="D50" i="3"/>
  <c r="D51" i="3"/>
  <c r="D54" i="3" s="1"/>
  <c r="E54" i="3"/>
  <c r="D52" i="3"/>
  <c r="E52" i="3"/>
  <c r="F52" i="3"/>
  <c r="G52" i="3"/>
  <c r="H52" i="3"/>
  <c r="I52" i="3"/>
  <c r="J52" i="3"/>
  <c r="K52" i="3"/>
  <c r="L52" i="3"/>
  <c r="M52" i="3"/>
  <c r="N52" i="3"/>
  <c r="N53" i="3" s="1"/>
  <c r="O52" i="3"/>
  <c r="O53" i="3" s="1"/>
  <c r="P52" i="3"/>
  <c r="P53" i="3" s="1"/>
  <c r="Q52" i="3"/>
  <c r="Q53" i="3" s="1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J53" i="3" s="1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D56" i="3"/>
  <c r="D57" i="3"/>
  <c r="D58" i="3"/>
  <c r="D61" i="3" s="1"/>
  <c r="E61" i="3"/>
  <c r="D59" i="3"/>
  <c r="E59" i="3"/>
  <c r="F59" i="3"/>
  <c r="G59" i="3"/>
  <c r="H59" i="3"/>
  <c r="I59" i="3"/>
  <c r="J59" i="3"/>
  <c r="K59" i="3"/>
  <c r="L59" i="3"/>
  <c r="M59" i="3"/>
  <c r="N59" i="3"/>
  <c r="N60" i="3" s="1"/>
  <c r="O59" i="3"/>
  <c r="O60" i="3" s="1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J60" i="3" s="1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U12" i="9"/>
  <c r="Y12" i="9" s="1"/>
  <c r="AC12" i="9"/>
  <c r="AE12" i="9"/>
  <c r="U13" i="9"/>
  <c r="Y13" i="9" s="1"/>
  <c r="AC13" i="9"/>
  <c r="AE13" i="9"/>
  <c r="R14" i="9"/>
  <c r="U14" i="9"/>
  <c r="Y14" i="9" s="1"/>
  <c r="AC14" i="9"/>
  <c r="AE14" i="9"/>
  <c r="U15" i="9"/>
  <c r="Y15" i="9" s="1"/>
  <c r="AC15" i="9"/>
  <c r="AE15" i="9"/>
  <c r="U16" i="9"/>
  <c r="Y16" i="9" s="1"/>
  <c r="AC16" i="9"/>
  <c r="AE16" i="9"/>
  <c r="U17" i="9"/>
  <c r="Y17" i="9" s="1"/>
  <c r="AC17" i="9"/>
  <c r="AE17" i="9"/>
  <c r="U18" i="9"/>
  <c r="Y18" i="9" s="1"/>
  <c r="AC18" i="9"/>
  <c r="AE18" i="9"/>
  <c r="U19" i="9"/>
  <c r="Y19" i="9" s="1"/>
  <c r="AC19" i="9"/>
  <c r="AE19" i="9"/>
  <c r="U20" i="9"/>
  <c r="Y20" i="9" s="1"/>
  <c r="AC20" i="9"/>
  <c r="AE20" i="9"/>
  <c r="U21" i="9"/>
  <c r="Y21" i="9" s="1"/>
  <c r="AC21" i="9"/>
  <c r="AE21" i="9"/>
  <c r="U22" i="9"/>
  <c r="Y22" i="9" s="1"/>
  <c r="AC22" i="9"/>
  <c r="AE22" i="9"/>
  <c r="U23" i="9"/>
  <c r="AC23" i="9"/>
  <c r="AE23" i="9"/>
  <c r="U24" i="9"/>
  <c r="Y24" i="9" s="1"/>
  <c r="AC24" i="9"/>
  <c r="AE24" i="9"/>
  <c r="U25" i="9"/>
  <c r="AC25" i="9"/>
  <c r="AE25" i="9"/>
  <c r="U26" i="9"/>
  <c r="AC26" i="9"/>
  <c r="AE26" i="9"/>
  <c r="U27" i="9"/>
  <c r="Y27" i="9" s="1"/>
  <c r="AC27" i="9"/>
  <c r="AE27" i="9"/>
  <c r="U28" i="9"/>
  <c r="AC28" i="9"/>
  <c r="AE28" i="9"/>
  <c r="U29" i="9"/>
  <c r="Y29" i="9" s="1"/>
  <c r="AC29" i="9"/>
  <c r="AE29" i="9"/>
  <c r="U30" i="9"/>
  <c r="Y30" i="9" s="1"/>
  <c r="AC30" i="9"/>
  <c r="AE30" i="9"/>
  <c r="U31" i="9"/>
  <c r="Y31" i="9" s="1"/>
  <c r="AC31" i="9"/>
  <c r="AE31" i="9"/>
  <c r="U32" i="9"/>
  <c r="Y32" i="9" s="1"/>
  <c r="AC32" i="9"/>
  <c r="AE32" i="9"/>
  <c r="U33" i="9"/>
  <c r="Y33" i="9" s="1"/>
  <c r="AC33" i="9"/>
  <c r="AE33" i="9"/>
  <c r="U34" i="9"/>
  <c r="Y34" i="9" s="1"/>
  <c r="AC34" i="9"/>
  <c r="AE34" i="9"/>
  <c r="U35" i="9"/>
  <c r="AC35" i="9"/>
  <c r="AE35" i="9"/>
  <c r="U36" i="9"/>
  <c r="Y36" i="9" s="1"/>
  <c r="AC36" i="9"/>
  <c r="AE36" i="9"/>
  <c r="U37" i="9"/>
  <c r="AC37" i="9"/>
  <c r="AE37" i="9"/>
  <c r="U38" i="9"/>
  <c r="AC38" i="9"/>
  <c r="AE38" i="9"/>
  <c r="U39" i="9"/>
  <c r="Y39" i="9" s="1"/>
  <c r="AC39" i="9"/>
  <c r="AE39" i="9"/>
  <c r="U40" i="9"/>
  <c r="Y40" i="9" s="1"/>
  <c r="AC40" i="9"/>
  <c r="AE40" i="9"/>
  <c r="U41" i="9"/>
  <c r="Y41" i="9" s="1"/>
  <c r="AC41" i="9"/>
  <c r="AE41" i="9"/>
  <c r="U42" i="9"/>
  <c r="Y42" i="9" s="1"/>
  <c r="AC42" i="9"/>
  <c r="AE42" i="9"/>
  <c r="U43" i="9"/>
  <c r="Y43" i="9" s="1"/>
  <c r="AC43" i="9"/>
  <c r="AE43" i="9"/>
  <c r="U44" i="9"/>
  <c r="Y44" i="9" s="1"/>
  <c r="AC44" i="9"/>
  <c r="AE44" i="9"/>
  <c r="U45" i="9"/>
  <c r="AC45" i="9"/>
  <c r="AE45" i="9"/>
  <c r="R46" i="9"/>
  <c r="U46" i="9"/>
  <c r="Y46" i="9" s="1"/>
  <c r="AC46" i="9"/>
  <c r="AE46" i="9"/>
  <c r="R47" i="9"/>
  <c r="U47" i="9"/>
  <c r="AC47" i="9"/>
  <c r="AE47" i="9"/>
  <c r="U48" i="9"/>
  <c r="AC48" i="9"/>
  <c r="AE48" i="9"/>
  <c r="U49" i="9"/>
  <c r="AC49" i="9"/>
  <c r="AE49" i="9"/>
  <c r="U50" i="9"/>
  <c r="AC50" i="9"/>
  <c r="AE50" i="9"/>
  <c r="U51" i="9"/>
  <c r="Y51" i="9" s="1"/>
  <c r="AC51" i="9"/>
  <c r="AE51" i="9"/>
  <c r="U52" i="9"/>
  <c r="Y52" i="9" s="1"/>
  <c r="AC52" i="9"/>
  <c r="AE52" i="9"/>
  <c r="U53" i="9"/>
  <c r="Y53" i="9" s="1"/>
  <c r="AC53" i="9"/>
  <c r="AE53" i="9"/>
  <c r="U54" i="9"/>
  <c r="Y54" i="9" s="1"/>
  <c r="AC54" i="9"/>
  <c r="AE54" i="9"/>
  <c r="U55" i="9"/>
  <c r="Y55" i="9" s="1"/>
  <c r="AC55" i="9"/>
  <c r="AE55" i="9"/>
  <c r="U56" i="9"/>
  <c r="Y56" i="9" s="1"/>
  <c r="AC56" i="9"/>
  <c r="AE56" i="9"/>
  <c r="U57" i="9"/>
  <c r="Y57" i="9" s="1"/>
  <c r="AC57" i="9"/>
  <c r="AE57" i="9"/>
  <c r="U58" i="9"/>
  <c r="Y58" i="9" s="1"/>
  <c r="AC58" i="9"/>
  <c r="AE58" i="9"/>
  <c r="U59" i="9"/>
  <c r="AC59" i="9"/>
  <c r="AE59" i="9"/>
  <c r="U60" i="9"/>
  <c r="Y60" i="9" s="1"/>
  <c r="AC60" i="9"/>
  <c r="AE60" i="9"/>
  <c r="U61" i="9"/>
  <c r="AC61" i="9"/>
  <c r="AE61" i="9"/>
  <c r="U62" i="9"/>
  <c r="AC62" i="9"/>
  <c r="AE62" i="9"/>
  <c r="U63" i="9"/>
  <c r="Y63" i="9" s="1"/>
  <c r="AC63" i="9"/>
  <c r="AE63" i="9"/>
  <c r="U64" i="9"/>
  <c r="Y64" i="9" s="1"/>
  <c r="AC64" i="9"/>
  <c r="AE64" i="9"/>
  <c r="U65" i="9"/>
  <c r="Y65" i="9" s="1"/>
  <c r="AC65" i="9"/>
  <c r="AE65" i="9"/>
  <c r="U66" i="9"/>
  <c r="Y66" i="9" s="1"/>
  <c r="AC66" i="9"/>
  <c r="AE66" i="9"/>
  <c r="U67" i="9"/>
  <c r="Y67" i="9" s="1"/>
  <c r="AC67" i="9"/>
  <c r="AE67" i="9"/>
  <c r="U68" i="9"/>
  <c r="Y68" i="9" s="1"/>
  <c r="AC68" i="9"/>
  <c r="AE68" i="9"/>
  <c r="U69" i="9"/>
  <c r="Y69" i="9" s="1"/>
  <c r="AC69" i="9"/>
  <c r="AE69" i="9"/>
  <c r="U70" i="9"/>
  <c r="AC70" i="9"/>
  <c r="AE70" i="9"/>
  <c r="U71" i="9"/>
  <c r="AC71" i="9"/>
  <c r="AE71" i="9"/>
  <c r="U72" i="9"/>
  <c r="Y72" i="9" s="1"/>
  <c r="AC72" i="9"/>
  <c r="AE72" i="9"/>
  <c r="U73" i="9"/>
  <c r="AC73" i="9"/>
  <c r="AE73" i="9"/>
  <c r="U74" i="9"/>
  <c r="AC74" i="9"/>
  <c r="AE74" i="9"/>
  <c r="U75" i="9"/>
  <c r="Y75" i="9" s="1"/>
  <c r="AC75" i="9"/>
  <c r="AE75" i="9"/>
  <c r="U76" i="9"/>
  <c r="Y76" i="9" s="1"/>
  <c r="AC76" i="9"/>
  <c r="AE76" i="9"/>
  <c r="R77" i="9"/>
  <c r="U77" i="9"/>
  <c r="Y77" i="9" s="1"/>
  <c r="AC77" i="9"/>
  <c r="AE77" i="9"/>
  <c r="R78" i="9"/>
  <c r="U78" i="9"/>
  <c r="Y78" i="9" s="1"/>
  <c r="AC78" i="9"/>
  <c r="AE78" i="9"/>
  <c r="U79" i="9"/>
  <c r="Y79" i="9" s="1"/>
  <c r="AC79" i="9"/>
  <c r="AE79" i="9"/>
  <c r="U80" i="9"/>
  <c r="Y80" i="9" s="1"/>
  <c r="AC80" i="9"/>
  <c r="AE80" i="9"/>
  <c r="U81" i="9"/>
  <c r="Y81" i="9" s="1"/>
  <c r="AC81" i="9"/>
  <c r="AE81" i="9"/>
  <c r="U82" i="9"/>
  <c r="AC82" i="9"/>
  <c r="AE82" i="9"/>
  <c r="U83" i="9"/>
  <c r="AC83" i="9"/>
  <c r="AE83" i="9"/>
  <c r="U84" i="9"/>
  <c r="Y84" i="9" s="1"/>
  <c r="AC84" i="9"/>
  <c r="AE84" i="9"/>
  <c r="U85" i="9"/>
  <c r="AC85" i="9"/>
  <c r="AE85" i="9"/>
  <c r="U86" i="9"/>
  <c r="AC86" i="9"/>
  <c r="AE86" i="9"/>
  <c r="U87" i="9"/>
  <c r="Y87" i="9" s="1"/>
  <c r="AC87" i="9"/>
  <c r="AE87" i="9"/>
  <c r="U88" i="9"/>
  <c r="AC88" i="9"/>
  <c r="AE88" i="9"/>
  <c r="U89" i="9"/>
  <c r="AC89" i="9"/>
  <c r="AE89" i="9"/>
  <c r="D14" i="10"/>
  <c r="D15" i="10"/>
  <c r="D16" i="10"/>
  <c r="E16" i="10"/>
  <c r="E19" i="10" s="1"/>
  <c r="D17" i="10"/>
  <c r="E17" i="10"/>
  <c r="F17" i="10"/>
  <c r="G17" i="10"/>
  <c r="H17" i="10"/>
  <c r="I17" i="10"/>
  <c r="J17" i="10"/>
  <c r="K17" i="10"/>
  <c r="L17" i="10"/>
  <c r="M17" i="10"/>
  <c r="N17" i="10"/>
  <c r="N18" i="10" s="1"/>
  <c r="O17" i="10"/>
  <c r="O18" i="10" s="1"/>
  <c r="P17" i="10"/>
  <c r="P18" i="10" s="1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J18" i="10" s="1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N19" i="10"/>
  <c r="BO19" i="10"/>
  <c r="BP19" i="10"/>
  <c r="BQ19" i="10"/>
  <c r="BR19" i="10"/>
  <c r="BS19" i="10"/>
  <c r="BT19" i="10"/>
  <c r="BU19" i="10"/>
  <c r="BV19" i="10"/>
  <c r="BW19" i="10"/>
  <c r="BX19" i="10"/>
  <c r="BY19" i="10"/>
  <c r="BZ19" i="10"/>
  <c r="CA19" i="10"/>
  <c r="CB19" i="10"/>
  <c r="CC19" i="10"/>
  <c r="D21" i="10"/>
  <c r="D22" i="10"/>
  <c r="D23" i="10"/>
  <c r="D26" i="10" s="1"/>
  <c r="E23" i="10"/>
  <c r="D24" i="10"/>
  <c r="E24" i="10"/>
  <c r="F24" i="10"/>
  <c r="G24" i="10"/>
  <c r="H24" i="10"/>
  <c r="I24" i="10"/>
  <c r="J24" i="10"/>
  <c r="K24" i="10"/>
  <c r="L24" i="10"/>
  <c r="M24" i="10"/>
  <c r="N24" i="10"/>
  <c r="N25" i="10" s="1"/>
  <c r="O24" i="10"/>
  <c r="P24" i="10"/>
  <c r="Q24" i="10"/>
  <c r="Q25" i="10" s="1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J25" i="10" s="1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BK26" i="10"/>
  <c r="BL26" i="10"/>
  <c r="BM26" i="10"/>
  <c r="BN26" i="10"/>
  <c r="BO26" i="10"/>
  <c r="BP26" i="10"/>
  <c r="BQ26" i="10"/>
  <c r="BR26" i="10"/>
  <c r="BS26" i="10"/>
  <c r="BT26" i="10"/>
  <c r="BU26" i="10"/>
  <c r="BV26" i="10"/>
  <c r="BW26" i="10"/>
  <c r="BX26" i="10"/>
  <c r="BY26" i="10"/>
  <c r="BZ26" i="10"/>
  <c r="CA26" i="10"/>
  <c r="CB26" i="10"/>
  <c r="CC26" i="10"/>
  <c r="D28" i="10"/>
  <c r="D29" i="10"/>
  <c r="D30" i="10"/>
  <c r="D33" i="10" s="1"/>
  <c r="E30" i="10"/>
  <c r="E33" i="10" s="1"/>
  <c r="D31" i="10"/>
  <c r="E31" i="10"/>
  <c r="F31" i="10"/>
  <c r="G31" i="10"/>
  <c r="H31" i="10"/>
  <c r="I31" i="10"/>
  <c r="J31" i="10"/>
  <c r="K31" i="10"/>
  <c r="L31" i="10"/>
  <c r="M31" i="10"/>
  <c r="N31" i="10"/>
  <c r="N32" i="10" s="1"/>
  <c r="O31" i="10"/>
  <c r="O32" i="10" s="1"/>
  <c r="P31" i="10"/>
  <c r="P32" i="10" s="1"/>
  <c r="Q31" i="10"/>
  <c r="Q32" i="10" s="1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J32" i="10" s="1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N33" i="10"/>
  <c r="BO33" i="10"/>
  <c r="BP33" i="10"/>
  <c r="BQ33" i="10"/>
  <c r="BR33" i="10"/>
  <c r="BS33" i="10"/>
  <c r="BT33" i="10"/>
  <c r="BU33" i="10"/>
  <c r="BV33" i="10"/>
  <c r="BW33" i="10"/>
  <c r="BX33" i="10"/>
  <c r="BY33" i="10"/>
  <c r="BZ33" i="10"/>
  <c r="CA33" i="10"/>
  <c r="CB33" i="10"/>
  <c r="CC33" i="10"/>
  <c r="D35" i="10"/>
  <c r="D36" i="10"/>
  <c r="D37" i="10"/>
  <c r="D40" i="10" s="1"/>
  <c r="E37" i="10"/>
  <c r="E40" i="10" s="1"/>
  <c r="D38" i="10"/>
  <c r="E38" i="10"/>
  <c r="F38" i="10"/>
  <c r="G38" i="10"/>
  <c r="H38" i="10"/>
  <c r="I38" i="10"/>
  <c r="J38" i="10"/>
  <c r="K38" i="10"/>
  <c r="L38" i="10"/>
  <c r="M38" i="10"/>
  <c r="N38" i="10"/>
  <c r="N39" i="10" s="1"/>
  <c r="O38" i="10"/>
  <c r="O39" i="10" s="1"/>
  <c r="P38" i="10"/>
  <c r="P39" i="10" s="1"/>
  <c r="Q38" i="10"/>
  <c r="Q39" i="10" s="1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J39" i="10" s="1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BK40" i="10"/>
  <c r="BL40" i="10"/>
  <c r="BM40" i="10"/>
  <c r="BN40" i="10"/>
  <c r="BO40" i="10"/>
  <c r="BP40" i="10"/>
  <c r="BQ40" i="10"/>
  <c r="BR40" i="10"/>
  <c r="BS40" i="10"/>
  <c r="BT40" i="10"/>
  <c r="BU40" i="10"/>
  <c r="BV40" i="10"/>
  <c r="BW40" i="10"/>
  <c r="BX40" i="10"/>
  <c r="BY40" i="10"/>
  <c r="BZ40" i="10"/>
  <c r="CA40" i="10"/>
  <c r="CB40" i="10"/>
  <c r="CC40" i="10"/>
  <c r="D42" i="10"/>
  <c r="D43" i="10"/>
  <c r="D44" i="10"/>
  <c r="E44" i="10"/>
  <c r="D45" i="10"/>
  <c r="E45" i="10"/>
  <c r="F45" i="10"/>
  <c r="F46" i="10" s="1"/>
  <c r="G45" i="10"/>
  <c r="H45" i="10"/>
  <c r="I45" i="10"/>
  <c r="J45" i="10"/>
  <c r="K45" i="10"/>
  <c r="L45" i="10"/>
  <c r="M45" i="10"/>
  <c r="N45" i="10"/>
  <c r="N46" i="10" s="1"/>
  <c r="O45" i="10"/>
  <c r="P45" i="10"/>
  <c r="P46" i="10" s="1"/>
  <c r="Q45" i="10"/>
  <c r="Q46" i="10" s="1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J46" i="10" s="1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BK47" i="10"/>
  <c r="BL47" i="10"/>
  <c r="BM47" i="10"/>
  <c r="BN47" i="10"/>
  <c r="BO47" i="10"/>
  <c r="BP47" i="10"/>
  <c r="BQ47" i="10"/>
  <c r="BR47" i="10"/>
  <c r="BS47" i="10"/>
  <c r="BT47" i="10"/>
  <c r="BU47" i="10"/>
  <c r="BV47" i="10"/>
  <c r="BW47" i="10"/>
  <c r="BX47" i="10"/>
  <c r="BY47" i="10"/>
  <c r="BZ47" i="10"/>
  <c r="CA47" i="10"/>
  <c r="CB47" i="10"/>
  <c r="CC47" i="10"/>
  <c r="D49" i="10"/>
  <c r="D50" i="10"/>
  <c r="D51" i="10"/>
  <c r="D54" i="10" s="1"/>
  <c r="E51" i="10"/>
  <c r="E54" i="10" s="1"/>
  <c r="D52" i="10"/>
  <c r="E52" i="10"/>
  <c r="F52" i="10"/>
  <c r="G52" i="10"/>
  <c r="H52" i="10"/>
  <c r="I52" i="10"/>
  <c r="J52" i="10"/>
  <c r="K52" i="10"/>
  <c r="L52" i="10"/>
  <c r="M52" i="10"/>
  <c r="N52" i="10"/>
  <c r="N53" i="10" s="1"/>
  <c r="O52" i="10"/>
  <c r="P52" i="10"/>
  <c r="P53" i="10" s="1"/>
  <c r="Q52" i="10"/>
  <c r="Q53" i="10" s="1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J53" i="10" s="1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BA54" i="10"/>
  <c r="BB54" i="10"/>
  <c r="BC54" i="10"/>
  <c r="BD54" i="10"/>
  <c r="BE54" i="10"/>
  <c r="BF54" i="10"/>
  <c r="BG54" i="10"/>
  <c r="BH54" i="10"/>
  <c r="BI54" i="10"/>
  <c r="BJ54" i="10"/>
  <c r="BK54" i="10"/>
  <c r="BL54" i="10"/>
  <c r="BM54" i="10"/>
  <c r="BN54" i="10"/>
  <c r="BO54" i="10"/>
  <c r="BP54" i="10"/>
  <c r="BQ54" i="10"/>
  <c r="BR54" i="10"/>
  <c r="BS54" i="10"/>
  <c r="BT54" i="10"/>
  <c r="BU54" i="10"/>
  <c r="BV54" i="10"/>
  <c r="BW54" i="10"/>
  <c r="BX54" i="10"/>
  <c r="BY54" i="10"/>
  <c r="BZ54" i="10"/>
  <c r="CA54" i="10"/>
  <c r="CB54" i="10"/>
  <c r="CC54" i="10"/>
  <c r="D56" i="10"/>
  <c r="D57" i="10"/>
  <c r="D58" i="10"/>
  <c r="D61" i="10" s="1"/>
  <c r="E58" i="10"/>
  <c r="E61" i="10" s="1"/>
  <c r="D59" i="10"/>
  <c r="E59" i="10"/>
  <c r="F59" i="10"/>
  <c r="G59" i="10"/>
  <c r="H59" i="10"/>
  <c r="I59" i="10"/>
  <c r="J59" i="10"/>
  <c r="K59" i="10"/>
  <c r="L59" i="10"/>
  <c r="M59" i="10"/>
  <c r="N59" i="10"/>
  <c r="O59" i="10"/>
  <c r="O60" i="10" s="1"/>
  <c r="P59" i="10"/>
  <c r="Q59" i="10"/>
  <c r="Q60" i="10" s="1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J60" i="10" s="1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AX61" i="10"/>
  <c r="AY61" i="10"/>
  <c r="AZ61" i="10"/>
  <c r="BA61" i="10"/>
  <c r="BB61" i="10"/>
  <c r="BC61" i="10"/>
  <c r="BD61" i="10"/>
  <c r="BE61" i="10"/>
  <c r="BF61" i="10"/>
  <c r="BG61" i="10"/>
  <c r="BH61" i="10"/>
  <c r="BI61" i="10"/>
  <c r="BJ61" i="10"/>
  <c r="BK61" i="10"/>
  <c r="BL61" i="10"/>
  <c r="BM61" i="10"/>
  <c r="BN61" i="10"/>
  <c r="BO61" i="10"/>
  <c r="BP61" i="10"/>
  <c r="BQ61" i="10"/>
  <c r="BR61" i="10"/>
  <c r="BS61" i="10"/>
  <c r="BT61" i="10"/>
  <c r="BU61" i="10"/>
  <c r="BV61" i="10"/>
  <c r="BW61" i="10"/>
  <c r="BX61" i="10"/>
  <c r="BY61" i="10"/>
  <c r="BZ61" i="10"/>
  <c r="CA61" i="10"/>
  <c r="CB61" i="10"/>
  <c r="CC61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AX65" i="10"/>
  <c r="AY65" i="10"/>
  <c r="AZ65" i="10"/>
  <c r="BA65" i="10"/>
  <c r="BB65" i="10"/>
  <c r="BC65" i="10"/>
  <c r="BD65" i="10"/>
  <c r="BE65" i="10"/>
  <c r="BF65" i="10"/>
  <c r="BG65" i="10"/>
  <c r="BH65" i="10"/>
  <c r="BI65" i="10"/>
  <c r="BJ65" i="10"/>
  <c r="BK65" i="10"/>
  <c r="BL65" i="10"/>
  <c r="BM65" i="10"/>
  <c r="BN65" i="10"/>
  <c r="BO65" i="10"/>
  <c r="BP65" i="10"/>
  <c r="BQ65" i="10"/>
  <c r="BR65" i="10"/>
  <c r="BS65" i="10"/>
  <c r="BT65" i="10"/>
  <c r="BU65" i="10"/>
  <c r="BV65" i="10"/>
  <c r="BW65" i="10"/>
  <c r="BX65" i="10"/>
  <c r="BY65" i="10"/>
  <c r="BZ65" i="10"/>
  <c r="CA65" i="10"/>
  <c r="CB65" i="10"/>
  <c r="CC65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AX66" i="10"/>
  <c r="AY66" i="10"/>
  <c r="AZ66" i="10"/>
  <c r="BA66" i="10"/>
  <c r="BB66" i="10"/>
  <c r="BC66" i="10"/>
  <c r="BD66" i="10"/>
  <c r="BE66" i="10"/>
  <c r="BF66" i="10"/>
  <c r="BG66" i="10"/>
  <c r="BH66" i="10"/>
  <c r="BI66" i="10"/>
  <c r="BJ66" i="10"/>
  <c r="BK66" i="10"/>
  <c r="BL66" i="10"/>
  <c r="BM66" i="10"/>
  <c r="BN66" i="10"/>
  <c r="BO66" i="10"/>
  <c r="BP66" i="10"/>
  <c r="BQ66" i="10"/>
  <c r="BR66" i="10"/>
  <c r="BS66" i="10"/>
  <c r="BT66" i="10"/>
  <c r="BU66" i="10"/>
  <c r="BV66" i="10"/>
  <c r="BW66" i="10"/>
  <c r="BX66" i="10"/>
  <c r="BY66" i="10"/>
  <c r="BZ66" i="10"/>
  <c r="CA66" i="10"/>
  <c r="CB66" i="10"/>
  <c r="CC66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AX68" i="10"/>
  <c r="AY68" i="10"/>
  <c r="AZ68" i="10"/>
  <c r="BA68" i="10"/>
  <c r="BB68" i="10"/>
  <c r="BC68" i="10"/>
  <c r="BD68" i="10"/>
  <c r="BE68" i="10"/>
  <c r="BF68" i="10"/>
  <c r="BG68" i="10"/>
  <c r="BH68" i="10"/>
  <c r="BI68" i="10"/>
  <c r="BJ68" i="10"/>
  <c r="BK68" i="10"/>
  <c r="BL68" i="10"/>
  <c r="BM68" i="10"/>
  <c r="BN68" i="10"/>
  <c r="BO68" i="10"/>
  <c r="BP68" i="10"/>
  <c r="BQ68" i="10"/>
  <c r="BR68" i="10"/>
  <c r="BS68" i="10"/>
  <c r="BT68" i="10"/>
  <c r="BU68" i="10"/>
  <c r="BV68" i="10"/>
  <c r="BW68" i="10"/>
  <c r="BX68" i="10"/>
  <c r="BY68" i="10"/>
  <c r="BZ68" i="10"/>
  <c r="CA68" i="10"/>
  <c r="CB68" i="10"/>
  <c r="CC68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AX77" i="10"/>
  <c r="AY77" i="10"/>
  <c r="AZ77" i="10"/>
  <c r="BA77" i="10"/>
  <c r="BB77" i="10"/>
  <c r="BC77" i="10"/>
  <c r="BD77" i="10"/>
  <c r="BE77" i="10"/>
  <c r="BF77" i="10"/>
  <c r="BG77" i="10"/>
  <c r="BH77" i="10"/>
  <c r="BI77" i="10"/>
  <c r="BJ77" i="10"/>
  <c r="BK77" i="10"/>
  <c r="BL77" i="10"/>
  <c r="BM77" i="10"/>
  <c r="BN77" i="10"/>
  <c r="BO77" i="10"/>
  <c r="BP77" i="10"/>
  <c r="BQ77" i="10"/>
  <c r="BR77" i="10"/>
  <c r="BS77" i="10"/>
  <c r="BT77" i="10"/>
  <c r="BU77" i="10"/>
  <c r="BV77" i="10"/>
  <c r="BW77" i="10"/>
  <c r="BX77" i="10"/>
  <c r="BY77" i="10"/>
  <c r="BZ77" i="10"/>
  <c r="CA77" i="10"/>
  <c r="CB77" i="10"/>
  <c r="CC77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AX78" i="10"/>
  <c r="AY78" i="10"/>
  <c r="AZ78" i="10"/>
  <c r="BA78" i="10"/>
  <c r="BB78" i="10"/>
  <c r="BC78" i="10"/>
  <c r="BD78" i="10"/>
  <c r="BE78" i="10"/>
  <c r="BF78" i="10"/>
  <c r="BG78" i="10"/>
  <c r="BH78" i="10"/>
  <c r="BI78" i="10"/>
  <c r="BJ78" i="10"/>
  <c r="BK78" i="10"/>
  <c r="BL78" i="10"/>
  <c r="BM78" i="10"/>
  <c r="BN78" i="10"/>
  <c r="BO78" i="10"/>
  <c r="BP78" i="10"/>
  <c r="BQ78" i="10"/>
  <c r="BR78" i="10"/>
  <c r="BS78" i="10"/>
  <c r="BT78" i="10"/>
  <c r="BU78" i="10"/>
  <c r="BV78" i="10"/>
  <c r="BW78" i="10"/>
  <c r="BX78" i="10"/>
  <c r="BY78" i="10"/>
  <c r="BZ78" i="10"/>
  <c r="CA78" i="10"/>
  <c r="CB78" i="10"/>
  <c r="CC78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BA80" i="10"/>
  <c r="BB80" i="10"/>
  <c r="BC80" i="10"/>
  <c r="BD80" i="10"/>
  <c r="BE80" i="10"/>
  <c r="BF80" i="10"/>
  <c r="BG80" i="10"/>
  <c r="BH80" i="10"/>
  <c r="BI80" i="10"/>
  <c r="BJ80" i="10"/>
  <c r="BK80" i="10"/>
  <c r="BL80" i="10"/>
  <c r="BM80" i="10"/>
  <c r="BN80" i="10"/>
  <c r="BO80" i="10"/>
  <c r="BP80" i="10"/>
  <c r="BQ80" i="10"/>
  <c r="BR80" i="10"/>
  <c r="BS80" i="10"/>
  <c r="BT80" i="10"/>
  <c r="BU80" i="10"/>
  <c r="BV80" i="10"/>
  <c r="BW80" i="10"/>
  <c r="BX80" i="10"/>
  <c r="BY80" i="10"/>
  <c r="BZ80" i="10"/>
  <c r="CA80" i="10"/>
  <c r="CB80" i="10"/>
  <c r="CC80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AX81" i="10"/>
  <c r="AY81" i="10"/>
  <c r="AZ81" i="10"/>
  <c r="BA81" i="10"/>
  <c r="BB81" i="10"/>
  <c r="BC81" i="10"/>
  <c r="BD81" i="10"/>
  <c r="BE81" i="10"/>
  <c r="BF81" i="10"/>
  <c r="BG81" i="10"/>
  <c r="BH81" i="10"/>
  <c r="BI81" i="10"/>
  <c r="BJ81" i="10"/>
  <c r="BK81" i="10"/>
  <c r="BL81" i="10"/>
  <c r="BM81" i="10"/>
  <c r="BN81" i="10"/>
  <c r="BO81" i="10"/>
  <c r="BP81" i="10"/>
  <c r="BQ81" i="10"/>
  <c r="BR81" i="10"/>
  <c r="BS81" i="10"/>
  <c r="BT81" i="10"/>
  <c r="BU81" i="10"/>
  <c r="BV81" i="10"/>
  <c r="BW81" i="10"/>
  <c r="BX81" i="10"/>
  <c r="BY81" i="10"/>
  <c r="BZ81" i="10"/>
  <c r="CA81" i="10"/>
  <c r="CB81" i="10"/>
  <c r="CC81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AX82" i="10"/>
  <c r="AY82" i="10"/>
  <c r="AZ82" i="10"/>
  <c r="BA82" i="10"/>
  <c r="BB82" i="10"/>
  <c r="BC82" i="10"/>
  <c r="BD82" i="10"/>
  <c r="BE82" i="10"/>
  <c r="BF82" i="10"/>
  <c r="BG82" i="10"/>
  <c r="BH82" i="10"/>
  <c r="BI82" i="10"/>
  <c r="BJ82" i="10"/>
  <c r="BK82" i="10"/>
  <c r="BL82" i="10"/>
  <c r="BM82" i="10"/>
  <c r="BN82" i="10"/>
  <c r="BO82" i="10"/>
  <c r="BP82" i="10"/>
  <c r="BQ82" i="10"/>
  <c r="BR82" i="10"/>
  <c r="BS82" i="10"/>
  <c r="BT82" i="10"/>
  <c r="BU82" i="10"/>
  <c r="BV82" i="10"/>
  <c r="BW82" i="10"/>
  <c r="BX82" i="10"/>
  <c r="BY82" i="10"/>
  <c r="BZ82" i="10"/>
  <c r="CA82" i="10"/>
  <c r="CB82" i="10"/>
  <c r="CC82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J86" i="10"/>
  <c r="AK86" i="10"/>
  <c r="AL86" i="10"/>
  <c r="AM86" i="10"/>
  <c r="AN86" i="10"/>
  <c r="AO86" i="10"/>
  <c r="AP86" i="10"/>
  <c r="AQ86" i="10"/>
  <c r="AR86" i="10"/>
  <c r="AS86" i="10"/>
  <c r="AT86" i="10"/>
  <c r="AU86" i="10"/>
  <c r="AV86" i="10"/>
  <c r="AW86" i="10"/>
  <c r="AX86" i="10"/>
  <c r="AY86" i="10"/>
  <c r="AZ86" i="10"/>
  <c r="BA86" i="10"/>
  <c r="BB86" i="10"/>
  <c r="BC86" i="10"/>
  <c r="BD86" i="10"/>
  <c r="BE86" i="10"/>
  <c r="BF86" i="10"/>
  <c r="BG86" i="10"/>
  <c r="BH86" i="10"/>
  <c r="BI86" i="10"/>
  <c r="BJ86" i="10"/>
  <c r="BK86" i="10"/>
  <c r="BL86" i="10"/>
  <c r="BM86" i="10"/>
  <c r="BN86" i="10"/>
  <c r="BO86" i="10"/>
  <c r="BP86" i="10"/>
  <c r="BQ86" i="10"/>
  <c r="BR86" i="10"/>
  <c r="BS86" i="10"/>
  <c r="BT86" i="10"/>
  <c r="BU86" i="10"/>
  <c r="BV86" i="10"/>
  <c r="BW86" i="10"/>
  <c r="BX86" i="10"/>
  <c r="BY86" i="10"/>
  <c r="BZ86" i="10"/>
  <c r="CA86" i="10"/>
  <c r="CB86" i="10"/>
  <c r="CC86" i="10"/>
  <c r="D46" i="10" l="1"/>
  <c r="D53" i="10"/>
  <c r="D25" i="10"/>
  <c r="D60" i="10"/>
  <c r="D25" i="3"/>
  <c r="D53" i="3"/>
  <c r="D46" i="3"/>
  <c r="D200" i="5"/>
  <c r="D158" i="5"/>
  <c r="D74" i="5"/>
  <c r="D235" i="5"/>
  <c r="D151" i="5"/>
  <c r="D67" i="5"/>
  <c r="D228" i="5"/>
  <c r="D144" i="5"/>
  <c r="D102" i="5"/>
  <c r="D60" i="5"/>
  <c r="D221" i="5"/>
  <c r="D179" i="5"/>
  <c r="D137" i="5"/>
  <c r="D95" i="5"/>
  <c r="D53" i="5"/>
  <c r="D214" i="5"/>
  <c r="D172" i="5"/>
  <c r="D130" i="5"/>
  <c r="D249" i="5"/>
  <c r="D207" i="5"/>
  <c r="D165" i="5"/>
  <c r="D123" i="5"/>
  <c r="D228" i="7"/>
  <c r="D144" i="7"/>
  <c r="D32" i="7"/>
  <c r="D179" i="7"/>
  <c r="D25" i="7"/>
  <c r="D214" i="7"/>
  <c r="D172" i="7"/>
  <c r="D130" i="7"/>
  <c r="D88" i="7"/>
  <c r="D249" i="7"/>
  <c r="D165" i="7"/>
  <c r="D123" i="7"/>
  <c r="D53" i="7"/>
  <c r="D46" i="7"/>
  <c r="D74" i="7"/>
  <c r="D235" i="7"/>
  <c r="D151" i="7"/>
  <c r="D39" i="7"/>
  <c r="D67" i="7"/>
  <c r="D18" i="10"/>
  <c r="D18" i="3"/>
  <c r="D18" i="7"/>
  <c r="D209" i="7"/>
  <c r="AH45" i="4"/>
  <c r="AI45" i="4" s="1"/>
  <c r="BX91" i="3"/>
  <c r="D230" i="5"/>
  <c r="D39" i="3"/>
  <c r="D146" i="5"/>
  <c r="BS91" i="3"/>
  <c r="AC97" i="3"/>
  <c r="AE97" i="10"/>
  <c r="D27" i="3"/>
  <c r="AH35" i="6"/>
  <c r="D153" i="7"/>
  <c r="AC96" i="10"/>
  <c r="D237" i="7"/>
  <c r="BS91" i="10"/>
  <c r="D48" i="3"/>
  <c r="BL91" i="3"/>
  <c r="D97" i="7"/>
  <c r="D153" i="5"/>
  <c r="E70" i="5"/>
  <c r="E76" i="5" s="1"/>
  <c r="AH66" i="6"/>
  <c r="E274" i="7"/>
  <c r="U79" i="3"/>
  <c r="AH49" i="6"/>
  <c r="AG84" i="10"/>
  <c r="AF83" i="3"/>
  <c r="T83" i="3"/>
  <c r="AE37" i="4"/>
  <c r="I83" i="3"/>
  <c r="AH80" i="9"/>
  <c r="D34" i="10"/>
  <c r="D160" i="5"/>
  <c r="D160" i="7"/>
  <c r="AH13" i="8"/>
  <c r="S97" i="10"/>
  <c r="BY91" i="10"/>
  <c r="BA91" i="10"/>
  <c r="AC91" i="10"/>
  <c r="F84" i="10"/>
  <c r="BP91" i="10"/>
  <c r="AT91" i="10"/>
  <c r="Z83" i="10"/>
  <c r="D41" i="7"/>
  <c r="AH31" i="9"/>
  <c r="BA91" i="3"/>
  <c r="Z97" i="10"/>
  <c r="D41" i="10"/>
  <c r="D223" i="5"/>
  <c r="D195" i="7"/>
  <c r="D104" i="7"/>
  <c r="AH82" i="6"/>
  <c r="Q97" i="3"/>
  <c r="W91" i="3"/>
  <c r="D242" i="7"/>
  <c r="D244" i="7"/>
  <c r="AC280" i="5"/>
  <c r="AN287" i="5"/>
  <c r="P287" i="5"/>
  <c r="AG287" i="5"/>
  <c r="Q83" i="10"/>
  <c r="Q18" i="10"/>
  <c r="M79" i="3"/>
  <c r="J60" i="5"/>
  <c r="J292" i="5"/>
  <c r="BQ91" i="10"/>
  <c r="AF91" i="10"/>
  <c r="Q91" i="10"/>
  <c r="Y25" i="6"/>
  <c r="AH25" i="6" s="1"/>
  <c r="D256" i="5"/>
  <c r="D258" i="5"/>
  <c r="BE91" i="10"/>
  <c r="Z91" i="10"/>
  <c r="AA279" i="7"/>
  <c r="O95" i="7"/>
  <c r="O292" i="7"/>
  <c r="AI91" i="3"/>
  <c r="AH12" i="9"/>
  <c r="AC287" i="5"/>
  <c r="O287" i="5"/>
  <c r="AI79" i="10"/>
  <c r="K79" i="10"/>
  <c r="BR91" i="10"/>
  <c r="U91" i="3"/>
  <c r="E97" i="3"/>
  <c r="K279" i="5"/>
  <c r="D139" i="5"/>
  <c r="D132" i="7"/>
  <c r="D90" i="7"/>
  <c r="AO287" i="7"/>
  <c r="BC91" i="10"/>
  <c r="AQ91" i="10"/>
  <c r="S91" i="10"/>
  <c r="BG91" i="10"/>
  <c r="R96" i="10"/>
  <c r="AF96" i="10"/>
  <c r="T96" i="10"/>
  <c r="H96" i="10"/>
  <c r="X83" i="10"/>
  <c r="L84" i="10"/>
  <c r="U83" i="3"/>
  <c r="D55" i="3"/>
  <c r="W293" i="5"/>
  <c r="CC287" i="5"/>
  <c r="AS287" i="5"/>
  <c r="U287" i="5"/>
  <c r="I287" i="5"/>
  <c r="D284" i="7" a="1"/>
  <c r="AW284" i="7" s="1"/>
  <c r="F279" i="7"/>
  <c r="I84" i="3"/>
  <c r="AJ293" i="7"/>
  <c r="Y279" i="7"/>
  <c r="K91" i="3"/>
  <c r="S280" i="5"/>
  <c r="BA287" i="5"/>
  <c r="BW287" i="5"/>
  <c r="W79" i="10"/>
  <c r="BF91" i="10"/>
  <c r="V91" i="10"/>
  <c r="AH15" i="9"/>
  <c r="I67" i="3"/>
  <c r="I17" i="4" s="1"/>
  <c r="R17" i="4" s="1"/>
  <c r="AG83" i="3"/>
  <c r="D96" i="10"/>
  <c r="BV91" i="10"/>
  <c r="BJ91" i="10"/>
  <c r="AX91" i="10"/>
  <c r="AL91" i="10"/>
  <c r="N91" i="10"/>
  <c r="AD97" i="10"/>
  <c r="R97" i="10"/>
  <c r="AH84" i="10"/>
  <c r="V97" i="10"/>
  <c r="D111" i="5"/>
  <c r="AH83" i="10"/>
  <c r="AH79" i="10"/>
  <c r="J97" i="10"/>
  <c r="BD91" i="10"/>
  <c r="T91" i="10"/>
  <c r="BD287" i="5"/>
  <c r="AR287" i="5"/>
  <c r="AF287" i="5"/>
  <c r="T287" i="5"/>
  <c r="D139" i="7"/>
  <c r="D81" i="7"/>
  <c r="J79" i="10"/>
  <c r="AC84" i="10"/>
  <c r="E67" i="10"/>
  <c r="I13" i="9" s="1"/>
  <c r="R13" i="9" s="1"/>
  <c r="BK91" i="10"/>
  <c r="I83" i="10"/>
  <c r="BY91" i="3"/>
  <c r="AC91" i="3"/>
  <c r="Q91" i="3"/>
  <c r="AI67" i="3"/>
  <c r="I43" i="4" s="1"/>
  <c r="R43" i="4" s="1"/>
  <c r="W97" i="3"/>
  <c r="K96" i="3"/>
  <c r="BR91" i="3"/>
  <c r="AH91" i="3"/>
  <c r="V91" i="3"/>
  <c r="AH33" i="4"/>
  <c r="D83" i="5"/>
  <c r="AH77" i="6"/>
  <c r="AI77" i="6" s="1"/>
  <c r="D125" i="7"/>
  <c r="T79" i="10"/>
  <c r="BO91" i="10"/>
  <c r="G91" i="10"/>
  <c r="AU91" i="10"/>
  <c r="AU91" i="3"/>
  <c r="BY287" i="5"/>
  <c r="AO287" i="5"/>
  <c r="AA287" i="5"/>
  <c r="AH91" i="10"/>
  <c r="AB97" i="3"/>
  <c r="D84" i="3"/>
  <c r="AH79" i="3"/>
  <c r="V84" i="3"/>
  <c r="D209" i="5"/>
  <c r="V287" i="5"/>
  <c r="D48" i="7"/>
  <c r="BG91" i="3"/>
  <c r="T280" i="5"/>
  <c r="BJ287" i="5"/>
  <c r="AH38" i="6"/>
  <c r="Y83" i="8"/>
  <c r="AH83" i="8" s="1"/>
  <c r="D19" i="10"/>
  <c r="D82" i="10"/>
  <c r="AH76" i="9"/>
  <c r="AB96" i="3"/>
  <c r="AI279" i="5"/>
  <c r="AI293" i="5"/>
  <c r="AI228" i="5"/>
  <c r="W228" i="5"/>
  <c r="W292" i="5"/>
  <c r="Y18" i="6"/>
  <c r="AH18" i="6" s="1"/>
  <c r="X293" i="7"/>
  <c r="D281" i="7"/>
  <c r="BH287" i="7"/>
  <c r="D80" i="10"/>
  <c r="AD280" i="5"/>
  <c r="AD293" i="5"/>
  <c r="AD74" i="5"/>
  <c r="AD292" i="5"/>
  <c r="R292" i="5"/>
  <c r="R74" i="5"/>
  <c r="R293" i="5"/>
  <c r="F74" i="5"/>
  <c r="F280" i="5"/>
  <c r="F293" i="5"/>
  <c r="F292" i="5"/>
  <c r="Z279" i="5"/>
  <c r="N280" i="5"/>
  <c r="N292" i="5"/>
  <c r="AB292" i="7"/>
  <c r="AB280" i="7"/>
  <c r="AB293" i="7"/>
  <c r="P60" i="7"/>
  <c r="P292" i="7"/>
  <c r="P293" i="7"/>
  <c r="D293" i="7"/>
  <c r="W96" i="10"/>
  <c r="E84" i="10"/>
  <c r="AF83" i="10"/>
  <c r="AF79" i="10"/>
  <c r="O91" i="10"/>
  <c r="BU91" i="10"/>
  <c r="BI91" i="10"/>
  <c r="AW91" i="10"/>
  <c r="AK91" i="10"/>
  <c r="Y91" i="10"/>
  <c r="M91" i="10"/>
  <c r="Z79" i="10"/>
  <c r="AC97" i="10"/>
  <c r="AJ84" i="10"/>
  <c r="AC83" i="10"/>
  <c r="X79" i="10"/>
  <c r="CA91" i="10"/>
  <c r="AE91" i="10"/>
  <c r="Y97" i="10"/>
  <c r="E14" i="10"/>
  <c r="BM91" i="3"/>
  <c r="W96" i="3"/>
  <c r="T158" i="5"/>
  <c r="T279" i="5"/>
  <c r="T275" i="7"/>
  <c r="T116" i="7"/>
  <c r="H279" i="7"/>
  <c r="O32" i="5"/>
  <c r="O292" i="5"/>
  <c r="D60" i="7"/>
  <c r="E56" i="7"/>
  <c r="E62" i="7" s="1"/>
  <c r="Q96" i="10"/>
  <c r="D86" i="10"/>
  <c r="L79" i="10"/>
  <c r="D66" i="10"/>
  <c r="AG79" i="10"/>
  <c r="U84" i="10"/>
  <c r="I79" i="10"/>
  <c r="AE96" i="10"/>
  <c r="S96" i="10"/>
  <c r="G96" i="10"/>
  <c r="BZ91" i="10"/>
  <c r="BN91" i="10"/>
  <c r="BB91" i="10"/>
  <c r="AP91" i="10"/>
  <c r="AD91" i="10"/>
  <c r="R91" i="10"/>
  <c r="AO91" i="10"/>
  <c r="W84" i="10"/>
  <c r="K83" i="10"/>
  <c r="S79" i="3"/>
  <c r="R280" i="5"/>
  <c r="E210" i="5"/>
  <c r="F210" i="5" s="1"/>
  <c r="D216" i="5"/>
  <c r="AD279" i="7"/>
  <c r="AD67" i="7"/>
  <c r="AD292" i="7"/>
  <c r="R280" i="7"/>
  <c r="R293" i="7"/>
  <c r="R275" i="7"/>
  <c r="R279" i="7"/>
  <c r="R67" i="7"/>
  <c r="F275" i="7"/>
  <c r="F67" i="7"/>
  <c r="F292" i="7"/>
  <c r="F280" i="7"/>
  <c r="P287" i="7"/>
  <c r="AP287" i="5"/>
  <c r="AH39" i="5"/>
  <c r="AH279" i="5"/>
  <c r="AH293" i="5"/>
  <c r="V39" i="5"/>
  <c r="V292" i="5"/>
  <c r="V293" i="5"/>
  <c r="J39" i="5"/>
  <c r="J280" i="5"/>
  <c r="J279" i="5"/>
  <c r="CB287" i="5"/>
  <c r="BP287" i="5"/>
  <c r="H287" i="5"/>
  <c r="E175" i="7"/>
  <c r="F175" i="7" s="1"/>
  <c r="S293" i="7"/>
  <c r="AG287" i="7"/>
  <c r="S67" i="3"/>
  <c r="I27" i="4" s="1"/>
  <c r="G79" i="3"/>
  <c r="AB292" i="5"/>
  <c r="AB263" i="5"/>
  <c r="I36" i="6" s="1"/>
  <c r="R36" i="6" s="1"/>
  <c r="D48" i="5"/>
  <c r="D280" i="5"/>
  <c r="BV287" i="5"/>
  <c r="N287" i="5"/>
  <c r="P97" i="3"/>
  <c r="P60" i="3"/>
  <c r="P84" i="3"/>
  <c r="AD83" i="10"/>
  <c r="AH96" i="10"/>
  <c r="AH96" i="3"/>
  <c r="AT91" i="3"/>
  <c r="H79" i="10"/>
  <c r="CC91" i="10"/>
  <c r="AS91" i="10"/>
  <c r="AG91" i="10"/>
  <c r="U91" i="10"/>
  <c r="I91" i="10"/>
  <c r="H84" i="10"/>
  <c r="AB83" i="10"/>
  <c r="P83" i="10"/>
  <c r="K97" i="3"/>
  <c r="AB67" i="3"/>
  <c r="I36" i="4" s="1"/>
  <c r="R36" i="4" s="1"/>
  <c r="P67" i="3"/>
  <c r="I24" i="4" s="1"/>
  <c r="J24" i="4" s="1"/>
  <c r="X293" i="5"/>
  <c r="L293" i="5"/>
  <c r="AH287" i="5"/>
  <c r="D292" i="7"/>
  <c r="U280" i="7"/>
  <c r="U263" i="7"/>
  <c r="I29" i="8" s="1"/>
  <c r="R29" i="8" s="1"/>
  <c r="AA67" i="7"/>
  <c r="AA280" i="7"/>
  <c r="O67" i="7"/>
  <c r="O280" i="7"/>
  <c r="O293" i="7"/>
  <c r="E68" i="7"/>
  <c r="E264" i="7"/>
  <c r="E278" i="7"/>
  <c r="E276" i="7"/>
  <c r="E277" i="7"/>
  <c r="W97" i="10"/>
  <c r="T97" i="10"/>
  <c r="T83" i="10"/>
  <c r="D20" i="10"/>
  <c r="D64" i="10"/>
  <c r="G12" i="9" s="1"/>
  <c r="R84" i="10"/>
  <c r="Q97" i="10"/>
  <c r="L83" i="10"/>
  <c r="AJ97" i="10"/>
  <c r="L97" i="10"/>
  <c r="E96" i="10"/>
  <c r="J83" i="10"/>
  <c r="AJ67" i="10"/>
  <c r="I44" i="9" s="1"/>
  <c r="R44" i="9" s="1"/>
  <c r="AH67" i="10"/>
  <c r="I42" i="9" s="1"/>
  <c r="R42" i="9" s="1"/>
  <c r="V96" i="10"/>
  <c r="J84" i="10"/>
  <c r="CB91" i="10"/>
  <c r="AR91" i="10"/>
  <c r="H91" i="10"/>
  <c r="D32" i="10"/>
  <c r="E28" i="10"/>
  <c r="F28" i="10" s="1"/>
  <c r="AH55" i="9"/>
  <c r="AH21" i="9"/>
  <c r="AI21" i="9" s="1"/>
  <c r="P292" i="5"/>
  <c r="S46" i="5"/>
  <c r="Y293" i="7"/>
  <c r="BR287" i="7"/>
  <c r="AF280" i="7"/>
  <c r="AF275" i="7"/>
  <c r="H275" i="7"/>
  <c r="H292" i="7"/>
  <c r="BZ287" i="7"/>
  <c r="D60" i="3"/>
  <c r="D83" i="3"/>
  <c r="D96" i="3"/>
  <c r="AH97" i="3"/>
  <c r="AH84" i="3"/>
  <c r="L96" i="10"/>
  <c r="W83" i="10"/>
  <c r="V84" i="10"/>
  <c r="BF91" i="3"/>
  <c r="K96" i="10"/>
  <c r="AF84" i="10"/>
  <c r="D94" i="10" a="1"/>
  <c r="O94" i="10" s="1"/>
  <c r="J96" i="10"/>
  <c r="AI97" i="10"/>
  <c r="F18" i="10"/>
  <c r="F67" i="10"/>
  <c r="I14" i="9" s="1"/>
  <c r="F96" i="10"/>
  <c r="Z79" i="3"/>
  <c r="AE279" i="5"/>
  <c r="BH287" i="5"/>
  <c r="AV287" i="5"/>
  <c r="Y60" i="5"/>
  <c r="Y279" i="5"/>
  <c r="M60" i="5"/>
  <c r="M280" i="5"/>
  <c r="D273" i="5"/>
  <c r="AU287" i="5"/>
  <c r="AI287" i="5"/>
  <c r="AC18" i="5"/>
  <c r="AC293" i="5"/>
  <c r="AC292" i="5"/>
  <c r="E18" i="5"/>
  <c r="E280" i="5"/>
  <c r="E293" i="5"/>
  <c r="D68" i="10"/>
  <c r="AD67" i="10"/>
  <c r="I38" i="9" s="1"/>
  <c r="AI96" i="10"/>
  <c r="Q84" i="10"/>
  <c r="Q67" i="10"/>
  <c r="I25" i="9" s="1"/>
  <c r="R25" i="9" s="1"/>
  <c r="E42" i="10"/>
  <c r="F42" i="10" s="1"/>
  <c r="K91" i="10"/>
  <c r="AC67" i="10"/>
  <c r="I37" i="9" s="1"/>
  <c r="R37" i="9" s="1"/>
  <c r="Q79" i="10"/>
  <c r="E97" i="10"/>
  <c r="Q293" i="5"/>
  <c r="E196" i="5"/>
  <c r="F196" i="5" s="1"/>
  <c r="D202" i="5"/>
  <c r="I275" i="5"/>
  <c r="BO287" i="5"/>
  <c r="BC287" i="5"/>
  <c r="AH292" i="7"/>
  <c r="AH293" i="7"/>
  <c r="J102" i="7"/>
  <c r="J293" i="7"/>
  <c r="AY287" i="7"/>
  <c r="AI84" i="10"/>
  <c r="X96" i="10"/>
  <c r="X67" i="10"/>
  <c r="I32" i="9" s="1"/>
  <c r="R32" i="9" s="1"/>
  <c r="X97" i="10"/>
  <c r="J96" i="3"/>
  <c r="J97" i="3"/>
  <c r="J91" i="3"/>
  <c r="AH18" i="9"/>
  <c r="P96" i="3"/>
  <c r="AD84" i="10"/>
  <c r="E79" i="10"/>
  <c r="K97" i="10"/>
  <c r="AJ96" i="10"/>
  <c r="T84" i="10"/>
  <c r="R67" i="10"/>
  <c r="I26" i="9" s="1"/>
  <c r="L67" i="10"/>
  <c r="I20" i="9" s="1"/>
  <c r="R20" i="9" s="1"/>
  <c r="R83" i="10"/>
  <c r="AH97" i="10"/>
  <c r="H83" i="10"/>
  <c r="AJ79" i="10"/>
  <c r="AF97" i="10"/>
  <c r="H97" i="10"/>
  <c r="AD96" i="10"/>
  <c r="K84" i="10"/>
  <c r="AI83" i="10"/>
  <c r="E83" i="10"/>
  <c r="Z96" i="10"/>
  <c r="N84" i="10"/>
  <c r="D48" i="10"/>
  <c r="J91" i="10"/>
  <c r="AH83" i="3"/>
  <c r="V83" i="3"/>
  <c r="J84" i="3"/>
  <c r="D80" i="3"/>
  <c r="I280" i="7"/>
  <c r="AC79" i="10"/>
  <c r="D55" i="10"/>
  <c r="AO91" i="3"/>
  <c r="E203" i="5"/>
  <c r="E209" i="5" s="1"/>
  <c r="M275" i="5"/>
  <c r="AJ279" i="5"/>
  <c r="X292" i="5"/>
  <c r="L263" i="5"/>
  <c r="I20" i="6" s="1"/>
  <c r="R20" i="6" s="1"/>
  <c r="D104" i="5"/>
  <c r="BR287" i="5"/>
  <c r="BF287" i="5"/>
  <c r="AT287" i="5"/>
  <c r="J287" i="5"/>
  <c r="D281" i="5"/>
  <c r="BK287" i="5"/>
  <c r="AM287" i="5"/>
  <c r="AB18" i="5"/>
  <c r="AB275" i="5"/>
  <c r="AB280" i="5"/>
  <c r="D18" i="5"/>
  <c r="D263" i="5"/>
  <c r="I12" i="6" s="1"/>
  <c r="E282" i="7"/>
  <c r="R83" i="3"/>
  <c r="E168" i="5"/>
  <c r="F168" i="5" s="1"/>
  <c r="F174" i="5" s="1"/>
  <c r="BM287" i="5"/>
  <c r="Q287" i="5"/>
  <c r="D279" i="5"/>
  <c r="AB287" i="5"/>
  <c r="AH87" i="6"/>
  <c r="D260" i="7"/>
  <c r="G12" i="8" s="1"/>
  <c r="Y292" i="7"/>
  <c r="X287" i="7"/>
  <c r="W91" i="10"/>
  <c r="BW91" i="10"/>
  <c r="AM91" i="10"/>
  <c r="F97" i="10"/>
  <c r="BM91" i="10"/>
  <c r="X84" i="10"/>
  <c r="AA96" i="3"/>
  <c r="AZ91" i="3"/>
  <c r="AN91" i="3"/>
  <c r="AB91" i="3"/>
  <c r="P91" i="3"/>
  <c r="D293" i="5"/>
  <c r="E126" i="5"/>
  <c r="E132" i="5" s="1"/>
  <c r="D81" i="5"/>
  <c r="E77" i="5"/>
  <c r="F77" i="5" s="1"/>
  <c r="E63" i="5"/>
  <c r="E69" i="5" s="1"/>
  <c r="AH34" i="6"/>
  <c r="D62" i="7"/>
  <c r="AI91" i="10"/>
  <c r="AY91" i="10"/>
  <c r="AA91" i="10"/>
  <c r="Y96" i="10"/>
  <c r="M96" i="10"/>
  <c r="E35" i="10"/>
  <c r="E41" i="10" s="1"/>
  <c r="V67" i="10"/>
  <c r="I30" i="9" s="1"/>
  <c r="R30" i="9" s="1"/>
  <c r="J67" i="10"/>
  <c r="I18" i="9" s="1"/>
  <c r="R18" i="9" s="1"/>
  <c r="AH77" i="9"/>
  <c r="AI77" i="9" s="1"/>
  <c r="AC96" i="3"/>
  <c r="E96" i="3"/>
  <c r="AG97" i="3"/>
  <c r="U84" i="3"/>
  <c r="I97" i="3"/>
  <c r="K293" i="5"/>
  <c r="AI292" i="5"/>
  <c r="F263" i="5"/>
  <c r="I14" i="6" s="1"/>
  <c r="R14" i="6" s="1"/>
  <c r="D251" i="5"/>
  <c r="BZ287" i="5"/>
  <c r="AD287" i="5"/>
  <c r="R287" i="5"/>
  <c r="F287" i="5"/>
  <c r="AJ18" i="5"/>
  <c r="AJ292" i="5"/>
  <c r="AJ293" i="5"/>
  <c r="AH61" i="6"/>
  <c r="AH24" i="6"/>
  <c r="CB287" i="7"/>
  <c r="H287" i="7"/>
  <c r="BY287" i="7"/>
  <c r="BM287" i="7"/>
  <c r="BA287" i="7"/>
  <c r="AC287" i="7"/>
  <c r="Q287" i="7"/>
  <c r="AS287" i="7"/>
  <c r="AA79" i="3"/>
  <c r="D195" i="5"/>
  <c r="AX287" i="5"/>
  <c r="AL287" i="5"/>
  <c r="Z287" i="5"/>
  <c r="CA287" i="5"/>
  <c r="AH46" i="6"/>
  <c r="AE293" i="7"/>
  <c r="S263" i="7"/>
  <c r="I27" i="8" s="1"/>
  <c r="G280" i="7"/>
  <c r="D83" i="7"/>
  <c r="J279" i="7"/>
  <c r="J293" i="5"/>
  <c r="AG279" i="7"/>
  <c r="U292" i="7"/>
  <c r="I279" i="7"/>
  <c r="CA287" i="7"/>
  <c r="BO287" i="7"/>
  <c r="BC287" i="7"/>
  <c r="AE287" i="7"/>
  <c r="S287" i="7"/>
  <c r="G287" i="7"/>
  <c r="Y280" i="7"/>
  <c r="D76" i="7"/>
  <c r="BX287" i="5"/>
  <c r="BL287" i="5"/>
  <c r="AZ287" i="5"/>
  <c r="E154" i="5"/>
  <c r="E160" i="5" s="1"/>
  <c r="AQ287" i="5"/>
  <c r="AE287" i="5"/>
  <c r="S287" i="5"/>
  <c r="G287" i="5"/>
  <c r="CC287" i="7"/>
  <c r="BQ287" i="7"/>
  <c r="BE287" i="7"/>
  <c r="U287" i="7"/>
  <c r="I287" i="7"/>
  <c r="M279" i="7"/>
  <c r="D273" i="7"/>
  <c r="BS287" i="7"/>
  <c r="AU287" i="7"/>
  <c r="AI287" i="7"/>
  <c r="W287" i="7"/>
  <c r="K287" i="7"/>
  <c r="AF292" i="7"/>
  <c r="AF79" i="3"/>
  <c r="T79" i="3"/>
  <c r="H79" i="3"/>
  <c r="W279" i="5"/>
  <c r="K292" i="5"/>
  <c r="E231" i="7"/>
  <c r="F231" i="7" s="1"/>
  <c r="AB79" i="3"/>
  <c r="P79" i="3"/>
  <c r="AI79" i="3"/>
  <c r="W83" i="3"/>
  <c r="K83" i="3"/>
  <c r="I91" i="3"/>
  <c r="BB287" i="5"/>
  <c r="S18" i="5"/>
  <c r="S279" i="5"/>
  <c r="V292" i="7"/>
  <c r="J292" i="7"/>
  <c r="BP287" i="7"/>
  <c r="BD287" i="7"/>
  <c r="AR287" i="7"/>
  <c r="AF287" i="7"/>
  <c r="T287" i="7"/>
  <c r="BW287" i="7"/>
  <c r="BK287" i="7"/>
  <c r="AM287" i="7"/>
  <c r="O287" i="7"/>
  <c r="F293" i="7"/>
  <c r="CC91" i="3"/>
  <c r="BQ91" i="3"/>
  <c r="BE91" i="3"/>
  <c r="AS91" i="3"/>
  <c r="AG91" i="3"/>
  <c r="AD96" i="3"/>
  <c r="R79" i="3"/>
  <c r="F96" i="3"/>
  <c r="F79" i="3"/>
  <c r="D174" i="5"/>
  <c r="E140" i="5"/>
  <c r="E146" i="5" s="1"/>
  <c r="BS287" i="5"/>
  <c r="BG287" i="5"/>
  <c r="W287" i="5"/>
  <c r="K287" i="5"/>
  <c r="BT287" i="5"/>
  <c r="AJ287" i="5"/>
  <c r="X287" i="5"/>
  <c r="L287" i="5"/>
  <c r="AG275" i="5"/>
  <c r="U279" i="5"/>
  <c r="I292" i="5"/>
  <c r="Y88" i="6"/>
  <c r="AH88" i="6" s="1"/>
  <c r="S292" i="7"/>
  <c r="AZ287" i="7"/>
  <c r="AN287" i="7"/>
  <c r="E61" i="7"/>
  <c r="AD275" i="7"/>
  <c r="AD280" i="7"/>
  <c r="AD293" i="7"/>
  <c r="R292" i="7"/>
  <c r="AE275" i="5"/>
  <c r="G275" i="5"/>
  <c r="BN287" i="5"/>
  <c r="BQ287" i="5"/>
  <c r="BE287" i="5"/>
  <c r="AH28" i="6"/>
  <c r="BT287" i="7"/>
  <c r="AV287" i="7"/>
  <c r="AJ287" i="7"/>
  <c r="L287" i="7"/>
  <c r="D181" i="7"/>
  <c r="AI96" i="3"/>
  <c r="W67" i="3"/>
  <c r="I31" i="4" s="1"/>
  <c r="R31" i="4" s="1"/>
  <c r="K79" i="3"/>
  <c r="AF293" i="5"/>
  <c r="AY287" i="5"/>
  <c r="AH40" i="6"/>
  <c r="AA275" i="7"/>
  <c r="BU287" i="7"/>
  <c r="Y287" i="7"/>
  <c r="BL287" i="7"/>
  <c r="AB287" i="7"/>
  <c r="D158" i="7"/>
  <c r="D55" i="7"/>
  <c r="AH88" i="8"/>
  <c r="AH84" i="8"/>
  <c r="D34" i="7"/>
  <c r="AH77" i="8"/>
  <c r="AI77" i="8" s="1"/>
  <c r="AH19" i="8"/>
  <c r="AH53" i="8"/>
  <c r="E32" i="10"/>
  <c r="AE67" i="3"/>
  <c r="I39" i="4" s="1"/>
  <c r="R39" i="4" s="1"/>
  <c r="AE97" i="3"/>
  <c r="AE79" i="3"/>
  <c r="AE83" i="3"/>
  <c r="AE96" i="3"/>
  <c r="AE84" i="3"/>
  <c r="S97" i="3"/>
  <c r="S83" i="3"/>
  <c r="S96" i="3"/>
  <c r="S84" i="3"/>
  <c r="G97" i="3"/>
  <c r="G83" i="3"/>
  <c r="G96" i="3"/>
  <c r="G84" i="3"/>
  <c r="G67" i="3"/>
  <c r="I15" i="4" s="1"/>
  <c r="R15" i="4" s="1"/>
  <c r="Y22" i="4"/>
  <c r="AH22" i="4" s="1"/>
  <c r="AI22" i="4" s="1"/>
  <c r="AA96" i="10"/>
  <c r="O96" i="10"/>
  <c r="E66" i="10"/>
  <c r="CB91" i="3"/>
  <c r="BP91" i="3"/>
  <c r="BD91" i="3"/>
  <c r="AR91" i="3"/>
  <c r="AF91" i="3"/>
  <c r="T91" i="3"/>
  <c r="H91" i="3"/>
  <c r="P96" i="10"/>
  <c r="P67" i="10"/>
  <c r="I24" i="9" s="1"/>
  <c r="E56" i="10"/>
  <c r="E60" i="10" s="1"/>
  <c r="D62" i="10"/>
  <c r="AG84" i="3"/>
  <c r="AB83" i="3"/>
  <c r="AG79" i="3"/>
  <c r="H67" i="3"/>
  <c r="I16" i="4" s="1"/>
  <c r="R16" i="4" s="1"/>
  <c r="AD79" i="3"/>
  <c r="AD83" i="3"/>
  <c r="F83" i="3"/>
  <c r="F67" i="3"/>
  <c r="I14" i="4" s="1"/>
  <c r="AG96" i="3"/>
  <c r="U67" i="3"/>
  <c r="I29" i="4" s="1"/>
  <c r="R29" i="4" s="1"/>
  <c r="U96" i="3"/>
  <c r="I79" i="3"/>
  <c r="I96" i="3"/>
  <c r="CA91" i="3"/>
  <c r="BO91" i="3"/>
  <c r="BC91" i="3"/>
  <c r="AQ91" i="3"/>
  <c r="AE91" i="3"/>
  <c r="S91" i="3"/>
  <c r="G91" i="3"/>
  <c r="AC84" i="3"/>
  <c r="Q84" i="3"/>
  <c r="E84" i="3"/>
  <c r="N60" i="10"/>
  <c r="D65" i="10"/>
  <c r="H12" i="9" s="1"/>
  <c r="N97" i="10"/>
  <c r="M97" i="10"/>
  <c r="N96" i="10"/>
  <c r="Z84" i="10"/>
  <c r="I84" i="10"/>
  <c r="V83" i="10"/>
  <c r="F83" i="10"/>
  <c r="D81" i="10"/>
  <c r="V79" i="10"/>
  <c r="P25" i="10"/>
  <c r="Y89" i="9"/>
  <c r="AH89" i="9" s="1"/>
  <c r="V97" i="3"/>
  <c r="V96" i="3"/>
  <c r="D85" i="3"/>
  <c r="AB84" i="3"/>
  <c r="AA83" i="3"/>
  <c r="D62" i="3"/>
  <c r="BZ91" i="3"/>
  <c r="BN91" i="3"/>
  <c r="BB91" i="3"/>
  <c r="AP91" i="3"/>
  <c r="AD91" i="3"/>
  <c r="R91" i="3"/>
  <c r="F91" i="3"/>
  <c r="AA87" i="4"/>
  <c r="AE87" i="4" s="1"/>
  <c r="AE50" i="4"/>
  <c r="Y18" i="4"/>
  <c r="AH18" i="4" s="1"/>
  <c r="D88" i="3" a="1"/>
  <c r="CA88" i="3" s="1"/>
  <c r="P97" i="10"/>
  <c r="AB97" i="10"/>
  <c r="AB96" i="10"/>
  <c r="D88" i="10" a="1"/>
  <c r="M88" i="10" s="1"/>
  <c r="M87" i="10" s="1"/>
  <c r="AJ83" i="10"/>
  <c r="U83" i="10"/>
  <c r="U79" i="10"/>
  <c r="D47" i="10"/>
  <c r="E21" i="10"/>
  <c r="E27" i="10" s="1"/>
  <c r="Y45" i="9"/>
  <c r="AH45" i="9" s="1"/>
  <c r="AI45" i="9" s="1"/>
  <c r="AH41" i="9"/>
  <c r="U97" i="3"/>
  <c r="Q96" i="3"/>
  <c r="AA84" i="3"/>
  <c r="AH80" i="4"/>
  <c r="Y48" i="9"/>
  <c r="AH48" i="9" s="1"/>
  <c r="Z84" i="3"/>
  <c r="D82" i="3"/>
  <c r="Z96" i="3"/>
  <c r="Z97" i="3"/>
  <c r="Z67" i="3"/>
  <c r="I34" i="4" s="1"/>
  <c r="R34" i="4" s="1"/>
  <c r="Z83" i="3"/>
  <c r="N67" i="3"/>
  <c r="N96" i="3"/>
  <c r="N18" i="3"/>
  <c r="N97" i="3"/>
  <c r="N83" i="3"/>
  <c r="D19" i="3"/>
  <c r="D91" i="3" s="1"/>
  <c r="D78" i="3"/>
  <c r="D86" i="3"/>
  <c r="D83" i="10"/>
  <c r="Y88" i="9"/>
  <c r="AH88" i="9" s="1"/>
  <c r="AH81" i="9"/>
  <c r="O96" i="3"/>
  <c r="Y96" i="3"/>
  <c r="Y84" i="3"/>
  <c r="Y97" i="3"/>
  <c r="Y83" i="3"/>
  <c r="Y79" i="3"/>
  <c r="M96" i="3"/>
  <c r="M84" i="3"/>
  <c r="M97" i="3"/>
  <c r="M83" i="3"/>
  <c r="D77" i="3"/>
  <c r="D65" i="3"/>
  <c r="H12" i="4" s="1"/>
  <c r="AA46" i="4"/>
  <c r="AE46" i="4" s="1"/>
  <c r="AA34" i="4"/>
  <c r="AE34" i="4" s="1"/>
  <c r="AA249" i="5"/>
  <c r="AA280" i="5"/>
  <c r="AA292" i="5"/>
  <c r="AA293" i="5"/>
  <c r="O249" i="5"/>
  <c r="O280" i="5"/>
  <c r="O293" i="5"/>
  <c r="AG83" i="10"/>
  <c r="N79" i="10"/>
  <c r="D67" i="10"/>
  <c r="I12" i="9" s="1"/>
  <c r="R12" i="9" s="1"/>
  <c r="AG97" i="10"/>
  <c r="I97" i="10"/>
  <c r="P83" i="3"/>
  <c r="AG67" i="3"/>
  <c r="I41" i="4" s="1"/>
  <c r="R41" i="4" s="1"/>
  <c r="BV91" i="3"/>
  <c r="BJ91" i="3"/>
  <c r="AX91" i="3"/>
  <c r="AL91" i="3"/>
  <c r="Z91" i="3"/>
  <c r="N91" i="3"/>
  <c r="AJ18" i="3"/>
  <c r="AJ84" i="3"/>
  <c r="AJ97" i="3"/>
  <c r="AJ79" i="3"/>
  <c r="AJ83" i="3"/>
  <c r="AJ96" i="3"/>
  <c r="X84" i="3"/>
  <c r="X97" i="3"/>
  <c r="X83" i="3"/>
  <c r="X79" i="3"/>
  <c r="X96" i="3"/>
  <c r="L84" i="3"/>
  <c r="L97" i="3"/>
  <c r="L83" i="3"/>
  <c r="L79" i="3"/>
  <c r="L96" i="3"/>
  <c r="E14" i="3"/>
  <c r="E20" i="3" s="1"/>
  <c r="D20" i="3"/>
  <c r="D76" i="3"/>
  <c r="G97" i="10"/>
  <c r="AD79" i="10"/>
  <c r="R79" i="10"/>
  <c r="F79" i="10"/>
  <c r="AA83" i="10"/>
  <c r="O79" i="10"/>
  <c r="AH43" i="9"/>
  <c r="O83" i="3"/>
  <c r="E35" i="3"/>
  <c r="E39" i="3" s="1"/>
  <c r="D41" i="3"/>
  <c r="AA97" i="3"/>
  <c r="O67" i="3"/>
  <c r="O97" i="3"/>
  <c r="O79" i="3"/>
  <c r="E86" i="3"/>
  <c r="E66" i="3"/>
  <c r="E68" i="3"/>
  <c r="E26" i="3"/>
  <c r="E91" i="3" s="1"/>
  <c r="E80" i="3"/>
  <c r="E82" i="3"/>
  <c r="E78" i="3"/>
  <c r="E81" i="3"/>
  <c r="BU91" i="3"/>
  <c r="BI91" i="3"/>
  <c r="AW91" i="3"/>
  <c r="AK91" i="3"/>
  <c r="Y91" i="3"/>
  <c r="M91" i="3"/>
  <c r="AE23" i="4"/>
  <c r="N83" i="10"/>
  <c r="AB67" i="10"/>
  <c r="I36" i="9" s="1"/>
  <c r="R36" i="9" s="1"/>
  <c r="BT91" i="10"/>
  <c r="BH91" i="10"/>
  <c r="AV91" i="10"/>
  <c r="AJ91" i="10"/>
  <c r="X91" i="10"/>
  <c r="L91" i="10"/>
  <c r="D39" i="10"/>
  <c r="E18" i="10"/>
  <c r="Z67" i="10"/>
  <c r="I34" i="9" s="1"/>
  <c r="AI97" i="3"/>
  <c r="O84" i="3"/>
  <c r="J83" i="3"/>
  <c r="N79" i="3"/>
  <c r="AA67" i="3"/>
  <c r="I35" i="4" s="1"/>
  <c r="R35" i="4" s="1"/>
  <c r="BT91" i="3"/>
  <c r="BH91" i="3"/>
  <c r="AV91" i="3"/>
  <c r="AJ91" i="3"/>
  <c r="X91" i="3"/>
  <c r="L91" i="3"/>
  <c r="V79" i="3"/>
  <c r="J79" i="3"/>
  <c r="AE79" i="4"/>
  <c r="AH53" i="9"/>
  <c r="N84" i="3"/>
  <c r="D81" i="3"/>
  <c r="D32" i="3"/>
  <c r="D79" i="3"/>
  <c r="D67" i="3"/>
  <c r="I12" i="4" s="1"/>
  <c r="R12" i="4" s="1"/>
  <c r="D34" i="3"/>
  <c r="BW91" i="3"/>
  <c r="BK91" i="3"/>
  <c r="AY91" i="3"/>
  <c r="AM91" i="3"/>
  <c r="AA91" i="3"/>
  <c r="O91" i="3"/>
  <c r="AB79" i="10"/>
  <c r="P79" i="10"/>
  <c r="D79" i="10"/>
  <c r="D97" i="10"/>
  <c r="P60" i="10"/>
  <c r="D27" i="10"/>
  <c r="AH79" i="9"/>
  <c r="AH67" i="9"/>
  <c r="D97" i="3"/>
  <c r="H83" i="3"/>
  <c r="R67" i="3"/>
  <c r="I26" i="4" s="1"/>
  <c r="R26" i="4" s="1"/>
  <c r="AF67" i="3"/>
  <c r="I40" i="4" s="1"/>
  <c r="AF97" i="3"/>
  <c r="AF96" i="3"/>
  <c r="AF84" i="3"/>
  <c r="T97" i="3"/>
  <c r="T67" i="3"/>
  <c r="I28" i="4" s="1"/>
  <c r="T96" i="3"/>
  <c r="T84" i="3"/>
  <c r="H97" i="3"/>
  <c r="H96" i="3"/>
  <c r="H84" i="3"/>
  <c r="BX91" i="10"/>
  <c r="BL91" i="10"/>
  <c r="AZ91" i="10"/>
  <c r="AN91" i="10"/>
  <c r="AB91" i="10"/>
  <c r="P91" i="10"/>
  <c r="AA79" i="10"/>
  <c r="O97" i="10"/>
  <c r="E82" i="10"/>
  <c r="AH69" i="9"/>
  <c r="AD97" i="3"/>
  <c r="R97" i="3"/>
  <c r="F97" i="3"/>
  <c r="AI84" i="3"/>
  <c r="W84" i="3"/>
  <c r="K84" i="3"/>
  <c r="AC83" i="3"/>
  <c r="Q83" i="3"/>
  <c r="E83" i="3"/>
  <c r="AD67" i="3"/>
  <c r="I38" i="4" s="1"/>
  <c r="R38" i="4" s="1"/>
  <c r="K67" i="3"/>
  <c r="I19" i="4" s="1"/>
  <c r="R19" i="4" s="1"/>
  <c r="AE293" i="5"/>
  <c r="S293" i="5"/>
  <c r="G293" i="5"/>
  <c r="D284" i="5" a="1"/>
  <c r="BF284" i="5" s="1"/>
  <c r="V280" i="5"/>
  <c r="Y41" i="6"/>
  <c r="AH41" i="6" s="1"/>
  <c r="AG280" i="5"/>
  <c r="U280" i="5"/>
  <c r="U263" i="5"/>
  <c r="I29" i="6" s="1"/>
  <c r="R29" i="6" s="1"/>
  <c r="I263" i="5"/>
  <c r="I17" i="6" s="1"/>
  <c r="R17" i="6" s="1"/>
  <c r="I280" i="5"/>
  <c r="Y85" i="6"/>
  <c r="AH85" i="6" s="1"/>
  <c r="AJ102" i="5"/>
  <c r="AJ275" i="5"/>
  <c r="AJ280" i="5"/>
  <c r="X275" i="5"/>
  <c r="X280" i="5"/>
  <c r="X263" i="5"/>
  <c r="I32" i="6" s="1"/>
  <c r="R32" i="6" s="1"/>
  <c r="L275" i="5"/>
  <c r="L280" i="5"/>
  <c r="AC275" i="5"/>
  <c r="AC279" i="5"/>
  <c r="Q263" i="5"/>
  <c r="Q275" i="5"/>
  <c r="Q279" i="5"/>
  <c r="E275" i="5"/>
  <c r="E279" i="5"/>
  <c r="E263" i="5"/>
  <c r="I13" i="6" s="1"/>
  <c r="R13" i="6" s="1"/>
  <c r="Y263" i="5"/>
  <c r="I33" i="6" s="1"/>
  <c r="R33" i="6" s="1"/>
  <c r="M263" i="5"/>
  <c r="I21" i="6" s="1"/>
  <c r="R21" i="6" s="1"/>
  <c r="M39" i="5"/>
  <c r="AH33" i="9"/>
  <c r="AH85" i="4"/>
  <c r="AE63" i="4"/>
  <c r="AE39" i="4"/>
  <c r="AB293" i="5"/>
  <c r="P293" i="5"/>
  <c r="AH292" i="5"/>
  <c r="U292" i="5"/>
  <c r="H292" i="5"/>
  <c r="AH280" i="5"/>
  <c r="AG279" i="5"/>
  <c r="P279" i="5"/>
  <c r="Y275" i="5"/>
  <c r="E147" i="5"/>
  <c r="F147" i="5" s="1"/>
  <c r="F153" i="5" s="1"/>
  <c r="AF67" i="5"/>
  <c r="AF275" i="5"/>
  <c r="T67" i="5"/>
  <c r="T275" i="5"/>
  <c r="H67" i="5"/>
  <c r="H275" i="5"/>
  <c r="AH65" i="9"/>
  <c r="AG292" i="5"/>
  <c r="T292" i="5"/>
  <c r="AF280" i="5"/>
  <c r="Q280" i="5"/>
  <c r="AF279" i="5"/>
  <c r="N279" i="5"/>
  <c r="U275" i="5"/>
  <c r="Q46" i="5"/>
  <c r="Z235" i="7"/>
  <c r="Z292" i="7"/>
  <c r="N235" i="7"/>
  <c r="N275" i="7"/>
  <c r="N292" i="7"/>
  <c r="D274" i="7"/>
  <c r="E49" i="10"/>
  <c r="F49" i="10" s="1"/>
  <c r="F39" i="10"/>
  <c r="AH36" i="9"/>
  <c r="AD84" i="3"/>
  <c r="R84" i="3"/>
  <c r="F84" i="3"/>
  <c r="W79" i="3"/>
  <c r="AE21" i="4"/>
  <c r="Z293" i="5"/>
  <c r="N293" i="5"/>
  <c r="AF292" i="5"/>
  <c r="E292" i="5"/>
  <c r="AE280" i="5"/>
  <c r="P280" i="5"/>
  <c r="M279" i="5"/>
  <c r="E278" i="5"/>
  <c r="S275" i="5"/>
  <c r="X102" i="5"/>
  <c r="R96" i="3"/>
  <c r="AI83" i="3"/>
  <c r="AC79" i="3"/>
  <c r="Q79" i="3"/>
  <c r="E79" i="3"/>
  <c r="AE15" i="4"/>
  <c r="Y293" i="5"/>
  <c r="M293" i="5"/>
  <c r="Q292" i="5"/>
  <c r="D292" i="5"/>
  <c r="AB279" i="5"/>
  <c r="L279" i="5"/>
  <c r="P275" i="5"/>
  <c r="AJ263" i="5"/>
  <c r="Z275" i="5"/>
  <c r="Z18" i="5"/>
  <c r="N18" i="5"/>
  <c r="N275" i="5"/>
  <c r="D19" i="5"/>
  <c r="D287" i="5" s="1"/>
  <c r="D264" i="5"/>
  <c r="D282" i="5"/>
  <c r="D274" i="5"/>
  <c r="D276" i="5"/>
  <c r="D278" i="5"/>
  <c r="AG263" i="5"/>
  <c r="I41" i="6" s="1"/>
  <c r="R41" i="6" s="1"/>
  <c r="D188" i="5"/>
  <c r="D186" i="5"/>
  <c r="D118" i="5"/>
  <c r="D116" i="5"/>
  <c r="D62" i="5"/>
  <c r="D272" i="5"/>
  <c r="D260" i="5"/>
  <c r="G12" i="6" s="1"/>
  <c r="AA263" i="5"/>
  <c r="I35" i="6" s="1"/>
  <c r="AE47" i="6"/>
  <c r="AH47" i="6"/>
  <c r="D244" i="5"/>
  <c r="D242" i="5"/>
  <c r="E194" i="5"/>
  <c r="E287" i="5" s="1"/>
  <c r="E282" i="5"/>
  <c r="AD102" i="5"/>
  <c r="AD263" i="5"/>
  <c r="I38" i="6" s="1"/>
  <c r="R38" i="6" s="1"/>
  <c r="AD275" i="5"/>
  <c r="AD279" i="5"/>
  <c r="R102" i="5"/>
  <c r="R263" i="5"/>
  <c r="I26" i="6" s="1"/>
  <c r="R26" i="6" s="1"/>
  <c r="R275" i="5"/>
  <c r="R279" i="5"/>
  <c r="F275" i="5"/>
  <c r="F279" i="5"/>
  <c r="F102" i="5"/>
  <c r="BU287" i="5"/>
  <c r="BI287" i="5"/>
  <c r="AW287" i="5"/>
  <c r="AK287" i="5"/>
  <c r="Y287" i="5"/>
  <c r="M287" i="5"/>
  <c r="AI275" i="5"/>
  <c r="AI280" i="5"/>
  <c r="AI263" i="5"/>
  <c r="I43" i="6" s="1"/>
  <c r="R43" i="6" s="1"/>
  <c r="W275" i="5"/>
  <c r="W280" i="5"/>
  <c r="K46" i="5"/>
  <c r="K275" i="5"/>
  <c r="K263" i="5"/>
  <c r="I19" i="6" s="1"/>
  <c r="R19" i="6" s="1"/>
  <c r="K280" i="5"/>
  <c r="AE292" i="5"/>
  <c r="AE39" i="5"/>
  <c r="S292" i="5"/>
  <c r="S39" i="5"/>
  <c r="G39" i="5"/>
  <c r="G292" i="5"/>
  <c r="X279" i="5"/>
  <c r="I279" i="5"/>
  <c r="W263" i="5"/>
  <c r="I31" i="6" s="1"/>
  <c r="R31" i="6" s="1"/>
  <c r="L102" i="5"/>
  <c r="W249" i="7"/>
  <c r="W292" i="7"/>
  <c r="AH57" i="9"/>
  <c r="E56" i="3"/>
  <c r="F56" i="3" s="1"/>
  <c r="E21" i="3"/>
  <c r="AE29" i="4"/>
  <c r="AG293" i="5"/>
  <c r="U293" i="5"/>
  <c r="I293" i="5"/>
  <c r="Z292" i="5"/>
  <c r="M292" i="5"/>
  <c r="Z280" i="5"/>
  <c r="H280" i="5"/>
  <c r="H279" i="5"/>
  <c r="D277" i="5"/>
  <c r="D275" i="5"/>
  <c r="T263" i="5"/>
  <c r="I28" i="6" s="1"/>
  <c r="R28" i="6" s="1"/>
  <c r="D90" i="5"/>
  <c r="D88" i="5"/>
  <c r="AH263" i="5"/>
  <c r="I42" i="6" s="1"/>
  <c r="R42" i="6" s="1"/>
  <c r="AH275" i="5"/>
  <c r="V275" i="5"/>
  <c r="AH24" i="9"/>
  <c r="T293" i="5"/>
  <c r="H293" i="5"/>
  <c r="Y292" i="5"/>
  <c r="L292" i="5"/>
  <c r="Y280" i="5"/>
  <c r="G280" i="5"/>
  <c r="V279" i="5"/>
  <c r="G279" i="5"/>
  <c r="P263" i="5"/>
  <c r="AI293" i="7"/>
  <c r="BF287" i="7"/>
  <c r="AT287" i="7"/>
  <c r="AH287" i="7"/>
  <c r="V287" i="7"/>
  <c r="J275" i="5"/>
  <c r="H263" i="5"/>
  <c r="I16" i="6" s="1"/>
  <c r="R16" i="6" s="1"/>
  <c r="D167" i="5"/>
  <c r="AH73" i="6"/>
  <c r="V293" i="7"/>
  <c r="G293" i="7"/>
  <c r="AI292" i="7"/>
  <c r="T292" i="7"/>
  <c r="AF279" i="7"/>
  <c r="M275" i="7"/>
  <c r="AH263" i="7"/>
  <c r="I42" i="8" s="1"/>
  <c r="BI287" i="7"/>
  <c r="AW287" i="7"/>
  <c r="AK287" i="7"/>
  <c r="M287" i="7"/>
  <c r="U293" i="7"/>
  <c r="AH275" i="7"/>
  <c r="J275" i="7"/>
  <c r="AG263" i="7"/>
  <c r="I41" i="8" s="1"/>
  <c r="R41" i="8" s="1"/>
  <c r="E262" i="7"/>
  <c r="J193" i="7"/>
  <c r="E119" i="7"/>
  <c r="E123" i="7" s="1"/>
  <c r="L293" i="7"/>
  <c r="D262" i="5"/>
  <c r="E224" i="5"/>
  <c r="F224" i="5" s="1"/>
  <c r="G224" i="5" s="1"/>
  <c r="H224" i="5" s="1"/>
  <c r="E175" i="5"/>
  <c r="E181" i="5" s="1"/>
  <c r="D20" i="5"/>
  <c r="AH26" i="6"/>
  <c r="AH12" i="6"/>
  <c r="T293" i="7"/>
  <c r="AG292" i="7"/>
  <c r="V280" i="7"/>
  <c r="AG275" i="7"/>
  <c r="I275" i="7"/>
  <c r="AF263" i="7"/>
  <c r="I40" i="8" s="1"/>
  <c r="R40" i="8" s="1"/>
  <c r="I228" i="7"/>
  <c r="H116" i="7"/>
  <c r="D207" i="7"/>
  <c r="D137" i="7"/>
  <c r="D95" i="7"/>
  <c r="E91" i="7"/>
  <c r="E95" i="7" s="1"/>
  <c r="V60" i="7"/>
  <c r="V263" i="7"/>
  <c r="I30" i="8" s="1"/>
  <c r="V275" i="7"/>
  <c r="J60" i="7"/>
  <c r="J280" i="7"/>
  <c r="J287" i="7"/>
  <c r="E264" i="5"/>
  <c r="D261" i="5"/>
  <c r="H12" i="6" s="1"/>
  <c r="AG293" i="7"/>
  <c r="AE292" i="7"/>
  <c r="T280" i="7"/>
  <c r="V279" i="7"/>
  <c r="T263" i="7"/>
  <c r="I28" i="8" s="1"/>
  <c r="AA256" i="7"/>
  <c r="D236" i="7"/>
  <c r="E277" i="5"/>
  <c r="D193" i="5"/>
  <c r="E161" i="5"/>
  <c r="F161" i="5" s="1"/>
  <c r="AH45" i="6"/>
  <c r="AI45" i="6" s="1"/>
  <c r="AH32" i="6"/>
  <c r="AF293" i="7"/>
  <c r="S280" i="7"/>
  <c r="U279" i="7"/>
  <c r="V193" i="7"/>
  <c r="D69" i="7"/>
  <c r="AA292" i="7"/>
  <c r="AA293" i="7"/>
  <c r="E189" i="5"/>
  <c r="F189" i="5" s="1"/>
  <c r="E84" i="5"/>
  <c r="E88" i="5" s="1"/>
  <c r="E56" i="5"/>
  <c r="E28" i="5"/>
  <c r="E32" i="5" s="1"/>
  <c r="Y84" i="6"/>
  <c r="AH84" i="6" s="1"/>
  <c r="AH14" i="6"/>
  <c r="K292" i="7"/>
  <c r="T279" i="7"/>
  <c r="Y275" i="7"/>
  <c r="J263" i="7"/>
  <c r="I18" i="8" s="1"/>
  <c r="D251" i="7"/>
  <c r="D193" i="7"/>
  <c r="E189" i="7"/>
  <c r="F189" i="7" s="1"/>
  <c r="BX287" i="7"/>
  <c r="AE280" i="7"/>
  <c r="AQ287" i="7"/>
  <c r="AA279" i="5"/>
  <c r="O279" i="5"/>
  <c r="AA275" i="5"/>
  <c r="O275" i="5"/>
  <c r="AF263" i="5"/>
  <c r="I40" i="6" s="1"/>
  <c r="R40" i="6" s="1"/>
  <c r="O263" i="5"/>
  <c r="E182" i="5"/>
  <c r="F182" i="5" s="1"/>
  <c r="D76" i="5"/>
  <c r="D69" i="5"/>
  <c r="D46" i="5"/>
  <c r="AH59" i="6"/>
  <c r="AH44" i="6"/>
  <c r="M293" i="7"/>
  <c r="AH280" i="7"/>
  <c r="U275" i="7"/>
  <c r="I263" i="7"/>
  <c r="I17" i="8" s="1"/>
  <c r="R17" i="8" s="1"/>
  <c r="E77" i="7"/>
  <c r="F77" i="7" s="1"/>
  <c r="M292" i="7"/>
  <c r="E262" i="5"/>
  <c r="D181" i="5"/>
  <c r="E133" i="5"/>
  <c r="E137" i="5" s="1"/>
  <c r="AH56" i="6"/>
  <c r="AH29" i="6"/>
  <c r="K293" i="7"/>
  <c r="I292" i="7"/>
  <c r="D282" i="7"/>
  <c r="AG280" i="7"/>
  <c r="M280" i="7"/>
  <c r="H263" i="7"/>
  <c r="I16" i="8" s="1"/>
  <c r="R16" i="8" s="1"/>
  <c r="AG228" i="7"/>
  <c r="AH89" i="6"/>
  <c r="E49" i="5"/>
  <c r="AH67" i="6"/>
  <c r="AH13" i="6"/>
  <c r="I293" i="7"/>
  <c r="G292" i="7"/>
  <c r="H280" i="7"/>
  <c r="AH279" i="7"/>
  <c r="O275" i="7"/>
  <c r="BN287" i="7"/>
  <c r="BB287" i="7"/>
  <c r="AP287" i="7"/>
  <c r="AD287" i="7"/>
  <c r="R287" i="7"/>
  <c r="F287" i="7"/>
  <c r="U228" i="7"/>
  <c r="AA287" i="7"/>
  <c r="E276" i="5"/>
  <c r="E274" i="5"/>
  <c r="AC263" i="5"/>
  <c r="I37" i="6" s="1"/>
  <c r="D237" i="5"/>
  <c r="D55" i="5"/>
  <c r="E21" i="5"/>
  <c r="F21" i="5" s="1"/>
  <c r="F27" i="5" s="1"/>
  <c r="AH79" i="6"/>
  <c r="AH64" i="6"/>
  <c r="Y53" i="6"/>
  <c r="AH53" i="6" s="1"/>
  <c r="AE26" i="6"/>
  <c r="AE12" i="6"/>
  <c r="W293" i="7"/>
  <c r="H293" i="7"/>
  <c r="D167" i="7"/>
  <c r="E63" i="7"/>
  <c r="BG287" i="7"/>
  <c r="Y14" i="8"/>
  <c r="AH14" i="8" s="1"/>
  <c r="Y76" i="8"/>
  <c r="AH76" i="8" s="1"/>
  <c r="Y70" i="8"/>
  <c r="AH70" i="8" s="1"/>
  <c r="E42" i="5"/>
  <c r="E48" i="5" s="1"/>
  <c r="O279" i="7"/>
  <c r="E98" i="7"/>
  <c r="E70" i="7"/>
  <c r="E49" i="7"/>
  <c r="E55" i="7" s="1"/>
  <c r="AH87" i="8"/>
  <c r="D20" i="7"/>
  <c r="AH72" i="8"/>
  <c r="AH66" i="8"/>
  <c r="AH59" i="8"/>
  <c r="E42" i="7"/>
  <c r="F42" i="7" s="1"/>
  <c r="AH65" i="8"/>
  <c r="E21" i="7"/>
  <c r="F21" i="7" s="1"/>
  <c r="AH71" i="8"/>
  <c r="AH20" i="8"/>
  <c r="AH18" i="8"/>
  <c r="E35" i="7"/>
  <c r="E41" i="7" s="1"/>
  <c r="E28" i="7"/>
  <c r="F28" i="7" s="1"/>
  <c r="F34" i="7" s="1"/>
  <c r="E46" i="10"/>
  <c r="E53" i="10"/>
  <c r="AB84" i="10"/>
  <c r="P84" i="10"/>
  <c r="D84" i="10"/>
  <c r="D78" i="10"/>
  <c r="D76" i="10"/>
  <c r="E80" i="10"/>
  <c r="Y61" i="9"/>
  <c r="AH61" i="9" s="1"/>
  <c r="AA67" i="10"/>
  <c r="O67" i="10"/>
  <c r="O53" i="10"/>
  <c r="O46" i="10"/>
  <c r="O25" i="10"/>
  <c r="Y86" i="9"/>
  <c r="AH86" i="9" s="1"/>
  <c r="Y82" i="9"/>
  <c r="AH82" i="9" s="1"/>
  <c r="AA84" i="10"/>
  <c r="I96" i="10"/>
  <c r="Y84" i="10"/>
  <c r="M84" i="10"/>
  <c r="AE83" i="10"/>
  <c r="S83" i="10"/>
  <c r="G83" i="10"/>
  <c r="AE79" i="10"/>
  <c r="S79" i="10"/>
  <c r="G79" i="10"/>
  <c r="N67" i="10"/>
  <c r="E26" i="10"/>
  <c r="Y73" i="9"/>
  <c r="Y70" i="9"/>
  <c r="AH70" i="9" s="1"/>
  <c r="Y28" i="9"/>
  <c r="O84" i="10"/>
  <c r="AA97" i="10"/>
  <c r="AG96" i="10"/>
  <c r="U96" i="10"/>
  <c r="Y67" i="10"/>
  <c r="M67" i="10"/>
  <c r="H18" i="10"/>
  <c r="AH87" i="9"/>
  <c r="E81" i="10"/>
  <c r="Y62" i="9"/>
  <c r="E78" i="10"/>
  <c r="D85" i="10"/>
  <c r="D77" i="10"/>
  <c r="E68" i="10"/>
  <c r="AI67" i="10"/>
  <c r="W67" i="10"/>
  <c r="K67" i="10"/>
  <c r="E47" i="10"/>
  <c r="H32" i="10"/>
  <c r="AH30" i="9"/>
  <c r="G39" i="10"/>
  <c r="G18" i="10"/>
  <c r="Y74" i="9"/>
  <c r="AH74" i="9" s="1"/>
  <c r="AH68" i="9"/>
  <c r="E86" i="10"/>
  <c r="O83" i="10"/>
  <c r="AG67" i="10"/>
  <c r="U67" i="10"/>
  <c r="I67" i="10"/>
  <c r="E25" i="10"/>
  <c r="AH42" i="9"/>
  <c r="AH40" i="9"/>
  <c r="U97" i="10"/>
  <c r="AE84" i="10"/>
  <c r="S84" i="10"/>
  <c r="G84" i="10"/>
  <c r="Y83" i="10"/>
  <c r="M83" i="10"/>
  <c r="Y79" i="10"/>
  <c r="M79" i="10"/>
  <c r="AF67" i="10"/>
  <c r="T67" i="10"/>
  <c r="H67" i="10"/>
  <c r="H39" i="10"/>
  <c r="AH84" i="9"/>
  <c r="AH63" i="9"/>
  <c r="AH60" i="9"/>
  <c r="Y50" i="9"/>
  <c r="AH44" i="9"/>
  <c r="AH32" i="9"/>
  <c r="AE67" i="10"/>
  <c r="S67" i="10"/>
  <c r="G67" i="10"/>
  <c r="G32" i="10"/>
  <c r="AH66" i="9"/>
  <c r="AH64" i="9"/>
  <c r="AH54" i="9"/>
  <c r="AH52" i="9"/>
  <c r="F32" i="10"/>
  <c r="Y85" i="9"/>
  <c r="AH78" i="9"/>
  <c r="AI78" i="9" s="1"/>
  <c r="AH75" i="9"/>
  <c r="AH72" i="9"/>
  <c r="AH56" i="9"/>
  <c r="AH29" i="9"/>
  <c r="AH20" i="9"/>
  <c r="AH17" i="9"/>
  <c r="AH14" i="9"/>
  <c r="AH63" i="4"/>
  <c r="AH39" i="4"/>
  <c r="AH51" i="9"/>
  <c r="AH39" i="9"/>
  <c r="Y38" i="9"/>
  <c r="AH38" i="9" s="1"/>
  <c r="AH27" i="9"/>
  <c r="Y26" i="9"/>
  <c r="AH26" i="9" s="1"/>
  <c r="AE49" i="4"/>
  <c r="AH58" i="9"/>
  <c r="AH46" i="9"/>
  <c r="AH34" i="9"/>
  <c r="AH22" i="9"/>
  <c r="AI22" i="9" s="1"/>
  <c r="AH19" i="9"/>
  <c r="AH16" i="9"/>
  <c r="AH13" i="9"/>
  <c r="AC67" i="3"/>
  <c r="Q67" i="3"/>
  <c r="E67" i="3"/>
  <c r="Q60" i="3"/>
  <c r="E60" i="3"/>
  <c r="E42" i="3"/>
  <c r="AE62" i="4"/>
  <c r="AH72" i="4"/>
  <c r="AE58" i="4"/>
  <c r="Y83" i="9"/>
  <c r="AH83" i="9" s="1"/>
  <c r="Y71" i="9"/>
  <c r="Y59" i="9"/>
  <c r="Y47" i="9"/>
  <c r="Y35" i="9"/>
  <c r="AH35" i="9" s="1"/>
  <c r="Y23" i="9"/>
  <c r="AH23" i="9" s="1"/>
  <c r="E28" i="3"/>
  <c r="AH75" i="4"/>
  <c r="AH58" i="4"/>
  <c r="E49" i="3"/>
  <c r="E53" i="3" s="1"/>
  <c r="AE61" i="4"/>
  <c r="Y49" i="9"/>
  <c r="AH49" i="9" s="1"/>
  <c r="Y37" i="9"/>
  <c r="Y25" i="9"/>
  <c r="Y67" i="3"/>
  <c r="M67" i="3"/>
  <c r="AH20" i="4"/>
  <c r="AJ67" i="3"/>
  <c r="X67" i="3"/>
  <c r="L67" i="3"/>
  <c r="AH51" i="4"/>
  <c r="AH29" i="4"/>
  <c r="D68" i="3"/>
  <c r="AH67" i="3"/>
  <c r="V67" i="3"/>
  <c r="J67" i="3"/>
  <c r="D66" i="3"/>
  <c r="D64" i="3"/>
  <c r="G12" i="4" s="1"/>
  <c r="Y68" i="4"/>
  <c r="AH68" i="4" s="1"/>
  <c r="AA66" i="4"/>
  <c r="Y56" i="4"/>
  <c r="AH56" i="4" s="1"/>
  <c r="AA54" i="4"/>
  <c r="AE45" i="4"/>
  <c r="Y44" i="4"/>
  <c r="AH44" i="4" s="1"/>
  <c r="AA42" i="4"/>
  <c r="AE33" i="4"/>
  <c r="Y32" i="4"/>
  <c r="AH32" i="4" s="1"/>
  <c r="AA30" i="4"/>
  <c r="AH30" i="4" s="1"/>
  <c r="AE20" i="4"/>
  <c r="AE19" i="4"/>
  <c r="AA83" i="4"/>
  <c r="AE74" i="4"/>
  <c r="Y73" i="4"/>
  <c r="AH73" i="4" s="1"/>
  <c r="AA71" i="4"/>
  <c r="Y61" i="4"/>
  <c r="AH61" i="4" s="1"/>
  <c r="AA59" i="4"/>
  <c r="AH59" i="4" s="1"/>
  <c r="Y49" i="4"/>
  <c r="AH49" i="4" s="1"/>
  <c r="AA47" i="4"/>
  <c r="AH47" i="4" s="1"/>
  <c r="AE38" i="4"/>
  <c r="Y37" i="4"/>
  <c r="AA35" i="4"/>
  <c r="AE28" i="4"/>
  <c r="Y19" i="4"/>
  <c r="AH19" i="4" s="1"/>
  <c r="AE16" i="4"/>
  <c r="AA88" i="4"/>
  <c r="AH88" i="4" s="1"/>
  <c r="Y78" i="4"/>
  <c r="AH78" i="4" s="1"/>
  <c r="AI78" i="4" s="1"/>
  <c r="AA76" i="4"/>
  <c r="AE67" i="4"/>
  <c r="Y66" i="4"/>
  <c r="AA64" i="4"/>
  <c r="AE64" i="4" s="1"/>
  <c r="AE55" i="4"/>
  <c r="Y54" i="4"/>
  <c r="AA52" i="4"/>
  <c r="AE43" i="4"/>
  <c r="Y42" i="4"/>
  <c r="AA40" i="4"/>
  <c r="AE40" i="4" s="1"/>
  <c r="AE31" i="4"/>
  <c r="Y27" i="4"/>
  <c r="AE13" i="4"/>
  <c r="AE84" i="4"/>
  <c r="Y83" i="4"/>
  <c r="AA81" i="4"/>
  <c r="AE72" i="4"/>
  <c r="Y71" i="4"/>
  <c r="AA69" i="4"/>
  <c r="AA57" i="4"/>
  <c r="AH57" i="4" s="1"/>
  <c r="Y28" i="4"/>
  <c r="AH28" i="4" s="1"/>
  <c r="Y16" i="4"/>
  <c r="AH16" i="4" s="1"/>
  <c r="AA86" i="4"/>
  <c r="AH86" i="4" s="1"/>
  <c r="Y76" i="4"/>
  <c r="Y64" i="4"/>
  <c r="AE22" i="4"/>
  <c r="Y21" i="4"/>
  <c r="AH21" i="4" s="1"/>
  <c r="AI21" i="4" s="1"/>
  <c r="AE14" i="4"/>
  <c r="AE75" i="4"/>
  <c r="Y74" i="4"/>
  <c r="Y62" i="4"/>
  <c r="AA60" i="4"/>
  <c r="AH60" i="4" s="1"/>
  <c r="AE51" i="4"/>
  <c r="Y50" i="4"/>
  <c r="AA48" i="4"/>
  <c r="Y38" i="4"/>
  <c r="AA36" i="4"/>
  <c r="AE17" i="4"/>
  <c r="AA89" i="4"/>
  <c r="AE89" i="4" s="1"/>
  <c r="AE80" i="4"/>
  <c r="Y79" i="4"/>
  <c r="AH79" i="4" s="1"/>
  <c r="AA77" i="4"/>
  <c r="AE77" i="4" s="1"/>
  <c r="AE68" i="4"/>
  <c r="Y67" i="4"/>
  <c r="AH67" i="4" s="1"/>
  <c r="AA65" i="4"/>
  <c r="AE65" i="4" s="1"/>
  <c r="AE56" i="4"/>
  <c r="Y55" i="4"/>
  <c r="AA53" i="4"/>
  <c r="AH53" i="4" s="1"/>
  <c r="AE44" i="4"/>
  <c r="Y43" i="4"/>
  <c r="AH43" i="4" s="1"/>
  <c r="AA41" i="4"/>
  <c r="AH41" i="4" s="1"/>
  <c r="AE32" i="4"/>
  <c r="Y31" i="4"/>
  <c r="AA24" i="4"/>
  <c r="Y14" i="4"/>
  <c r="AE85" i="4"/>
  <c r="Y84" i="4"/>
  <c r="AA82" i="4"/>
  <c r="AH82" i="4" s="1"/>
  <c r="AE73" i="4"/>
  <c r="AA70" i="4"/>
  <c r="AH70" i="4" s="1"/>
  <c r="AE18" i="4"/>
  <c r="Y89" i="4"/>
  <c r="Y77" i="4"/>
  <c r="Y23" i="4"/>
  <c r="AH23" i="4" s="1"/>
  <c r="AE12" i="4"/>
  <c r="AA25" i="4"/>
  <c r="AE25" i="4" s="1"/>
  <c r="AA27" i="4"/>
  <c r="AA26" i="4"/>
  <c r="AE26" i="4" s="1"/>
  <c r="Y12" i="4"/>
  <c r="AH12" i="4" s="1"/>
  <c r="E245" i="5"/>
  <c r="Y17" i="4"/>
  <c r="AH17" i="4" s="1"/>
  <c r="Y15" i="4"/>
  <c r="Y13" i="4"/>
  <c r="AH13" i="4" s="1"/>
  <c r="J263" i="5"/>
  <c r="V263" i="5"/>
  <c r="Z228" i="5"/>
  <c r="Z263" i="5"/>
  <c r="Y24" i="4"/>
  <c r="E231" i="5"/>
  <c r="E235" i="5" s="1"/>
  <c r="E238" i="5"/>
  <c r="E217" i="5"/>
  <c r="AE263" i="5"/>
  <c r="S214" i="5"/>
  <c r="S263" i="5"/>
  <c r="G214" i="5"/>
  <c r="G263" i="5"/>
  <c r="E252" i="5"/>
  <c r="N263" i="5"/>
  <c r="D132" i="5"/>
  <c r="E119" i="5"/>
  <c r="D125" i="5"/>
  <c r="E105" i="5"/>
  <c r="E109" i="5" s="1"/>
  <c r="D109" i="5"/>
  <c r="D97" i="5"/>
  <c r="E91" i="5"/>
  <c r="E95" i="5" s="1"/>
  <c r="Y51" i="6"/>
  <c r="AH51" i="6" s="1"/>
  <c r="Y63" i="6"/>
  <c r="AH63" i="6" s="1"/>
  <c r="AC256" i="7"/>
  <c r="AC275" i="7"/>
  <c r="AC279" i="7"/>
  <c r="AC280" i="7"/>
  <c r="AC292" i="7"/>
  <c r="AC293" i="7"/>
  <c r="Q256" i="7"/>
  <c r="Q275" i="7"/>
  <c r="Q279" i="7"/>
  <c r="Q280" i="7"/>
  <c r="Q292" i="7"/>
  <c r="Q293" i="7"/>
  <c r="E256" i="7"/>
  <c r="E275" i="7"/>
  <c r="E279" i="7"/>
  <c r="E280" i="7"/>
  <c r="E292" i="7"/>
  <c r="E293" i="7"/>
  <c r="E98" i="5"/>
  <c r="D39" i="5"/>
  <c r="D41" i="5"/>
  <c r="E112" i="5"/>
  <c r="AH54" i="6"/>
  <c r="Y72" i="6"/>
  <c r="AH72" i="6" s="1"/>
  <c r="Y75" i="6"/>
  <c r="AH75" i="6" s="1"/>
  <c r="Y16" i="6"/>
  <c r="AH70" i="6"/>
  <c r="AH83" i="6"/>
  <c r="AE15" i="6"/>
  <c r="Y22" i="6"/>
  <c r="Y74" i="6"/>
  <c r="AH74" i="6" s="1"/>
  <c r="Y69" i="6"/>
  <c r="AH69" i="6" s="1"/>
  <c r="AH80" i="6"/>
  <c r="AE60" i="6"/>
  <c r="AH60" i="6"/>
  <c r="AH78" i="6"/>
  <c r="AI78" i="6" s="1"/>
  <c r="AH42" i="6"/>
  <c r="AH36" i="6"/>
  <c r="AH30" i="6"/>
  <c r="Y27" i="6"/>
  <c r="AH27" i="6" s="1"/>
  <c r="E35" i="5"/>
  <c r="Y81" i="6"/>
  <c r="AH81" i="6" s="1"/>
  <c r="AE48" i="6"/>
  <c r="AH48" i="6"/>
  <c r="AH71" i="6"/>
  <c r="AH68" i="6"/>
  <c r="AH65" i="6"/>
  <c r="AE58" i="6"/>
  <c r="AH58" i="6"/>
  <c r="AH55" i="6"/>
  <c r="AH52" i="6"/>
  <c r="AE43" i="6"/>
  <c r="AE40" i="6"/>
  <c r="AE37" i="6"/>
  <c r="AE34" i="6"/>
  <c r="AE31" i="6"/>
  <c r="AE28" i="6"/>
  <c r="Y15" i="6"/>
  <c r="AH15" i="6" s="1"/>
  <c r="D25" i="5"/>
  <c r="D27" i="5"/>
  <c r="D32" i="5"/>
  <c r="D34" i="5"/>
  <c r="AH43" i="6"/>
  <c r="AH37" i="6"/>
  <c r="AH31" i="6"/>
  <c r="AE53" i="6"/>
  <c r="Y57" i="6"/>
  <c r="AH57" i="6" s="1"/>
  <c r="Y39" i="6"/>
  <c r="AH39" i="6" s="1"/>
  <c r="Y33" i="6"/>
  <c r="AH33" i="6" s="1"/>
  <c r="Y21" i="6"/>
  <c r="AH21" i="6" s="1"/>
  <c r="AI21" i="6" s="1"/>
  <c r="Z263" i="7"/>
  <c r="Z280" i="7"/>
  <c r="Z293" i="7"/>
  <c r="Z279" i="7"/>
  <c r="Z275" i="7"/>
  <c r="Z200" i="7"/>
  <c r="N200" i="7"/>
  <c r="N263" i="7"/>
  <c r="N280" i="7"/>
  <c r="N293" i="7"/>
  <c r="D201" i="7"/>
  <c r="D277" i="7"/>
  <c r="D264" i="7"/>
  <c r="D262" i="7"/>
  <c r="D278" i="7"/>
  <c r="D276" i="7"/>
  <c r="AH86" i="6"/>
  <c r="Y76" i="6"/>
  <c r="AH76" i="6" s="1"/>
  <c r="AH20" i="6"/>
  <c r="AE18" i="6"/>
  <c r="E14" i="5"/>
  <c r="AH23" i="6"/>
  <c r="AJ193" i="7"/>
  <c r="AJ280" i="7"/>
  <c r="AJ263" i="7"/>
  <c r="AJ275" i="7"/>
  <c r="AJ279" i="7"/>
  <c r="AJ292" i="7"/>
  <c r="X193" i="7"/>
  <c r="X280" i="7"/>
  <c r="X275" i="7"/>
  <c r="X279" i="7"/>
  <c r="X263" i="7"/>
  <c r="X292" i="7"/>
  <c r="L193" i="7"/>
  <c r="L280" i="7"/>
  <c r="L263" i="7"/>
  <c r="L275" i="7"/>
  <c r="L279" i="7"/>
  <c r="L292" i="7"/>
  <c r="AH62" i="6"/>
  <c r="AH50" i="6"/>
  <c r="AH17" i="6"/>
  <c r="N279" i="7"/>
  <c r="AH19" i="6"/>
  <c r="AB256" i="7"/>
  <c r="AB275" i="7"/>
  <c r="AB279" i="7"/>
  <c r="P256" i="7"/>
  <c r="P275" i="7"/>
  <c r="P279" i="7"/>
  <c r="D256" i="7"/>
  <c r="D275" i="7"/>
  <c r="D279" i="7"/>
  <c r="BV287" i="7"/>
  <c r="BJ287" i="7"/>
  <c r="AX287" i="7"/>
  <c r="AL287" i="7"/>
  <c r="Z287" i="7"/>
  <c r="N287" i="7"/>
  <c r="AI193" i="7"/>
  <c r="AI280" i="7"/>
  <c r="AI263" i="7"/>
  <c r="AI275" i="7"/>
  <c r="AI279" i="7"/>
  <c r="W193" i="7"/>
  <c r="W280" i="7"/>
  <c r="W275" i="7"/>
  <c r="W279" i="7"/>
  <c r="K193" i="7"/>
  <c r="K280" i="7"/>
  <c r="K263" i="7"/>
  <c r="K275" i="7"/>
  <c r="K279" i="7"/>
  <c r="D280" i="7"/>
  <c r="AE263" i="7"/>
  <c r="AE275" i="7"/>
  <c r="AE279" i="7"/>
  <c r="S275" i="7"/>
  <c r="S279" i="7"/>
  <c r="G263" i="7"/>
  <c r="G275" i="7"/>
  <c r="G279" i="7"/>
  <c r="W263" i="7"/>
  <c r="P280" i="7"/>
  <c r="AC263" i="7"/>
  <c r="Q242" i="7"/>
  <c r="Q263" i="7"/>
  <c r="E263" i="7"/>
  <c r="D216" i="7"/>
  <c r="D272" i="7"/>
  <c r="E210" i="7"/>
  <c r="D223" i="7"/>
  <c r="D221" i="7"/>
  <c r="AD263" i="7"/>
  <c r="R263" i="7"/>
  <c r="F235" i="7"/>
  <c r="F263" i="7"/>
  <c r="AB200" i="7"/>
  <c r="AB263" i="7"/>
  <c r="P200" i="7"/>
  <c r="P263" i="7"/>
  <c r="D263" i="7"/>
  <c r="D202" i="7"/>
  <c r="D200" i="7"/>
  <c r="Y207" i="7"/>
  <c r="Y263" i="7"/>
  <c r="M207" i="7"/>
  <c r="M263" i="7"/>
  <c r="E203" i="7"/>
  <c r="D261" i="7"/>
  <c r="H12" i="8" s="1"/>
  <c r="AA200" i="7"/>
  <c r="AA263" i="7"/>
  <c r="O200" i="7"/>
  <c r="O263" i="7"/>
  <c r="E252" i="7"/>
  <c r="E217" i="7"/>
  <c r="E196" i="7"/>
  <c r="E224" i="7"/>
  <c r="D230" i="7"/>
  <c r="D188" i="7"/>
  <c r="D186" i="7"/>
  <c r="D258" i="7"/>
  <c r="E238" i="7"/>
  <c r="E242" i="7" s="1"/>
  <c r="E245" i="7"/>
  <c r="E182" i="7"/>
  <c r="E179" i="7"/>
  <c r="D174" i="7"/>
  <c r="E168" i="7"/>
  <c r="D118" i="7"/>
  <c r="D116" i="7"/>
  <c r="E140" i="7"/>
  <c r="E144" i="7" s="1"/>
  <c r="D146" i="7"/>
  <c r="E112" i="7"/>
  <c r="E161" i="7"/>
  <c r="E147" i="7"/>
  <c r="E151" i="7" s="1"/>
  <c r="D102" i="7"/>
  <c r="E133" i="7"/>
  <c r="D111" i="7"/>
  <c r="D109" i="7"/>
  <c r="E126" i="7"/>
  <c r="E154" i="7"/>
  <c r="E105" i="7"/>
  <c r="E84" i="7"/>
  <c r="D27" i="7"/>
  <c r="Y82" i="8"/>
  <c r="Y52" i="8"/>
  <c r="AH52" i="8" s="1"/>
  <c r="Y40" i="8"/>
  <c r="AH40" i="8" s="1"/>
  <c r="Y35" i="8"/>
  <c r="AH35" i="8" s="1"/>
  <c r="Y89" i="8"/>
  <c r="AH89" i="8" s="1"/>
  <c r="Y74" i="8"/>
  <c r="AH74" i="8" s="1"/>
  <c r="Y63" i="8"/>
  <c r="AH63" i="8" s="1"/>
  <c r="AE58" i="8"/>
  <c r="AE40" i="8"/>
  <c r="Y73" i="8"/>
  <c r="AH73" i="8" s="1"/>
  <c r="AE64" i="8"/>
  <c r="Y43" i="8"/>
  <c r="AH43" i="8" s="1"/>
  <c r="AE38" i="8"/>
  <c r="Y58" i="8"/>
  <c r="AH58" i="8" s="1"/>
  <c r="Y33" i="8"/>
  <c r="AH33" i="8" s="1"/>
  <c r="E14" i="7"/>
  <c r="AH81" i="8"/>
  <c r="Y64" i="8"/>
  <c r="AH64" i="8" s="1"/>
  <c r="Y44" i="8"/>
  <c r="AH44" i="8" s="1"/>
  <c r="Y68" i="8"/>
  <c r="AE41" i="8"/>
  <c r="AE36" i="8"/>
  <c r="AH79" i="8"/>
  <c r="AH75" i="8"/>
  <c r="AH67" i="8"/>
  <c r="AE51" i="8"/>
  <c r="AH50" i="8"/>
  <c r="AH36" i="8"/>
  <c r="Y85" i="8"/>
  <c r="Y41" i="8"/>
  <c r="AH41" i="8" s="1"/>
  <c r="AE39" i="8"/>
  <c r="AH86" i="8"/>
  <c r="AH69" i="8"/>
  <c r="Y51" i="8"/>
  <c r="AH51" i="8" s="1"/>
  <c r="AE46" i="8"/>
  <c r="AH34" i="8"/>
  <c r="AH80" i="8"/>
  <c r="Y62" i="8"/>
  <c r="AH62" i="8" s="1"/>
  <c r="AE57" i="8"/>
  <c r="AH56" i="8"/>
  <c r="Y39" i="8"/>
  <c r="AH39" i="8" s="1"/>
  <c r="AE37" i="8"/>
  <c r="AE52" i="8"/>
  <c r="AE49" i="8"/>
  <c r="AE63" i="8"/>
  <c r="Y57" i="8"/>
  <c r="AH57" i="8" s="1"/>
  <c r="Y42" i="8"/>
  <c r="AH42" i="8" s="1"/>
  <c r="AE12" i="8"/>
  <c r="AH12" i="8"/>
  <c r="AH38" i="8"/>
  <c r="Y37" i="8"/>
  <c r="AH37" i="8" s="1"/>
  <c r="AH32" i="8"/>
  <c r="Y31" i="8"/>
  <c r="AH31" i="8" s="1"/>
  <c r="AH30" i="8"/>
  <c r="Y29" i="8"/>
  <c r="AH29" i="8" s="1"/>
  <c r="Y78" i="8"/>
  <c r="AH48" i="8"/>
  <c r="Y47" i="8"/>
  <c r="AH47" i="8" s="1"/>
  <c r="AH28" i="8"/>
  <c r="Y27" i="8"/>
  <c r="AH60" i="8"/>
  <c r="AH54" i="8"/>
  <c r="AH46" i="8"/>
  <c r="AH26" i="8"/>
  <c r="Y25" i="8"/>
  <c r="AH25" i="8" s="1"/>
  <c r="Y21" i="8"/>
  <c r="Y16" i="8"/>
  <c r="AH16" i="8" s="1"/>
  <c r="AH61" i="8"/>
  <c r="AH55" i="8"/>
  <c r="AH49" i="8"/>
  <c r="Y45" i="8"/>
  <c r="AH45" i="8" s="1"/>
  <c r="AI45" i="8" s="1"/>
  <c r="AH24" i="8"/>
  <c r="Y23" i="8"/>
  <c r="AH23" i="8" s="1"/>
  <c r="Y22" i="8"/>
  <c r="AH22" i="8" s="1"/>
  <c r="AI22" i="8" s="1"/>
  <c r="AH17" i="8"/>
  <c r="AH15" i="8"/>
  <c r="Q284" i="7" l="1"/>
  <c r="AS284" i="7"/>
  <c r="U284" i="7"/>
  <c r="AI284" i="7"/>
  <c r="H284" i="7"/>
  <c r="BO284" i="7"/>
  <c r="AQ284" i="7"/>
  <c r="S284" i="7"/>
  <c r="BP284" i="7"/>
  <c r="AB284" i="7"/>
  <c r="L284" i="7"/>
  <c r="AT284" i="7"/>
  <c r="AC284" i="7"/>
  <c r="AJ284" i="7"/>
  <c r="AH284" i="7"/>
  <c r="AN284" i="7"/>
  <c r="BJ284" i="7"/>
  <c r="X284" i="7"/>
  <c r="AG284" i="7"/>
  <c r="W284" i="7"/>
  <c r="AA284" i="7"/>
  <c r="AR284" i="7"/>
  <c r="AL284" i="7"/>
  <c r="BR284" i="7"/>
  <c r="BR283" i="7" s="1"/>
  <c r="I284" i="7"/>
  <c r="BC284" i="7"/>
  <c r="BI284" i="7"/>
  <c r="BY284" i="7"/>
  <c r="BA284" i="7"/>
  <c r="BF284" i="7"/>
  <c r="BU284" i="7"/>
  <c r="BX284" i="7"/>
  <c r="AU284" i="7"/>
  <c r="AY284" i="7"/>
  <c r="P284" i="7"/>
  <c r="V284" i="7"/>
  <c r="F284" i="7"/>
  <c r="BN284" i="7"/>
  <c r="D284" i="7"/>
  <c r="J284" i="7"/>
  <c r="Y284" i="7"/>
  <c r="BT284" i="7"/>
  <c r="CC284" i="7"/>
  <c r="AO284" i="7"/>
  <c r="M284" i="7"/>
  <c r="M283" i="7" s="1"/>
  <c r="AK284" i="7"/>
  <c r="AK283" i="7" s="1"/>
  <c r="BH284" i="7"/>
  <c r="BQ284" i="7"/>
  <c r="BQ283" i="7" s="1"/>
  <c r="BD284" i="7"/>
  <c r="AE284" i="7"/>
  <c r="R284" i="7"/>
  <c r="BG284" i="7"/>
  <c r="AZ284" i="7"/>
  <c r="AV284" i="7"/>
  <c r="BE284" i="7"/>
  <c r="BV284" i="7"/>
  <c r="K284" i="7"/>
  <c r="O284" i="7"/>
  <c r="BM284" i="7"/>
  <c r="E284" i="7"/>
  <c r="AD284" i="7"/>
  <c r="AF284" i="7"/>
  <c r="CA284" i="7"/>
  <c r="AX284" i="7"/>
  <c r="BB284" i="7"/>
  <c r="N284" i="7"/>
  <c r="N283" i="7" s="1"/>
  <c r="G168" i="5"/>
  <c r="G174" i="5" s="1"/>
  <c r="F203" i="5"/>
  <c r="G203" i="5" s="1"/>
  <c r="BS284" i="7"/>
  <c r="BW284" i="7"/>
  <c r="R24" i="4"/>
  <c r="D91" i="10"/>
  <c r="F70" i="5"/>
  <c r="G70" i="5" s="1"/>
  <c r="H70" i="5" s="1"/>
  <c r="H76" i="5" s="1"/>
  <c r="E181" i="7"/>
  <c r="J44" i="9"/>
  <c r="E48" i="10"/>
  <c r="E202" i="5"/>
  <c r="E237" i="7"/>
  <c r="AM284" i="7"/>
  <c r="BK284" i="7"/>
  <c r="BZ284" i="7"/>
  <c r="Z284" i="7"/>
  <c r="AS94" i="10"/>
  <c r="J94" i="10"/>
  <c r="B55" i="10"/>
  <c r="E34" i="10"/>
  <c r="B20" i="10"/>
  <c r="B27" i="10"/>
  <c r="B34" i="10"/>
  <c r="B48" i="10"/>
  <c r="B41" i="10"/>
  <c r="B41" i="3"/>
  <c r="B48" i="3"/>
  <c r="B55" i="3"/>
  <c r="B20" i="3"/>
  <c r="B27" i="3"/>
  <c r="B34" i="3"/>
  <c r="B244" i="5"/>
  <c r="B188" i="5"/>
  <c r="B90" i="5"/>
  <c r="B139" i="5"/>
  <c r="B230" i="5"/>
  <c r="B41" i="5"/>
  <c r="B83" i="5"/>
  <c r="B132" i="5"/>
  <c r="B181" i="5"/>
  <c r="B27" i="5"/>
  <c r="B34" i="5"/>
  <c r="B125" i="5"/>
  <c r="B223" i="5"/>
  <c r="B69" i="5"/>
  <c r="B76" i="5"/>
  <c r="B174" i="5"/>
  <c r="B118" i="5"/>
  <c r="B167" i="5"/>
  <c r="B20" i="5"/>
  <c r="B111" i="5"/>
  <c r="B216" i="5"/>
  <c r="B62" i="5"/>
  <c r="B153" i="5"/>
  <c r="B160" i="5"/>
  <c r="B209" i="5"/>
  <c r="B55" i="5"/>
  <c r="B104" i="5"/>
  <c r="B195" i="5"/>
  <c r="B202" i="5"/>
  <c r="B251" i="5"/>
  <c r="B146" i="5"/>
  <c r="B48" i="5"/>
  <c r="B97" i="5"/>
  <c r="B237" i="5"/>
  <c r="B132" i="7"/>
  <c r="B146" i="7"/>
  <c r="B237" i="7"/>
  <c r="B174" i="7"/>
  <c r="B48" i="7"/>
  <c r="B125" i="7"/>
  <c r="B188" i="7"/>
  <c r="B216" i="7"/>
  <c r="B230" i="7"/>
  <c r="B76" i="7"/>
  <c r="B167" i="7"/>
  <c r="B55" i="7"/>
  <c r="B118" i="7"/>
  <c r="B27" i="7"/>
  <c r="B69" i="7"/>
  <c r="B209" i="7"/>
  <c r="F140" i="5"/>
  <c r="F146" i="5" s="1"/>
  <c r="B160" i="7"/>
  <c r="B97" i="7"/>
  <c r="AF29" i="8"/>
  <c r="B62" i="7"/>
  <c r="B41" i="7"/>
  <c r="B251" i="7"/>
  <c r="B139" i="7"/>
  <c r="B202" i="7"/>
  <c r="B20" i="7"/>
  <c r="B34" i="7"/>
  <c r="B111" i="7"/>
  <c r="B244" i="7"/>
  <c r="B181" i="7"/>
  <c r="B153" i="7"/>
  <c r="B90" i="7"/>
  <c r="B223" i="7"/>
  <c r="B104" i="7"/>
  <c r="B195" i="7"/>
  <c r="B83" i="7"/>
  <c r="J25" i="9"/>
  <c r="B13" i="10"/>
  <c r="B13" i="3"/>
  <c r="B13" i="5"/>
  <c r="B13" i="7"/>
  <c r="F63" i="5"/>
  <c r="G63" i="5" s="1"/>
  <c r="H63" i="5" s="1"/>
  <c r="E83" i="5"/>
  <c r="AF36" i="6"/>
  <c r="G284" i="5"/>
  <c r="BO284" i="5"/>
  <c r="BB284" i="5"/>
  <c r="Z284" i="5"/>
  <c r="AG284" i="5"/>
  <c r="P284" i="5"/>
  <c r="BQ284" i="5"/>
  <c r="BQ283" i="5" s="1"/>
  <c r="AC94" i="10"/>
  <c r="S88" i="10"/>
  <c r="V284" i="5"/>
  <c r="L12" i="4" a="1"/>
  <c r="L34" i="4" s="1"/>
  <c r="AF37" i="6"/>
  <c r="I284" i="5"/>
  <c r="AH284" i="5"/>
  <c r="P70" i="3"/>
  <c r="U284" i="5"/>
  <c r="AT284" i="5"/>
  <c r="R284" i="5"/>
  <c r="BH284" i="5"/>
  <c r="BN284" i="5"/>
  <c r="D284" i="5"/>
  <c r="Q284" i="5"/>
  <c r="BS284" i="5"/>
  <c r="CB284" i="5"/>
  <c r="AW284" i="5"/>
  <c r="E216" i="5"/>
  <c r="AU284" i="5"/>
  <c r="AV284" i="5"/>
  <c r="AZ284" i="5"/>
  <c r="BY284" i="5"/>
  <c r="BE284" i="5"/>
  <c r="AQ284" i="5"/>
  <c r="CA284" i="5"/>
  <c r="AJ284" i="5"/>
  <c r="BJ284" i="5"/>
  <c r="AF284" i="5"/>
  <c r="AF30" i="8"/>
  <c r="BV284" i="5"/>
  <c r="BD284" i="5"/>
  <c r="K284" i="5"/>
  <c r="X284" i="5"/>
  <c r="E174" i="5"/>
  <c r="AF27" i="4"/>
  <c r="E48" i="7"/>
  <c r="AF28" i="4"/>
  <c r="AF25" i="9"/>
  <c r="F14" i="3"/>
  <c r="G14" i="3" s="1"/>
  <c r="R27" i="4"/>
  <c r="R35" i="6"/>
  <c r="BZ94" i="10"/>
  <c r="BC94" i="10"/>
  <c r="E81" i="5"/>
  <c r="AB284" i="5"/>
  <c r="F284" i="5"/>
  <c r="AK284" i="5"/>
  <c r="AK283" i="5" s="1"/>
  <c r="E18" i="3"/>
  <c r="AD88" i="10"/>
  <c r="AL284" i="5"/>
  <c r="BL284" i="5"/>
  <c r="AC284" i="5"/>
  <c r="AD284" i="5"/>
  <c r="T284" i="5"/>
  <c r="BI284" i="5"/>
  <c r="BL94" i="10"/>
  <c r="BU94" i="10"/>
  <c r="BX94" i="10"/>
  <c r="AP94" i="10"/>
  <c r="AE94" i="10"/>
  <c r="U94" i="10"/>
  <c r="BG94" i="10"/>
  <c r="R94" i="10"/>
  <c r="S94" i="10"/>
  <c r="CB94" i="10"/>
  <c r="I94" i="10"/>
  <c r="AU94" i="10"/>
  <c r="BB94" i="10"/>
  <c r="AQ94" i="10"/>
  <c r="AG94" i="10"/>
  <c r="BS94" i="10"/>
  <c r="BO94" i="10"/>
  <c r="V94" i="10"/>
  <c r="BE94" i="10"/>
  <c r="BQ94" i="10"/>
  <c r="AH94" i="10"/>
  <c r="BY94" i="10"/>
  <c r="CA94" i="10"/>
  <c r="F119" i="7"/>
  <c r="F125" i="7" s="1"/>
  <c r="AU88" i="3"/>
  <c r="H94" i="10"/>
  <c r="L94" i="10"/>
  <c r="CC94" i="10"/>
  <c r="AT94" i="10"/>
  <c r="R28" i="8"/>
  <c r="AF32" i="6"/>
  <c r="T94" i="10"/>
  <c r="AJ94" i="10"/>
  <c r="BF94" i="10"/>
  <c r="M94" i="10"/>
  <c r="BJ94" i="10"/>
  <c r="BA94" i="10"/>
  <c r="P94" i="10"/>
  <c r="E94" i="10"/>
  <c r="AF94" i="10"/>
  <c r="AV94" i="10"/>
  <c r="X94" i="10"/>
  <c r="BR94" i="10"/>
  <c r="Y94" i="10"/>
  <c r="AL94" i="10"/>
  <c r="AB94" i="10"/>
  <c r="Q94" i="10"/>
  <c r="AR94" i="10"/>
  <c r="BT94" i="10"/>
  <c r="BH94" i="10"/>
  <c r="AK94" i="10"/>
  <c r="AN94" i="10"/>
  <c r="AD94" i="10"/>
  <c r="AO94" i="10"/>
  <c r="BD94" i="10"/>
  <c r="K94" i="10"/>
  <c r="AI94" i="10"/>
  <c r="AW94" i="10"/>
  <c r="BX88" i="3"/>
  <c r="AZ94" i="10"/>
  <c r="BN94" i="10"/>
  <c r="BM94" i="10"/>
  <c r="F94" i="10"/>
  <c r="G94" i="10"/>
  <c r="BP94" i="10"/>
  <c r="W94" i="10"/>
  <c r="BI94" i="10"/>
  <c r="F230" i="5"/>
  <c r="J12" i="9"/>
  <c r="G230" i="5"/>
  <c r="F181" i="7"/>
  <c r="G175" i="7"/>
  <c r="H175" i="7" s="1"/>
  <c r="F179" i="7"/>
  <c r="CB88" i="3"/>
  <c r="E55" i="10"/>
  <c r="S88" i="3"/>
  <c r="F56" i="7"/>
  <c r="F62" i="7" s="1"/>
  <c r="E195" i="7"/>
  <c r="E27" i="5"/>
  <c r="BA284" i="5"/>
  <c r="AE284" i="5"/>
  <c r="BP284" i="5"/>
  <c r="E179" i="5"/>
  <c r="AT88" i="3"/>
  <c r="BO88" i="3"/>
  <c r="K88" i="10"/>
  <c r="Y284" i="5"/>
  <c r="AR88" i="3"/>
  <c r="P88" i="3"/>
  <c r="AQ88" i="10"/>
  <c r="F126" i="5"/>
  <c r="G126" i="5" s="1"/>
  <c r="Y88" i="3"/>
  <c r="BU88" i="3"/>
  <c r="AK88" i="10"/>
  <c r="AK87" i="10" s="1"/>
  <c r="AM94" i="10"/>
  <c r="E287" i="7"/>
  <c r="F154" i="5"/>
  <c r="F160" i="5" s="1"/>
  <c r="E200" i="5"/>
  <c r="E214" i="5"/>
  <c r="E139" i="5"/>
  <c r="AF26" i="9"/>
  <c r="N94" i="10"/>
  <c r="E27" i="7"/>
  <c r="G13" i="4"/>
  <c r="AJ70" i="10"/>
  <c r="AF41" i="4"/>
  <c r="D70" i="10"/>
  <c r="BK94" i="10"/>
  <c r="AY94" i="10"/>
  <c r="AF41" i="8"/>
  <c r="AF42" i="8"/>
  <c r="F42" i="5"/>
  <c r="G42" i="5" s="1"/>
  <c r="AH89" i="4"/>
  <c r="F237" i="7"/>
  <c r="G231" i="7"/>
  <c r="G237" i="7" s="1"/>
  <c r="AH46" i="4"/>
  <c r="J24" i="9"/>
  <c r="F151" i="5"/>
  <c r="AH87" i="4"/>
  <c r="E188" i="5"/>
  <c r="F175" i="5"/>
  <c r="F179" i="5" s="1"/>
  <c r="AF38" i="9"/>
  <c r="G13" i="9"/>
  <c r="G14" i="9" s="1"/>
  <c r="G15" i="9" s="1"/>
  <c r="E32" i="7"/>
  <c r="AF36" i="4"/>
  <c r="Q70" i="10"/>
  <c r="E195" i="5"/>
  <c r="G147" i="5"/>
  <c r="G151" i="5" s="1"/>
  <c r="AH71" i="4"/>
  <c r="BW94" i="10"/>
  <c r="D300" i="5"/>
  <c r="AF33" i="6"/>
  <c r="G28" i="10"/>
  <c r="H28" i="10" s="1"/>
  <c r="F34" i="10"/>
  <c r="BX284" i="5"/>
  <c r="E284" i="5"/>
  <c r="BZ284" i="5"/>
  <c r="BC284" i="5"/>
  <c r="AR284" i="5"/>
  <c r="CC284" i="5"/>
  <c r="J284" i="5"/>
  <c r="BG284" i="5"/>
  <c r="E62" i="3"/>
  <c r="E25" i="5"/>
  <c r="AX284" i="5"/>
  <c r="BM284" i="5"/>
  <c r="BR284" i="5"/>
  <c r="BR283" i="5" s="1"/>
  <c r="L284" i="5"/>
  <c r="M284" i="5"/>
  <c r="M283" i="5" s="1"/>
  <c r="R88" i="10"/>
  <c r="BU88" i="10"/>
  <c r="F35" i="7"/>
  <c r="F41" i="7" s="1"/>
  <c r="AN284" i="5"/>
  <c r="AP284" i="5"/>
  <c r="S284" i="5"/>
  <c r="H284" i="5"/>
  <c r="AS284" i="5"/>
  <c r="W284" i="5"/>
  <c r="BT284" i="5"/>
  <c r="BU284" i="5"/>
  <c r="AE88" i="10"/>
  <c r="R24" i="9"/>
  <c r="AI284" i="5"/>
  <c r="L12" i="6" a="1"/>
  <c r="L18" i="6" s="1"/>
  <c r="J12" i="6"/>
  <c r="R12" i="6"/>
  <c r="J88" i="3"/>
  <c r="K88" i="3"/>
  <c r="AN88" i="3"/>
  <c r="R38" i="9"/>
  <c r="AP284" i="7"/>
  <c r="AZ88" i="3"/>
  <c r="E158" i="5"/>
  <c r="CB284" i="7"/>
  <c r="E83" i="7"/>
  <c r="L12" i="8" a="1"/>
  <c r="L61" i="8" s="1"/>
  <c r="T88" i="3"/>
  <c r="V88" i="3"/>
  <c r="W88" i="3"/>
  <c r="E46" i="5"/>
  <c r="AO284" i="5"/>
  <c r="E167" i="5"/>
  <c r="E230" i="5"/>
  <c r="AF88" i="3"/>
  <c r="AH88" i="3"/>
  <c r="AI88" i="3"/>
  <c r="BL88" i="3"/>
  <c r="R28" i="4"/>
  <c r="R26" i="9"/>
  <c r="Z94" i="10"/>
  <c r="BL284" i="7"/>
  <c r="BD88" i="3"/>
  <c r="BG88" i="3"/>
  <c r="D287" i="7"/>
  <c r="BF88" i="3"/>
  <c r="BP88" i="3"/>
  <c r="BR88" i="3"/>
  <c r="BR87" i="3" s="1"/>
  <c r="BS88" i="3"/>
  <c r="M88" i="3"/>
  <c r="M87" i="3" s="1"/>
  <c r="G88" i="3"/>
  <c r="E90" i="5"/>
  <c r="AK88" i="3"/>
  <c r="AK87" i="3" s="1"/>
  <c r="AE88" i="3"/>
  <c r="F21" i="10"/>
  <c r="F27" i="10" s="1"/>
  <c r="E53" i="7"/>
  <c r="AW88" i="3"/>
  <c r="AF39" i="4"/>
  <c r="AQ88" i="3"/>
  <c r="P70" i="10"/>
  <c r="F84" i="5"/>
  <c r="G84" i="5" s="1"/>
  <c r="AF42" i="6"/>
  <c r="BI88" i="3"/>
  <c r="D88" i="3"/>
  <c r="BC88" i="3"/>
  <c r="E85" i="10"/>
  <c r="AB88" i="3"/>
  <c r="BN88" i="10"/>
  <c r="G284" i="7"/>
  <c r="E81" i="7"/>
  <c r="E62" i="10"/>
  <c r="G13" i="6"/>
  <c r="G14" i="6" s="1"/>
  <c r="G15" i="6" s="1"/>
  <c r="E34" i="7"/>
  <c r="F133" i="5"/>
  <c r="F139" i="5" s="1"/>
  <c r="AF29" i="4"/>
  <c r="E64" i="10"/>
  <c r="E70" i="10" s="1"/>
  <c r="L88" i="10"/>
  <c r="F56" i="10"/>
  <c r="F60" i="10" s="1"/>
  <c r="E76" i="10"/>
  <c r="AF43" i="6"/>
  <c r="AH34" i="4"/>
  <c r="AX94" i="10"/>
  <c r="G28" i="7"/>
  <c r="G34" i="7" s="1"/>
  <c r="E125" i="7"/>
  <c r="AF37" i="9"/>
  <c r="AF41" i="6"/>
  <c r="AF29" i="6"/>
  <c r="AA94" i="10"/>
  <c r="T284" i="7"/>
  <c r="D290" i="7" a="1"/>
  <c r="AI290" i="7" s="1"/>
  <c r="AF35" i="4"/>
  <c r="AP88" i="10"/>
  <c r="CA88" i="10"/>
  <c r="BC88" i="10"/>
  <c r="AI88" i="10"/>
  <c r="AJ88" i="10"/>
  <c r="BI88" i="10"/>
  <c r="BV94" i="10"/>
  <c r="D94" i="10"/>
  <c r="F49" i="7"/>
  <c r="G49" i="7" s="1"/>
  <c r="AE41" i="4"/>
  <c r="BB88" i="10"/>
  <c r="BO88" i="10"/>
  <c r="AU88" i="10"/>
  <c r="AV88" i="10"/>
  <c r="BG88" i="10"/>
  <c r="Y88" i="10"/>
  <c r="BH88" i="10"/>
  <c r="BZ88" i="10"/>
  <c r="BS88" i="10"/>
  <c r="AW88" i="10"/>
  <c r="BT88" i="10"/>
  <c r="E39" i="10"/>
  <c r="F35" i="10"/>
  <c r="F14" i="10"/>
  <c r="E20" i="10"/>
  <c r="D298" i="5"/>
  <c r="AF40" i="4"/>
  <c r="G88" i="10"/>
  <c r="W88" i="10"/>
  <c r="X88" i="10"/>
  <c r="D297" i="5"/>
  <c r="AH40" i="4"/>
  <c r="R40" i="4"/>
  <c r="D103" i="3"/>
  <c r="D296" i="5"/>
  <c r="AH77" i="4"/>
  <c r="AI77" i="4" s="1"/>
  <c r="AH65" i="4"/>
  <c r="AH27" i="4"/>
  <c r="G21" i="5"/>
  <c r="F25" i="5"/>
  <c r="F28" i="5"/>
  <c r="E34" i="5"/>
  <c r="I44" i="6"/>
  <c r="AJ266" i="5"/>
  <c r="N284" i="5"/>
  <c r="N283" i="5" s="1"/>
  <c r="AY284" i="5"/>
  <c r="O284" i="5"/>
  <c r="AA284" i="5"/>
  <c r="AM284" i="5"/>
  <c r="BK284" i="5"/>
  <c r="BW284" i="5"/>
  <c r="D266" i="5"/>
  <c r="AH25" i="4"/>
  <c r="E69" i="7"/>
  <c r="F63" i="7"/>
  <c r="F49" i="5"/>
  <c r="E55" i="5"/>
  <c r="F56" i="5"/>
  <c r="E62" i="5"/>
  <c r="D99" i="10"/>
  <c r="M47" i="9" s="1"/>
  <c r="Z47" i="9" s="1"/>
  <c r="I23" i="6"/>
  <c r="O266" i="5"/>
  <c r="AH83" i="4"/>
  <c r="I24" i="6"/>
  <c r="P266" i="5"/>
  <c r="E151" i="5"/>
  <c r="E153" i="5"/>
  <c r="I23" i="4"/>
  <c r="O70" i="3"/>
  <c r="F88" i="10"/>
  <c r="J88" i="10"/>
  <c r="AF88" i="10"/>
  <c r="AZ88" i="10"/>
  <c r="BV88" i="10"/>
  <c r="N88" i="10"/>
  <c r="N87" i="10" s="1"/>
  <c r="AG88" i="10"/>
  <c r="BA88" i="10"/>
  <c r="BW88" i="10"/>
  <c r="O88" i="10"/>
  <c r="AH88" i="10"/>
  <c r="BD88" i="10"/>
  <c r="BX88" i="10"/>
  <c r="AL88" i="10"/>
  <c r="BE88" i="10"/>
  <c r="P88" i="10"/>
  <c r="BY88" i="10"/>
  <c r="U88" i="10"/>
  <c r="Q88" i="10"/>
  <c r="AM88" i="10"/>
  <c r="BF88" i="10"/>
  <c r="CB88" i="10"/>
  <c r="BJ88" i="10"/>
  <c r="I88" i="10"/>
  <c r="T88" i="10"/>
  <c r="AN88" i="10"/>
  <c r="CC88" i="10"/>
  <c r="AO88" i="10"/>
  <c r="BK88" i="10"/>
  <c r="V88" i="10"/>
  <c r="AR88" i="10"/>
  <c r="BL88" i="10"/>
  <c r="D88" i="10"/>
  <c r="Z88" i="10"/>
  <c r="AS88" i="10"/>
  <c r="BM88" i="10"/>
  <c r="H88" i="10"/>
  <c r="AX88" i="10"/>
  <c r="AC88" i="10"/>
  <c r="E88" i="10"/>
  <c r="AA88" i="10"/>
  <c r="AT88" i="10"/>
  <c r="BP88" i="10"/>
  <c r="AB88" i="10"/>
  <c r="AY88" i="10"/>
  <c r="BQ88" i="10"/>
  <c r="BQ87" i="10" s="1"/>
  <c r="BR88" i="10"/>
  <c r="BR87" i="10" s="1"/>
  <c r="F70" i="7"/>
  <c r="E76" i="7"/>
  <c r="I25" i="6"/>
  <c r="Q266" i="5"/>
  <c r="D101" i="10"/>
  <c r="F35" i="3"/>
  <c r="E41" i="3"/>
  <c r="D70" i="3"/>
  <c r="F98" i="7"/>
  <c r="E104" i="7"/>
  <c r="F91" i="7"/>
  <c r="E97" i="7"/>
  <c r="F21" i="3"/>
  <c r="E27" i="3"/>
  <c r="E25" i="3"/>
  <c r="I22" i="4"/>
  <c r="N70" i="3"/>
  <c r="H88" i="3"/>
  <c r="O88" i="3"/>
  <c r="AM88" i="3"/>
  <c r="BK88" i="3"/>
  <c r="Q88" i="3"/>
  <c r="AO88" i="3"/>
  <c r="BM88" i="3"/>
  <c r="Z88" i="3"/>
  <c r="AX88" i="3"/>
  <c r="BV88" i="3"/>
  <c r="AA88" i="3"/>
  <c r="AY88" i="3"/>
  <c r="BW88" i="3"/>
  <c r="E88" i="3"/>
  <c r="AC88" i="3"/>
  <c r="BA88" i="3"/>
  <c r="BY88" i="3"/>
  <c r="F88" i="3"/>
  <c r="AD88" i="3"/>
  <c r="BB88" i="3"/>
  <c r="BZ88" i="3"/>
  <c r="N88" i="3"/>
  <c r="N87" i="3" s="1"/>
  <c r="AL88" i="3"/>
  <c r="BJ88" i="3"/>
  <c r="BH88" i="3"/>
  <c r="I88" i="3"/>
  <c r="BN88" i="3"/>
  <c r="L88" i="3"/>
  <c r="BQ88" i="3"/>
  <c r="BQ87" i="3" s="1"/>
  <c r="R88" i="3"/>
  <c r="BT88" i="3"/>
  <c r="U88" i="3"/>
  <c r="CC88" i="3"/>
  <c r="X88" i="3"/>
  <c r="AG88" i="3"/>
  <c r="AJ88" i="3"/>
  <c r="AP88" i="3"/>
  <c r="AS88" i="3"/>
  <c r="AV88" i="3"/>
  <c r="BE88" i="3"/>
  <c r="E90" i="7"/>
  <c r="F84" i="7"/>
  <c r="F112" i="7"/>
  <c r="E118" i="7"/>
  <c r="I12" i="8"/>
  <c r="D266" i="7"/>
  <c r="AH21" i="8"/>
  <c r="AI21" i="8" s="1"/>
  <c r="F238" i="7"/>
  <c r="E244" i="7"/>
  <c r="I24" i="8"/>
  <c r="P266" i="7"/>
  <c r="I26" i="8"/>
  <c r="AH16" i="6"/>
  <c r="F91" i="5"/>
  <c r="E97" i="5"/>
  <c r="F119" i="5"/>
  <c r="E125" i="5"/>
  <c r="E123" i="5"/>
  <c r="F245" i="5"/>
  <c r="E251" i="5"/>
  <c r="AE35" i="4"/>
  <c r="AE71" i="4"/>
  <c r="D104" i="3"/>
  <c r="AH31" i="4"/>
  <c r="I15" i="9"/>
  <c r="D102" i="3"/>
  <c r="I38" i="8"/>
  <c r="I32" i="8"/>
  <c r="I27" i="6"/>
  <c r="AH14" i="4"/>
  <c r="I18" i="4"/>
  <c r="AH78" i="8"/>
  <c r="AI78" i="8" s="1"/>
  <c r="AH82" i="8"/>
  <c r="F147" i="7"/>
  <c r="E153" i="7"/>
  <c r="I23" i="8"/>
  <c r="O266" i="7"/>
  <c r="I36" i="8"/>
  <c r="D300" i="7"/>
  <c r="I34" i="8"/>
  <c r="D290" i="5" a="1"/>
  <c r="I22" i="6"/>
  <c r="N266" i="5"/>
  <c r="I224" i="5"/>
  <c r="H230" i="5"/>
  <c r="D299" i="5"/>
  <c r="AH64" i="4"/>
  <c r="AH38" i="4"/>
  <c r="AE36" i="4"/>
  <c r="AE54" i="4"/>
  <c r="I30" i="4"/>
  <c r="I27" i="9"/>
  <c r="AH71" i="9"/>
  <c r="D103" i="10"/>
  <c r="AH37" i="4"/>
  <c r="AH85" i="8"/>
  <c r="E20" i="7"/>
  <c r="F14" i="7"/>
  <c r="E272" i="7"/>
  <c r="E281" i="7"/>
  <c r="E260" i="7"/>
  <c r="E266" i="7" s="1"/>
  <c r="F140" i="7"/>
  <c r="E146" i="7"/>
  <c r="I13" i="8"/>
  <c r="I15" i="8"/>
  <c r="D296" i="7"/>
  <c r="I39" i="6"/>
  <c r="F231" i="5"/>
  <c r="E237" i="5"/>
  <c r="I30" i="6"/>
  <c r="AE70" i="4"/>
  <c r="AH26" i="4"/>
  <c r="I42" i="4"/>
  <c r="I20" i="4"/>
  <c r="I21" i="4"/>
  <c r="AH35" i="4"/>
  <c r="J12" i="4"/>
  <c r="D101" i="3"/>
  <c r="AH85" i="9"/>
  <c r="I39" i="9"/>
  <c r="AH68" i="8"/>
  <c r="G21" i="7"/>
  <c r="F27" i="7"/>
  <c r="G42" i="7"/>
  <c r="F48" i="7"/>
  <c r="F105" i="7"/>
  <c r="E109" i="7"/>
  <c r="E111" i="7"/>
  <c r="E139" i="7"/>
  <c r="F133" i="7"/>
  <c r="E137" i="7"/>
  <c r="E258" i="7"/>
  <c r="F252" i="7"/>
  <c r="AH27" i="8"/>
  <c r="I35" i="8"/>
  <c r="I25" i="8"/>
  <c r="Q266" i="7"/>
  <c r="R30" i="8"/>
  <c r="I43" i="8"/>
  <c r="AF43" i="8" s="1"/>
  <c r="I18" i="6"/>
  <c r="AH50" i="4"/>
  <c r="AE48" i="4"/>
  <c r="AE88" i="4"/>
  <c r="AE47" i="4"/>
  <c r="I32" i="4"/>
  <c r="I33" i="4"/>
  <c r="AH25" i="9"/>
  <c r="AE52" i="4"/>
  <c r="AH42" i="4"/>
  <c r="AE76" i="4"/>
  <c r="AH62" i="9"/>
  <c r="R27" i="8"/>
  <c r="AF28" i="8"/>
  <c r="E20" i="5"/>
  <c r="F14" i="5"/>
  <c r="E260" i="5"/>
  <c r="E266" i="5" s="1"/>
  <c r="E272" i="5"/>
  <c r="E281" i="5"/>
  <c r="F35" i="5"/>
  <c r="E41" i="5"/>
  <c r="F217" i="5"/>
  <c r="E223" i="5"/>
  <c r="G161" i="5"/>
  <c r="F167" i="5"/>
  <c r="AH15" i="4"/>
  <c r="AH76" i="4"/>
  <c r="AE83" i="4"/>
  <c r="AE30" i="4"/>
  <c r="AH54" i="4"/>
  <c r="I44" i="4"/>
  <c r="AJ70" i="3"/>
  <c r="F42" i="3"/>
  <c r="E48" i="3"/>
  <c r="E46" i="3"/>
  <c r="E91" i="10"/>
  <c r="I39" i="10"/>
  <c r="G42" i="10"/>
  <c r="F48" i="10"/>
  <c r="F81" i="7"/>
  <c r="G77" i="7"/>
  <c r="F83" i="7"/>
  <c r="F98" i="5"/>
  <c r="E104" i="5"/>
  <c r="AE82" i="4"/>
  <c r="AE57" i="4"/>
  <c r="AE86" i="4"/>
  <c r="AH66" i="4"/>
  <c r="AH37" i="9"/>
  <c r="AH59" i="9"/>
  <c r="I21" i="9"/>
  <c r="I18" i="10"/>
  <c r="I37" i="8"/>
  <c r="F224" i="7"/>
  <c r="E230" i="7"/>
  <c r="AH22" i="6"/>
  <c r="AI22" i="6" s="1"/>
  <c r="D299" i="7"/>
  <c r="F238" i="5"/>
  <c r="E244" i="5"/>
  <c r="G210" i="5"/>
  <c r="F216" i="5"/>
  <c r="AH84" i="4"/>
  <c r="AE53" i="4"/>
  <c r="AE60" i="4"/>
  <c r="AE66" i="4"/>
  <c r="F49" i="3"/>
  <c r="E55" i="3"/>
  <c r="AH55" i="4"/>
  <c r="F28" i="3"/>
  <c r="E64" i="3"/>
  <c r="E70" i="3" s="1"/>
  <c r="E85" i="3"/>
  <c r="E34" i="3"/>
  <c r="E32" i="3"/>
  <c r="E76" i="3"/>
  <c r="G56" i="3"/>
  <c r="F60" i="3"/>
  <c r="F62" i="3"/>
  <c r="I17" i="9"/>
  <c r="I19" i="9"/>
  <c r="I33" i="9"/>
  <c r="I22" i="9"/>
  <c r="N70" i="10"/>
  <c r="I23" i="9"/>
  <c r="O70" i="10"/>
  <c r="F126" i="7"/>
  <c r="E132" i="7"/>
  <c r="D295" i="7"/>
  <c r="F112" i="5"/>
  <c r="E118" i="5"/>
  <c r="E88" i="7"/>
  <c r="F168" i="7"/>
  <c r="E174" i="7"/>
  <c r="F203" i="7"/>
  <c r="E209" i="7"/>
  <c r="I19" i="8"/>
  <c r="I22" i="8"/>
  <c r="N266" i="7"/>
  <c r="G189" i="7"/>
  <c r="F195" i="7"/>
  <c r="I21" i="8"/>
  <c r="R18" i="8"/>
  <c r="D297" i="7"/>
  <c r="E116" i="5"/>
  <c r="I34" i="6"/>
  <c r="R37" i="6"/>
  <c r="AF38" i="6"/>
  <c r="AH62" i="4"/>
  <c r="AE59" i="4"/>
  <c r="AH48" i="4"/>
  <c r="AH52" i="4"/>
  <c r="AH50" i="9"/>
  <c r="I29" i="9"/>
  <c r="I31" i="9"/>
  <c r="I35" i="9"/>
  <c r="I32" i="10"/>
  <c r="F161" i="7"/>
  <c r="E167" i="7"/>
  <c r="F182" i="7"/>
  <c r="E188" i="7"/>
  <c r="E186" i="7"/>
  <c r="F196" i="7"/>
  <c r="E202" i="7"/>
  <c r="I14" i="8"/>
  <c r="I31" i="8"/>
  <c r="I20" i="8"/>
  <c r="I44" i="8"/>
  <c r="AJ266" i="7"/>
  <c r="G196" i="5"/>
  <c r="F202" i="5"/>
  <c r="AH74" i="4"/>
  <c r="AH36" i="4"/>
  <c r="AE69" i="4"/>
  <c r="I13" i="4"/>
  <c r="AH81" i="4"/>
  <c r="AH69" i="4"/>
  <c r="I16" i="9"/>
  <c r="I41" i="9"/>
  <c r="I43" i="9"/>
  <c r="AH47" i="9"/>
  <c r="AH28" i="9"/>
  <c r="F154" i="7"/>
  <c r="E158" i="7"/>
  <c r="E160" i="7"/>
  <c r="F217" i="7"/>
  <c r="E223" i="7"/>
  <c r="E221" i="7"/>
  <c r="I33" i="8"/>
  <c r="R42" i="8"/>
  <c r="I39" i="8"/>
  <c r="G189" i="5"/>
  <c r="F195" i="5"/>
  <c r="AE42" i="4"/>
  <c r="I25" i="4"/>
  <c r="Q70" i="3"/>
  <c r="D100" i="3"/>
  <c r="I28" i="9"/>
  <c r="F245" i="7"/>
  <c r="E251" i="7"/>
  <c r="F210" i="7"/>
  <c r="E216" i="7"/>
  <c r="D298" i="7"/>
  <c r="F83" i="5"/>
  <c r="G77" i="5"/>
  <c r="F81" i="5"/>
  <c r="F105" i="5"/>
  <c r="E111" i="5"/>
  <c r="F252" i="5"/>
  <c r="E258" i="5"/>
  <c r="I15" i="6"/>
  <c r="D295" i="5"/>
  <c r="G182" i="5"/>
  <c r="F188" i="5"/>
  <c r="AE27" i="4"/>
  <c r="AE24" i="4"/>
  <c r="AH24" i="4"/>
  <c r="AE81" i="4"/>
  <c r="I37" i="4"/>
  <c r="D99" i="3"/>
  <c r="I40" i="9"/>
  <c r="F25" i="10"/>
  <c r="AH73" i="9"/>
  <c r="R34" i="9"/>
  <c r="F53" i="10"/>
  <c r="G49" i="10"/>
  <c r="F55" i="10"/>
  <c r="H168" i="5" l="1"/>
  <c r="F209" i="5"/>
  <c r="G76" i="5"/>
  <c r="F76" i="5"/>
  <c r="I70" i="5"/>
  <c r="BS38" i="10"/>
  <c r="BS39" i="10" s="1"/>
  <c r="BG38" i="10"/>
  <c r="BG39" i="10" s="1"/>
  <c r="AU38" i="10"/>
  <c r="AU39" i="10" s="1"/>
  <c r="CC38" i="10"/>
  <c r="CC39" i="10" s="1"/>
  <c r="BQ38" i="10"/>
  <c r="BQ39" i="10" s="1"/>
  <c r="BE38" i="10"/>
  <c r="BE39" i="10" s="1"/>
  <c r="CA38" i="10"/>
  <c r="CA39" i="10" s="1"/>
  <c r="AQ38" i="10"/>
  <c r="AQ39" i="10" s="1"/>
  <c r="BZ38" i="10"/>
  <c r="BZ39" i="10" s="1"/>
  <c r="BB38" i="10"/>
  <c r="BB39" i="10" s="1"/>
  <c r="BM38" i="10"/>
  <c r="BM39" i="10" s="1"/>
  <c r="BX38" i="10"/>
  <c r="BX39" i="10" s="1"/>
  <c r="AZ38" i="10"/>
  <c r="AZ39" i="10" s="1"/>
  <c r="AN38" i="10"/>
  <c r="AN39" i="10" s="1"/>
  <c r="AM38" i="10"/>
  <c r="AM39" i="10" s="1"/>
  <c r="BR38" i="10"/>
  <c r="BR39" i="10" s="1"/>
  <c r="BF38" i="10"/>
  <c r="BF39" i="10" s="1"/>
  <c r="AT38" i="10"/>
  <c r="AT39" i="10" s="1"/>
  <c r="AS38" i="10"/>
  <c r="AS39" i="10" s="1"/>
  <c r="BC38" i="10"/>
  <c r="BC39" i="10" s="1"/>
  <c r="BY38" i="10"/>
  <c r="BY39" i="10" s="1"/>
  <c r="AO38" i="10"/>
  <c r="AO39" i="10" s="1"/>
  <c r="BW38" i="10"/>
  <c r="BW39" i="10" s="1"/>
  <c r="AY38" i="10"/>
  <c r="AY39" i="10" s="1"/>
  <c r="CB38" i="10"/>
  <c r="CB39" i="10" s="1"/>
  <c r="BP38" i="10"/>
  <c r="BP39" i="10" s="1"/>
  <c r="BD38" i="10"/>
  <c r="BD39" i="10" s="1"/>
  <c r="AR38" i="10"/>
  <c r="AR39" i="10" s="1"/>
  <c r="BO38" i="10"/>
  <c r="BO39" i="10" s="1"/>
  <c r="BN38" i="10"/>
  <c r="BN39" i="10" s="1"/>
  <c r="AP38" i="10"/>
  <c r="AP39" i="10" s="1"/>
  <c r="BA38" i="10"/>
  <c r="BA39" i="10" s="1"/>
  <c r="BL38" i="10"/>
  <c r="BL39" i="10" s="1"/>
  <c r="BK38" i="10"/>
  <c r="BK39" i="10" s="1"/>
  <c r="BV38" i="10"/>
  <c r="BV39" i="10" s="1"/>
  <c r="BJ38" i="10"/>
  <c r="BJ39" i="10" s="1"/>
  <c r="AX38" i="10"/>
  <c r="AX39" i="10" s="1"/>
  <c r="BU38" i="10"/>
  <c r="BU39" i="10" s="1"/>
  <c r="BI38" i="10"/>
  <c r="BI39" i="10" s="1"/>
  <c r="BH38" i="10"/>
  <c r="BH39" i="10" s="1"/>
  <c r="AW38" i="10"/>
  <c r="AW39" i="10" s="1"/>
  <c r="BT38" i="10"/>
  <c r="BT39" i="10" s="1"/>
  <c r="AK38" i="10"/>
  <c r="AK39" i="10" s="1"/>
  <c r="AV38" i="10"/>
  <c r="AV39" i="10" s="1"/>
  <c r="AL38" i="10"/>
  <c r="AL39" i="10" s="1"/>
  <c r="CB45" i="10"/>
  <c r="CB46" i="10" s="1"/>
  <c r="BP45" i="10"/>
  <c r="BP46" i="10" s="1"/>
  <c r="BD45" i="10"/>
  <c r="BD46" i="10" s="1"/>
  <c r="AR45" i="10"/>
  <c r="AR46" i="10" s="1"/>
  <c r="BZ45" i="10"/>
  <c r="BZ46" i="10" s="1"/>
  <c r="BB45" i="10"/>
  <c r="BB46" i="10" s="1"/>
  <c r="BL45" i="10"/>
  <c r="BL46" i="10" s="1"/>
  <c r="AN45" i="10"/>
  <c r="AN46" i="10" s="1"/>
  <c r="BK45" i="10"/>
  <c r="BK46" i="10" s="1"/>
  <c r="AM45" i="10"/>
  <c r="AM46" i="10" s="1"/>
  <c r="AX45" i="10"/>
  <c r="AX46" i="10" s="1"/>
  <c r="AW45" i="10"/>
  <c r="AW46" i="10" s="1"/>
  <c r="CA45" i="10"/>
  <c r="CA46" i="10" s="1"/>
  <c r="BO45" i="10"/>
  <c r="BO46" i="10" s="1"/>
  <c r="BC45" i="10"/>
  <c r="BC46" i="10" s="1"/>
  <c r="AQ45" i="10"/>
  <c r="AQ46" i="10" s="1"/>
  <c r="BN45" i="10"/>
  <c r="BN46" i="10" s="1"/>
  <c r="AP45" i="10"/>
  <c r="AP46" i="10" s="1"/>
  <c r="BW45" i="10"/>
  <c r="BW46" i="10" s="1"/>
  <c r="BJ45" i="10"/>
  <c r="BJ46" i="10" s="1"/>
  <c r="BU45" i="10"/>
  <c r="BU46" i="10" s="1"/>
  <c r="BH45" i="10"/>
  <c r="BH46" i="10" s="1"/>
  <c r="BY45" i="10"/>
  <c r="BY46" i="10" s="1"/>
  <c r="BM45" i="10"/>
  <c r="BM46" i="10" s="1"/>
  <c r="BA45" i="10"/>
  <c r="BA46" i="10" s="1"/>
  <c r="AO45" i="10"/>
  <c r="AO46" i="10" s="1"/>
  <c r="BX45" i="10"/>
  <c r="BX46" i="10" s="1"/>
  <c r="AZ45" i="10"/>
  <c r="AZ46" i="10" s="1"/>
  <c r="AY45" i="10"/>
  <c r="AY46" i="10" s="1"/>
  <c r="BV45" i="10"/>
  <c r="BV46" i="10" s="1"/>
  <c r="AL45" i="10"/>
  <c r="AL46" i="10" s="1"/>
  <c r="BI45" i="10"/>
  <c r="BI46" i="10" s="1"/>
  <c r="AK45" i="10"/>
  <c r="AK46" i="10" s="1"/>
  <c r="BT45" i="10"/>
  <c r="BT46" i="10" s="1"/>
  <c r="AV45" i="10"/>
  <c r="AV46" i="10" s="1"/>
  <c r="BG45" i="10"/>
  <c r="BG46" i="10" s="1"/>
  <c r="BE45" i="10"/>
  <c r="BE46" i="10" s="1"/>
  <c r="AU45" i="10"/>
  <c r="AU46" i="10" s="1"/>
  <c r="AS45" i="10"/>
  <c r="AS46" i="10" s="1"/>
  <c r="BQ45" i="10"/>
  <c r="BQ46" i="10" s="1"/>
  <c r="BF45" i="10"/>
  <c r="BF46" i="10" s="1"/>
  <c r="AT45" i="10"/>
  <c r="AT46" i="10" s="1"/>
  <c r="BS45" i="10"/>
  <c r="BS46" i="10" s="1"/>
  <c r="CC45" i="10"/>
  <c r="CC46" i="10" s="1"/>
  <c r="BR45" i="10"/>
  <c r="BR46" i="10" s="1"/>
  <c r="BY52" i="10"/>
  <c r="BY53" i="10" s="1"/>
  <c r="BM52" i="10"/>
  <c r="BM53" i="10" s="1"/>
  <c r="BA52" i="10"/>
  <c r="BA53" i="10" s="1"/>
  <c r="AO52" i="10"/>
  <c r="AO53" i="10" s="1"/>
  <c r="BW52" i="10"/>
  <c r="BW53" i="10" s="1"/>
  <c r="AY52" i="10"/>
  <c r="AY53" i="10" s="1"/>
  <c r="AW52" i="10"/>
  <c r="AW53" i="10" s="1"/>
  <c r="AV52" i="10"/>
  <c r="AV53" i="10" s="1"/>
  <c r="AU52" i="10"/>
  <c r="AU53" i="10" s="1"/>
  <c r="BR52" i="10"/>
  <c r="BR53" i="10" s="1"/>
  <c r="AT52" i="10"/>
  <c r="AT53" i="10" s="1"/>
  <c r="CC52" i="10"/>
  <c r="CC53" i="10" s="1"/>
  <c r="AS52" i="10"/>
  <c r="AS53" i="10" s="1"/>
  <c r="BX52" i="10"/>
  <c r="BX53" i="10" s="1"/>
  <c r="BL52" i="10"/>
  <c r="BL53" i="10" s="1"/>
  <c r="AZ52" i="10"/>
  <c r="AZ53" i="10" s="1"/>
  <c r="AN52" i="10"/>
  <c r="AN53" i="10" s="1"/>
  <c r="BK52" i="10"/>
  <c r="BK53" i="10" s="1"/>
  <c r="AM52" i="10"/>
  <c r="AM53" i="10" s="1"/>
  <c r="BU52" i="10"/>
  <c r="BU53" i="10" s="1"/>
  <c r="BH52" i="10"/>
  <c r="BH53" i="10" s="1"/>
  <c r="BS52" i="10"/>
  <c r="BS53" i="10" s="1"/>
  <c r="BQ52" i="10"/>
  <c r="BQ53" i="10" s="1"/>
  <c r="BV52" i="10"/>
  <c r="BV53" i="10" s="1"/>
  <c r="BJ52" i="10"/>
  <c r="BJ53" i="10" s="1"/>
  <c r="AX52" i="10"/>
  <c r="AX53" i="10" s="1"/>
  <c r="AL52" i="10"/>
  <c r="AL53" i="10" s="1"/>
  <c r="BI52" i="10"/>
  <c r="BI53" i="10" s="1"/>
  <c r="AK52" i="10"/>
  <c r="AK53" i="10" s="1"/>
  <c r="BT52" i="10"/>
  <c r="BT53" i="10" s="1"/>
  <c r="BG52" i="10"/>
  <c r="BG53" i="10" s="1"/>
  <c r="BF52" i="10"/>
  <c r="BF53" i="10" s="1"/>
  <c r="BE52" i="10"/>
  <c r="BE53" i="10" s="1"/>
  <c r="BD52" i="10"/>
  <c r="BD53" i="10" s="1"/>
  <c r="BC52" i="10"/>
  <c r="BC53" i="10" s="1"/>
  <c r="BB52" i="10"/>
  <c r="BB53" i="10" s="1"/>
  <c r="AQ52" i="10"/>
  <c r="AQ53" i="10" s="1"/>
  <c r="CB52" i="10"/>
  <c r="CB53" i="10" s="1"/>
  <c r="CA52" i="10"/>
  <c r="CA53" i="10" s="1"/>
  <c r="BP52" i="10"/>
  <c r="BP53" i="10" s="1"/>
  <c r="BO52" i="10"/>
  <c r="BO53" i="10" s="1"/>
  <c r="BN52" i="10"/>
  <c r="BN53" i="10" s="1"/>
  <c r="AR52" i="10"/>
  <c r="AR53" i="10" s="1"/>
  <c r="AP52" i="10"/>
  <c r="AP53" i="10" s="1"/>
  <c r="BZ52" i="10"/>
  <c r="BZ53" i="10" s="1"/>
  <c r="BV31" i="10"/>
  <c r="BV32" i="10" s="1"/>
  <c r="BJ31" i="10"/>
  <c r="BJ32" i="10" s="1"/>
  <c r="AX31" i="10"/>
  <c r="AX32" i="10" s="1"/>
  <c r="AL31" i="10"/>
  <c r="AL32" i="10" s="1"/>
  <c r="BT31" i="10"/>
  <c r="BT32" i="10" s="1"/>
  <c r="BH31" i="10"/>
  <c r="BH32" i="10" s="1"/>
  <c r="BR31" i="10"/>
  <c r="BR32" i="10" s="1"/>
  <c r="CC31" i="10"/>
  <c r="CC32" i="10" s="1"/>
  <c r="BQ31" i="10"/>
  <c r="BQ32" i="10" s="1"/>
  <c r="CA31" i="10"/>
  <c r="CA32" i="10" s="1"/>
  <c r="BO31" i="10"/>
  <c r="BO32" i="10" s="1"/>
  <c r="BC31" i="10"/>
  <c r="BC32" i="10" s="1"/>
  <c r="AQ31" i="10"/>
  <c r="AQ32" i="10" s="1"/>
  <c r="BB31" i="10"/>
  <c r="BB32" i="10" s="1"/>
  <c r="BM31" i="10"/>
  <c r="BM32" i="10" s="1"/>
  <c r="BU31" i="10"/>
  <c r="BU32" i="10" s="1"/>
  <c r="BI31" i="10"/>
  <c r="BI32" i="10" s="1"/>
  <c r="AW31" i="10"/>
  <c r="AW32" i="10" s="1"/>
  <c r="AK31" i="10"/>
  <c r="AK32" i="10" s="1"/>
  <c r="AV31" i="10"/>
  <c r="AV32" i="10" s="1"/>
  <c r="AT31" i="10"/>
  <c r="AT32" i="10" s="1"/>
  <c r="BE31" i="10"/>
  <c r="BE32" i="10" s="1"/>
  <c r="CB31" i="10"/>
  <c r="CB32" i="10" s="1"/>
  <c r="BD31" i="10"/>
  <c r="BD32" i="10" s="1"/>
  <c r="BN31" i="10"/>
  <c r="BN32" i="10" s="1"/>
  <c r="BS31" i="10"/>
  <c r="BS32" i="10" s="1"/>
  <c r="BG31" i="10"/>
  <c r="BG32" i="10" s="1"/>
  <c r="AU31" i="10"/>
  <c r="AU32" i="10" s="1"/>
  <c r="BF31" i="10"/>
  <c r="BF32" i="10" s="1"/>
  <c r="AS31" i="10"/>
  <c r="AS32" i="10" s="1"/>
  <c r="BP31" i="10"/>
  <c r="BP32" i="10" s="1"/>
  <c r="AR31" i="10"/>
  <c r="AR32" i="10" s="1"/>
  <c r="BZ31" i="10"/>
  <c r="BZ32" i="10" s="1"/>
  <c r="AP31" i="10"/>
  <c r="AP32" i="10" s="1"/>
  <c r="BY31" i="10"/>
  <c r="BY32" i="10" s="1"/>
  <c r="BA31" i="10"/>
  <c r="BA32" i="10" s="1"/>
  <c r="BX31" i="10"/>
  <c r="BX32" i="10" s="1"/>
  <c r="BL31" i="10"/>
  <c r="BL32" i="10" s="1"/>
  <c r="AY31" i="10"/>
  <c r="AY32" i="10" s="1"/>
  <c r="AN31" i="10"/>
  <c r="AN32" i="10" s="1"/>
  <c r="AM31" i="10"/>
  <c r="AM32" i="10" s="1"/>
  <c r="BW31" i="10"/>
  <c r="BW32" i="10" s="1"/>
  <c r="BK31" i="10"/>
  <c r="BK32" i="10" s="1"/>
  <c r="AZ31" i="10"/>
  <c r="AZ32" i="10" s="1"/>
  <c r="AO31" i="10"/>
  <c r="AO32" i="10" s="1"/>
  <c r="BY24" i="10"/>
  <c r="BY25" i="10" s="1"/>
  <c r="BM24" i="10"/>
  <c r="BM25" i="10" s="1"/>
  <c r="BA24" i="10"/>
  <c r="BA25" i="10" s="1"/>
  <c r="AO24" i="10"/>
  <c r="AO25" i="10" s="1"/>
  <c r="BW24" i="10"/>
  <c r="BW25" i="10" s="1"/>
  <c r="BK24" i="10"/>
  <c r="BK25" i="10" s="1"/>
  <c r="AY24" i="10"/>
  <c r="AY25" i="10" s="1"/>
  <c r="AM24" i="10"/>
  <c r="AM25" i="10" s="1"/>
  <c r="BI24" i="10"/>
  <c r="BI25" i="10" s="1"/>
  <c r="BT24" i="10"/>
  <c r="BT25" i="10" s="1"/>
  <c r="BH24" i="10"/>
  <c r="BH25" i="10" s="1"/>
  <c r="BR24" i="10"/>
  <c r="BR25" i="10" s="1"/>
  <c r="BF24" i="10"/>
  <c r="BF25" i="10" s="1"/>
  <c r="AT24" i="10"/>
  <c r="AT25" i="10" s="1"/>
  <c r="AR24" i="10"/>
  <c r="AR25" i="10" s="1"/>
  <c r="BX24" i="10"/>
  <c r="BX25" i="10" s="1"/>
  <c r="BL24" i="10"/>
  <c r="BL25" i="10" s="1"/>
  <c r="AZ24" i="10"/>
  <c r="AZ25" i="10" s="1"/>
  <c r="AN24" i="10"/>
  <c r="AN25" i="10" s="1"/>
  <c r="BU24" i="10"/>
  <c r="BU25" i="10" s="1"/>
  <c r="AW24" i="10"/>
  <c r="AW25" i="10" s="1"/>
  <c r="AK24" i="10"/>
  <c r="AK25" i="10" s="1"/>
  <c r="BS24" i="10"/>
  <c r="BS25" i="10" s="1"/>
  <c r="BG24" i="10"/>
  <c r="BG25" i="10" s="1"/>
  <c r="BE24" i="10"/>
  <c r="BE25" i="10" s="1"/>
  <c r="BV24" i="10"/>
  <c r="BV25" i="10" s="1"/>
  <c r="BJ24" i="10"/>
  <c r="BJ25" i="10" s="1"/>
  <c r="AX24" i="10"/>
  <c r="AX25" i="10" s="1"/>
  <c r="AL24" i="10"/>
  <c r="AL25" i="10" s="1"/>
  <c r="AV24" i="10"/>
  <c r="AV25" i="10" s="1"/>
  <c r="AU24" i="10"/>
  <c r="AU25" i="10" s="1"/>
  <c r="CC24" i="10"/>
  <c r="CC25" i="10" s="1"/>
  <c r="BQ24" i="10"/>
  <c r="BQ25" i="10" s="1"/>
  <c r="AS24" i="10"/>
  <c r="AS25" i="10" s="1"/>
  <c r="CB24" i="10"/>
  <c r="CB25" i="10" s="1"/>
  <c r="BP24" i="10"/>
  <c r="BP25" i="10" s="1"/>
  <c r="BD24" i="10"/>
  <c r="BD25" i="10" s="1"/>
  <c r="BB24" i="10"/>
  <c r="BB25" i="10" s="1"/>
  <c r="AP24" i="10"/>
  <c r="AP25" i="10" s="1"/>
  <c r="CA24" i="10"/>
  <c r="CA25" i="10" s="1"/>
  <c r="BO24" i="10"/>
  <c r="BO25" i="10" s="1"/>
  <c r="BC24" i="10"/>
  <c r="BC25" i="10" s="1"/>
  <c r="AQ24" i="10"/>
  <c r="AQ25" i="10" s="1"/>
  <c r="BZ24" i="10"/>
  <c r="BZ25" i="10" s="1"/>
  <c r="BN24" i="10"/>
  <c r="BN25" i="10" s="1"/>
  <c r="CB17" i="10"/>
  <c r="CB18" i="10" s="1"/>
  <c r="BP17" i="10"/>
  <c r="BP18" i="10" s="1"/>
  <c r="BD17" i="10"/>
  <c r="BD18" i="10" s="1"/>
  <c r="AR17" i="10"/>
  <c r="AR18" i="10" s="1"/>
  <c r="BZ17" i="10"/>
  <c r="BZ18" i="10" s="1"/>
  <c r="BB17" i="10"/>
  <c r="BB18" i="10" s="1"/>
  <c r="AP17" i="10"/>
  <c r="AP18" i="10" s="1"/>
  <c r="BL17" i="10"/>
  <c r="BL18" i="10" s="1"/>
  <c r="BW17" i="10"/>
  <c r="BW18" i="10" s="1"/>
  <c r="AM17" i="10"/>
  <c r="AM18" i="10" s="1"/>
  <c r="BJ17" i="10"/>
  <c r="BJ18" i="10" s="1"/>
  <c r="BU17" i="10"/>
  <c r="BU18" i="10" s="1"/>
  <c r="AK17" i="10"/>
  <c r="AK18" i="10" s="1"/>
  <c r="BT17" i="10"/>
  <c r="BT18" i="10" s="1"/>
  <c r="BG17" i="10"/>
  <c r="BG18" i="10" s="1"/>
  <c r="CA17" i="10"/>
  <c r="CA18" i="10" s="1"/>
  <c r="BO17" i="10"/>
  <c r="BO18" i="10" s="1"/>
  <c r="BC17" i="10"/>
  <c r="BC18" i="10" s="1"/>
  <c r="AQ17" i="10"/>
  <c r="AQ18" i="10" s="1"/>
  <c r="BN17" i="10"/>
  <c r="BN18" i="10" s="1"/>
  <c r="BX17" i="10"/>
  <c r="BX18" i="10" s="1"/>
  <c r="AN17" i="10"/>
  <c r="AN18" i="10" s="1"/>
  <c r="AY17" i="10"/>
  <c r="AY18" i="10" s="1"/>
  <c r="BV17" i="10"/>
  <c r="BV18" i="10" s="1"/>
  <c r="AL17" i="10"/>
  <c r="AL18" i="10" s="1"/>
  <c r="AW17" i="10"/>
  <c r="AW18" i="10" s="1"/>
  <c r="AV17" i="10"/>
  <c r="AV18" i="10" s="1"/>
  <c r="AU17" i="10"/>
  <c r="AU18" i="10" s="1"/>
  <c r="BY17" i="10"/>
  <c r="BY18" i="10" s="1"/>
  <c r="BM17" i="10"/>
  <c r="BM18" i="10" s="1"/>
  <c r="BA17" i="10"/>
  <c r="BA18" i="10" s="1"/>
  <c r="AO17" i="10"/>
  <c r="AO18" i="10" s="1"/>
  <c r="AZ17" i="10"/>
  <c r="AZ18" i="10" s="1"/>
  <c r="BK17" i="10"/>
  <c r="BK18" i="10" s="1"/>
  <c r="AX17" i="10"/>
  <c r="AX18" i="10" s="1"/>
  <c r="BI17" i="10"/>
  <c r="BI18" i="10" s="1"/>
  <c r="BH17" i="10"/>
  <c r="BH18" i="10" s="1"/>
  <c r="BS17" i="10"/>
  <c r="BS18" i="10" s="1"/>
  <c r="CC17" i="10"/>
  <c r="CC18" i="10" s="1"/>
  <c r="BE17" i="10"/>
  <c r="BE18" i="10" s="1"/>
  <c r="AS17" i="10"/>
  <c r="AS18" i="10" s="1"/>
  <c r="BR17" i="10"/>
  <c r="BR18" i="10" s="1"/>
  <c r="BF17" i="10"/>
  <c r="BF18" i="10" s="1"/>
  <c r="AT17" i="10"/>
  <c r="AT18" i="10" s="1"/>
  <c r="BQ17" i="10"/>
  <c r="BQ18" i="10" s="1"/>
  <c r="AM59" i="10"/>
  <c r="AY59" i="10"/>
  <c r="BK59" i="10"/>
  <c r="BW59" i="10"/>
  <c r="AV59" i="10"/>
  <c r="AN59" i="10"/>
  <c r="AZ59" i="10"/>
  <c r="BL59" i="10"/>
  <c r="BX59" i="10"/>
  <c r="BB59" i="10"/>
  <c r="BC59" i="10"/>
  <c r="BD59" i="10"/>
  <c r="BP59" i="10"/>
  <c r="CB59" i="10"/>
  <c r="AS59" i="10"/>
  <c r="BQ59" i="10"/>
  <c r="CC59" i="10"/>
  <c r="BF59" i="10"/>
  <c r="BG59" i="10"/>
  <c r="BS59" i="10"/>
  <c r="BH59" i="10"/>
  <c r="BU59" i="10"/>
  <c r="BV59" i="10"/>
  <c r="AO59" i="10"/>
  <c r="BA59" i="10"/>
  <c r="BM59" i="10"/>
  <c r="BY59" i="10"/>
  <c r="AP59" i="10"/>
  <c r="BN59" i="10"/>
  <c r="BZ59" i="10"/>
  <c r="AQ59" i="10"/>
  <c r="BO59" i="10"/>
  <c r="CA59" i="10"/>
  <c r="AR59" i="10"/>
  <c r="BE59" i="10"/>
  <c r="AT59" i="10"/>
  <c r="BT59" i="10"/>
  <c r="AW59" i="10"/>
  <c r="BJ59" i="10"/>
  <c r="BR59" i="10"/>
  <c r="AU59" i="10"/>
  <c r="BI59" i="10"/>
  <c r="AX59" i="10"/>
  <c r="AL59" i="10"/>
  <c r="AK59" i="10"/>
  <c r="CC31" i="3"/>
  <c r="BQ31" i="3"/>
  <c r="BQ32" i="3" s="1"/>
  <c r="BE31" i="3"/>
  <c r="AS31" i="3"/>
  <c r="CA31" i="3"/>
  <c r="BO31" i="3"/>
  <c r="BO32" i="3" s="1"/>
  <c r="BC31" i="3"/>
  <c r="AQ31" i="3"/>
  <c r="BN31" i="3"/>
  <c r="AP31" i="3"/>
  <c r="BM31" i="3"/>
  <c r="AO31" i="3"/>
  <c r="BK31" i="3"/>
  <c r="AM31" i="3"/>
  <c r="AM32" i="3" s="1"/>
  <c r="CB31" i="3"/>
  <c r="BP31" i="3"/>
  <c r="BP32" i="3" s="1"/>
  <c r="BD31" i="3"/>
  <c r="AR31" i="3"/>
  <c r="BZ31" i="3"/>
  <c r="BB31" i="3"/>
  <c r="BY31" i="3"/>
  <c r="BA31" i="3"/>
  <c r="BX31" i="3"/>
  <c r="BL31" i="3"/>
  <c r="AZ31" i="3"/>
  <c r="AN31" i="3"/>
  <c r="BW31" i="3"/>
  <c r="AY31" i="3"/>
  <c r="BF31" i="3"/>
  <c r="AX31" i="3"/>
  <c r="AW31" i="3"/>
  <c r="BV31" i="3"/>
  <c r="AV31" i="3"/>
  <c r="BU31" i="3"/>
  <c r="AU31" i="3"/>
  <c r="BT31" i="3"/>
  <c r="AL31" i="3"/>
  <c r="AL32" i="3" s="1"/>
  <c r="BJ31" i="3"/>
  <c r="BH31" i="3"/>
  <c r="BG31" i="3"/>
  <c r="BR31" i="3"/>
  <c r="BR32" i="3" s="1"/>
  <c r="BI31" i="3"/>
  <c r="AT31" i="3"/>
  <c r="BS31" i="3"/>
  <c r="AK31" i="3"/>
  <c r="AK32" i="3" s="1"/>
  <c r="BZ24" i="3"/>
  <c r="BN24" i="3"/>
  <c r="BB24" i="3"/>
  <c r="AP24" i="3"/>
  <c r="BL24" i="3"/>
  <c r="AZ24" i="3"/>
  <c r="BK24" i="3"/>
  <c r="AM24" i="3"/>
  <c r="AM25" i="3" s="1"/>
  <c r="BJ24" i="3"/>
  <c r="AL24" i="3"/>
  <c r="AL25" i="3" s="1"/>
  <c r="BU24" i="3"/>
  <c r="BY24" i="3"/>
  <c r="BM24" i="3"/>
  <c r="BA24" i="3"/>
  <c r="AO24" i="3"/>
  <c r="BX24" i="3"/>
  <c r="AN24" i="3"/>
  <c r="BW24" i="3"/>
  <c r="AY24" i="3"/>
  <c r="BV24" i="3"/>
  <c r="AX24" i="3"/>
  <c r="BI24" i="3"/>
  <c r="AW24" i="3"/>
  <c r="AK24" i="3"/>
  <c r="AK25" i="3" s="1"/>
  <c r="BT24" i="3"/>
  <c r="BH24" i="3"/>
  <c r="BR24" i="3"/>
  <c r="BR25" i="3" s="1"/>
  <c r="AS24" i="3"/>
  <c r="BQ24" i="3"/>
  <c r="BQ25" i="3" s="1"/>
  <c r="AR24" i="3"/>
  <c r="BP24" i="3"/>
  <c r="BP25" i="3" s="1"/>
  <c r="AQ24" i="3"/>
  <c r="BO24" i="3"/>
  <c r="BO25" i="3" s="1"/>
  <c r="BG24" i="3"/>
  <c r="BF24" i="3"/>
  <c r="BD24" i="3"/>
  <c r="BC24" i="3"/>
  <c r="CB24" i="3"/>
  <c r="AU24" i="3"/>
  <c r="AT24" i="3"/>
  <c r="BE24" i="3"/>
  <c r="CC24" i="3"/>
  <c r="AV24" i="3"/>
  <c r="CA24" i="3"/>
  <c r="BS24" i="3"/>
  <c r="CC59" i="3"/>
  <c r="CC60" i="3" s="1"/>
  <c r="BQ59" i="3"/>
  <c r="BQ60" i="3" s="1"/>
  <c r="BE59" i="3"/>
  <c r="BE60" i="3" s="1"/>
  <c r="AS59" i="3"/>
  <c r="AS60" i="3" s="1"/>
  <c r="BO59" i="3"/>
  <c r="BO60" i="3" s="1"/>
  <c r="BC59" i="3"/>
  <c r="BC60" i="3" s="1"/>
  <c r="AQ59" i="3"/>
  <c r="AQ60" i="3" s="1"/>
  <c r="BZ59" i="3"/>
  <c r="BZ60" i="3" s="1"/>
  <c r="BB59" i="3"/>
  <c r="BB60" i="3" s="1"/>
  <c r="AP59" i="3"/>
  <c r="AP60" i="3" s="1"/>
  <c r="BM59" i="3"/>
  <c r="BM60" i="3" s="1"/>
  <c r="BL59" i="3"/>
  <c r="BL60" i="3" s="1"/>
  <c r="AN59" i="3"/>
  <c r="AN60" i="3" s="1"/>
  <c r="BK59" i="3"/>
  <c r="BK60" i="3" s="1"/>
  <c r="AY59" i="3"/>
  <c r="AY60" i="3" s="1"/>
  <c r="AM59" i="3"/>
  <c r="AM60" i="3" s="1"/>
  <c r="CB59" i="3"/>
  <c r="CB60" i="3" s="1"/>
  <c r="BP59" i="3"/>
  <c r="BP60" i="3" s="1"/>
  <c r="BD59" i="3"/>
  <c r="BD60" i="3" s="1"/>
  <c r="AR59" i="3"/>
  <c r="AR60" i="3" s="1"/>
  <c r="CA59" i="3"/>
  <c r="CA60" i="3" s="1"/>
  <c r="BN59" i="3"/>
  <c r="BN60" i="3" s="1"/>
  <c r="BY59" i="3"/>
  <c r="BY60" i="3" s="1"/>
  <c r="BA59" i="3"/>
  <c r="BA60" i="3" s="1"/>
  <c r="AO59" i="3"/>
  <c r="AO60" i="3" s="1"/>
  <c r="BX59" i="3"/>
  <c r="BX60" i="3" s="1"/>
  <c r="BW59" i="3"/>
  <c r="BW60" i="3" s="1"/>
  <c r="AZ59" i="3"/>
  <c r="AZ60" i="3" s="1"/>
  <c r="BV59" i="3"/>
  <c r="BV60" i="3" s="1"/>
  <c r="AV59" i="3"/>
  <c r="AV60" i="3" s="1"/>
  <c r="BU59" i="3"/>
  <c r="BU60" i="3" s="1"/>
  <c r="AU59" i="3"/>
  <c r="AU60" i="3" s="1"/>
  <c r="BT59" i="3"/>
  <c r="BT60" i="3" s="1"/>
  <c r="AT59" i="3"/>
  <c r="AT60" i="3" s="1"/>
  <c r="BS59" i="3"/>
  <c r="BS60" i="3" s="1"/>
  <c r="AL59" i="3"/>
  <c r="AL60" i="3" s="1"/>
  <c r="BR59" i="3"/>
  <c r="BR60" i="3" s="1"/>
  <c r="BJ59" i="3"/>
  <c r="BJ60" i="3" s="1"/>
  <c r="BH59" i="3"/>
  <c r="BH60" i="3" s="1"/>
  <c r="BG59" i="3"/>
  <c r="BG60" i="3" s="1"/>
  <c r="AK59" i="3"/>
  <c r="AK60" i="3" s="1"/>
  <c r="BI59" i="3"/>
  <c r="BI60" i="3" s="1"/>
  <c r="BF59" i="3"/>
  <c r="BF60" i="3" s="1"/>
  <c r="AX59" i="3"/>
  <c r="AX60" i="3" s="1"/>
  <c r="AW59" i="3"/>
  <c r="AW60" i="3" s="1"/>
  <c r="BZ52" i="3"/>
  <c r="BN52" i="3"/>
  <c r="BB52" i="3"/>
  <c r="AP52" i="3"/>
  <c r="BX52" i="3"/>
  <c r="BL52" i="3"/>
  <c r="AZ52" i="3"/>
  <c r="AN52" i="3"/>
  <c r="BW52" i="3"/>
  <c r="BK52" i="3"/>
  <c r="AM52" i="3"/>
  <c r="AM53" i="3" s="1"/>
  <c r="BU52" i="3"/>
  <c r="BI52" i="3"/>
  <c r="AW52" i="3"/>
  <c r="AK52" i="3"/>
  <c r="AK53" i="3" s="1"/>
  <c r="BT52" i="3"/>
  <c r="BH52" i="3"/>
  <c r="BY52" i="3"/>
  <c r="BM52" i="3"/>
  <c r="BA52" i="3"/>
  <c r="AO52" i="3"/>
  <c r="AY52" i="3"/>
  <c r="BV52" i="3"/>
  <c r="BJ52" i="3"/>
  <c r="AX52" i="3"/>
  <c r="AL52" i="3"/>
  <c r="AL53" i="3" s="1"/>
  <c r="AV52" i="3"/>
  <c r="BO52" i="3"/>
  <c r="BO53" i="3" s="1"/>
  <c r="BG52" i="3"/>
  <c r="BF52" i="3"/>
  <c r="BE52" i="3"/>
  <c r="BD52" i="3"/>
  <c r="AU52" i="3"/>
  <c r="AS52" i="3"/>
  <c r="BR52" i="3"/>
  <c r="BR53" i="3" s="1"/>
  <c r="BQ52" i="3"/>
  <c r="BQ53" i="3" s="1"/>
  <c r="BP52" i="3"/>
  <c r="BP53" i="3" s="1"/>
  <c r="CC52" i="3"/>
  <c r="CB52" i="3"/>
  <c r="CA52" i="3"/>
  <c r="AR52" i="3"/>
  <c r="AQ52" i="3"/>
  <c r="BC52" i="3"/>
  <c r="AT52" i="3"/>
  <c r="BS52" i="3"/>
  <c r="BW45" i="3"/>
  <c r="BK45" i="3"/>
  <c r="AY45" i="3"/>
  <c r="AM45" i="3"/>
  <c r="AM46" i="3" s="1"/>
  <c r="BU45" i="3"/>
  <c r="BI45" i="3"/>
  <c r="AW45" i="3"/>
  <c r="AK45" i="3"/>
  <c r="AK46" i="3" s="1"/>
  <c r="BT45" i="3"/>
  <c r="AV45" i="3"/>
  <c r="AU45" i="3"/>
  <c r="BF45" i="3"/>
  <c r="AT45" i="3"/>
  <c r="CC45" i="3"/>
  <c r="BQ45" i="3"/>
  <c r="BQ46" i="3" s="1"/>
  <c r="AS45" i="3"/>
  <c r="BV45" i="3"/>
  <c r="BJ45" i="3"/>
  <c r="AX45" i="3"/>
  <c r="AL45" i="3"/>
  <c r="AL46" i="3" s="1"/>
  <c r="BH45" i="3"/>
  <c r="BS45" i="3"/>
  <c r="BG45" i="3"/>
  <c r="BR45" i="3"/>
  <c r="BR46" i="3" s="1"/>
  <c r="BE45" i="3"/>
  <c r="CA45" i="3"/>
  <c r="BA45" i="3"/>
  <c r="BZ45" i="3"/>
  <c r="AZ45" i="3"/>
  <c r="BY45" i="3"/>
  <c r="AR45" i="3"/>
  <c r="BX45" i="3"/>
  <c r="AQ45" i="3"/>
  <c r="BP45" i="3"/>
  <c r="BP46" i="3" s="1"/>
  <c r="AP45" i="3"/>
  <c r="BO45" i="3"/>
  <c r="BO46" i="3" s="1"/>
  <c r="AO45" i="3"/>
  <c r="BC45" i="3"/>
  <c r="BB45" i="3"/>
  <c r="BM45" i="3"/>
  <c r="CB45" i="3"/>
  <c r="BN45" i="3"/>
  <c r="AN45" i="3"/>
  <c r="BL45" i="3"/>
  <c r="BD45" i="3"/>
  <c r="BT38" i="3"/>
  <c r="BH38" i="3"/>
  <c r="AV38" i="3"/>
  <c r="BR38" i="3"/>
  <c r="BR39" i="3" s="1"/>
  <c r="BF38" i="3"/>
  <c r="BQ38" i="3"/>
  <c r="BQ39" i="3" s="1"/>
  <c r="AS38" i="3"/>
  <c r="AR38" i="3"/>
  <c r="BC38" i="3"/>
  <c r="BN38" i="3"/>
  <c r="AP38" i="3"/>
  <c r="BS38" i="3"/>
  <c r="BG38" i="3"/>
  <c r="AU38" i="3"/>
  <c r="AT38" i="3"/>
  <c r="CC38" i="3"/>
  <c r="BE38" i="3"/>
  <c r="CB38" i="3"/>
  <c r="BP38" i="3"/>
  <c r="BP39" i="3" s="1"/>
  <c r="BD38" i="3"/>
  <c r="CA38" i="3"/>
  <c r="BO38" i="3"/>
  <c r="BO39" i="3" s="1"/>
  <c r="AQ38" i="3"/>
  <c r="BZ38" i="3"/>
  <c r="BB38" i="3"/>
  <c r="BM38" i="3"/>
  <c r="AM38" i="3"/>
  <c r="AM39" i="3" s="1"/>
  <c r="BL38" i="3"/>
  <c r="AL38" i="3"/>
  <c r="AL39" i="3" s="1"/>
  <c r="BK38" i="3"/>
  <c r="AK38" i="3"/>
  <c r="AK39" i="3" s="1"/>
  <c r="BJ38" i="3"/>
  <c r="BI38" i="3"/>
  <c r="BA38" i="3"/>
  <c r="AZ38" i="3"/>
  <c r="AY38" i="3"/>
  <c r="BW38" i="3"/>
  <c r="BX38" i="3"/>
  <c r="AO38" i="3"/>
  <c r="AN38" i="3"/>
  <c r="BY38" i="3"/>
  <c r="AX38" i="3"/>
  <c r="AW38" i="3"/>
  <c r="BV38" i="3"/>
  <c r="BU38" i="3"/>
  <c r="AL17" i="3"/>
  <c r="AX17" i="3"/>
  <c r="BJ17" i="3"/>
  <c r="BV17" i="3"/>
  <c r="AR17" i="3"/>
  <c r="AS17" i="3"/>
  <c r="BQ17" i="3"/>
  <c r="CC17" i="3"/>
  <c r="AU17" i="3"/>
  <c r="BG17" i="3"/>
  <c r="BS17" i="3"/>
  <c r="BI17" i="3"/>
  <c r="AM17" i="3"/>
  <c r="AY17" i="3"/>
  <c r="BK17" i="3"/>
  <c r="BW17" i="3"/>
  <c r="BA17" i="3"/>
  <c r="BY17" i="3"/>
  <c r="AQ17" i="3"/>
  <c r="BP17" i="3"/>
  <c r="BF17" i="3"/>
  <c r="BT17" i="3"/>
  <c r="AN17" i="3"/>
  <c r="AZ17" i="3"/>
  <c r="BL17" i="3"/>
  <c r="BX17" i="3"/>
  <c r="BM17" i="3"/>
  <c r="BO17" i="3"/>
  <c r="AV17" i="3"/>
  <c r="AO17" i="3"/>
  <c r="CA17" i="3"/>
  <c r="BD17" i="3"/>
  <c r="CB17" i="3"/>
  <c r="BE17" i="3"/>
  <c r="AT17" i="3"/>
  <c r="BH17" i="3"/>
  <c r="AP17" i="3"/>
  <c r="BB17" i="3"/>
  <c r="BN17" i="3"/>
  <c r="BZ17" i="3"/>
  <c r="BC17" i="3"/>
  <c r="BR17" i="3"/>
  <c r="AW17" i="3"/>
  <c r="BU17" i="3"/>
  <c r="AK17" i="3"/>
  <c r="BW108" i="5"/>
  <c r="BK108" i="5"/>
  <c r="AY108" i="5"/>
  <c r="AM108" i="5"/>
  <c r="AM109" i="5" s="1"/>
  <c r="BR108" i="5"/>
  <c r="BR109" i="5" s="1"/>
  <c r="BE108" i="5"/>
  <c r="AR108" i="5"/>
  <c r="BQ108" i="5"/>
  <c r="BQ109" i="5" s="1"/>
  <c r="BD108" i="5"/>
  <c r="AQ108" i="5"/>
  <c r="BP108" i="5"/>
  <c r="BP109" i="5" s="1"/>
  <c r="BA108" i="5"/>
  <c r="AK108" i="5"/>
  <c r="AK109" i="5" s="1"/>
  <c r="BO108" i="5"/>
  <c r="BO109" i="5" s="1"/>
  <c r="AZ108" i="5"/>
  <c r="CA108" i="5"/>
  <c r="BL108" i="5"/>
  <c r="AV108" i="5"/>
  <c r="CC108" i="5"/>
  <c r="BI108" i="5"/>
  <c r="AO108" i="5"/>
  <c r="BY108" i="5"/>
  <c r="BF108" i="5"/>
  <c r="BM108" i="5"/>
  <c r="AN108" i="5"/>
  <c r="BJ108" i="5"/>
  <c r="AL108" i="5"/>
  <c r="AL109" i="5" s="1"/>
  <c r="BG108" i="5"/>
  <c r="BS108" i="5"/>
  <c r="BN108" i="5"/>
  <c r="BH108" i="5"/>
  <c r="AU108" i="5"/>
  <c r="BV108" i="5"/>
  <c r="AP108" i="5"/>
  <c r="BC108" i="5"/>
  <c r="BB108" i="5"/>
  <c r="BZ108" i="5"/>
  <c r="AS108" i="5"/>
  <c r="BU108" i="5"/>
  <c r="AX108" i="5"/>
  <c r="CB108" i="5"/>
  <c r="AW108" i="5"/>
  <c r="BX108" i="5"/>
  <c r="AT108" i="5"/>
  <c r="BT108" i="5"/>
  <c r="CC80" i="5"/>
  <c r="BQ80" i="5"/>
  <c r="BQ81" i="5" s="1"/>
  <c r="BE80" i="5"/>
  <c r="AS80" i="5"/>
  <c r="BY80" i="5"/>
  <c r="BM80" i="5"/>
  <c r="BA80" i="5"/>
  <c r="AO80" i="5"/>
  <c r="BR80" i="5"/>
  <c r="BR81" i="5" s="1"/>
  <c r="BC80" i="5"/>
  <c r="AN80" i="5"/>
  <c r="CB80" i="5"/>
  <c r="BN80" i="5"/>
  <c r="AY80" i="5"/>
  <c r="AK80" i="5"/>
  <c r="AK81" i="5" s="1"/>
  <c r="BX80" i="5"/>
  <c r="BH80" i="5"/>
  <c r="AQ80" i="5"/>
  <c r="BU80" i="5"/>
  <c r="BD80" i="5"/>
  <c r="AL80" i="5"/>
  <c r="AL81" i="5" s="1"/>
  <c r="BP80" i="5"/>
  <c r="BP81" i="5" s="1"/>
  <c r="AV80" i="5"/>
  <c r="BO80" i="5"/>
  <c r="BO81" i="5" s="1"/>
  <c r="AU80" i="5"/>
  <c r="BL80" i="5"/>
  <c r="AT80" i="5"/>
  <c r="BJ80" i="5"/>
  <c r="BZ80" i="5"/>
  <c r="AZ80" i="5"/>
  <c r="BT80" i="5"/>
  <c r="BK80" i="5"/>
  <c r="AR80" i="5"/>
  <c r="AP80" i="5"/>
  <c r="BF80" i="5"/>
  <c r="BB80" i="5"/>
  <c r="BV80" i="5"/>
  <c r="BI80" i="5"/>
  <c r="AM80" i="5"/>
  <c r="AM81" i="5" s="1"/>
  <c r="CA80" i="5"/>
  <c r="BG80" i="5"/>
  <c r="BW80" i="5"/>
  <c r="AX80" i="5"/>
  <c r="BS80" i="5"/>
  <c r="AW80" i="5"/>
  <c r="BS94" i="5"/>
  <c r="BG94" i="5"/>
  <c r="AU94" i="5"/>
  <c r="CC94" i="5"/>
  <c r="BP94" i="5"/>
  <c r="BP95" i="5" s="1"/>
  <c r="BC94" i="5"/>
  <c r="AP94" i="5"/>
  <c r="CB94" i="5"/>
  <c r="BY94" i="5"/>
  <c r="BL94" i="5"/>
  <c r="AY94" i="5"/>
  <c r="AL94" i="5"/>
  <c r="AL95" i="5" s="1"/>
  <c r="BT94" i="5"/>
  <c r="BD94" i="5"/>
  <c r="AN94" i="5"/>
  <c r="BO94" i="5"/>
  <c r="BO95" i="5" s="1"/>
  <c r="AZ94" i="5"/>
  <c r="CA94" i="5"/>
  <c r="BI94" i="5"/>
  <c r="AQ94" i="5"/>
  <c r="BW94" i="5"/>
  <c r="BE94" i="5"/>
  <c r="AK94" i="5"/>
  <c r="AK95" i="5" s="1"/>
  <c r="BN94" i="5"/>
  <c r="AS94" i="5"/>
  <c r="BM94" i="5"/>
  <c r="AR94" i="5"/>
  <c r="BK94" i="5"/>
  <c r="AO94" i="5"/>
  <c r="BH94" i="5"/>
  <c r="BX94" i="5"/>
  <c r="AW94" i="5"/>
  <c r="AV94" i="5"/>
  <c r="BJ94" i="5"/>
  <c r="AM94" i="5"/>
  <c r="AM95" i="5" s="1"/>
  <c r="BA94" i="5"/>
  <c r="BU94" i="5"/>
  <c r="BR94" i="5"/>
  <c r="BR95" i="5" s="1"/>
  <c r="BF94" i="5"/>
  <c r="BZ94" i="5"/>
  <c r="BB94" i="5"/>
  <c r="BV94" i="5"/>
  <c r="AX94" i="5"/>
  <c r="BQ94" i="5"/>
  <c r="BQ95" i="5" s="1"/>
  <c r="AT94" i="5"/>
  <c r="BT59" i="5"/>
  <c r="BT60" i="5" s="1"/>
  <c r="BH59" i="5"/>
  <c r="BH60" i="5" s="1"/>
  <c r="AV59" i="5"/>
  <c r="AV60" i="5" s="1"/>
  <c r="CB59" i="5"/>
  <c r="CB60" i="5" s="1"/>
  <c r="BP59" i="5"/>
  <c r="BP60" i="5" s="1"/>
  <c r="BW59" i="5"/>
  <c r="BW60" i="5" s="1"/>
  <c r="BI59" i="5"/>
  <c r="BI60" i="5" s="1"/>
  <c r="AU59" i="5"/>
  <c r="AU60" i="5" s="1"/>
  <c r="BS59" i="5"/>
  <c r="BS60" i="5" s="1"/>
  <c r="BE59" i="5"/>
  <c r="BE60" i="5" s="1"/>
  <c r="AR59" i="5"/>
  <c r="AR60" i="5" s="1"/>
  <c r="BV59" i="5"/>
  <c r="BV60" i="5" s="1"/>
  <c r="BD59" i="5"/>
  <c r="BD60" i="5" s="1"/>
  <c r="AO59" i="5"/>
  <c r="AO60" i="5" s="1"/>
  <c r="BQ59" i="5"/>
  <c r="BQ60" i="5" s="1"/>
  <c r="BA59" i="5"/>
  <c r="BA60" i="5" s="1"/>
  <c r="AL59" i="5"/>
  <c r="AL60" i="5" s="1"/>
  <c r="CA59" i="5"/>
  <c r="CA60" i="5" s="1"/>
  <c r="BG59" i="5"/>
  <c r="BG60" i="5" s="1"/>
  <c r="AN59" i="5"/>
  <c r="AN60" i="5" s="1"/>
  <c r="BZ59" i="5"/>
  <c r="BZ60" i="5" s="1"/>
  <c r="BF59" i="5"/>
  <c r="BF60" i="5" s="1"/>
  <c r="AM59" i="5"/>
  <c r="AM60" i="5" s="1"/>
  <c r="BY59" i="5"/>
  <c r="BY60" i="5" s="1"/>
  <c r="BC59" i="5"/>
  <c r="BC60" i="5" s="1"/>
  <c r="AK59" i="5"/>
  <c r="AK60" i="5" s="1"/>
  <c r="BU59" i="5"/>
  <c r="BU60" i="5" s="1"/>
  <c r="AW59" i="5"/>
  <c r="AW60" i="5" s="1"/>
  <c r="BX59" i="5"/>
  <c r="BX60" i="5" s="1"/>
  <c r="BB59" i="5"/>
  <c r="BB60" i="5" s="1"/>
  <c r="AZ59" i="5"/>
  <c r="AZ60" i="5" s="1"/>
  <c r="BN59" i="5"/>
  <c r="BN60" i="5" s="1"/>
  <c r="AS59" i="5"/>
  <c r="AS60" i="5" s="1"/>
  <c r="AQ59" i="5"/>
  <c r="AQ60" i="5" s="1"/>
  <c r="BR59" i="5"/>
  <c r="BR60" i="5" s="1"/>
  <c r="AY59" i="5"/>
  <c r="AY60" i="5" s="1"/>
  <c r="BO59" i="5"/>
  <c r="BO60" i="5" s="1"/>
  <c r="AX59" i="5"/>
  <c r="AX60" i="5" s="1"/>
  <c r="BM59" i="5"/>
  <c r="BM60" i="5" s="1"/>
  <c r="AT59" i="5"/>
  <c r="AT60" i="5" s="1"/>
  <c r="BL59" i="5"/>
  <c r="BL60" i="5" s="1"/>
  <c r="BK59" i="5"/>
  <c r="BK60" i="5" s="1"/>
  <c r="CC59" i="5"/>
  <c r="CC60" i="5" s="1"/>
  <c r="BJ59" i="5"/>
  <c r="BJ60" i="5" s="1"/>
  <c r="AP59" i="5"/>
  <c r="AP60" i="5" s="1"/>
  <c r="BZ73" i="5"/>
  <c r="BZ74" i="5" s="1"/>
  <c r="BN73" i="5"/>
  <c r="BN74" i="5" s="1"/>
  <c r="BB73" i="5"/>
  <c r="BB74" i="5" s="1"/>
  <c r="AP73" i="5"/>
  <c r="AP74" i="5" s="1"/>
  <c r="BV73" i="5"/>
  <c r="BV74" i="5" s="1"/>
  <c r="BJ73" i="5"/>
  <c r="BJ74" i="5" s="1"/>
  <c r="AX73" i="5"/>
  <c r="AX74" i="5" s="1"/>
  <c r="AL73" i="5"/>
  <c r="AL74" i="5" s="1"/>
  <c r="BS73" i="5"/>
  <c r="BS74" i="5" s="1"/>
  <c r="BE73" i="5"/>
  <c r="BE74" i="5" s="1"/>
  <c r="AQ73" i="5"/>
  <c r="AQ74" i="5" s="1"/>
  <c r="BP73" i="5"/>
  <c r="BP74" i="5" s="1"/>
  <c r="BA73" i="5"/>
  <c r="BA74" i="5" s="1"/>
  <c r="AM73" i="5"/>
  <c r="AM74" i="5" s="1"/>
  <c r="BR73" i="5"/>
  <c r="BR74" i="5" s="1"/>
  <c r="AZ73" i="5"/>
  <c r="AZ74" i="5" s="1"/>
  <c r="BM73" i="5"/>
  <c r="BM74" i="5" s="1"/>
  <c r="AV73" i="5"/>
  <c r="AV74" i="5" s="1"/>
  <c r="BU73" i="5"/>
  <c r="BU74" i="5" s="1"/>
  <c r="AY73" i="5"/>
  <c r="AY74" i="5" s="1"/>
  <c r="BT73" i="5"/>
  <c r="BT74" i="5" s="1"/>
  <c r="AW73" i="5"/>
  <c r="AW74" i="5" s="1"/>
  <c r="BQ73" i="5"/>
  <c r="BQ74" i="5" s="1"/>
  <c r="AU73" i="5"/>
  <c r="AU74" i="5" s="1"/>
  <c r="BL73" i="5"/>
  <c r="BL74" i="5" s="1"/>
  <c r="CB73" i="5"/>
  <c r="CB74" i="5" s="1"/>
  <c r="AN73" i="5"/>
  <c r="AN74" i="5" s="1"/>
  <c r="BF73" i="5"/>
  <c r="BF74" i="5" s="1"/>
  <c r="BD73" i="5"/>
  <c r="BD74" i="5" s="1"/>
  <c r="BO73" i="5"/>
  <c r="BO74" i="5" s="1"/>
  <c r="AT73" i="5"/>
  <c r="AT74" i="5" s="1"/>
  <c r="AS73" i="5"/>
  <c r="AS74" i="5" s="1"/>
  <c r="BH73" i="5"/>
  <c r="BH74" i="5" s="1"/>
  <c r="BY73" i="5"/>
  <c r="BY74" i="5" s="1"/>
  <c r="BX73" i="5"/>
  <c r="BX74" i="5" s="1"/>
  <c r="BK73" i="5"/>
  <c r="BK74" i="5" s="1"/>
  <c r="AR73" i="5"/>
  <c r="AR74" i="5" s="1"/>
  <c r="CC73" i="5"/>
  <c r="CC74" i="5" s="1"/>
  <c r="BI73" i="5"/>
  <c r="BI74" i="5" s="1"/>
  <c r="AO73" i="5"/>
  <c r="AO74" i="5" s="1"/>
  <c r="CA73" i="5"/>
  <c r="CA74" i="5" s="1"/>
  <c r="BG73" i="5"/>
  <c r="BG74" i="5" s="1"/>
  <c r="AK73" i="5"/>
  <c r="AK74" i="5" s="1"/>
  <c r="BW73" i="5"/>
  <c r="BW74" i="5" s="1"/>
  <c r="BC73" i="5"/>
  <c r="BC74" i="5" s="1"/>
  <c r="BW192" i="5"/>
  <c r="BW193" i="5" s="1"/>
  <c r="BK192" i="5"/>
  <c r="BK193" i="5" s="1"/>
  <c r="AY192" i="5"/>
  <c r="AY193" i="5" s="1"/>
  <c r="AM192" i="5"/>
  <c r="AM193" i="5" s="1"/>
  <c r="CB192" i="5"/>
  <c r="CB193" i="5" s="1"/>
  <c r="BO192" i="5"/>
  <c r="BO193" i="5" s="1"/>
  <c r="BB192" i="5"/>
  <c r="BB193" i="5" s="1"/>
  <c r="AO192" i="5"/>
  <c r="AO193" i="5" s="1"/>
  <c r="CA192" i="5"/>
  <c r="CA193" i="5" s="1"/>
  <c r="BN192" i="5"/>
  <c r="BN193" i="5" s="1"/>
  <c r="BA192" i="5"/>
  <c r="BA193" i="5" s="1"/>
  <c r="AN192" i="5"/>
  <c r="AN193" i="5" s="1"/>
  <c r="BZ192" i="5"/>
  <c r="BZ193" i="5" s="1"/>
  <c r="BJ192" i="5"/>
  <c r="BJ193" i="5" s="1"/>
  <c r="AU192" i="5"/>
  <c r="AU193" i="5" s="1"/>
  <c r="BY192" i="5"/>
  <c r="BY193" i="5" s="1"/>
  <c r="BI192" i="5"/>
  <c r="BI193" i="5" s="1"/>
  <c r="AT192" i="5"/>
  <c r="AT193" i="5" s="1"/>
  <c r="BU192" i="5"/>
  <c r="BU193" i="5" s="1"/>
  <c r="BF192" i="5"/>
  <c r="BF193" i="5" s="1"/>
  <c r="AQ192" i="5"/>
  <c r="AQ193" i="5" s="1"/>
  <c r="BP192" i="5"/>
  <c r="BP193" i="5" s="1"/>
  <c r="AS192" i="5"/>
  <c r="AS193" i="5" s="1"/>
  <c r="BM192" i="5"/>
  <c r="BM193" i="5" s="1"/>
  <c r="AR192" i="5"/>
  <c r="AR193" i="5" s="1"/>
  <c r="BH192" i="5"/>
  <c r="BH193" i="5" s="1"/>
  <c r="AL192" i="5"/>
  <c r="AL193" i="5" s="1"/>
  <c r="BS192" i="5"/>
  <c r="BS193" i="5" s="1"/>
  <c r="AP192" i="5"/>
  <c r="AP193" i="5" s="1"/>
  <c r="BR192" i="5"/>
  <c r="BR193" i="5" s="1"/>
  <c r="AK192" i="5"/>
  <c r="AK193" i="5" s="1"/>
  <c r="BL192" i="5"/>
  <c r="BL193" i="5" s="1"/>
  <c r="BG192" i="5"/>
  <c r="BG193" i="5" s="1"/>
  <c r="AW192" i="5"/>
  <c r="AW193" i="5" s="1"/>
  <c r="AV192" i="5"/>
  <c r="AV193" i="5" s="1"/>
  <c r="CC192" i="5"/>
  <c r="CC193" i="5" s="1"/>
  <c r="BV192" i="5"/>
  <c r="BV193" i="5" s="1"/>
  <c r="BX192" i="5"/>
  <c r="BX193" i="5" s="1"/>
  <c r="BE192" i="5"/>
  <c r="BE193" i="5" s="1"/>
  <c r="BC192" i="5"/>
  <c r="BC193" i="5" s="1"/>
  <c r="AZ192" i="5"/>
  <c r="AZ193" i="5" s="1"/>
  <c r="BT192" i="5"/>
  <c r="BT193" i="5" s="1"/>
  <c r="BQ192" i="5"/>
  <c r="BQ193" i="5" s="1"/>
  <c r="BD192" i="5"/>
  <c r="BD193" i="5" s="1"/>
  <c r="AX192" i="5"/>
  <c r="AX193" i="5" s="1"/>
  <c r="BT213" i="5"/>
  <c r="BH213" i="5"/>
  <c r="AV213" i="5"/>
  <c r="BX213" i="5"/>
  <c r="BK213" i="5"/>
  <c r="AX213" i="5"/>
  <c r="AK213" i="5"/>
  <c r="AK214" i="5" s="1"/>
  <c r="BW213" i="5"/>
  <c r="BJ213" i="5"/>
  <c r="AW213" i="5"/>
  <c r="BQ213" i="5"/>
  <c r="BQ214" i="5" s="1"/>
  <c r="BB213" i="5"/>
  <c r="AM213" i="5"/>
  <c r="AM214" i="5" s="1"/>
  <c r="BP213" i="5"/>
  <c r="BP214" i="5" s="1"/>
  <c r="BA213" i="5"/>
  <c r="AL213" i="5"/>
  <c r="AL214" i="5" s="1"/>
  <c r="CB213" i="5"/>
  <c r="BM213" i="5"/>
  <c r="AU213" i="5"/>
  <c r="BZ213" i="5"/>
  <c r="BE213" i="5"/>
  <c r="BY213" i="5"/>
  <c r="BD213" i="5"/>
  <c r="BU213" i="5"/>
  <c r="AZ213" i="5"/>
  <c r="BV213" i="5"/>
  <c r="AS213" i="5"/>
  <c r="BS213" i="5"/>
  <c r="AR213" i="5"/>
  <c r="BO213" i="5"/>
  <c r="BO214" i="5" s="1"/>
  <c r="AP213" i="5"/>
  <c r="BN213" i="5"/>
  <c r="AO213" i="5"/>
  <c r="CC213" i="5"/>
  <c r="CA213" i="5"/>
  <c r="BR213" i="5"/>
  <c r="BR214" i="5" s="1"/>
  <c r="BC213" i="5"/>
  <c r="BL213" i="5"/>
  <c r="BI213" i="5"/>
  <c r="AT213" i="5"/>
  <c r="BG213" i="5"/>
  <c r="BF213" i="5"/>
  <c r="AY213" i="5"/>
  <c r="AQ213" i="5"/>
  <c r="AN213" i="5"/>
  <c r="BZ227" i="5"/>
  <c r="BZ228" i="5" s="1"/>
  <c r="BN227" i="5"/>
  <c r="BN228" i="5" s="1"/>
  <c r="BB227" i="5"/>
  <c r="BB228" i="5" s="1"/>
  <c r="AP227" i="5"/>
  <c r="AP228" i="5" s="1"/>
  <c r="BY227" i="5"/>
  <c r="BY228" i="5" s="1"/>
  <c r="BL227" i="5"/>
  <c r="BL228" i="5" s="1"/>
  <c r="AY227" i="5"/>
  <c r="AY228" i="5" s="1"/>
  <c r="AL227" i="5"/>
  <c r="AL228" i="5" s="1"/>
  <c r="BX227" i="5"/>
  <c r="BX228" i="5" s="1"/>
  <c r="BK227" i="5"/>
  <c r="BK228" i="5" s="1"/>
  <c r="AX227" i="5"/>
  <c r="AX228" i="5" s="1"/>
  <c r="AK227" i="5"/>
  <c r="AK228" i="5" s="1"/>
  <c r="BU227" i="5"/>
  <c r="BU228" i="5" s="1"/>
  <c r="BF227" i="5"/>
  <c r="BF228" i="5" s="1"/>
  <c r="AQ227" i="5"/>
  <c r="AQ228" i="5" s="1"/>
  <c r="BT227" i="5"/>
  <c r="BT228" i="5" s="1"/>
  <c r="BE227" i="5"/>
  <c r="BE228" i="5" s="1"/>
  <c r="AO227" i="5"/>
  <c r="AO228" i="5" s="1"/>
  <c r="BQ227" i="5"/>
  <c r="BQ228" i="5" s="1"/>
  <c r="BA227" i="5"/>
  <c r="BA228" i="5" s="1"/>
  <c r="BS227" i="5"/>
  <c r="BS228" i="5" s="1"/>
  <c r="AW227" i="5"/>
  <c r="AW228" i="5" s="1"/>
  <c r="BR227" i="5"/>
  <c r="BR228" i="5" s="1"/>
  <c r="AV227" i="5"/>
  <c r="AV228" i="5" s="1"/>
  <c r="BO227" i="5"/>
  <c r="BO228" i="5" s="1"/>
  <c r="AT227" i="5"/>
  <c r="AT228" i="5" s="1"/>
  <c r="BP227" i="5"/>
  <c r="BP228" i="5" s="1"/>
  <c r="AN227" i="5"/>
  <c r="AN228" i="5" s="1"/>
  <c r="BM227" i="5"/>
  <c r="BM228" i="5" s="1"/>
  <c r="AM227" i="5"/>
  <c r="AM228" i="5" s="1"/>
  <c r="BI227" i="5"/>
  <c r="BI228" i="5" s="1"/>
  <c r="BH227" i="5"/>
  <c r="BH228" i="5" s="1"/>
  <c r="BW227" i="5"/>
  <c r="BW228" i="5" s="1"/>
  <c r="BV227" i="5"/>
  <c r="BV228" i="5" s="1"/>
  <c r="BJ227" i="5"/>
  <c r="BJ228" i="5" s="1"/>
  <c r="AU227" i="5"/>
  <c r="AU228" i="5" s="1"/>
  <c r="CC227" i="5"/>
  <c r="CC228" i="5" s="1"/>
  <c r="AR227" i="5"/>
  <c r="AR228" i="5" s="1"/>
  <c r="BG227" i="5"/>
  <c r="BG228" i="5" s="1"/>
  <c r="BD227" i="5"/>
  <c r="BD228" i="5" s="1"/>
  <c r="BC227" i="5"/>
  <c r="BC228" i="5" s="1"/>
  <c r="AZ227" i="5"/>
  <c r="AZ228" i="5" s="1"/>
  <c r="AS227" i="5"/>
  <c r="AS228" i="5" s="1"/>
  <c r="CB227" i="5"/>
  <c r="CB228" i="5" s="1"/>
  <c r="CA227" i="5"/>
  <c r="CA228" i="5" s="1"/>
  <c r="BX248" i="5"/>
  <c r="BX249" i="5" s="1"/>
  <c r="BL248" i="5"/>
  <c r="BL249" i="5" s="1"/>
  <c r="AZ248" i="5"/>
  <c r="AZ249" i="5" s="1"/>
  <c r="AN248" i="5"/>
  <c r="AN249" i="5" s="1"/>
  <c r="BW248" i="5"/>
  <c r="BW249" i="5" s="1"/>
  <c r="BK248" i="5"/>
  <c r="BK249" i="5" s="1"/>
  <c r="AY248" i="5"/>
  <c r="AY249" i="5" s="1"/>
  <c r="AM248" i="5"/>
  <c r="AM249" i="5" s="1"/>
  <c r="BP248" i="5"/>
  <c r="BP249" i="5" s="1"/>
  <c r="BB248" i="5"/>
  <c r="BB249" i="5" s="1"/>
  <c r="AL248" i="5"/>
  <c r="AL249" i="5" s="1"/>
  <c r="CC248" i="5"/>
  <c r="CC249" i="5" s="1"/>
  <c r="BO248" i="5"/>
  <c r="BO249" i="5" s="1"/>
  <c r="BA248" i="5"/>
  <c r="BA249" i="5" s="1"/>
  <c r="AK248" i="5"/>
  <c r="AK249" i="5" s="1"/>
  <c r="BT248" i="5"/>
  <c r="BT249" i="5" s="1"/>
  <c r="BD248" i="5"/>
  <c r="BD249" i="5" s="1"/>
  <c r="BS248" i="5"/>
  <c r="BS249" i="5" s="1"/>
  <c r="BC248" i="5"/>
  <c r="BC249" i="5" s="1"/>
  <c r="BN248" i="5"/>
  <c r="BN249" i="5" s="1"/>
  <c r="AV248" i="5"/>
  <c r="AV249" i="5" s="1"/>
  <c r="BR248" i="5"/>
  <c r="BR249" i="5" s="1"/>
  <c r="AT248" i="5"/>
  <c r="AT249" i="5" s="1"/>
  <c r="BQ248" i="5"/>
  <c r="BQ249" i="5" s="1"/>
  <c r="AS248" i="5"/>
  <c r="AS249" i="5" s="1"/>
  <c r="BJ248" i="5"/>
  <c r="BJ249" i="5" s="1"/>
  <c r="AQ248" i="5"/>
  <c r="AQ249" i="5" s="1"/>
  <c r="CB248" i="5"/>
  <c r="CB249" i="5" s="1"/>
  <c r="AX248" i="5"/>
  <c r="AX249" i="5" s="1"/>
  <c r="CA248" i="5"/>
  <c r="CA249" i="5" s="1"/>
  <c r="AW248" i="5"/>
  <c r="AW249" i="5" s="1"/>
  <c r="BY248" i="5"/>
  <c r="BY249" i="5" s="1"/>
  <c r="AR248" i="5"/>
  <c r="AR249" i="5" s="1"/>
  <c r="BV248" i="5"/>
  <c r="BV249" i="5" s="1"/>
  <c r="AP248" i="5"/>
  <c r="AP249" i="5" s="1"/>
  <c r="BM248" i="5"/>
  <c r="BM249" i="5" s="1"/>
  <c r="BI248" i="5"/>
  <c r="BI249" i="5" s="1"/>
  <c r="BH248" i="5"/>
  <c r="BH249" i="5" s="1"/>
  <c r="BF248" i="5"/>
  <c r="BF249" i="5" s="1"/>
  <c r="BZ248" i="5"/>
  <c r="BZ249" i="5" s="1"/>
  <c r="BG248" i="5"/>
  <c r="BG249" i="5" s="1"/>
  <c r="AO248" i="5"/>
  <c r="AO249" i="5" s="1"/>
  <c r="BE248" i="5"/>
  <c r="BE249" i="5" s="1"/>
  <c r="AU248" i="5"/>
  <c r="AU249" i="5" s="1"/>
  <c r="BU248" i="5"/>
  <c r="BU249" i="5" s="1"/>
  <c r="BW164" i="5"/>
  <c r="BW165" i="5" s="1"/>
  <c r="BK164" i="5"/>
  <c r="BK165" i="5" s="1"/>
  <c r="AY164" i="5"/>
  <c r="AY165" i="5" s="1"/>
  <c r="AM164" i="5"/>
  <c r="AM165" i="5" s="1"/>
  <c r="BY164" i="5"/>
  <c r="BY165" i="5" s="1"/>
  <c r="BL164" i="5"/>
  <c r="BL165" i="5" s="1"/>
  <c r="AX164" i="5"/>
  <c r="AX165" i="5" s="1"/>
  <c r="AK164" i="5"/>
  <c r="AK165" i="5" s="1"/>
  <c r="BX164" i="5"/>
  <c r="BX165" i="5" s="1"/>
  <c r="BJ164" i="5"/>
  <c r="BJ165" i="5" s="1"/>
  <c r="AW164" i="5"/>
  <c r="AW165" i="5" s="1"/>
  <c r="BR164" i="5"/>
  <c r="BR165" i="5" s="1"/>
  <c r="BC164" i="5"/>
  <c r="BC165" i="5" s="1"/>
  <c r="AN164" i="5"/>
  <c r="AN165" i="5" s="1"/>
  <c r="BQ164" i="5"/>
  <c r="BQ165" i="5" s="1"/>
  <c r="BB164" i="5"/>
  <c r="BB165" i="5" s="1"/>
  <c r="AL164" i="5"/>
  <c r="AL165" i="5" s="1"/>
  <c r="CC164" i="5"/>
  <c r="CC165" i="5" s="1"/>
  <c r="BN164" i="5"/>
  <c r="BN165" i="5" s="1"/>
  <c r="AV164" i="5"/>
  <c r="AV165" i="5" s="1"/>
  <c r="CA164" i="5"/>
  <c r="CA165" i="5" s="1"/>
  <c r="BF164" i="5"/>
  <c r="BF165" i="5" s="1"/>
  <c r="BZ164" i="5"/>
  <c r="BZ165" i="5" s="1"/>
  <c r="BE164" i="5"/>
  <c r="BE165" i="5" s="1"/>
  <c r="BU164" i="5"/>
  <c r="BU165" i="5" s="1"/>
  <c r="BA164" i="5"/>
  <c r="BA165" i="5" s="1"/>
  <c r="BD164" i="5"/>
  <c r="BD165" i="5" s="1"/>
  <c r="AZ164" i="5"/>
  <c r="AZ165" i="5" s="1"/>
  <c r="BV164" i="5"/>
  <c r="BV165" i="5" s="1"/>
  <c r="AT164" i="5"/>
  <c r="AT165" i="5" s="1"/>
  <c r="BO164" i="5"/>
  <c r="BO165" i="5" s="1"/>
  <c r="BM164" i="5"/>
  <c r="BM165" i="5" s="1"/>
  <c r="BI164" i="5"/>
  <c r="BI165" i="5" s="1"/>
  <c r="AR164" i="5"/>
  <c r="AR165" i="5" s="1"/>
  <c r="AP164" i="5"/>
  <c r="AP165" i="5" s="1"/>
  <c r="BH164" i="5"/>
  <c r="BH165" i="5" s="1"/>
  <c r="BG164" i="5"/>
  <c r="BG165" i="5" s="1"/>
  <c r="BT164" i="5"/>
  <c r="BT165" i="5" s="1"/>
  <c r="AO164" i="5"/>
  <c r="AO165" i="5" s="1"/>
  <c r="AU164" i="5"/>
  <c r="AU165" i="5" s="1"/>
  <c r="AS164" i="5"/>
  <c r="AS165" i="5" s="1"/>
  <c r="CB164" i="5"/>
  <c r="CB165" i="5" s="1"/>
  <c r="AQ164" i="5"/>
  <c r="AQ165" i="5" s="1"/>
  <c r="BS164" i="5"/>
  <c r="BS165" i="5" s="1"/>
  <c r="BP164" i="5"/>
  <c r="BP165" i="5" s="1"/>
  <c r="BT129" i="5"/>
  <c r="BH129" i="5"/>
  <c r="AV129" i="5"/>
  <c r="CA129" i="5"/>
  <c r="BN129" i="5"/>
  <c r="BA129" i="5"/>
  <c r="AN129" i="5"/>
  <c r="BZ129" i="5"/>
  <c r="BM129" i="5"/>
  <c r="AZ129" i="5"/>
  <c r="AM129" i="5"/>
  <c r="AM130" i="5" s="1"/>
  <c r="BW129" i="5"/>
  <c r="BG129" i="5"/>
  <c r="AR129" i="5"/>
  <c r="BV129" i="5"/>
  <c r="BF129" i="5"/>
  <c r="AQ129" i="5"/>
  <c r="BR129" i="5"/>
  <c r="BR130" i="5" s="1"/>
  <c r="BC129" i="5"/>
  <c r="AL129" i="5"/>
  <c r="AL130" i="5" s="1"/>
  <c r="BU129" i="5"/>
  <c r="AY129" i="5"/>
  <c r="BS129" i="5"/>
  <c r="AX129" i="5"/>
  <c r="BP129" i="5"/>
  <c r="BP130" i="5" s="1"/>
  <c r="AU129" i="5"/>
  <c r="BE129" i="5"/>
  <c r="BD129" i="5"/>
  <c r="CB129" i="5"/>
  <c r="AW129" i="5"/>
  <c r="BO129" i="5"/>
  <c r="BO130" i="5" s="1"/>
  <c r="BL129" i="5"/>
  <c r="BK129" i="5"/>
  <c r="AS129" i="5"/>
  <c r="AO129" i="5"/>
  <c r="BJ129" i="5"/>
  <c r="BI129" i="5"/>
  <c r="BY129" i="5"/>
  <c r="AK129" i="5"/>
  <c r="AK130" i="5" s="1"/>
  <c r="BB129" i="5"/>
  <c r="AT129" i="5"/>
  <c r="CC129" i="5"/>
  <c r="AP129" i="5"/>
  <c r="BX129" i="5"/>
  <c r="BQ129" i="5"/>
  <c r="BQ130" i="5" s="1"/>
  <c r="BT157" i="5"/>
  <c r="BH157" i="5"/>
  <c r="AV157" i="5"/>
  <c r="BQ157" i="5"/>
  <c r="BQ158" i="5" s="1"/>
  <c r="BD157" i="5"/>
  <c r="AQ157" i="5"/>
  <c r="CC157" i="5"/>
  <c r="BP157" i="5"/>
  <c r="BP158" i="5" s="1"/>
  <c r="BC157" i="5"/>
  <c r="AP157" i="5"/>
  <c r="BO157" i="5"/>
  <c r="BO158" i="5" s="1"/>
  <c r="AZ157" i="5"/>
  <c r="AK157" i="5"/>
  <c r="AK158" i="5" s="1"/>
  <c r="BN157" i="5"/>
  <c r="AY157" i="5"/>
  <c r="BZ157" i="5"/>
  <c r="BK157" i="5"/>
  <c r="AU157" i="5"/>
  <c r="CB157" i="5"/>
  <c r="BI157" i="5"/>
  <c r="AN157" i="5"/>
  <c r="CA157" i="5"/>
  <c r="BG157" i="5"/>
  <c r="AM157" i="5"/>
  <c r="AM158" i="5" s="1"/>
  <c r="BX157" i="5"/>
  <c r="BE157" i="5"/>
  <c r="BU157" i="5"/>
  <c r="AS157" i="5"/>
  <c r="BS157" i="5"/>
  <c r="AR157" i="5"/>
  <c r="BM157" i="5"/>
  <c r="AL157" i="5"/>
  <c r="AL158" i="5" s="1"/>
  <c r="BW157" i="5"/>
  <c r="BV157" i="5"/>
  <c r="BR157" i="5"/>
  <c r="BR158" i="5" s="1"/>
  <c r="BJ157" i="5"/>
  <c r="AT157" i="5"/>
  <c r="BL157" i="5"/>
  <c r="BA157" i="5"/>
  <c r="AW157" i="5"/>
  <c r="BF157" i="5"/>
  <c r="BB157" i="5"/>
  <c r="AX157" i="5"/>
  <c r="BY157" i="5"/>
  <c r="AO157" i="5"/>
  <c r="BW38" i="5"/>
  <c r="BK38" i="5"/>
  <c r="AY38" i="5"/>
  <c r="AM38" i="5"/>
  <c r="AM39" i="5" s="1"/>
  <c r="BZ38" i="5"/>
  <c r="BM38" i="5"/>
  <c r="AZ38" i="5"/>
  <c r="AL38" i="5"/>
  <c r="AL39" i="5" s="1"/>
  <c r="BV38" i="5"/>
  <c r="BI38" i="5"/>
  <c r="AV38" i="5"/>
  <c r="BO38" i="5"/>
  <c r="BO39" i="5" s="1"/>
  <c r="AX38" i="5"/>
  <c r="CA38" i="5"/>
  <c r="BJ38" i="5"/>
  <c r="AT38" i="5"/>
  <c r="CC38" i="5"/>
  <c r="BH38" i="5"/>
  <c r="AQ38" i="5"/>
  <c r="CB38" i="5"/>
  <c r="BG38" i="5"/>
  <c r="AP38" i="5"/>
  <c r="BY38" i="5"/>
  <c r="BF38" i="5"/>
  <c r="AO38" i="5"/>
  <c r="BD38" i="5"/>
  <c r="BR38" i="5"/>
  <c r="BR39" i="5" s="1"/>
  <c r="AU38" i="5"/>
  <c r="AS38" i="5"/>
  <c r="BX38" i="5"/>
  <c r="BE38" i="5"/>
  <c r="AN38" i="5"/>
  <c r="BU38" i="5"/>
  <c r="AK38" i="5"/>
  <c r="AK39" i="5" s="1"/>
  <c r="BA38" i="5"/>
  <c r="BP38" i="5"/>
  <c r="BP39" i="5" s="1"/>
  <c r="BN38" i="5"/>
  <c r="BT38" i="5"/>
  <c r="BC38" i="5"/>
  <c r="BS38" i="5"/>
  <c r="BB38" i="5"/>
  <c r="BQ38" i="5"/>
  <c r="BQ39" i="5" s="1"/>
  <c r="AW38" i="5"/>
  <c r="BL38" i="5"/>
  <c r="AR38" i="5"/>
  <c r="BU241" i="5"/>
  <c r="BI241" i="5"/>
  <c r="AW241" i="5"/>
  <c r="AK241" i="5"/>
  <c r="AK242" i="5" s="1"/>
  <c r="BT241" i="5"/>
  <c r="BH241" i="5"/>
  <c r="AV241" i="5"/>
  <c r="BQ241" i="5"/>
  <c r="BQ242" i="5" s="1"/>
  <c r="BC241" i="5"/>
  <c r="AO241" i="5"/>
  <c r="BP241" i="5"/>
  <c r="BP242" i="5" s="1"/>
  <c r="BB241" i="5"/>
  <c r="AN241" i="5"/>
  <c r="CC241" i="5"/>
  <c r="BM241" i="5"/>
  <c r="AU241" i="5"/>
  <c r="CB241" i="5"/>
  <c r="BL241" i="5"/>
  <c r="AT241" i="5"/>
  <c r="BY241" i="5"/>
  <c r="BG241" i="5"/>
  <c r="AQ241" i="5"/>
  <c r="BR241" i="5"/>
  <c r="BR242" i="5" s="1"/>
  <c r="AS241" i="5"/>
  <c r="BO241" i="5"/>
  <c r="BO242" i="5" s="1"/>
  <c r="AR241" i="5"/>
  <c r="BK241" i="5"/>
  <c r="AM241" i="5"/>
  <c r="AM242" i="5" s="1"/>
  <c r="BN241" i="5"/>
  <c r="BJ241" i="5"/>
  <c r="BE241" i="5"/>
  <c r="BD241" i="5"/>
  <c r="BV241" i="5"/>
  <c r="BS241" i="5"/>
  <c r="BF241" i="5"/>
  <c r="AZ241" i="5"/>
  <c r="CA241" i="5"/>
  <c r="BA241" i="5"/>
  <c r="BZ241" i="5"/>
  <c r="BX241" i="5"/>
  <c r="AY241" i="5"/>
  <c r="AX241" i="5"/>
  <c r="AP241" i="5"/>
  <c r="AL241" i="5"/>
  <c r="AL242" i="5" s="1"/>
  <c r="BW241" i="5"/>
  <c r="BW66" i="5"/>
  <c r="BW67" i="5" s="1"/>
  <c r="BK66" i="5"/>
  <c r="BK67" i="5" s="1"/>
  <c r="AY66" i="5"/>
  <c r="AY67" i="5" s="1"/>
  <c r="AM66" i="5"/>
  <c r="AM67" i="5" s="1"/>
  <c r="BS66" i="5"/>
  <c r="BS67" i="5" s="1"/>
  <c r="BG66" i="5"/>
  <c r="BG67" i="5" s="1"/>
  <c r="AU66" i="5"/>
  <c r="AU67" i="5" s="1"/>
  <c r="BU66" i="5"/>
  <c r="BU67" i="5" s="1"/>
  <c r="BF66" i="5"/>
  <c r="BF67" i="5" s="1"/>
  <c r="AR66" i="5"/>
  <c r="AR67" i="5" s="1"/>
  <c r="BQ66" i="5"/>
  <c r="BQ67" i="5" s="1"/>
  <c r="BC66" i="5"/>
  <c r="BC67" i="5" s="1"/>
  <c r="AO66" i="5"/>
  <c r="AO67" i="5" s="1"/>
  <c r="CB66" i="5"/>
  <c r="CB67" i="5" s="1"/>
  <c r="BL66" i="5"/>
  <c r="BL67" i="5" s="1"/>
  <c r="AT66" i="5"/>
  <c r="AT67" i="5" s="1"/>
  <c r="BY66" i="5"/>
  <c r="BY67" i="5" s="1"/>
  <c r="BH66" i="5"/>
  <c r="BH67" i="5" s="1"/>
  <c r="AP66" i="5"/>
  <c r="AP67" i="5" s="1"/>
  <c r="BX66" i="5"/>
  <c r="BX67" i="5" s="1"/>
  <c r="BB66" i="5"/>
  <c r="BB67" i="5" s="1"/>
  <c r="BV66" i="5"/>
  <c r="BV67" i="5" s="1"/>
  <c r="BA66" i="5"/>
  <c r="BA67" i="5" s="1"/>
  <c r="BT66" i="5"/>
  <c r="BT67" i="5" s="1"/>
  <c r="AZ66" i="5"/>
  <c r="AZ67" i="5" s="1"/>
  <c r="BP66" i="5"/>
  <c r="BP67" i="5" s="1"/>
  <c r="AQ66" i="5"/>
  <c r="AQ67" i="5" s="1"/>
  <c r="AL66" i="5"/>
  <c r="AL67" i="5" s="1"/>
  <c r="AK66" i="5"/>
  <c r="AK67" i="5" s="1"/>
  <c r="BR66" i="5"/>
  <c r="BR67" i="5" s="1"/>
  <c r="AX66" i="5"/>
  <c r="AX67" i="5" s="1"/>
  <c r="AW66" i="5"/>
  <c r="AW67" i="5" s="1"/>
  <c r="BM66" i="5"/>
  <c r="BM67" i="5" s="1"/>
  <c r="CC66" i="5"/>
  <c r="CC67" i="5" s="1"/>
  <c r="BI66" i="5"/>
  <c r="BI67" i="5" s="1"/>
  <c r="BE66" i="5"/>
  <c r="BE67" i="5" s="1"/>
  <c r="BO66" i="5"/>
  <c r="BO67" i="5" s="1"/>
  <c r="AV66" i="5"/>
  <c r="AV67" i="5" s="1"/>
  <c r="BN66" i="5"/>
  <c r="BN67" i="5" s="1"/>
  <c r="AS66" i="5"/>
  <c r="AS67" i="5" s="1"/>
  <c r="BJ66" i="5"/>
  <c r="BJ67" i="5" s="1"/>
  <c r="AN66" i="5"/>
  <c r="AN67" i="5" s="1"/>
  <c r="CA66" i="5"/>
  <c r="CA67" i="5" s="1"/>
  <c r="BZ66" i="5"/>
  <c r="BZ67" i="5" s="1"/>
  <c r="BD66" i="5"/>
  <c r="BD67" i="5" s="1"/>
  <c r="BT31" i="5"/>
  <c r="BH31" i="5"/>
  <c r="AV31" i="5"/>
  <c r="BR31" i="5"/>
  <c r="BR32" i="5" s="1"/>
  <c r="BE31" i="5"/>
  <c r="AR31" i="5"/>
  <c r="CB31" i="5"/>
  <c r="BO31" i="5"/>
  <c r="BO32" i="5" s="1"/>
  <c r="BB31" i="5"/>
  <c r="AO31" i="5"/>
  <c r="CA31" i="5"/>
  <c r="BL31" i="5"/>
  <c r="AW31" i="5"/>
  <c r="BX31" i="5"/>
  <c r="BI31" i="5"/>
  <c r="AS31" i="5"/>
  <c r="BQ31" i="5"/>
  <c r="BQ32" i="5" s="1"/>
  <c r="AY31" i="5"/>
  <c r="BP31" i="5"/>
  <c r="BP32" i="5" s="1"/>
  <c r="AX31" i="5"/>
  <c r="BU31" i="5"/>
  <c r="BN31" i="5"/>
  <c r="AU31" i="5"/>
  <c r="BK31" i="5"/>
  <c r="BY31" i="5"/>
  <c r="AM31" i="5"/>
  <c r="AM32" i="5" s="1"/>
  <c r="AK31" i="5"/>
  <c r="AK32" i="5" s="1"/>
  <c r="BM31" i="5"/>
  <c r="AT31" i="5"/>
  <c r="AQ31" i="5"/>
  <c r="BF31" i="5"/>
  <c r="BD31" i="5"/>
  <c r="BV31" i="5"/>
  <c r="CC31" i="5"/>
  <c r="BJ31" i="5"/>
  <c r="AP31" i="5"/>
  <c r="BZ31" i="5"/>
  <c r="BG31" i="5"/>
  <c r="AN31" i="5"/>
  <c r="BW31" i="5"/>
  <c r="AL31" i="5"/>
  <c r="AL32" i="5" s="1"/>
  <c r="BC31" i="5"/>
  <c r="BA31" i="5"/>
  <c r="BS31" i="5"/>
  <c r="AZ31" i="5"/>
  <c r="BT101" i="5"/>
  <c r="BH101" i="5"/>
  <c r="BX101" i="5"/>
  <c r="BK101" i="5"/>
  <c r="AX101" i="5"/>
  <c r="AL101" i="5"/>
  <c r="AL102" i="5" s="1"/>
  <c r="BW101" i="5"/>
  <c r="BJ101" i="5"/>
  <c r="AW101" i="5"/>
  <c r="AK101" i="5"/>
  <c r="AK102" i="5" s="1"/>
  <c r="BO101" i="5"/>
  <c r="BO102" i="5" s="1"/>
  <c r="AZ101" i="5"/>
  <c r="CC101" i="5"/>
  <c r="BN101" i="5"/>
  <c r="AY101" i="5"/>
  <c r="BZ101" i="5"/>
  <c r="BI101" i="5"/>
  <c r="AT101" i="5"/>
  <c r="BM101" i="5"/>
  <c r="AR101" i="5"/>
  <c r="CB101" i="5"/>
  <c r="BF101" i="5"/>
  <c r="AO101" i="5"/>
  <c r="BE101" i="5"/>
  <c r="BY101" i="5"/>
  <c r="BB101" i="5"/>
  <c r="BV101" i="5"/>
  <c r="AU101" i="5"/>
  <c r="BU101" i="5"/>
  <c r="AS101" i="5"/>
  <c r="BS101" i="5"/>
  <c r="AQ101" i="5"/>
  <c r="BQ101" i="5"/>
  <c r="BQ102" i="5" s="1"/>
  <c r="BD101" i="5"/>
  <c r="BC101" i="5"/>
  <c r="BR101" i="5"/>
  <c r="BR102" i="5" s="1"/>
  <c r="AP101" i="5"/>
  <c r="AN101" i="5"/>
  <c r="BG101" i="5"/>
  <c r="BP101" i="5"/>
  <c r="BP102" i="5" s="1"/>
  <c r="AM101" i="5"/>
  <c r="AM102" i="5" s="1"/>
  <c r="BL101" i="5"/>
  <c r="BA101" i="5"/>
  <c r="CA101" i="5"/>
  <c r="AV101" i="5"/>
  <c r="BW220" i="5"/>
  <c r="BK220" i="5"/>
  <c r="AY220" i="5"/>
  <c r="AM220" i="5"/>
  <c r="AM221" i="5" s="1"/>
  <c r="BR220" i="5"/>
  <c r="BR221" i="5" s="1"/>
  <c r="BE220" i="5"/>
  <c r="AR220" i="5"/>
  <c r="BQ220" i="5"/>
  <c r="BQ221" i="5" s="1"/>
  <c r="BD220" i="5"/>
  <c r="AQ220" i="5"/>
  <c r="BT220" i="5"/>
  <c r="BC220" i="5"/>
  <c r="AN220" i="5"/>
  <c r="BS220" i="5"/>
  <c r="BB220" i="5"/>
  <c r="AL220" i="5"/>
  <c r="AL221" i="5" s="1"/>
  <c r="CC220" i="5"/>
  <c r="BN220" i="5"/>
  <c r="AX220" i="5"/>
  <c r="BX220" i="5"/>
  <c r="BA220" i="5"/>
  <c r="BV220" i="5"/>
  <c r="AZ220" i="5"/>
  <c r="BP220" i="5"/>
  <c r="BP221" i="5" s="1"/>
  <c r="AV220" i="5"/>
  <c r="BH220" i="5"/>
  <c r="BG220" i="5"/>
  <c r="CA220" i="5"/>
  <c r="AW220" i="5"/>
  <c r="BZ220" i="5"/>
  <c r="AU220" i="5"/>
  <c r="BU220" i="5"/>
  <c r="BO220" i="5"/>
  <c r="BO221" i="5" s="1"/>
  <c r="BM220" i="5"/>
  <c r="BJ220" i="5"/>
  <c r="AP220" i="5"/>
  <c r="BL220" i="5"/>
  <c r="AT220" i="5"/>
  <c r="AO220" i="5"/>
  <c r="BI220" i="5"/>
  <c r="BF220" i="5"/>
  <c r="AS220" i="5"/>
  <c r="CB220" i="5"/>
  <c r="BY220" i="5"/>
  <c r="AK220" i="5"/>
  <c r="AK221" i="5" s="1"/>
  <c r="BT185" i="5"/>
  <c r="BT186" i="5" s="1"/>
  <c r="BH185" i="5"/>
  <c r="BH186" i="5" s="1"/>
  <c r="AV185" i="5"/>
  <c r="AV186" i="5" s="1"/>
  <c r="BU185" i="5"/>
  <c r="BU186" i="5" s="1"/>
  <c r="BG185" i="5"/>
  <c r="BG186" i="5" s="1"/>
  <c r="AT185" i="5"/>
  <c r="AT186" i="5" s="1"/>
  <c r="BS185" i="5"/>
  <c r="BS186" i="5" s="1"/>
  <c r="BF185" i="5"/>
  <c r="BF186" i="5" s="1"/>
  <c r="AS185" i="5"/>
  <c r="AS186" i="5" s="1"/>
  <c r="BY185" i="5"/>
  <c r="BY186" i="5" s="1"/>
  <c r="BJ185" i="5"/>
  <c r="BJ186" i="5" s="1"/>
  <c r="AR185" i="5"/>
  <c r="AR186" i="5" s="1"/>
  <c r="BX185" i="5"/>
  <c r="BX186" i="5" s="1"/>
  <c r="BI185" i="5"/>
  <c r="BI186" i="5" s="1"/>
  <c r="AQ185" i="5"/>
  <c r="AQ186" i="5" s="1"/>
  <c r="BR185" i="5"/>
  <c r="BR186" i="5" s="1"/>
  <c r="BC185" i="5"/>
  <c r="BC186" i="5" s="1"/>
  <c r="AN185" i="5"/>
  <c r="AN186" i="5" s="1"/>
  <c r="BP185" i="5"/>
  <c r="BP186" i="5" s="1"/>
  <c r="AX185" i="5"/>
  <c r="AX186" i="5" s="1"/>
  <c r="BO185" i="5"/>
  <c r="BO186" i="5" s="1"/>
  <c r="AW185" i="5"/>
  <c r="AW186" i="5" s="1"/>
  <c r="BM185" i="5"/>
  <c r="BM186" i="5" s="1"/>
  <c r="AP185" i="5"/>
  <c r="AP186" i="5" s="1"/>
  <c r="BE185" i="5"/>
  <c r="BE186" i="5" s="1"/>
  <c r="BD185" i="5"/>
  <c r="BD186" i="5" s="1"/>
  <c r="CB185" i="5"/>
  <c r="CB186" i="5" s="1"/>
  <c r="BA185" i="5"/>
  <c r="BA186" i="5" s="1"/>
  <c r="CA185" i="5"/>
  <c r="CA186" i="5" s="1"/>
  <c r="AZ185" i="5"/>
  <c r="AZ186" i="5" s="1"/>
  <c r="AU185" i="5"/>
  <c r="AU186" i="5" s="1"/>
  <c r="AO185" i="5"/>
  <c r="AO186" i="5" s="1"/>
  <c r="CC185" i="5"/>
  <c r="CC186" i="5" s="1"/>
  <c r="AM185" i="5"/>
  <c r="AM186" i="5" s="1"/>
  <c r="AK185" i="5"/>
  <c r="AK186" i="5" s="1"/>
  <c r="BN185" i="5"/>
  <c r="BN186" i="5" s="1"/>
  <c r="BK185" i="5"/>
  <c r="BK186" i="5" s="1"/>
  <c r="BZ185" i="5"/>
  <c r="BZ186" i="5" s="1"/>
  <c r="AL185" i="5"/>
  <c r="AL186" i="5" s="1"/>
  <c r="BW185" i="5"/>
  <c r="BW186" i="5" s="1"/>
  <c r="BV185" i="5"/>
  <c r="BV186" i="5" s="1"/>
  <c r="BQ185" i="5"/>
  <c r="BQ186" i="5" s="1"/>
  <c r="BL185" i="5"/>
  <c r="BL186" i="5" s="1"/>
  <c r="BB185" i="5"/>
  <c r="BB186" i="5" s="1"/>
  <c r="AY185" i="5"/>
  <c r="AY186" i="5" s="1"/>
  <c r="CC52" i="5"/>
  <c r="CC53" i="5" s="1"/>
  <c r="BQ52" i="5"/>
  <c r="BQ53" i="5" s="1"/>
  <c r="BE52" i="5"/>
  <c r="BE53" i="5" s="1"/>
  <c r="AS52" i="5"/>
  <c r="AS53" i="5" s="1"/>
  <c r="CA52" i="5"/>
  <c r="CA53" i="5" s="1"/>
  <c r="BN52" i="5"/>
  <c r="BN53" i="5" s="1"/>
  <c r="BA52" i="5"/>
  <c r="BA53" i="5" s="1"/>
  <c r="AN52" i="5"/>
  <c r="AN53" i="5" s="1"/>
  <c r="BX52" i="5"/>
  <c r="BX53" i="5" s="1"/>
  <c r="BK52" i="5"/>
  <c r="BK53" i="5" s="1"/>
  <c r="AX52" i="5"/>
  <c r="AX53" i="5" s="1"/>
  <c r="AK52" i="5"/>
  <c r="AK53" i="5" s="1"/>
  <c r="BS52" i="5"/>
  <c r="BS53" i="5" s="1"/>
  <c r="BC52" i="5"/>
  <c r="BC53" i="5" s="1"/>
  <c r="AM52" i="5"/>
  <c r="AM53" i="5" s="1"/>
  <c r="BO52" i="5"/>
  <c r="BO53" i="5" s="1"/>
  <c r="AY52" i="5"/>
  <c r="AY53" i="5" s="1"/>
  <c r="BM52" i="5"/>
  <c r="BM53" i="5" s="1"/>
  <c r="AU52" i="5"/>
  <c r="AU53" i="5" s="1"/>
  <c r="BL52" i="5"/>
  <c r="BL53" i="5" s="1"/>
  <c r="AT52" i="5"/>
  <c r="AT53" i="5" s="1"/>
  <c r="BJ52" i="5"/>
  <c r="BJ53" i="5" s="1"/>
  <c r="AR52" i="5"/>
  <c r="AR53" i="5" s="1"/>
  <c r="AP52" i="5"/>
  <c r="AP53" i="5" s="1"/>
  <c r="BD52" i="5"/>
  <c r="BD53" i="5" s="1"/>
  <c r="BT52" i="5"/>
  <c r="BT53" i="5" s="1"/>
  <c r="BR52" i="5"/>
  <c r="BR53" i="5" s="1"/>
  <c r="CB52" i="5"/>
  <c r="CB53" i="5" s="1"/>
  <c r="BI52" i="5"/>
  <c r="BI53" i="5" s="1"/>
  <c r="AQ52" i="5"/>
  <c r="AQ53" i="5" s="1"/>
  <c r="BZ52" i="5"/>
  <c r="BZ53" i="5" s="1"/>
  <c r="BH52" i="5"/>
  <c r="BH53" i="5" s="1"/>
  <c r="BV52" i="5"/>
  <c r="BV53" i="5" s="1"/>
  <c r="AZ52" i="5"/>
  <c r="AZ53" i="5" s="1"/>
  <c r="BY52" i="5"/>
  <c r="BY53" i="5" s="1"/>
  <c r="BG52" i="5"/>
  <c r="BG53" i="5" s="1"/>
  <c r="AO52" i="5"/>
  <c r="AO53" i="5" s="1"/>
  <c r="BW52" i="5"/>
  <c r="BW53" i="5" s="1"/>
  <c r="BF52" i="5"/>
  <c r="BF53" i="5" s="1"/>
  <c r="AL52" i="5"/>
  <c r="AL53" i="5" s="1"/>
  <c r="BU52" i="5"/>
  <c r="BU53" i="5" s="1"/>
  <c r="BB52" i="5"/>
  <c r="BB53" i="5" s="1"/>
  <c r="AW52" i="5"/>
  <c r="AW53" i="5" s="1"/>
  <c r="BP52" i="5"/>
  <c r="BP53" i="5" s="1"/>
  <c r="AV52" i="5"/>
  <c r="AV53" i="5" s="1"/>
  <c r="BZ115" i="5"/>
  <c r="BN115" i="5"/>
  <c r="BB115" i="5"/>
  <c r="AP115" i="5"/>
  <c r="BY115" i="5"/>
  <c r="BL115" i="5"/>
  <c r="AY115" i="5"/>
  <c r="AL115" i="5"/>
  <c r="AL116" i="5" s="1"/>
  <c r="BX115" i="5"/>
  <c r="BK115" i="5"/>
  <c r="AX115" i="5"/>
  <c r="AK115" i="5"/>
  <c r="AK116" i="5" s="1"/>
  <c r="BS115" i="5"/>
  <c r="BD115" i="5"/>
  <c r="AN115" i="5"/>
  <c r="BR115" i="5"/>
  <c r="BR116" i="5" s="1"/>
  <c r="BC115" i="5"/>
  <c r="AM115" i="5"/>
  <c r="AM116" i="5" s="1"/>
  <c r="BO115" i="5"/>
  <c r="BO116" i="5" s="1"/>
  <c r="AW115" i="5"/>
  <c r="CB115" i="5"/>
  <c r="BG115" i="5"/>
  <c r="BV115" i="5"/>
  <c r="BA115" i="5"/>
  <c r="BQ115" i="5"/>
  <c r="BQ116" i="5" s="1"/>
  <c r="AS115" i="5"/>
  <c r="BP115" i="5"/>
  <c r="BP116" i="5" s="1"/>
  <c r="AR115" i="5"/>
  <c r="BJ115" i="5"/>
  <c r="AO115" i="5"/>
  <c r="BE115" i="5"/>
  <c r="AZ115" i="5"/>
  <c r="AV115" i="5"/>
  <c r="AT115" i="5"/>
  <c r="BT115" i="5"/>
  <c r="CC115" i="5"/>
  <c r="AU115" i="5"/>
  <c r="CA115" i="5"/>
  <c r="BI115" i="5"/>
  <c r="BW115" i="5"/>
  <c r="AQ115" i="5"/>
  <c r="BU115" i="5"/>
  <c r="BM115" i="5"/>
  <c r="BH115" i="5"/>
  <c r="BF115" i="5"/>
  <c r="BW136" i="5"/>
  <c r="BK136" i="5"/>
  <c r="AY136" i="5"/>
  <c r="AM136" i="5"/>
  <c r="AM137" i="5" s="1"/>
  <c r="BU136" i="5"/>
  <c r="BH136" i="5"/>
  <c r="AU136" i="5"/>
  <c r="BT136" i="5"/>
  <c r="BG136" i="5"/>
  <c r="AT136" i="5"/>
  <c r="BZ136" i="5"/>
  <c r="BJ136" i="5"/>
  <c r="AS136" i="5"/>
  <c r="BY136" i="5"/>
  <c r="BI136" i="5"/>
  <c r="AR136" i="5"/>
  <c r="BS136" i="5"/>
  <c r="BD136" i="5"/>
  <c r="AO136" i="5"/>
  <c r="BQ136" i="5"/>
  <c r="BQ137" i="5" s="1"/>
  <c r="AX136" i="5"/>
  <c r="BP136" i="5"/>
  <c r="BP137" i="5" s="1"/>
  <c r="AW136" i="5"/>
  <c r="BN136" i="5"/>
  <c r="AQ136" i="5"/>
  <c r="BO136" i="5"/>
  <c r="BO137" i="5" s="1"/>
  <c r="AL136" i="5"/>
  <c r="AL137" i="5" s="1"/>
  <c r="BM136" i="5"/>
  <c r="AK136" i="5"/>
  <c r="AK137" i="5" s="1"/>
  <c r="BF136" i="5"/>
  <c r="BE136" i="5"/>
  <c r="BC136" i="5"/>
  <c r="BB136" i="5"/>
  <c r="AZ136" i="5"/>
  <c r="CA136" i="5"/>
  <c r="BV136" i="5"/>
  <c r="BR136" i="5"/>
  <c r="BR137" i="5" s="1"/>
  <c r="BA136" i="5"/>
  <c r="AN136" i="5"/>
  <c r="CC136" i="5"/>
  <c r="AV136" i="5"/>
  <c r="CB136" i="5"/>
  <c r="AP136" i="5"/>
  <c r="BX136" i="5"/>
  <c r="BL136" i="5"/>
  <c r="CC150" i="5"/>
  <c r="BQ150" i="5"/>
  <c r="BQ151" i="5" s="1"/>
  <c r="BE150" i="5"/>
  <c r="AS150" i="5"/>
  <c r="BW150" i="5"/>
  <c r="BJ150" i="5"/>
  <c r="AW150" i="5"/>
  <c r="BV150" i="5"/>
  <c r="BI150" i="5"/>
  <c r="AV150" i="5"/>
  <c r="BN150" i="5"/>
  <c r="AY150" i="5"/>
  <c r="CB150" i="5"/>
  <c r="BM150" i="5"/>
  <c r="AX150" i="5"/>
  <c r="BY150" i="5"/>
  <c r="BH150" i="5"/>
  <c r="AR150" i="5"/>
  <c r="BL150" i="5"/>
  <c r="AP150" i="5"/>
  <c r="BK150" i="5"/>
  <c r="AO150" i="5"/>
  <c r="CA150" i="5"/>
  <c r="BF150" i="5"/>
  <c r="AM150" i="5"/>
  <c r="AM151" i="5" s="1"/>
  <c r="BG150" i="5"/>
  <c r="BD150" i="5"/>
  <c r="BB150" i="5"/>
  <c r="BZ150" i="5"/>
  <c r="AT150" i="5"/>
  <c r="BX150" i="5"/>
  <c r="AQ150" i="5"/>
  <c r="BU150" i="5"/>
  <c r="AN150" i="5"/>
  <c r="AK150" i="5"/>
  <c r="AK151" i="5" s="1"/>
  <c r="BO150" i="5"/>
  <c r="BO151" i="5" s="1"/>
  <c r="BA150" i="5"/>
  <c r="BT150" i="5"/>
  <c r="AL150" i="5"/>
  <c r="AL151" i="5" s="1"/>
  <c r="BS150" i="5"/>
  <c r="BR150" i="5"/>
  <c r="BR151" i="5" s="1"/>
  <c r="BP150" i="5"/>
  <c r="BP151" i="5" s="1"/>
  <c r="BC150" i="5"/>
  <c r="AZ150" i="5"/>
  <c r="AU150" i="5"/>
  <c r="CC24" i="5"/>
  <c r="BQ24" i="5"/>
  <c r="BQ25" i="5" s="1"/>
  <c r="BE24" i="5"/>
  <c r="AS24" i="5"/>
  <c r="BX24" i="5"/>
  <c r="BK24" i="5"/>
  <c r="AX24" i="5"/>
  <c r="AK24" i="5"/>
  <c r="AK25" i="5" s="1"/>
  <c r="BU24" i="5"/>
  <c r="BH24" i="5"/>
  <c r="AU24" i="5"/>
  <c r="BZ24" i="5"/>
  <c r="BJ24" i="5"/>
  <c r="AT24" i="5"/>
  <c r="BV24" i="5"/>
  <c r="BF24" i="5"/>
  <c r="AP24" i="5"/>
  <c r="BY24" i="5"/>
  <c r="BD24" i="5"/>
  <c r="AM24" i="5"/>
  <c r="AM25" i="5" s="1"/>
  <c r="BW24" i="5"/>
  <c r="BC24" i="5"/>
  <c r="AL24" i="5"/>
  <c r="AL25" i="5" s="1"/>
  <c r="BT24" i="5"/>
  <c r="BB24" i="5"/>
  <c r="BR24" i="5"/>
  <c r="BR25" i="5" s="1"/>
  <c r="AV24" i="5"/>
  <c r="BI24" i="5"/>
  <c r="BS24" i="5"/>
  <c r="BA24" i="5"/>
  <c r="AZ24" i="5"/>
  <c r="BN24" i="5"/>
  <c r="BL24" i="5"/>
  <c r="AQ24" i="5"/>
  <c r="CB24" i="5"/>
  <c r="BP24" i="5"/>
  <c r="BP25" i="5" s="1"/>
  <c r="AY24" i="5"/>
  <c r="BO24" i="5"/>
  <c r="BO25" i="5" s="1"/>
  <c r="AW24" i="5"/>
  <c r="BM24" i="5"/>
  <c r="AR24" i="5"/>
  <c r="CA24" i="5"/>
  <c r="BG24" i="5"/>
  <c r="AN24" i="5"/>
  <c r="AO24" i="5"/>
  <c r="CB87" i="5"/>
  <c r="BP87" i="5"/>
  <c r="BP88" i="5" s="1"/>
  <c r="BD87" i="5"/>
  <c r="BV87" i="5"/>
  <c r="BI87" i="5"/>
  <c r="AV87" i="5"/>
  <c r="BR87" i="5"/>
  <c r="BR88" i="5" s="1"/>
  <c r="BE87" i="5"/>
  <c r="AR87" i="5"/>
  <c r="BQ87" i="5"/>
  <c r="BQ88" i="5" s="1"/>
  <c r="BA87" i="5"/>
  <c r="AM87" i="5"/>
  <c r="AM88" i="5" s="1"/>
  <c r="CC87" i="5"/>
  <c r="BM87" i="5"/>
  <c r="AX87" i="5"/>
  <c r="BO87" i="5"/>
  <c r="BO88" i="5" s="1"/>
  <c r="AW87" i="5"/>
  <c r="BK87" i="5"/>
  <c r="AS87" i="5"/>
  <c r="BN87" i="5"/>
  <c r="AQ87" i="5"/>
  <c r="BL87" i="5"/>
  <c r="AP87" i="5"/>
  <c r="BJ87" i="5"/>
  <c r="AO87" i="5"/>
  <c r="BG87" i="5"/>
  <c r="BX87" i="5"/>
  <c r="AY87" i="5"/>
  <c r="BH87" i="5"/>
  <c r="AN87" i="5"/>
  <c r="CA87" i="5"/>
  <c r="AL87" i="5"/>
  <c r="AL88" i="5" s="1"/>
  <c r="BB87" i="5"/>
  <c r="BU87" i="5"/>
  <c r="AU87" i="5"/>
  <c r="BZ87" i="5"/>
  <c r="BF87" i="5"/>
  <c r="AK87" i="5"/>
  <c r="AK88" i="5" s="1"/>
  <c r="BY87" i="5"/>
  <c r="BC87" i="5"/>
  <c r="BW87" i="5"/>
  <c r="AZ87" i="5"/>
  <c r="BT87" i="5"/>
  <c r="BS87" i="5"/>
  <c r="AT87" i="5"/>
  <c r="CA255" i="5"/>
  <c r="BO255" i="5"/>
  <c r="BO256" i="5" s="1"/>
  <c r="BC255" i="5"/>
  <c r="AQ255" i="5"/>
  <c r="BZ255" i="5"/>
  <c r="BN255" i="5"/>
  <c r="BB255" i="5"/>
  <c r="AP255" i="5"/>
  <c r="CC255" i="5"/>
  <c r="BM255" i="5"/>
  <c r="AY255" i="5"/>
  <c r="AK255" i="5"/>
  <c r="AK256" i="5" s="1"/>
  <c r="CB255" i="5"/>
  <c r="BL255" i="5"/>
  <c r="AX255" i="5"/>
  <c r="BY255" i="5"/>
  <c r="BI255" i="5"/>
  <c r="AS255" i="5"/>
  <c r="BX255" i="5"/>
  <c r="BH255" i="5"/>
  <c r="AR255" i="5"/>
  <c r="BW255" i="5"/>
  <c r="BU255" i="5"/>
  <c r="BE255" i="5"/>
  <c r="AM255" i="5"/>
  <c r="AM256" i="5" s="1"/>
  <c r="BS255" i="5"/>
  <c r="AV255" i="5"/>
  <c r="BR255" i="5"/>
  <c r="BR256" i="5" s="1"/>
  <c r="AU255" i="5"/>
  <c r="BP255" i="5"/>
  <c r="BP256" i="5" s="1"/>
  <c r="AO255" i="5"/>
  <c r="BQ255" i="5"/>
  <c r="BQ256" i="5" s="1"/>
  <c r="BK255" i="5"/>
  <c r="BG255" i="5"/>
  <c r="BF255" i="5"/>
  <c r="BV255" i="5"/>
  <c r="BT255" i="5"/>
  <c r="BJ255" i="5"/>
  <c r="AT255" i="5"/>
  <c r="BD255" i="5"/>
  <c r="BA255" i="5"/>
  <c r="AN255" i="5"/>
  <c r="AZ255" i="5"/>
  <c r="AW255" i="5"/>
  <c r="AL255" i="5"/>
  <c r="AL256" i="5" s="1"/>
  <c r="BZ171" i="5"/>
  <c r="BN171" i="5"/>
  <c r="BB171" i="5"/>
  <c r="AP171" i="5"/>
  <c r="BS171" i="5"/>
  <c r="BF171" i="5"/>
  <c r="AS171" i="5"/>
  <c r="BR171" i="5"/>
  <c r="BR172" i="5" s="1"/>
  <c r="BE171" i="5"/>
  <c r="AR171" i="5"/>
  <c r="BU171" i="5"/>
  <c r="BD171" i="5"/>
  <c r="AN171" i="5"/>
  <c r="BT171" i="5"/>
  <c r="BC171" i="5"/>
  <c r="AM171" i="5"/>
  <c r="AM172" i="5" s="1"/>
  <c r="BO171" i="5"/>
  <c r="BO172" i="5" s="1"/>
  <c r="AY171" i="5"/>
  <c r="BX171" i="5"/>
  <c r="BA171" i="5"/>
  <c r="BW171" i="5"/>
  <c r="AZ171" i="5"/>
  <c r="BQ171" i="5"/>
  <c r="BQ172" i="5" s="1"/>
  <c r="AW171" i="5"/>
  <c r="BL171" i="5"/>
  <c r="AL171" i="5"/>
  <c r="AL172" i="5" s="1"/>
  <c r="BK171" i="5"/>
  <c r="AK171" i="5"/>
  <c r="AK172" i="5" s="1"/>
  <c r="BI171" i="5"/>
  <c r="BH171" i="5"/>
  <c r="BG171" i="5"/>
  <c r="AX171" i="5"/>
  <c r="AU171" i="5"/>
  <c r="BY171" i="5"/>
  <c r="BP171" i="5"/>
  <c r="BP172" i="5" s="1"/>
  <c r="BM171" i="5"/>
  <c r="AV171" i="5"/>
  <c r="CC171" i="5"/>
  <c r="AO171" i="5"/>
  <c r="CB171" i="5"/>
  <c r="AT171" i="5"/>
  <c r="CA171" i="5"/>
  <c r="AQ171" i="5"/>
  <c r="BV171" i="5"/>
  <c r="BJ171" i="5"/>
  <c r="BZ45" i="5"/>
  <c r="BN45" i="5"/>
  <c r="BB45" i="5"/>
  <c r="AP45" i="5"/>
  <c r="BT45" i="5"/>
  <c r="BG45" i="5"/>
  <c r="AT45" i="5"/>
  <c r="BQ45" i="5"/>
  <c r="BQ46" i="5" s="1"/>
  <c r="BD45" i="5"/>
  <c r="AQ45" i="5"/>
  <c r="BP45" i="5"/>
  <c r="BP46" i="5" s="1"/>
  <c r="AZ45" i="5"/>
  <c r="AK45" i="5"/>
  <c r="AK46" i="5" s="1"/>
  <c r="CB45" i="5"/>
  <c r="BL45" i="5"/>
  <c r="AW45" i="5"/>
  <c r="BV45" i="5"/>
  <c r="BC45" i="5"/>
  <c r="BU45" i="5"/>
  <c r="BA45" i="5"/>
  <c r="BS45" i="5"/>
  <c r="AY45" i="5"/>
  <c r="AV45" i="5"/>
  <c r="BJ45" i="5"/>
  <c r="CA45" i="5"/>
  <c r="BY45" i="5"/>
  <c r="AN45" i="5"/>
  <c r="BF45" i="5"/>
  <c r="BR45" i="5"/>
  <c r="BR46" i="5" s="1"/>
  <c r="AX45" i="5"/>
  <c r="BO45" i="5"/>
  <c r="BO46" i="5" s="1"/>
  <c r="CC45" i="5"/>
  <c r="AR45" i="5"/>
  <c r="BH45" i="5"/>
  <c r="BX45" i="5"/>
  <c r="BM45" i="5"/>
  <c r="AU45" i="5"/>
  <c r="BK45" i="5"/>
  <c r="AS45" i="5"/>
  <c r="BI45" i="5"/>
  <c r="AO45" i="5"/>
  <c r="AM45" i="5"/>
  <c r="AM46" i="5" s="1"/>
  <c r="BW45" i="5"/>
  <c r="BE45" i="5"/>
  <c r="AL45" i="5"/>
  <c r="AL46" i="5" s="1"/>
  <c r="CC206" i="5"/>
  <c r="CC207" i="5" s="1"/>
  <c r="BQ206" i="5"/>
  <c r="BQ207" i="5" s="1"/>
  <c r="BE206" i="5"/>
  <c r="BE207" i="5" s="1"/>
  <c r="AS206" i="5"/>
  <c r="AS207" i="5" s="1"/>
  <c r="BP206" i="5"/>
  <c r="BP207" i="5" s="1"/>
  <c r="BC206" i="5"/>
  <c r="BC207" i="5" s="1"/>
  <c r="AP206" i="5"/>
  <c r="AP207" i="5" s="1"/>
  <c r="CB206" i="5"/>
  <c r="CB207" i="5" s="1"/>
  <c r="BO206" i="5"/>
  <c r="BO207" i="5" s="1"/>
  <c r="BB206" i="5"/>
  <c r="BB207" i="5" s="1"/>
  <c r="AO206" i="5"/>
  <c r="AO207" i="5" s="1"/>
  <c r="BN206" i="5"/>
  <c r="BN207" i="5" s="1"/>
  <c r="AY206" i="5"/>
  <c r="AY207" i="5" s="1"/>
  <c r="BM206" i="5"/>
  <c r="BM207" i="5" s="1"/>
  <c r="AX206" i="5"/>
  <c r="AX207" i="5" s="1"/>
  <c r="BY206" i="5"/>
  <c r="BY207" i="5" s="1"/>
  <c r="BJ206" i="5"/>
  <c r="BJ207" i="5" s="1"/>
  <c r="AU206" i="5"/>
  <c r="AU207" i="5" s="1"/>
  <c r="CA206" i="5"/>
  <c r="CA207" i="5" s="1"/>
  <c r="BH206" i="5"/>
  <c r="BH207" i="5" s="1"/>
  <c r="AM206" i="5"/>
  <c r="AM207" i="5" s="1"/>
  <c r="BZ206" i="5"/>
  <c r="BZ207" i="5" s="1"/>
  <c r="BG206" i="5"/>
  <c r="BG207" i="5" s="1"/>
  <c r="AL206" i="5"/>
  <c r="AL207" i="5" s="1"/>
  <c r="BW206" i="5"/>
  <c r="BW207" i="5" s="1"/>
  <c r="BD206" i="5"/>
  <c r="BD207" i="5" s="1"/>
  <c r="BL206" i="5"/>
  <c r="BL207" i="5" s="1"/>
  <c r="AK206" i="5"/>
  <c r="AK207" i="5" s="1"/>
  <c r="BK206" i="5"/>
  <c r="BK207" i="5" s="1"/>
  <c r="BF206" i="5"/>
  <c r="BF207" i="5" s="1"/>
  <c r="BA206" i="5"/>
  <c r="BA207" i="5" s="1"/>
  <c r="BX206" i="5"/>
  <c r="BX207" i="5" s="1"/>
  <c r="AQ206" i="5"/>
  <c r="AQ207" i="5" s="1"/>
  <c r="BV206" i="5"/>
  <c r="BV207" i="5" s="1"/>
  <c r="AN206" i="5"/>
  <c r="AN207" i="5" s="1"/>
  <c r="BU206" i="5"/>
  <c r="BU207" i="5" s="1"/>
  <c r="BS206" i="5"/>
  <c r="BS207" i="5" s="1"/>
  <c r="AV206" i="5"/>
  <c r="AV207" i="5" s="1"/>
  <c r="AT206" i="5"/>
  <c r="AT207" i="5" s="1"/>
  <c r="BT206" i="5"/>
  <c r="BT207" i="5" s="1"/>
  <c r="AZ206" i="5"/>
  <c r="AZ207" i="5" s="1"/>
  <c r="BR206" i="5"/>
  <c r="BR207" i="5" s="1"/>
  <c r="BI206" i="5"/>
  <c r="BI207" i="5" s="1"/>
  <c r="AW206" i="5"/>
  <c r="AW207" i="5" s="1"/>
  <c r="AR206" i="5"/>
  <c r="AR207" i="5" s="1"/>
  <c r="CC122" i="5"/>
  <c r="BQ122" i="5"/>
  <c r="BQ123" i="5" s="1"/>
  <c r="BE122" i="5"/>
  <c r="AS122" i="5"/>
  <c r="BT122" i="5"/>
  <c r="BG122" i="5"/>
  <c r="AT122" i="5"/>
  <c r="BS122" i="5"/>
  <c r="BF122" i="5"/>
  <c r="AR122" i="5"/>
  <c r="BV122" i="5"/>
  <c r="BD122" i="5"/>
  <c r="AO122" i="5"/>
  <c r="BU122" i="5"/>
  <c r="BC122" i="5"/>
  <c r="AN122" i="5"/>
  <c r="BO122" i="5"/>
  <c r="BO123" i="5" s="1"/>
  <c r="AZ122" i="5"/>
  <c r="AK122" i="5"/>
  <c r="AK123" i="5" s="1"/>
  <c r="BY122" i="5"/>
  <c r="BB122" i="5"/>
  <c r="BR122" i="5"/>
  <c r="BR123" i="5" s="1"/>
  <c r="AX122" i="5"/>
  <c r="BX122" i="5"/>
  <c r="AW122" i="5"/>
  <c r="BW122" i="5"/>
  <c r="AV122" i="5"/>
  <c r="BN122" i="5"/>
  <c r="AQ122" i="5"/>
  <c r="CA122" i="5"/>
  <c r="AP122" i="5"/>
  <c r="BZ122" i="5"/>
  <c r="AM122" i="5"/>
  <c r="AM123" i="5" s="1"/>
  <c r="BP122" i="5"/>
  <c r="BP123" i="5" s="1"/>
  <c r="AL122" i="5"/>
  <c r="AL123" i="5" s="1"/>
  <c r="BL122" i="5"/>
  <c r="AY122" i="5"/>
  <c r="BM122" i="5"/>
  <c r="BI122" i="5"/>
  <c r="BK122" i="5"/>
  <c r="BJ122" i="5"/>
  <c r="BH122" i="5"/>
  <c r="BA122" i="5"/>
  <c r="CB122" i="5"/>
  <c r="AU122" i="5"/>
  <c r="CC234" i="5"/>
  <c r="BQ234" i="5"/>
  <c r="BQ235" i="5" s="1"/>
  <c r="BE234" i="5"/>
  <c r="AS234" i="5"/>
  <c r="BT234" i="5"/>
  <c r="BG234" i="5"/>
  <c r="AT234" i="5"/>
  <c r="BS234" i="5"/>
  <c r="BF234" i="5"/>
  <c r="AR234" i="5"/>
  <c r="BX234" i="5"/>
  <c r="BI234" i="5"/>
  <c r="AQ234" i="5"/>
  <c r="BW234" i="5"/>
  <c r="BH234" i="5"/>
  <c r="AP234" i="5"/>
  <c r="BR234" i="5"/>
  <c r="BR235" i="5" s="1"/>
  <c r="BB234" i="5"/>
  <c r="AM234" i="5"/>
  <c r="AM235" i="5" s="1"/>
  <c r="BO234" i="5"/>
  <c r="BO235" i="5" s="1"/>
  <c r="AW234" i="5"/>
  <c r="BN234" i="5"/>
  <c r="AV234" i="5"/>
  <c r="BL234" i="5"/>
  <c r="AO234" i="5"/>
  <c r="CA234" i="5"/>
  <c r="AZ234" i="5"/>
  <c r="BZ234" i="5"/>
  <c r="AY234" i="5"/>
  <c r="BV234" i="5"/>
  <c r="AU234" i="5"/>
  <c r="BU234" i="5"/>
  <c r="AN234" i="5"/>
  <c r="BM234" i="5"/>
  <c r="BK234" i="5"/>
  <c r="BJ234" i="5"/>
  <c r="BC234" i="5"/>
  <c r="CB234" i="5"/>
  <c r="BD234" i="5"/>
  <c r="AL234" i="5"/>
  <c r="AL235" i="5" s="1"/>
  <c r="BA234" i="5"/>
  <c r="AX234" i="5"/>
  <c r="AK234" i="5"/>
  <c r="AK235" i="5" s="1"/>
  <c r="BY234" i="5"/>
  <c r="BP234" i="5"/>
  <c r="BP235" i="5" s="1"/>
  <c r="BZ199" i="5"/>
  <c r="BN199" i="5"/>
  <c r="BB199" i="5"/>
  <c r="AP199" i="5"/>
  <c r="BV199" i="5"/>
  <c r="BI199" i="5"/>
  <c r="AV199" i="5"/>
  <c r="BU199" i="5"/>
  <c r="BH199" i="5"/>
  <c r="AU199" i="5"/>
  <c r="CC199" i="5"/>
  <c r="BM199" i="5"/>
  <c r="AX199" i="5"/>
  <c r="CB199" i="5"/>
  <c r="BL199" i="5"/>
  <c r="AW199" i="5"/>
  <c r="BX199" i="5"/>
  <c r="BG199" i="5"/>
  <c r="AR199" i="5"/>
  <c r="BK199" i="5"/>
  <c r="AO199" i="5"/>
  <c r="BJ199" i="5"/>
  <c r="AN199" i="5"/>
  <c r="CA199" i="5"/>
  <c r="BE199" i="5"/>
  <c r="AL199" i="5"/>
  <c r="AL200" i="5" s="1"/>
  <c r="BA199" i="5"/>
  <c r="BY199" i="5"/>
  <c r="AZ199" i="5"/>
  <c r="BT199" i="5"/>
  <c r="AT199" i="5"/>
  <c r="BS199" i="5"/>
  <c r="AS199" i="5"/>
  <c r="AM199" i="5"/>
  <c r="AM200" i="5" s="1"/>
  <c r="AK199" i="5"/>
  <c r="AK200" i="5" s="1"/>
  <c r="BW199" i="5"/>
  <c r="BF199" i="5"/>
  <c r="BC199" i="5"/>
  <c r="BR199" i="5"/>
  <c r="BR200" i="5" s="1"/>
  <c r="BQ199" i="5"/>
  <c r="BQ200" i="5" s="1"/>
  <c r="BP199" i="5"/>
  <c r="BP200" i="5" s="1"/>
  <c r="BO199" i="5"/>
  <c r="BO200" i="5" s="1"/>
  <c r="BD199" i="5"/>
  <c r="AY199" i="5"/>
  <c r="AQ199" i="5"/>
  <c r="CC178" i="5"/>
  <c r="BQ178" i="5"/>
  <c r="BQ179" i="5" s="1"/>
  <c r="BE178" i="5"/>
  <c r="AS178" i="5"/>
  <c r="BZ178" i="5"/>
  <c r="BM178" i="5"/>
  <c r="AZ178" i="5"/>
  <c r="AM178" i="5"/>
  <c r="AM179" i="5" s="1"/>
  <c r="BY178" i="5"/>
  <c r="BL178" i="5"/>
  <c r="AY178" i="5"/>
  <c r="AL178" i="5"/>
  <c r="AL179" i="5" s="1"/>
  <c r="BV178" i="5"/>
  <c r="BG178" i="5"/>
  <c r="AQ178" i="5"/>
  <c r="BU178" i="5"/>
  <c r="BF178" i="5"/>
  <c r="AP178" i="5"/>
  <c r="BR178" i="5"/>
  <c r="BR179" i="5" s="1"/>
  <c r="BB178" i="5"/>
  <c r="AK178" i="5"/>
  <c r="AK179" i="5" s="1"/>
  <c r="BT178" i="5"/>
  <c r="AX178" i="5"/>
  <c r="BS178" i="5"/>
  <c r="AW178" i="5"/>
  <c r="BO178" i="5"/>
  <c r="BO179" i="5" s="1"/>
  <c r="AU178" i="5"/>
  <c r="CA178" i="5"/>
  <c r="AV178" i="5"/>
  <c r="BX178" i="5"/>
  <c r="AT178" i="5"/>
  <c r="BP178" i="5"/>
  <c r="BP179" i="5" s="1"/>
  <c r="AO178" i="5"/>
  <c r="BN178" i="5"/>
  <c r="BC178" i="5"/>
  <c r="BA178" i="5"/>
  <c r="AR178" i="5"/>
  <c r="AN178" i="5"/>
  <c r="BK178" i="5"/>
  <c r="BI178" i="5"/>
  <c r="BH178" i="5"/>
  <c r="CB178" i="5"/>
  <c r="BW178" i="5"/>
  <c r="BJ178" i="5"/>
  <c r="BD178" i="5"/>
  <c r="BZ143" i="5"/>
  <c r="BN143" i="5"/>
  <c r="BB143" i="5"/>
  <c r="AP143" i="5"/>
  <c r="CC143" i="5"/>
  <c r="BP143" i="5"/>
  <c r="BP144" i="5" s="1"/>
  <c r="BC143" i="5"/>
  <c r="AO143" i="5"/>
  <c r="CB143" i="5"/>
  <c r="BO143" i="5"/>
  <c r="BO144" i="5" s="1"/>
  <c r="BA143" i="5"/>
  <c r="AN143" i="5"/>
  <c r="CA143" i="5"/>
  <c r="BK143" i="5"/>
  <c r="AV143" i="5"/>
  <c r="BY143" i="5"/>
  <c r="BJ143" i="5"/>
  <c r="AU143" i="5"/>
  <c r="BV143" i="5"/>
  <c r="BG143" i="5"/>
  <c r="AR143" i="5"/>
  <c r="BQ143" i="5"/>
  <c r="BQ144" i="5" s="1"/>
  <c r="AT143" i="5"/>
  <c r="BM143" i="5"/>
  <c r="AS143" i="5"/>
  <c r="BI143" i="5"/>
  <c r="AM143" i="5"/>
  <c r="AM144" i="5" s="1"/>
  <c r="BX143" i="5"/>
  <c r="AY143" i="5"/>
  <c r="BW143" i="5"/>
  <c r="AX143" i="5"/>
  <c r="BT143" i="5"/>
  <c r="AQ143" i="5"/>
  <c r="BD143" i="5"/>
  <c r="AZ143" i="5"/>
  <c r="AW143" i="5"/>
  <c r="AL143" i="5"/>
  <c r="AL144" i="5" s="1"/>
  <c r="AK143" i="5"/>
  <c r="AK144" i="5" s="1"/>
  <c r="BR143" i="5"/>
  <c r="BR144" i="5" s="1"/>
  <c r="BH143" i="5"/>
  <c r="BF143" i="5"/>
  <c r="BU143" i="5"/>
  <c r="BS143" i="5"/>
  <c r="BL143" i="5"/>
  <c r="BE143" i="5"/>
  <c r="AL17" i="5"/>
  <c r="AX17" i="5"/>
  <c r="BJ17" i="5"/>
  <c r="BV17" i="5"/>
  <c r="BB17" i="5"/>
  <c r="BN17" i="5"/>
  <c r="BP17" i="5"/>
  <c r="BE17" i="5"/>
  <c r="CC17" i="5"/>
  <c r="AT17" i="5"/>
  <c r="BH17" i="5"/>
  <c r="BI17" i="5"/>
  <c r="AM17" i="5"/>
  <c r="AY17" i="5"/>
  <c r="BK17" i="5"/>
  <c r="BW17" i="5"/>
  <c r="BL17" i="5"/>
  <c r="AP17" i="5"/>
  <c r="BZ17" i="5"/>
  <c r="BC17" i="5"/>
  <c r="CA17" i="5"/>
  <c r="AR17" i="5"/>
  <c r="CB17" i="5"/>
  <c r="AS17" i="5"/>
  <c r="BF17" i="5"/>
  <c r="AV17" i="5"/>
  <c r="AN17" i="5"/>
  <c r="AZ17" i="5"/>
  <c r="BX17" i="5"/>
  <c r="AQ17" i="5"/>
  <c r="BD17" i="5"/>
  <c r="BQ17" i="5"/>
  <c r="BG17" i="5"/>
  <c r="AW17" i="5"/>
  <c r="BU17" i="5"/>
  <c r="AO17" i="5"/>
  <c r="BA17" i="5"/>
  <c r="BM17" i="5"/>
  <c r="BY17" i="5"/>
  <c r="BO17" i="5"/>
  <c r="BR17" i="5"/>
  <c r="BS17" i="5"/>
  <c r="BT17" i="5"/>
  <c r="AU17" i="5"/>
  <c r="AK17" i="5"/>
  <c r="BY248" i="7"/>
  <c r="BY249" i="7" s="1"/>
  <c r="BM248" i="7"/>
  <c r="BM249" i="7" s="1"/>
  <c r="BA248" i="7"/>
  <c r="BA249" i="7" s="1"/>
  <c r="AO248" i="7"/>
  <c r="AO249" i="7" s="1"/>
  <c r="BU248" i="7"/>
  <c r="BU249" i="7" s="1"/>
  <c r="BH248" i="7"/>
  <c r="BH249" i="7" s="1"/>
  <c r="AU248" i="7"/>
  <c r="AU249" i="7" s="1"/>
  <c r="BT248" i="7"/>
  <c r="BT249" i="7" s="1"/>
  <c r="BG248" i="7"/>
  <c r="BG249" i="7" s="1"/>
  <c r="AT248" i="7"/>
  <c r="AT249" i="7" s="1"/>
  <c r="BZ248" i="7"/>
  <c r="BZ249" i="7" s="1"/>
  <c r="BJ248" i="7"/>
  <c r="BJ249" i="7" s="1"/>
  <c r="AS248" i="7"/>
  <c r="AS249" i="7" s="1"/>
  <c r="BS248" i="7"/>
  <c r="BS249" i="7" s="1"/>
  <c r="BD248" i="7"/>
  <c r="BD249" i="7" s="1"/>
  <c r="AN248" i="7"/>
  <c r="AN249" i="7" s="1"/>
  <c r="BO248" i="7"/>
  <c r="BO249" i="7" s="1"/>
  <c r="AW248" i="7"/>
  <c r="AW249" i="7" s="1"/>
  <c r="BN248" i="7"/>
  <c r="BN249" i="7" s="1"/>
  <c r="BX248" i="7"/>
  <c r="BX249" i="7" s="1"/>
  <c r="BB248" i="7"/>
  <c r="BB249" i="7" s="1"/>
  <c r="BW248" i="7"/>
  <c r="BW249" i="7" s="1"/>
  <c r="AZ248" i="7"/>
  <c r="AZ249" i="7" s="1"/>
  <c r="BV248" i="7"/>
  <c r="BV249" i="7" s="1"/>
  <c r="AY248" i="7"/>
  <c r="AY249" i="7" s="1"/>
  <c r="BR248" i="7"/>
  <c r="BR249" i="7" s="1"/>
  <c r="AX248" i="7"/>
  <c r="AX249" i="7" s="1"/>
  <c r="BQ248" i="7"/>
  <c r="BQ249" i="7" s="1"/>
  <c r="AV248" i="7"/>
  <c r="AV249" i="7" s="1"/>
  <c r="CB248" i="7"/>
  <c r="CB249" i="7" s="1"/>
  <c r="AM248" i="7"/>
  <c r="AM249" i="7" s="1"/>
  <c r="AK248" i="7"/>
  <c r="AK249" i="7" s="1"/>
  <c r="CA248" i="7"/>
  <c r="CA249" i="7" s="1"/>
  <c r="AL248" i="7"/>
  <c r="AL249" i="7" s="1"/>
  <c r="BP248" i="7"/>
  <c r="BP249" i="7" s="1"/>
  <c r="BI248" i="7"/>
  <c r="BI249" i="7" s="1"/>
  <c r="BF248" i="7"/>
  <c r="BF249" i="7" s="1"/>
  <c r="AQ248" i="7"/>
  <c r="AQ249" i="7" s="1"/>
  <c r="AP248" i="7"/>
  <c r="AP249" i="7" s="1"/>
  <c r="BC248" i="7"/>
  <c r="BC249" i="7" s="1"/>
  <c r="CC248" i="7"/>
  <c r="CC249" i="7" s="1"/>
  <c r="BL248" i="7"/>
  <c r="BL249" i="7" s="1"/>
  <c r="BK248" i="7"/>
  <c r="BK249" i="7" s="1"/>
  <c r="BE248" i="7"/>
  <c r="BE249" i="7" s="1"/>
  <c r="AR248" i="7"/>
  <c r="AR249" i="7" s="1"/>
  <c r="BU52" i="7"/>
  <c r="BI52" i="7"/>
  <c r="AW52" i="7"/>
  <c r="AK52" i="7"/>
  <c r="AK53" i="7" s="1"/>
  <c r="BZ52" i="7"/>
  <c r="BM52" i="7"/>
  <c r="AZ52" i="7"/>
  <c r="AM52" i="7"/>
  <c r="AM53" i="7" s="1"/>
  <c r="BY52" i="7"/>
  <c r="BL52" i="7"/>
  <c r="AY52" i="7"/>
  <c r="AL52" i="7"/>
  <c r="AL53" i="7" s="1"/>
  <c r="BR52" i="7"/>
  <c r="BR53" i="7" s="1"/>
  <c r="BC52" i="7"/>
  <c r="AN52" i="7"/>
  <c r="BQ52" i="7"/>
  <c r="BQ53" i="7" s="1"/>
  <c r="BB52" i="7"/>
  <c r="BO52" i="7"/>
  <c r="BO53" i="7" s="1"/>
  <c r="AX52" i="7"/>
  <c r="BT52" i="7"/>
  <c r="AV52" i="7"/>
  <c r="BP52" i="7"/>
  <c r="BP53" i="7" s="1"/>
  <c r="AT52" i="7"/>
  <c r="BS52" i="7"/>
  <c r="AU52" i="7"/>
  <c r="BJ52" i="7"/>
  <c r="AQ52" i="7"/>
  <c r="CA52" i="7"/>
  <c r="AS52" i="7"/>
  <c r="BX52" i="7"/>
  <c r="AR52" i="7"/>
  <c r="BW52" i="7"/>
  <c r="BE52" i="7"/>
  <c r="CC52" i="7"/>
  <c r="AP52" i="7"/>
  <c r="BV52" i="7"/>
  <c r="AO52" i="7"/>
  <c r="BA52" i="7"/>
  <c r="BN52" i="7"/>
  <c r="BK52" i="7"/>
  <c r="BH52" i="7"/>
  <c r="BG52" i="7"/>
  <c r="BF52" i="7"/>
  <c r="BD52" i="7"/>
  <c r="CB52" i="7"/>
  <c r="CB115" i="7"/>
  <c r="BP115" i="7"/>
  <c r="BP116" i="7" s="1"/>
  <c r="BD115" i="7"/>
  <c r="AR115" i="7"/>
  <c r="BY115" i="7"/>
  <c r="BL115" i="7"/>
  <c r="AY115" i="7"/>
  <c r="AL115" i="7"/>
  <c r="AL116" i="7" s="1"/>
  <c r="BX115" i="7"/>
  <c r="BJ115" i="7"/>
  <c r="AV115" i="7"/>
  <c r="BT115" i="7"/>
  <c r="BF115" i="7"/>
  <c r="AQ115" i="7"/>
  <c r="BM115" i="7"/>
  <c r="AU115" i="7"/>
  <c r="CC115" i="7"/>
  <c r="BK115" i="7"/>
  <c r="AT115" i="7"/>
  <c r="BH115" i="7"/>
  <c r="AN115" i="7"/>
  <c r="CA115" i="7"/>
  <c r="BG115" i="7"/>
  <c r="AM115" i="7"/>
  <c r="AM116" i="7" s="1"/>
  <c r="BZ115" i="7"/>
  <c r="BE115" i="7"/>
  <c r="AK115" i="7"/>
  <c r="AK116" i="7" s="1"/>
  <c r="BW115" i="7"/>
  <c r="BC115" i="7"/>
  <c r="AX115" i="7"/>
  <c r="BU115" i="7"/>
  <c r="AS115" i="7"/>
  <c r="BV115" i="7"/>
  <c r="AW115" i="7"/>
  <c r="BQ115" i="7"/>
  <c r="BQ116" i="7" s="1"/>
  <c r="BO115" i="7"/>
  <c r="BO116" i="7" s="1"/>
  <c r="BS115" i="7"/>
  <c r="AP115" i="7"/>
  <c r="BR115" i="7"/>
  <c r="BR116" i="7" s="1"/>
  <c r="BN115" i="7"/>
  <c r="BI115" i="7"/>
  <c r="BB115" i="7"/>
  <c r="BA115" i="7"/>
  <c r="AZ115" i="7"/>
  <c r="AO115" i="7"/>
  <c r="BV213" i="7"/>
  <c r="BV214" i="7" s="1"/>
  <c r="BJ213" i="7"/>
  <c r="BJ214" i="7" s="1"/>
  <c r="AX213" i="7"/>
  <c r="AX214" i="7" s="1"/>
  <c r="AL213" i="7"/>
  <c r="AL214" i="7" s="1"/>
  <c r="BX213" i="7"/>
  <c r="BX214" i="7" s="1"/>
  <c r="BK213" i="7"/>
  <c r="BK214" i="7" s="1"/>
  <c r="AW213" i="7"/>
  <c r="AW214" i="7" s="1"/>
  <c r="BW213" i="7"/>
  <c r="BW214" i="7" s="1"/>
  <c r="BI213" i="7"/>
  <c r="BI214" i="7" s="1"/>
  <c r="AV213" i="7"/>
  <c r="AV214" i="7" s="1"/>
  <c r="BO213" i="7"/>
  <c r="BO214" i="7" s="1"/>
  <c r="AZ213" i="7"/>
  <c r="AZ214" i="7" s="1"/>
  <c r="BZ213" i="7"/>
  <c r="BZ214" i="7" s="1"/>
  <c r="BH213" i="7"/>
  <c r="BH214" i="7" s="1"/>
  <c r="AS213" i="7"/>
  <c r="AS214" i="7" s="1"/>
  <c r="BN213" i="7"/>
  <c r="BN214" i="7" s="1"/>
  <c r="AT213" i="7"/>
  <c r="AT214" i="7" s="1"/>
  <c r="BM213" i="7"/>
  <c r="BM214" i="7" s="1"/>
  <c r="AR213" i="7"/>
  <c r="AR214" i="7" s="1"/>
  <c r="BY213" i="7"/>
  <c r="BY214" i="7" s="1"/>
  <c r="BC213" i="7"/>
  <c r="BC214" i="7" s="1"/>
  <c r="BU213" i="7"/>
  <c r="BU214" i="7" s="1"/>
  <c r="BB213" i="7"/>
  <c r="BB214" i="7" s="1"/>
  <c r="BT213" i="7"/>
  <c r="BT214" i="7" s="1"/>
  <c r="BA213" i="7"/>
  <c r="BA214" i="7" s="1"/>
  <c r="BS213" i="7"/>
  <c r="BS214" i="7" s="1"/>
  <c r="AY213" i="7"/>
  <c r="AY214" i="7" s="1"/>
  <c r="BD213" i="7"/>
  <c r="BD214" i="7" s="1"/>
  <c r="CC213" i="7"/>
  <c r="CC214" i="7" s="1"/>
  <c r="AQ213" i="7"/>
  <c r="AQ214" i="7" s="1"/>
  <c r="AU213" i="7"/>
  <c r="AU214" i="7" s="1"/>
  <c r="BR213" i="7"/>
  <c r="BR214" i="7" s="1"/>
  <c r="AN213" i="7"/>
  <c r="AN214" i="7" s="1"/>
  <c r="BQ213" i="7"/>
  <c r="BQ214" i="7" s="1"/>
  <c r="AM213" i="7"/>
  <c r="AM214" i="7" s="1"/>
  <c r="CB213" i="7"/>
  <c r="CB214" i="7" s="1"/>
  <c r="CA213" i="7"/>
  <c r="CA214" i="7" s="1"/>
  <c r="AP213" i="7"/>
  <c r="AP214" i="7" s="1"/>
  <c r="AO213" i="7"/>
  <c r="AO214" i="7" s="1"/>
  <c r="AK213" i="7"/>
  <c r="AK214" i="7" s="1"/>
  <c r="BP213" i="7"/>
  <c r="BP214" i="7" s="1"/>
  <c r="BL213" i="7"/>
  <c r="BL214" i="7" s="1"/>
  <c r="BG213" i="7"/>
  <c r="BG214" i="7" s="1"/>
  <c r="BF213" i="7"/>
  <c r="BF214" i="7" s="1"/>
  <c r="BE213" i="7"/>
  <c r="BE214" i="7" s="1"/>
  <c r="BS178" i="7"/>
  <c r="BG178" i="7"/>
  <c r="AU178" i="7"/>
  <c r="BZ178" i="7"/>
  <c r="BM178" i="7"/>
  <c r="AZ178" i="7"/>
  <c r="AM178" i="7"/>
  <c r="AM179" i="7" s="1"/>
  <c r="BY178" i="7"/>
  <c r="BL178" i="7"/>
  <c r="AY178" i="7"/>
  <c r="AL178" i="7"/>
  <c r="AL179" i="7" s="1"/>
  <c r="BT178" i="7"/>
  <c r="BD178" i="7"/>
  <c r="AO178" i="7"/>
  <c r="BO178" i="7"/>
  <c r="BO179" i="7" s="1"/>
  <c r="AX178" i="7"/>
  <c r="BK178" i="7"/>
  <c r="AS178" i="7"/>
  <c r="CC178" i="7"/>
  <c r="BJ178" i="7"/>
  <c r="AR178" i="7"/>
  <c r="BW178" i="7"/>
  <c r="BB178" i="7"/>
  <c r="BV178" i="7"/>
  <c r="BA178" i="7"/>
  <c r="BU178" i="7"/>
  <c r="AW178" i="7"/>
  <c r="BR178" i="7"/>
  <c r="BR179" i="7" s="1"/>
  <c r="AV178" i="7"/>
  <c r="BX178" i="7"/>
  <c r="AN178" i="7"/>
  <c r="BP178" i="7"/>
  <c r="BP179" i="7" s="1"/>
  <c r="BQ178" i="7"/>
  <c r="BQ179" i="7" s="1"/>
  <c r="AK178" i="7"/>
  <c r="AK179" i="7" s="1"/>
  <c r="BH178" i="7"/>
  <c r="BF178" i="7"/>
  <c r="CB178" i="7"/>
  <c r="CA178" i="7"/>
  <c r="BN178" i="7"/>
  <c r="AP178" i="7"/>
  <c r="BI178" i="7"/>
  <c r="BE178" i="7"/>
  <c r="BC178" i="7"/>
  <c r="AT178" i="7"/>
  <c r="AQ178" i="7"/>
  <c r="CA38" i="7"/>
  <c r="BO38" i="7"/>
  <c r="BO39" i="7" s="1"/>
  <c r="BC38" i="7"/>
  <c r="AQ38" i="7"/>
  <c r="BX38" i="7"/>
  <c r="BK38" i="7"/>
  <c r="AX38" i="7"/>
  <c r="AK38" i="7"/>
  <c r="AK39" i="7" s="1"/>
  <c r="BW38" i="7"/>
  <c r="BN38" i="7"/>
  <c r="AZ38" i="7"/>
  <c r="AL38" i="7"/>
  <c r="AL39" i="7" s="1"/>
  <c r="CC38" i="7"/>
  <c r="BM38" i="7"/>
  <c r="AY38" i="7"/>
  <c r="BZ38" i="7"/>
  <c r="BJ38" i="7"/>
  <c r="AV38" i="7"/>
  <c r="BY38" i="7"/>
  <c r="BF38" i="7"/>
  <c r="AN38" i="7"/>
  <c r="BV38" i="7"/>
  <c r="AM38" i="7"/>
  <c r="AM39" i="7" s="1"/>
  <c r="BE38" i="7"/>
  <c r="BR38" i="7"/>
  <c r="BR39" i="7" s="1"/>
  <c r="AW38" i="7"/>
  <c r="CB38" i="7"/>
  <c r="BA38" i="7"/>
  <c r="BU38" i="7"/>
  <c r="AU38" i="7"/>
  <c r="BT38" i="7"/>
  <c r="AT38" i="7"/>
  <c r="BI38" i="7"/>
  <c r="BH38" i="7"/>
  <c r="BG38" i="7"/>
  <c r="BS38" i="7"/>
  <c r="AS38" i="7"/>
  <c r="BD38" i="7"/>
  <c r="BB38" i="7"/>
  <c r="BQ38" i="7"/>
  <c r="BQ39" i="7" s="1"/>
  <c r="AR38" i="7"/>
  <c r="BP38" i="7"/>
  <c r="BP39" i="7" s="1"/>
  <c r="AP38" i="7"/>
  <c r="BL38" i="7"/>
  <c r="AO38" i="7"/>
  <c r="BV241" i="7"/>
  <c r="BJ241" i="7"/>
  <c r="AX241" i="7"/>
  <c r="AL241" i="7"/>
  <c r="AL242" i="7" s="1"/>
  <c r="CA241" i="7"/>
  <c r="BN241" i="7"/>
  <c r="BA241" i="7"/>
  <c r="AN241" i="7"/>
  <c r="BZ241" i="7"/>
  <c r="BM241" i="7"/>
  <c r="AZ241" i="7"/>
  <c r="AM241" i="7"/>
  <c r="AM242" i="7" s="1"/>
  <c r="BW241" i="7"/>
  <c r="BG241" i="7"/>
  <c r="AR241" i="7"/>
  <c r="BR241" i="7"/>
  <c r="BR242" i="7" s="1"/>
  <c r="BC241" i="7"/>
  <c r="AK241" i="7"/>
  <c r="AK242" i="7" s="1"/>
  <c r="BU241" i="7"/>
  <c r="BD241" i="7"/>
  <c r="BT241" i="7"/>
  <c r="BB241" i="7"/>
  <c r="CB241" i="7"/>
  <c r="BE241" i="7"/>
  <c r="BY241" i="7"/>
  <c r="AY241" i="7"/>
  <c r="BX241" i="7"/>
  <c r="AW241" i="7"/>
  <c r="BS241" i="7"/>
  <c r="AV241" i="7"/>
  <c r="BQ241" i="7"/>
  <c r="BQ242" i="7" s="1"/>
  <c r="AU241" i="7"/>
  <c r="AS241" i="7"/>
  <c r="AP241" i="7"/>
  <c r="AQ241" i="7"/>
  <c r="BO241" i="7"/>
  <c r="BO242" i="7" s="1"/>
  <c r="BL241" i="7"/>
  <c r="CC241" i="7"/>
  <c r="AT241" i="7"/>
  <c r="AO241" i="7"/>
  <c r="BP241" i="7"/>
  <c r="BP242" i="7" s="1"/>
  <c r="BF241" i="7"/>
  <c r="BK241" i="7"/>
  <c r="BI241" i="7"/>
  <c r="BH241" i="7"/>
  <c r="BU24" i="7"/>
  <c r="BU25" i="7" s="1"/>
  <c r="BI24" i="7"/>
  <c r="BI25" i="7" s="1"/>
  <c r="AW24" i="7"/>
  <c r="AW25" i="7" s="1"/>
  <c r="AK24" i="7"/>
  <c r="AK25" i="7" s="1"/>
  <c r="BW24" i="7"/>
  <c r="BW25" i="7" s="1"/>
  <c r="BJ24" i="7"/>
  <c r="BJ25" i="7" s="1"/>
  <c r="AV24" i="7"/>
  <c r="AV25" i="7" s="1"/>
  <c r="BR24" i="7"/>
  <c r="BR25" i="7" s="1"/>
  <c r="BD24" i="7"/>
  <c r="BD25" i="7" s="1"/>
  <c r="AP24" i="7"/>
  <c r="AP25" i="7" s="1"/>
  <c r="BQ24" i="7"/>
  <c r="BQ25" i="7" s="1"/>
  <c r="BC24" i="7"/>
  <c r="BC25" i="7" s="1"/>
  <c r="AO24" i="7"/>
  <c r="AO25" i="7" s="1"/>
  <c r="CC24" i="7"/>
  <c r="CC25" i="7" s="1"/>
  <c r="BO24" i="7"/>
  <c r="BO25" i="7" s="1"/>
  <c r="BA24" i="7"/>
  <c r="BA25" i="7" s="1"/>
  <c r="AM24" i="7"/>
  <c r="AM25" i="7" s="1"/>
  <c r="BT24" i="7"/>
  <c r="BT25" i="7" s="1"/>
  <c r="AZ24" i="7"/>
  <c r="AZ25" i="7" s="1"/>
  <c r="BS24" i="7"/>
  <c r="BS25" i="7" s="1"/>
  <c r="AY24" i="7"/>
  <c r="AY25" i="7" s="1"/>
  <c r="BL24" i="7"/>
  <c r="BL25" i="7" s="1"/>
  <c r="AS24" i="7"/>
  <c r="AS25" i="7" s="1"/>
  <c r="BM24" i="7"/>
  <c r="BM25" i="7" s="1"/>
  <c r="AN24" i="7"/>
  <c r="AN25" i="7" s="1"/>
  <c r="BK24" i="7"/>
  <c r="BK25" i="7" s="1"/>
  <c r="AL24" i="7"/>
  <c r="AL25" i="7" s="1"/>
  <c r="BH24" i="7"/>
  <c r="BH25" i="7" s="1"/>
  <c r="AT24" i="7"/>
  <c r="AT25" i="7" s="1"/>
  <c r="AR24" i="7"/>
  <c r="AR25" i="7" s="1"/>
  <c r="BG24" i="7"/>
  <c r="BG25" i="7" s="1"/>
  <c r="BN24" i="7"/>
  <c r="BN25" i="7" s="1"/>
  <c r="AQ24" i="7"/>
  <c r="AQ25" i="7" s="1"/>
  <c r="CB24" i="7"/>
  <c r="CB25" i="7" s="1"/>
  <c r="BF24" i="7"/>
  <c r="BF25" i="7" s="1"/>
  <c r="CA24" i="7"/>
  <c r="CA25" i="7" s="1"/>
  <c r="BE24" i="7"/>
  <c r="BE25" i="7" s="1"/>
  <c r="BZ24" i="7"/>
  <c r="BZ25" i="7" s="1"/>
  <c r="BB24" i="7"/>
  <c r="BB25" i="7" s="1"/>
  <c r="BY24" i="7"/>
  <c r="BY25" i="7" s="1"/>
  <c r="AX24" i="7"/>
  <c r="AX25" i="7" s="1"/>
  <c r="BX24" i="7"/>
  <c r="BX25" i="7" s="1"/>
  <c r="AU24" i="7"/>
  <c r="AU25" i="7" s="1"/>
  <c r="BV24" i="7"/>
  <c r="BV25" i="7" s="1"/>
  <c r="BP24" i="7"/>
  <c r="BP25" i="7" s="1"/>
  <c r="BX31" i="7"/>
  <c r="BL31" i="7"/>
  <c r="AZ31" i="7"/>
  <c r="AN31" i="7"/>
  <c r="BQ31" i="7"/>
  <c r="BQ32" i="7" s="1"/>
  <c r="BD31" i="7"/>
  <c r="AQ31" i="7"/>
  <c r="BP31" i="7"/>
  <c r="BP32" i="7" s="1"/>
  <c r="BB31" i="7"/>
  <c r="AM31" i="7"/>
  <c r="AM32" i="7" s="1"/>
  <c r="CC31" i="7"/>
  <c r="BO31" i="7"/>
  <c r="BO32" i="7" s="1"/>
  <c r="BA31" i="7"/>
  <c r="AL31" i="7"/>
  <c r="AL32" i="7" s="1"/>
  <c r="CA31" i="7"/>
  <c r="BM31" i="7"/>
  <c r="AX31" i="7"/>
  <c r="BK31" i="7"/>
  <c r="AT31" i="7"/>
  <c r="AS31" i="7"/>
  <c r="BJ31" i="7"/>
  <c r="BW31" i="7"/>
  <c r="BF31" i="7"/>
  <c r="AK31" i="7"/>
  <c r="AK32" i="7" s="1"/>
  <c r="BT31" i="7"/>
  <c r="AU31" i="7"/>
  <c r="BS31" i="7"/>
  <c r="AR31" i="7"/>
  <c r="BR31" i="7"/>
  <c r="BR32" i="7" s="1"/>
  <c r="AP31" i="7"/>
  <c r="BY31" i="7"/>
  <c r="AY31" i="7"/>
  <c r="BV31" i="7"/>
  <c r="BN31" i="7"/>
  <c r="AO31" i="7"/>
  <c r="BI31" i="7"/>
  <c r="BH31" i="7"/>
  <c r="BG31" i="7"/>
  <c r="CB31" i="7"/>
  <c r="BE31" i="7"/>
  <c r="BZ31" i="7"/>
  <c r="BC31" i="7"/>
  <c r="AW31" i="7"/>
  <c r="BU31" i="7"/>
  <c r="AV31" i="7"/>
  <c r="BS150" i="7"/>
  <c r="BG150" i="7"/>
  <c r="AU150" i="7"/>
  <c r="BW150" i="7"/>
  <c r="BJ150" i="7"/>
  <c r="AW150" i="7"/>
  <c r="BV150" i="7"/>
  <c r="BI150" i="7"/>
  <c r="AV150" i="7"/>
  <c r="CA150" i="7"/>
  <c r="BL150" i="7"/>
  <c r="AT150" i="7"/>
  <c r="BU150" i="7"/>
  <c r="BE150" i="7"/>
  <c r="AP150" i="7"/>
  <c r="BX150" i="7"/>
  <c r="BC150" i="7"/>
  <c r="AL150" i="7"/>
  <c r="AL151" i="7" s="1"/>
  <c r="BT150" i="7"/>
  <c r="BB150" i="7"/>
  <c r="AK150" i="7"/>
  <c r="AK151" i="7" s="1"/>
  <c r="BY150" i="7"/>
  <c r="AZ150" i="7"/>
  <c r="BR150" i="7"/>
  <c r="BR151" i="7" s="1"/>
  <c r="AY150" i="7"/>
  <c r="BQ150" i="7"/>
  <c r="BQ151" i="7" s="1"/>
  <c r="AX150" i="7"/>
  <c r="BP150" i="7"/>
  <c r="BP151" i="7" s="1"/>
  <c r="AS150" i="7"/>
  <c r="BA150" i="7"/>
  <c r="CC150" i="7"/>
  <c r="AQ150" i="7"/>
  <c r="AR150" i="7"/>
  <c r="BO150" i="7"/>
  <c r="BO151" i="7" s="1"/>
  <c r="AM150" i="7"/>
  <c r="AM151" i="7" s="1"/>
  <c r="BN150" i="7"/>
  <c r="CB150" i="7"/>
  <c r="BZ150" i="7"/>
  <c r="AO150" i="7"/>
  <c r="AN150" i="7"/>
  <c r="BM150" i="7"/>
  <c r="BK150" i="7"/>
  <c r="BH150" i="7"/>
  <c r="BF150" i="7"/>
  <c r="BD150" i="7"/>
  <c r="BR73" i="7"/>
  <c r="BR74" i="7" s="1"/>
  <c r="BF73" i="7"/>
  <c r="AT73" i="7"/>
  <c r="BZ73" i="7"/>
  <c r="BN73" i="7"/>
  <c r="BB73" i="7"/>
  <c r="AP73" i="7"/>
  <c r="CC73" i="7"/>
  <c r="BO73" i="7"/>
  <c r="BO74" i="7" s="1"/>
  <c r="AZ73" i="7"/>
  <c r="AL73" i="7"/>
  <c r="AL74" i="7" s="1"/>
  <c r="CB73" i="7"/>
  <c r="BM73" i="7"/>
  <c r="AY73" i="7"/>
  <c r="AK73" i="7"/>
  <c r="AK74" i="7" s="1"/>
  <c r="BP73" i="7"/>
  <c r="BP74" i="7" s="1"/>
  <c r="AW73" i="7"/>
  <c r="BL73" i="7"/>
  <c r="AV73" i="7"/>
  <c r="CA73" i="7"/>
  <c r="BJ73" i="7"/>
  <c r="AS73" i="7"/>
  <c r="BS73" i="7"/>
  <c r="AR73" i="7"/>
  <c r="BK73" i="7"/>
  <c r="BQ73" i="7"/>
  <c r="BQ74" i="7" s="1"/>
  <c r="AQ73" i="7"/>
  <c r="AO73" i="7"/>
  <c r="BG73" i="7"/>
  <c r="BW73" i="7"/>
  <c r="AN73" i="7"/>
  <c r="BV73" i="7"/>
  <c r="AM73" i="7"/>
  <c r="AM74" i="7" s="1"/>
  <c r="BU73" i="7"/>
  <c r="BA73" i="7"/>
  <c r="BY73" i="7"/>
  <c r="BX73" i="7"/>
  <c r="BT73" i="7"/>
  <c r="AX73" i="7"/>
  <c r="BI73" i="7"/>
  <c r="BH73" i="7"/>
  <c r="BE73" i="7"/>
  <c r="BD73" i="7"/>
  <c r="BC73" i="7"/>
  <c r="AU73" i="7"/>
  <c r="BS206" i="7"/>
  <c r="BS207" i="7" s="1"/>
  <c r="BG206" i="7"/>
  <c r="BG207" i="7" s="1"/>
  <c r="AU206" i="7"/>
  <c r="AU207" i="7" s="1"/>
  <c r="CC206" i="7"/>
  <c r="CC207" i="7" s="1"/>
  <c r="BP206" i="7"/>
  <c r="BP207" i="7" s="1"/>
  <c r="BC206" i="7"/>
  <c r="BC207" i="7" s="1"/>
  <c r="AP206" i="7"/>
  <c r="AP207" i="7" s="1"/>
  <c r="CB206" i="7"/>
  <c r="CB207" i="7" s="1"/>
  <c r="BO206" i="7"/>
  <c r="BO207" i="7" s="1"/>
  <c r="BB206" i="7"/>
  <c r="BB207" i="7" s="1"/>
  <c r="AO206" i="7"/>
  <c r="AO207" i="7" s="1"/>
  <c r="CA206" i="7"/>
  <c r="CA207" i="7" s="1"/>
  <c r="BL206" i="7"/>
  <c r="BL207" i="7" s="1"/>
  <c r="AW206" i="7"/>
  <c r="AW207" i="7" s="1"/>
  <c r="BW206" i="7"/>
  <c r="BW207" i="7" s="1"/>
  <c r="BH206" i="7"/>
  <c r="BH207" i="7" s="1"/>
  <c r="AR206" i="7"/>
  <c r="AR207" i="7" s="1"/>
  <c r="BU206" i="7"/>
  <c r="BU207" i="7" s="1"/>
  <c r="BA206" i="7"/>
  <c r="BA207" i="7" s="1"/>
  <c r="BT206" i="7"/>
  <c r="BT207" i="7" s="1"/>
  <c r="AZ206" i="7"/>
  <c r="AZ207" i="7" s="1"/>
  <c r="BY206" i="7"/>
  <c r="BY207" i="7" s="1"/>
  <c r="BD206" i="7"/>
  <c r="BD207" i="7" s="1"/>
  <c r="BX206" i="7"/>
  <c r="BX207" i="7" s="1"/>
  <c r="AY206" i="7"/>
  <c r="AY207" i="7" s="1"/>
  <c r="BV206" i="7"/>
  <c r="BV207" i="7" s="1"/>
  <c r="AX206" i="7"/>
  <c r="AX207" i="7" s="1"/>
  <c r="BR206" i="7"/>
  <c r="BR207" i="7" s="1"/>
  <c r="AV206" i="7"/>
  <c r="AV207" i="7" s="1"/>
  <c r="BK206" i="7"/>
  <c r="BK207" i="7" s="1"/>
  <c r="BI206" i="7"/>
  <c r="BI207" i="7" s="1"/>
  <c r="BJ206" i="7"/>
  <c r="BJ207" i="7" s="1"/>
  <c r="AT206" i="7"/>
  <c r="AT207" i="7" s="1"/>
  <c r="AS206" i="7"/>
  <c r="AS207" i="7" s="1"/>
  <c r="BQ206" i="7"/>
  <c r="BQ207" i="7" s="1"/>
  <c r="BN206" i="7"/>
  <c r="BN207" i="7" s="1"/>
  <c r="BM206" i="7"/>
  <c r="BM207" i="7" s="1"/>
  <c r="BF206" i="7"/>
  <c r="BF207" i="7" s="1"/>
  <c r="AM206" i="7"/>
  <c r="AM207" i="7" s="1"/>
  <c r="AL206" i="7"/>
  <c r="AL207" i="7" s="1"/>
  <c r="AK206" i="7"/>
  <c r="AK207" i="7" s="1"/>
  <c r="BZ206" i="7"/>
  <c r="BZ207" i="7" s="1"/>
  <c r="BE206" i="7"/>
  <c r="BE207" i="7" s="1"/>
  <c r="AQ206" i="7"/>
  <c r="AQ207" i="7" s="1"/>
  <c r="AN206" i="7"/>
  <c r="AN207" i="7" s="1"/>
  <c r="BS122" i="7"/>
  <c r="BG122" i="7"/>
  <c r="AU122" i="7"/>
  <c r="BT122" i="7"/>
  <c r="BF122" i="7"/>
  <c r="AS122" i="7"/>
  <c r="BW122" i="7"/>
  <c r="BI122" i="7"/>
  <c r="AT122" i="7"/>
  <c r="BQ122" i="7"/>
  <c r="BQ123" i="7" s="1"/>
  <c r="BC122" i="7"/>
  <c r="AO122" i="7"/>
  <c r="BR122" i="7"/>
  <c r="BR123" i="7" s="1"/>
  <c r="BA122" i="7"/>
  <c r="AK122" i="7"/>
  <c r="AK123" i="7" s="1"/>
  <c r="BP122" i="7"/>
  <c r="BP123" i="7" s="1"/>
  <c r="AZ122" i="7"/>
  <c r="BZ122" i="7"/>
  <c r="BE122" i="7"/>
  <c r="AL122" i="7"/>
  <c r="AL123" i="7" s="1"/>
  <c r="BX122" i="7"/>
  <c r="BY122" i="7"/>
  <c r="BD122" i="7"/>
  <c r="BB122" i="7"/>
  <c r="BV122" i="7"/>
  <c r="AY122" i="7"/>
  <c r="BM122" i="7"/>
  <c r="AM122" i="7"/>
  <c r="AM123" i="7" s="1"/>
  <c r="BL122" i="7"/>
  <c r="BK122" i="7"/>
  <c r="AX122" i="7"/>
  <c r="CC122" i="7"/>
  <c r="AW122" i="7"/>
  <c r="AP122" i="7"/>
  <c r="AN122" i="7"/>
  <c r="CB122" i="7"/>
  <c r="BJ122" i="7"/>
  <c r="BH122" i="7"/>
  <c r="AV122" i="7"/>
  <c r="AR122" i="7"/>
  <c r="AQ122" i="7"/>
  <c r="CA122" i="7"/>
  <c r="BU122" i="7"/>
  <c r="BO122" i="7"/>
  <c r="BO123" i="7" s="1"/>
  <c r="BN122" i="7"/>
  <c r="CB87" i="7"/>
  <c r="BP87" i="7"/>
  <c r="BP88" i="7" s="1"/>
  <c r="BY87" i="7"/>
  <c r="BL87" i="7"/>
  <c r="AZ87" i="7"/>
  <c r="AN87" i="7"/>
  <c r="BU87" i="7"/>
  <c r="BH87" i="7"/>
  <c r="AV87" i="7"/>
  <c r="CA87" i="7"/>
  <c r="BK87" i="7"/>
  <c r="AW87" i="7"/>
  <c r="BZ87" i="7"/>
  <c r="BJ87" i="7"/>
  <c r="AU87" i="7"/>
  <c r="BM87" i="7"/>
  <c r="AS87" i="7"/>
  <c r="BI87" i="7"/>
  <c r="AR87" i="7"/>
  <c r="CC87" i="7"/>
  <c r="BG87" i="7"/>
  <c r="AQ87" i="7"/>
  <c r="BX87" i="7"/>
  <c r="BF87" i="7"/>
  <c r="AP87" i="7"/>
  <c r="BB87" i="7"/>
  <c r="BV87" i="7"/>
  <c r="AY87" i="7"/>
  <c r="BW87" i="7"/>
  <c r="BA87" i="7"/>
  <c r="BR87" i="7"/>
  <c r="BR88" i="7" s="1"/>
  <c r="AO87" i="7"/>
  <c r="BN87" i="7"/>
  <c r="BE87" i="7"/>
  <c r="BD87" i="7"/>
  <c r="BT87" i="7"/>
  <c r="BS87" i="7"/>
  <c r="BQ87" i="7"/>
  <c r="BQ88" i="7" s="1"/>
  <c r="BC87" i="7"/>
  <c r="AX87" i="7"/>
  <c r="AT87" i="7"/>
  <c r="AM87" i="7"/>
  <c r="AM88" i="7" s="1"/>
  <c r="AL87" i="7"/>
  <c r="AL88" i="7" s="1"/>
  <c r="AK87" i="7"/>
  <c r="AK88" i="7" s="1"/>
  <c r="BO87" i="7"/>
  <c r="BO88" i="7" s="1"/>
  <c r="CB143" i="7"/>
  <c r="BP143" i="7"/>
  <c r="BP144" i="7" s="1"/>
  <c r="BD143" i="7"/>
  <c r="AR143" i="7"/>
  <c r="CC143" i="7"/>
  <c r="BO143" i="7"/>
  <c r="BO144" i="7" s="1"/>
  <c r="BB143" i="7"/>
  <c r="AO143" i="7"/>
  <c r="CA143" i="7"/>
  <c r="BN143" i="7"/>
  <c r="BA143" i="7"/>
  <c r="AN143" i="7"/>
  <c r="BX143" i="7"/>
  <c r="BI143" i="7"/>
  <c r="AT143" i="7"/>
  <c r="BT143" i="7"/>
  <c r="BE143" i="7"/>
  <c r="AM143" i="7"/>
  <c r="AM144" i="7" s="1"/>
  <c r="BK143" i="7"/>
  <c r="AS143" i="7"/>
  <c r="BJ143" i="7"/>
  <c r="AQ143" i="7"/>
  <c r="BV143" i="7"/>
  <c r="AY143" i="7"/>
  <c r="BU143" i="7"/>
  <c r="AX143" i="7"/>
  <c r="BS143" i="7"/>
  <c r="AW143" i="7"/>
  <c r="BR143" i="7"/>
  <c r="BR144" i="7" s="1"/>
  <c r="AV143" i="7"/>
  <c r="BH143" i="7"/>
  <c r="BG143" i="7"/>
  <c r="BF143" i="7"/>
  <c r="AU143" i="7"/>
  <c r="BZ143" i="7"/>
  <c r="AP143" i="7"/>
  <c r="BQ143" i="7"/>
  <c r="BQ144" i="7" s="1"/>
  <c r="BM143" i="7"/>
  <c r="BL143" i="7"/>
  <c r="BY143" i="7"/>
  <c r="BC143" i="7"/>
  <c r="AZ143" i="7"/>
  <c r="AL143" i="7"/>
  <c r="AL144" i="7" s="1"/>
  <c r="AK143" i="7"/>
  <c r="AK144" i="7" s="1"/>
  <c r="BW143" i="7"/>
  <c r="BX59" i="7"/>
  <c r="BL59" i="7"/>
  <c r="AZ59" i="7"/>
  <c r="AN59" i="7"/>
  <c r="BT59" i="7"/>
  <c r="BG59" i="7"/>
  <c r="AT59" i="7"/>
  <c r="BS59" i="7"/>
  <c r="BF59" i="7"/>
  <c r="AS59" i="7"/>
  <c r="BU59" i="7"/>
  <c r="BD59" i="7"/>
  <c r="AO59" i="7"/>
  <c r="BR59" i="7"/>
  <c r="BR60" i="7" s="1"/>
  <c r="BC59" i="7"/>
  <c r="AM59" i="7"/>
  <c r="AM60" i="7" s="1"/>
  <c r="BP59" i="7"/>
  <c r="BP60" i="7" s="1"/>
  <c r="BA59" i="7"/>
  <c r="AK59" i="7"/>
  <c r="AK60" i="7" s="1"/>
  <c r="BO59" i="7"/>
  <c r="BO60" i="7" s="1"/>
  <c r="AV59" i="7"/>
  <c r="AU59" i="7"/>
  <c r="BM59" i="7"/>
  <c r="BN59" i="7"/>
  <c r="AR59" i="7"/>
  <c r="CB59" i="7"/>
  <c r="BI59" i="7"/>
  <c r="AL59" i="7"/>
  <c r="AL60" i="7" s="1"/>
  <c r="BK59" i="7"/>
  <c r="BJ59" i="7"/>
  <c r="BH59" i="7"/>
  <c r="BZ59" i="7"/>
  <c r="BW59" i="7"/>
  <c r="AP59" i="7"/>
  <c r="BQ59" i="7"/>
  <c r="BQ60" i="7" s="1"/>
  <c r="BE59" i="7"/>
  <c r="BV59" i="7"/>
  <c r="BB59" i="7"/>
  <c r="CC59" i="7"/>
  <c r="AY59" i="7"/>
  <c r="CA59" i="7"/>
  <c r="AX59" i="7"/>
  <c r="AW59" i="7"/>
  <c r="BY59" i="7"/>
  <c r="AQ59" i="7"/>
  <c r="BY136" i="7"/>
  <c r="BM136" i="7"/>
  <c r="BA136" i="7"/>
  <c r="AO136" i="7"/>
  <c r="BU136" i="7"/>
  <c r="BH136" i="7"/>
  <c r="AU136" i="7"/>
  <c r="BT136" i="7"/>
  <c r="BG136" i="7"/>
  <c r="AT136" i="7"/>
  <c r="BW136" i="7"/>
  <c r="BF136" i="7"/>
  <c r="AQ136" i="7"/>
  <c r="BQ136" i="7"/>
  <c r="BQ137" i="7" s="1"/>
  <c r="BB136" i="7"/>
  <c r="AL136" i="7"/>
  <c r="AL137" i="7" s="1"/>
  <c r="BR136" i="7"/>
  <c r="BR137" i="7" s="1"/>
  <c r="AY136" i="7"/>
  <c r="BP136" i="7"/>
  <c r="BP137" i="7" s="1"/>
  <c r="AX136" i="7"/>
  <c r="BX136" i="7"/>
  <c r="AZ136" i="7"/>
  <c r="BV136" i="7"/>
  <c r="AW136" i="7"/>
  <c r="BS136" i="7"/>
  <c r="AV136" i="7"/>
  <c r="BO136" i="7"/>
  <c r="BO137" i="7" s="1"/>
  <c r="AS136" i="7"/>
  <c r="BZ136" i="7"/>
  <c r="AM136" i="7"/>
  <c r="AM137" i="7" s="1"/>
  <c r="BL136" i="7"/>
  <c r="BN136" i="7"/>
  <c r="AK136" i="7"/>
  <c r="AK137" i="7" s="1"/>
  <c r="BI136" i="7"/>
  <c r="BE136" i="7"/>
  <c r="BD136" i="7"/>
  <c r="BC136" i="7"/>
  <c r="AR136" i="7"/>
  <c r="CA136" i="7"/>
  <c r="AP136" i="7"/>
  <c r="BJ136" i="7"/>
  <c r="AN136" i="7"/>
  <c r="CC136" i="7"/>
  <c r="CB136" i="7"/>
  <c r="BK136" i="7"/>
  <c r="CB199" i="7"/>
  <c r="BP199" i="7"/>
  <c r="BP200" i="7" s="1"/>
  <c r="BD199" i="7"/>
  <c r="AR199" i="7"/>
  <c r="BV199" i="7"/>
  <c r="BI199" i="7"/>
  <c r="AV199" i="7"/>
  <c r="BU199" i="7"/>
  <c r="BH199" i="7"/>
  <c r="AU199" i="7"/>
  <c r="BZ199" i="7"/>
  <c r="BK199" i="7"/>
  <c r="AT199" i="7"/>
  <c r="BT199" i="7"/>
  <c r="BE199" i="7"/>
  <c r="AO199" i="7"/>
  <c r="CC199" i="7"/>
  <c r="BJ199" i="7"/>
  <c r="AP199" i="7"/>
  <c r="CA199" i="7"/>
  <c r="BG199" i="7"/>
  <c r="AN199" i="7"/>
  <c r="BX199" i="7"/>
  <c r="BA199" i="7"/>
  <c r="BW199" i="7"/>
  <c r="AZ199" i="7"/>
  <c r="BS199" i="7"/>
  <c r="AY199" i="7"/>
  <c r="BR199" i="7"/>
  <c r="BR200" i="7" s="1"/>
  <c r="AX199" i="7"/>
  <c r="BY199" i="7"/>
  <c r="AM199" i="7"/>
  <c r="AM200" i="7" s="1"/>
  <c r="BQ199" i="7"/>
  <c r="BQ200" i="7" s="1"/>
  <c r="BO199" i="7"/>
  <c r="BO200" i="7" s="1"/>
  <c r="AK199" i="7"/>
  <c r="AK200" i="7" s="1"/>
  <c r="AL199" i="7"/>
  <c r="AL200" i="7" s="1"/>
  <c r="BL199" i="7"/>
  <c r="BF199" i="7"/>
  <c r="BC199" i="7"/>
  <c r="BB199" i="7"/>
  <c r="AW199" i="7"/>
  <c r="BN199" i="7"/>
  <c r="AS199" i="7"/>
  <c r="BM199" i="7"/>
  <c r="AQ199" i="7"/>
  <c r="CB255" i="7"/>
  <c r="CB256" i="7" s="1"/>
  <c r="BP255" i="7"/>
  <c r="BP256" i="7" s="1"/>
  <c r="BD255" i="7"/>
  <c r="BD256" i="7" s="1"/>
  <c r="AR255" i="7"/>
  <c r="AR256" i="7" s="1"/>
  <c r="CC255" i="7"/>
  <c r="CC256" i="7" s="1"/>
  <c r="BO255" i="7"/>
  <c r="BO256" i="7" s="1"/>
  <c r="BB255" i="7"/>
  <c r="BB256" i="7" s="1"/>
  <c r="AO255" i="7"/>
  <c r="AO256" i="7" s="1"/>
  <c r="CA255" i="7"/>
  <c r="CA256" i="7" s="1"/>
  <c r="BN255" i="7"/>
  <c r="BN256" i="7" s="1"/>
  <c r="BA255" i="7"/>
  <c r="BA256" i="7" s="1"/>
  <c r="AN255" i="7"/>
  <c r="AN256" i="7" s="1"/>
  <c r="BZ255" i="7"/>
  <c r="BZ256" i="7" s="1"/>
  <c r="BK255" i="7"/>
  <c r="BK256" i="7" s="1"/>
  <c r="AV255" i="7"/>
  <c r="AV256" i="7" s="1"/>
  <c r="BV255" i="7"/>
  <c r="BV256" i="7" s="1"/>
  <c r="BG255" i="7"/>
  <c r="BG256" i="7" s="1"/>
  <c r="AQ255" i="7"/>
  <c r="AQ256" i="7" s="1"/>
  <c r="BY255" i="7"/>
  <c r="BY256" i="7" s="1"/>
  <c r="BH255" i="7"/>
  <c r="BH256" i="7" s="1"/>
  <c r="AM255" i="7"/>
  <c r="AM256" i="7" s="1"/>
  <c r="BX255" i="7"/>
  <c r="BX256" i="7" s="1"/>
  <c r="BF255" i="7"/>
  <c r="BF256" i="7" s="1"/>
  <c r="AL255" i="7"/>
  <c r="AL256" i="7" s="1"/>
  <c r="BW255" i="7"/>
  <c r="BW256" i="7" s="1"/>
  <c r="AZ255" i="7"/>
  <c r="AZ256" i="7" s="1"/>
  <c r="BU255" i="7"/>
  <c r="BU256" i="7" s="1"/>
  <c r="AY255" i="7"/>
  <c r="AY256" i="7" s="1"/>
  <c r="BT255" i="7"/>
  <c r="BT256" i="7" s="1"/>
  <c r="AX255" i="7"/>
  <c r="AX256" i="7" s="1"/>
  <c r="BS255" i="7"/>
  <c r="BS256" i="7" s="1"/>
  <c r="AW255" i="7"/>
  <c r="AW256" i="7" s="1"/>
  <c r="BR255" i="7"/>
  <c r="BR256" i="7" s="1"/>
  <c r="AU255" i="7"/>
  <c r="AU256" i="7" s="1"/>
  <c r="BQ255" i="7"/>
  <c r="BQ256" i="7" s="1"/>
  <c r="BL255" i="7"/>
  <c r="BL256" i="7" s="1"/>
  <c r="BM255" i="7"/>
  <c r="BM256" i="7" s="1"/>
  <c r="BE255" i="7"/>
  <c r="BE256" i="7" s="1"/>
  <c r="BC255" i="7"/>
  <c r="BC256" i="7" s="1"/>
  <c r="BJ255" i="7"/>
  <c r="BJ256" i="7" s="1"/>
  <c r="BI255" i="7"/>
  <c r="BI256" i="7" s="1"/>
  <c r="AT255" i="7"/>
  <c r="AT256" i="7" s="1"/>
  <c r="AS255" i="7"/>
  <c r="AS256" i="7" s="1"/>
  <c r="AP255" i="7"/>
  <c r="AP256" i="7" s="1"/>
  <c r="AK255" i="7"/>
  <c r="AK256" i="7" s="1"/>
  <c r="CB171" i="7"/>
  <c r="BP171" i="7"/>
  <c r="BP172" i="7" s="1"/>
  <c r="BD171" i="7"/>
  <c r="AR171" i="7"/>
  <c r="BS171" i="7"/>
  <c r="BF171" i="7"/>
  <c r="AS171" i="7"/>
  <c r="BR171" i="7"/>
  <c r="BR172" i="7" s="1"/>
  <c r="BE171" i="7"/>
  <c r="AQ171" i="7"/>
  <c r="BQ171" i="7"/>
  <c r="BQ172" i="7" s="1"/>
  <c r="BA171" i="7"/>
  <c r="AL171" i="7"/>
  <c r="AL172" i="7" s="1"/>
  <c r="CA171" i="7"/>
  <c r="BL171" i="7"/>
  <c r="AW171" i="7"/>
  <c r="BU171" i="7"/>
  <c r="AZ171" i="7"/>
  <c r="BT171" i="7"/>
  <c r="AY171" i="7"/>
  <c r="BX171" i="7"/>
  <c r="BB171" i="7"/>
  <c r="BW171" i="7"/>
  <c r="AX171" i="7"/>
  <c r="BV171" i="7"/>
  <c r="AV171" i="7"/>
  <c r="BO171" i="7"/>
  <c r="BO172" i="7" s="1"/>
  <c r="AU171" i="7"/>
  <c r="BC171" i="7"/>
  <c r="CC171" i="7"/>
  <c r="AP171" i="7"/>
  <c r="AT171" i="7"/>
  <c r="BN171" i="7"/>
  <c r="AM171" i="7"/>
  <c r="AM172" i="7" s="1"/>
  <c r="BM171" i="7"/>
  <c r="AK171" i="7"/>
  <c r="AK172" i="7" s="1"/>
  <c r="BJ171" i="7"/>
  <c r="BI171" i="7"/>
  <c r="BH171" i="7"/>
  <c r="BG171" i="7"/>
  <c r="BZ171" i="7"/>
  <c r="BY171" i="7"/>
  <c r="BK171" i="7"/>
  <c r="AO171" i="7"/>
  <c r="AN171" i="7"/>
  <c r="BY108" i="7"/>
  <c r="BM108" i="7"/>
  <c r="BA108" i="7"/>
  <c r="AO108" i="7"/>
  <c r="BR108" i="7"/>
  <c r="BR109" i="7" s="1"/>
  <c r="BE108" i="7"/>
  <c r="AR108" i="7"/>
  <c r="CA108" i="7"/>
  <c r="BL108" i="7"/>
  <c r="AX108" i="7"/>
  <c r="BV108" i="7"/>
  <c r="BH108" i="7"/>
  <c r="AT108" i="7"/>
  <c r="BW108" i="7"/>
  <c r="BF108" i="7"/>
  <c r="AN108" i="7"/>
  <c r="BU108" i="7"/>
  <c r="BD108" i="7"/>
  <c r="AM108" i="7"/>
  <c r="AM109" i="7" s="1"/>
  <c r="BN108" i="7"/>
  <c r="AS108" i="7"/>
  <c r="BK108" i="7"/>
  <c r="AQ108" i="7"/>
  <c r="BJ108" i="7"/>
  <c r="AP108" i="7"/>
  <c r="CC108" i="7"/>
  <c r="BI108" i="7"/>
  <c r="AL108" i="7"/>
  <c r="AL109" i="7" s="1"/>
  <c r="BO108" i="7"/>
  <c r="BO109" i="7" s="1"/>
  <c r="BC108" i="7"/>
  <c r="BG108" i="7"/>
  <c r="CB108" i="7"/>
  <c r="AY108" i="7"/>
  <c r="BZ108" i="7"/>
  <c r="AW108" i="7"/>
  <c r="BT108" i="7"/>
  <c r="BS108" i="7"/>
  <c r="BQ108" i="7"/>
  <c r="BQ109" i="7" s="1"/>
  <c r="BP108" i="7"/>
  <c r="BP109" i="7" s="1"/>
  <c r="BX108" i="7"/>
  <c r="BB108" i="7"/>
  <c r="AZ108" i="7"/>
  <c r="AV108" i="7"/>
  <c r="AU108" i="7"/>
  <c r="AK108" i="7"/>
  <c r="AK109" i="7" s="1"/>
  <c r="BR45" i="7"/>
  <c r="BR46" i="7" s="1"/>
  <c r="BF45" i="7"/>
  <c r="AT45" i="7"/>
  <c r="BS45" i="7"/>
  <c r="BE45" i="7"/>
  <c r="AR45" i="7"/>
  <c r="BQ45" i="7"/>
  <c r="BQ46" i="7" s="1"/>
  <c r="BD45" i="7"/>
  <c r="AQ45" i="7"/>
  <c r="BO45" i="7"/>
  <c r="BO46" i="7" s="1"/>
  <c r="AZ45" i="7"/>
  <c r="AK45" i="7"/>
  <c r="AK46" i="7" s="1"/>
  <c r="CC45" i="7"/>
  <c r="BN45" i="7"/>
  <c r="AY45" i="7"/>
  <c r="CA45" i="7"/>
  <c r="BL45" i="7"/>
  <c r="AW45" i="7"/>
  <c r="BW45" i="7"/>
  <c r="BB45" i="7"/>
  <c r="BV45" i="7"/>
  <c r="AX45" i="7"/>
  <c r="BA45" i="7"/>
  <c r="BM45" i="7"/>
  <c r="AS45" i="7"/>
  <c r="BJ45" i="7"/>
  <c r="BI45" i="7"/>
  <c r="BH45" i="7"/>
  <c r="BT45" i="7"/>
  <c r="AN45" i="7"/>
  <c r="BP45" i="7"/>
  <c r="BP46" i="7" s="1"/>
  <c r="AL45" i="7"/>
  <c r="AL46" i="7" s="1"/>
  <c r="BG45" i="7"/>
  <c r="BK45" i="7"/>
  <c r="CB45" i="7"/>
  <c r="BC45" i="7"/>
  <c r="BZ45" i="7"/>
  <c r="AV45" i="7"/>
  <c r="BY45" i="7"/>
  <c r="AU45" i="7"/>
  <c r="BX45" i="7"/>
  <c r="AP45" i="7"/>
  <c r="BU45" i="7"/>
  <c r="AO45" i="7"/>
  <c r="AM45" i="7"/>
  <c r="AM46" i="7" s="1"/>
  <c r="BU80" i="7"/>
  <c r="BI80" i="7"/>
  <c r="AW80" i="7"/>
  <c r="AK80" i="7"/>
  <c r="AK81" i="7" s="1"/>
  <c r="CC80" i="7"/>
  <c r="BQ80" i="7"/>
  <c r="BQ81" i="7" s="1"/>
  <c r="BE80" i="7"/>
  <c r="AS80" i="7"/>
  <c r="CA80" i="7"/>
  <c r="BM80" i="7"/>
  <c r="AY80" i="7"/>
  <c r="BZ80" i="7"/>
  <c r="BL80" i="7"/>
  <c r="AX80" i="7"/>
  <c r="BV80" i="7"/>
  <c r="BD80" i="7"/>
  <c r="AN80" i="7"/>
  <c r="BT80" i="7"/>
  <c r="BC80" i="7"/>
  <c r="AM80" i="7"/>
  <c r="AM81" i="7" s="1"/>
  <c r="BS80" i="7"/>
  <c r="BB80" i="7"/>
  <c r="BR80" i="7"/>
  <c r="BR81" i="7" s="1"/>
  <c r="BA80" i="7"/>
  <c r="BW80" i="7"/>
  <c r="AT80" i="7"/>
  <c r="BP80" i="7"/>
  <c r="BP81" i="7" s="1"/>
  <c r="BO80" i="7"/>
  <c r="BO81" i="7" s="1"/>
  <c r="AQ80" i="7"/>
  <c r="AR80" i="7"/>
  <c r="BJ80" i="7"/>
  <c r="AL80" i="7"/>
  <c r="AL81" i="7" s="1"/>
  <c r="BN80" i="7"/>
  <c r="BK80" i="7"/>
  <c r="BH80" i="7"/>
  <c r="CB80" i="7"/>
  <c r="BG80" i="7"/>
  <c r="BX80" i="7"/>
  <c r="BF80" i="7"/>
  <c r="AZ80" i="7"/>
  <c r="AV80" i="7"/>
  <c r="AU80" i="7"/>
  <c r="AP80" i="7"/>
  <c r="AO80" i="7"/>
  <c r="BY80" i="7"/>
  <c r="BS234" i="7"/>
  <c r="BG234" i="7"/>
  <c r="AU234" i="7"/>
  <c r="BT234" i="7"/>
  <c r="BF234" i="7"/>
  <c r="AS234" i="7"/>
  <c r="BR234" i="7"/>
  <c r="BR235" i="7" s="1"/>
  <c r="BE234" i="7"/>
  <c r="AR234" i="7"/>
  <c r="BV234" i="7"/>
  <c r="BD234" i="7"/>
  <c r="AO234" i="7"/>
  <c r="BO234" i="7"/>
  <c r="BO235" i="7" s="1"/>
  <c r="AZ234" i="7"/>
  <c r="AK234" i="7"/>
  <c r="AK235" i="7" s="1"/>
  <c r="CB234" i="7"/>
  <c r="BK234" i="7"/>
  <c r="AQ234" i="7"/>
  <c r="CA234" i="7"/>
  <c r="BJ234" i="7"/>
  <c r="AP234" i="7"/>
  <c r="BY234" i="7"/>
  <c r="BB234" i="7"/>
  <c r="BX234" i="7"/>
  <c r="BA234" i="7"/>
  <c r="BW234" i="7"/>
  <c r="AY234" i="7"/>
  <c r="BU234" i="7"/>
  <c r="AX234" i="7"/>
  <c r="BQ234" i="7"/>
  <c r="BQ235" i="7" s="1"/>
  <c r="BC234" i="7"/>
  <c r="AV234" i="7"/>
  <c r="AW234" i="7"/>
  <c r="BZ234" i="7"/>
  <c r="AM234" i="7"/>
  <c r="AM235" i="7" s="1"/>
  <c r="BP234" i="7"/>
  <c r="BP235" i="7" s="1"/>
  <c r="AL234" i="7"/>
  <c r="AL235" i="7" s="1"/>
  <c r="BM234" i="7"/>
  <c r="BL234" i="7"/>
  <c r="BI234" i="7"/>
  <c r="BH234" i="7"/>
  <c r="BN234" i="7"/>
  <c r="AT234" i="7"/>
  <c r="AN234" i="7"/>
  <c r="CC234" i="7"/>
  <c r="CB227" i="7"/>
  <c r="BP227" i="7"/>
  <c r="BP228" i="7" s="1"/>
  <c r="BD227" i="7"/>
  <c r="AR227" i="7"/>
  <c r="BY227" i="7"/>
  <c r="BL227" i="7"/>
  <c r="AY227" i="7"/>
  <c r="AL227" i="7"/>
  <c r="AL228" i="7" s="1"/>
  <c r="BX227" i="7"/>
  <c r="BK227" i="7"/>
  <c r="AX227" i="7"/>
  <c r="AK227" i="7"/>
  <c r="AK228" i="7" s="1"/>
  <c r="BS227" i="7"/>
  <c r="BC227" i="7"/>
  <c r="AN227" i="7"/>
  <c r="BN227" i="7"/>
  <c r="AW227" i="7"/>
  <c r="BR227" i="7"/>
  <c r="BR228" i="7" s="1"/>
  <c r="AZ227" i="7"/>
  <c r="BQ227" i="7"/>
  <c r="BQ228" i="7" s="1"/>
  <c r="AV227" i="7"/>
  <c r="BZ227" i="7"/>
  <c r="BE227" i="7"/>
  <c r="BW227" i="7"/>
  <c r="BB227" i="7"/>
  <c r="BV227" i="7"/>
  <c r="BA227" i="7"/>
  <c r="BU227" i="7"/>
  <c r="AU227" i="7"/>
  <c r="BJ227" i="7"/>
  <c r="BH227" i="7"/>
  <c r="BI227" i="7"/>
  <c r="AT227" i="7"/>
  <c r="AS227" i="7"/>
  <c r="BF227" i="7"/>
  <c r="AQ227" i="7"/>
  <c r="AP227" i="7"/>
  <c r="AO227" i="7"/>
  <c r="CA227" i="7"/>
  <c r="BT227" i="7"/>
  <c r="BO227" i="7"/>
  <c r="BO228" i="7" s="1"/>
  <c r="BG227" i="7"/>
  <c r="BM227" i="7"/>
  <c r="AM227" i="7"/>
  <c r="AM228" i="7" s="1"/>
  <c r="CC227" i="7"/>
  <c r="CA66" i="7"/>
  <c r="BO66" i="7"/>
  <c r="BO67" i="7" s="1"/>
  <c r="BC66" i="7"/>
  <c r="AQ66" i="7"/>
  <c r="BW66" i="7"/>
  <c r="BK66" i="7"/>
  <c r="AY66" i="7"/>
  <c r="BQ66" i="7"/>
  <c r="BQ67" i="7" s="1"/>
  <c r="BB66" i="7"/>
  <c r="AN66" i="7"/>
  <c r="BP66" i="7"/>
  <c r="BP67" i="7" s="1"/>
  <c r="BA66" i="7"/>
  <c r="AM66" i="7"/>
  <c r="AM67" i="7" s="1"/>
  <c r="BY66" i="7"/>
  <c r="BH66" i="7"/>
  <c r="AR66" i="7"/>
  <c r="BX66" i="7"/>
  <c r="BG66" i="7"/>
  <c r="AP66" i="7"/>
  <c r="BU66" i="7"/>
  <c r="BE66" i="7"/>
  <c r="AL66" i="7"/>
  <c r="AL67" i="7" s="1"/>
  <c r="BN66" i="7"/>
  <c r="AT66" i="7"/>
  <c r="BL66" i="7"/>
  <c r="AO66" i="7"/>
  <c r="BM66" i="7"/>
  <c r="AS66" i="7"/>
  <c r="CC66" i="7"/>
  <c r="BF66" i="7"/>
  <c r="AX66" i="7"/>
  <c r="AW66" i="7"/>
  <c r="CB66" i="7"/>
  <c r="AV66" i="7"/>
  <c r="BJ66" i="7"/>
  <c r="BI66" i="7"/>
  <c r="BD66" i="7"/>
  <c r="BZ66" i="7"/>
  <c r="AU66" i="7"/>
  <c r="AZ66" i="7"/>
  <c r="BV66" i="7"/>
  <c r="AK66" i="7"/>
  <c r="AK67" i="7" s="1"/>
  <c r="BT66" i="7"/>
  <c r="BS66" i="7"/>
  <c r="BR66" i="7"/>
  <c r="BR67" i="7" s="1"/>
  <c r="BS94" i="7"/>
  <c r="BG94" i="7"/>
  <c r="AU94" i="7"/>
  <c r="BT94" i="7"/>
  <c r="BF94" i="7"/>
  <c r="AS94" i="7"/>
  <c r="CB94" i="7"/>
  <c r="BO94" i="7"/>
  <c r="BO95" i="7" s="1"/>
  <c r="BB94" i="7"/>
  <c r="AO94" i="7"/>
  <c r="CC94" i="7"/>
  <c r="BM94" i="7"/>
  <c r="AX94" i="7"/>
  <c r="CA94" i="7"/>
  <c r="BL94" i="7"/>
  <c r="AW94" i="7"/>
  <c r="BW94" i="7"/>
  <c r="BD94" i="7"/>
  <c r="AL94" i="7"/>
  <c r="AL95" i="7" s="1"/>
  <c r="BV94" i="7"/>
  <c r="BC94" i="7"/>
  <c r="AK94" i="7"/>
  <c r="AK95" i="7" s="1"/>
  <c r="BU94" i="7"/>
  <c r="BA94" i="7"/>
  <c r="BR94" i="7"/>
  <c r="BR95" i="7" s="1"/>
  <c r="AZ94" i="7"/>
  <c r="BK94" i="7"/>
  <c r="AM94" i="7"/>
  <c r="AM95" i="7" s="1"/>
  <c r="BJ94" i="7"/>
  <c r="BI94" i="7"/>
  <c r="AY94" i="7"/>
  <c r="BZ94" i="7"/>
  <c r="AV94" i="7"/>
  <c r="BN94" i="7"/>
  <c r="BH94" i="7"/>
  <c r="BE94" i="7"/>
  <c r="AN94" i="7"/>
  <c r="BX94" i="7"/>
  <c r="BQ94" i="7"/>
  <c r="BQ95" i="7" s="1"/>
  <c r="AT94" i="7"/>
  <c r="AR94" i="7"/>
  <c r="AQ94" i="7"/>
  <c r="AP94" i="7"/>
  <c r="BY94" i="7"/>
  <c r="BP94" i="7"/>
  <c r="BP95" i="7" s="1"/>
  <c r="BY220" i="7"/>
  <c r="BM220" i="7"/>
  <c r="BA220" i="7"/>
  <c r="AO220" i="7"/>
  <c r="BR220" i="7"/>
  <c r="BR221" i="7" s="1"/>
  <c r="BE220" i="7"/>
  <c r="AR220" i="7"/>
  <c r="BQ220" i="7"/>
  <c r="BQ221" i="7" s="1"/>
  <c r="BD220" i="7"/>
  <c r="AQ220" i="7"/>
  <c r="BP220" i="7"/>
  <c r="BP221" i="7" s="1"/>
  <c r="AZ220" i="7"/>
  <c r="AK220" i="7"/>
  <c r="AK221" i="7" s="1"/>
  <c r="CA220" i="7"/>
  <c r="BK220" i="7"/>
  <c r="AV220" i="7"/>
  <c r="BX220" i="7"/>
  <c r="BG220" i="7"/>
  <c r="AM220" i="7"/>
  <c r="AM221" i="7" s="1"/>
  <c r="BW220" i="7"/>
  <c r="BF220" i="7"/>
  <c r="AL220" i="7"/>
  <c r="AL221" i="7" s="1"/>
  <c r="BZ220" i="7"/>
  <c r="BB220" i="7"/>
  <c r="BV220" i="7"/>
  <c r="AY220" i="7"/>
  <c r="BU220" i="7"/>
  <c r="AX220" i="7"/>
  <c r="BT220" i="7"/>
  <c r="AW220" i="7"/>
  <c r="CB220" i="7"/>
  <c r="AP220" i="7"/>
  <c r="BO220" i="7"/>
  <c r="BO221" i="7" s="1"/>
  <c r="BS220" i="7"/>
  <c r="AN220" i="7"/>
  <c r="BJ220" i="7"/>
  <c r="BI220" i="7"/>
  <c r="AS220" i="7"/>
  <c r="BL220" i="7"/>
  <c r="BH220" i="7"/>
  <c r="BC220" i="7"/>
  <c r="AU220" i="7"/>
  <c r="CC220" i="7"/>
  <c r="BN220" i="7"/>
  <c r="AT220" i="7"/>
  <c r="BV157" i="7"/>
  <c r="BJ157" i="7"/>
  <c r="AX157" i="7"/>
  <c r="AL157" i="7"/>
  <c r="AL158" i="7" s="1"/>
  <c r="BQ157" i="7"/>
  <c r="BQ158" i="7" s="1"/>
  <c r="BD157" i="7"/>
  <c r="AQ157" i="7"/>
  <c r="CC157" i="7"/>
  <c r="BP157" i="7"/>
  <c r="BP158" i="7" s="1"/>
  <c r="BC157" i="7"/>
  <c r="AP157" i="7"/>
  <c r="CB157" i="7"/>
  <c r="BM157" i="7"/>
  <c r="AW157" i="7"/>
  <c r="BX157" i="7"/>
  <c r="BH157" i="7"/>
  <c r="AS157" i="7"/>
  <c r="BO157" i="7"/>
  <c r="BO158" i="7" s="1"/>
  <c r="AV157" i="7"/>
  <c r="BN157" i="7"/>
  <c r="AU157" i="7"/>
  <c r="BW157" i="7"/>
  <c r="BA157" i="7"/>
  <c r="BU157" i="7"/>
  <c r="AZ157" i="7"/>
  <c r="BT157" i="7"/>
  <c r="AY157" i="7"/>
  <c r="BS157" i="7"/>
  <c r="AT157" i="7"/>
  <c r="BY157" i="7"/>
  <c r="AM157" i="7"/>
  <c r="AM158" i="7" s="1"/>
  <c r="BL157" i="7"/>
  <c r="BR157" i="7"/>
  <c r="BR158" i="7" s="1"/>
  <c r="AK157" i="7"/>
  <c r="AK158" i="7" s="1"/>
  <c r="BG157" i="7"/>
  <c r="BF157" i="7"/>
  <c r="AN157" i="7"/>
  <c r="BI157" i="7"/>
  <c r="BB157" i="7"/>
  <c r="AR157" i="7"/>
  <c r="AO157" i="7"/>
  <c r="CA157" i="7"/>
  <c r="BZ157" i="7"/>
  <c r="BK157" i="7"/>
  <c r="BE157" i="7"/>
  <c r="BV101" i="7"/>
  <c r="BJ101" i="7"/>
  <c r="BX101" i="7"/>
  <c r="BK101" i="7"/>
  <c r="AX101" i="7"/>
  <c r="AL101" i="7"/>
  <c r="AL102" i="7" s="1"/>
  <c r="CC101" i="7"/>
  <c r="BO101" i="7"/>
  <c r="BO102" i="7" s="1"/>
  <c r="BA101" i="7"/>
  <c r="AN101" i="7"/>
  <c r="BY101" i="7"/>
  <c r="BI101" i="7"/>
  <c r="AV101" i="7"/>
  <c r="BQ101" i="7"/>
  <c r="BQ102" i="7" s="1"/>
  <c r="AZ101" i="7"/>
  <c r="BP101" i="7"/>
  <c r="BP102" i="7" s="1"/>
  <c r="AY101" i="7"/>
  <c r="BR101" i="7"/>
  <c r="BR102" i="7" s="1"/>
  <c r="AU101" i="7"/>
  <c r="BN101" i="7"/>
  <c r="AT101" i="7"/>
  <c r="BM101" i="7"/>
  <c r="AS101" i="7"/>
  <c r="BL101" i="7"/>
  <c r="AR101" i="7"/>
  <c r="BZ101" i="7"/>
  <c r="AW101" i="7"/>
  <c r="BU101" i="7"/>
  <c r="AP101" i="7"/>
  <c r="BW101" i="7"/>
  <c r="AQ101" i="7"/>
  <c r="BH101" i="7"/>
  <c r="AK101" i="7"/>
  <c r="AK102" i="7" s="1"/>
  <c r="BG101" i="7"/>
  <c r="BS101" i="7"/>
  <c r="BF101" i="7"/>
  <c r="BE101" i="7"/>
  <c r="CB101" i="7"/>
  <c r="CA101" i="7"/>
  <c r="BD101" i="7"/>
  <c r="BT101" i="7"/>
  <c r="BC101" i="7"/>
  <c r="BB101" i="7"/>
  <c r="AO101" i="7"/>
  <c r="AM101" i="7"/>
  <c r="AM102" i="7" s="1"/>
  <c r="BY192" i="7"/>
  <c r="BY193" i="7" s="1"/>
  <c r="BM192" i="7"/>
  <c r="BM193" i="7" s="1"/>
  <c r="BA192" i="7"/>
  <c r="BA193" i="7" s="1"/>
  <c r="AO192" i="7"/>
  <c r="AO193" i="7" s="1"/>
  <c r="CB192" i="7"/>
  <c r="CB193" i="7" s="1"/>
  <c r="BO192" i="7"/>
  <c r="BO193" i="7" s="1"/>
  <c r="BB192" i="7"/>
  <c r="BB193" i="7" s="1"/>
  <c r="AN192" i="7"/>
  <c r="AN193" i="7" s="1"/>
  <c r="CA192" i="7"/>
  <c r="CA193" i="7" s="1"/>
  <c r="BN192" i="7"/>
  <c r="BN193" i="7" s="1"/>
  <c r="AZ192" i="7"/>
  <c r="AZ193" i="7" s="1"/>
  <c r="AM192" i="7"/>
  <c r="AM193" i="7" s="1"/>
  <c r="BW192" i="7"/>
  <c r="BW193" i="7" s="1"/>
  <c r="BH192" i="7"/>
  <c r="BH193" i="7" s="1"/>
  <c r="AS192" i="7"/>
  <c r="AS193" i="7" s="1"/>
  <c r="BS192" i="7"/>
  <c r="BS193" i="7" s="1"/>
  <c r="BD192" i="7"/>
  <c r="BD193" i="7" s="1"/>
  <c r="AL192" i="7"/>
  <c r="AL193" i="7" s="1"/>
  <c r="BQ192" i="7"/>
  <c r="BQ193" i="7" s="1"/>
  <c r="AW192" i="7"/>
  <c r="AW193" i="7" s="1"/>
  <c r="BP192" i="7"/>
  <c r="BP193" i="7" s="1"/>
  <c r="AV192" i="7"/>
  <c r="AV193" i="7" s="1"/>
  <c r="BX192" i="7"/>
  <c r="BX193" i="7" s="1"/>
  <c r="BC192" i="7"/>
  <c r="BC193" i="7" s="1"/>
  <c r="BV192" i="7"/>
  <c r="BV193" i="7" s="1"/>
  <c r="AY192" i="7"/>
  <c r="AY193" i="7" s="1"/>
  <c r="BU192" i="7"/>
  <c r="BU193" i="7" s="1"/>
  <c r="AX192" i="7"/>
  <c r="AX193" i="7" s="1"/>
  <c r="BT192" i="7"/>
  <c r="BT193" i="7" s="1"/>
  <c r="AU192" i="7"/>
  <c r="AU193" i="7" s="1"/>
  <c r="BE192" i="7"/>
  <c r="BE193" i="7" s="1"/>
  <c r="AR192" i="7"/>
  <c r="AR193" i="7" s="1"/>
  <c r="AT192" i="7"/>
  <c r="AT193" i="7" s="1"/>
  <c r="BR192" i="7"/>
  <c r="BR193" i="7" s="1"/>
  <c r="AK192" i="7"/>
  <c r="AK193" i="7" s="1"/>
  <c r="BL192" i="7"/>
  <c r="BL193" i="7" s="1"/>
  <c r="AQ192" i="7"/>
  <c r="AQ193" i="7" s="1"/>
  <c r="AP192" i="7"/>
  <c r="AP193" i="7" s="1"/>
  <c r="BJ192" i="7"/>
  <c r="BJ193" i="7" s="1"/>
  <c r="BI192" i="7"/>
  <c r="BI193" i="7" s="1"/>
  <c r="BG192" i="7"/>
  <c r="BG193" i="7" s="1"/>
  <c r="BF192" i="7"/>
  <c r="BF193" i="7" s="1"/>
  <c r="CC192" i="7"/>
  <c r="CC193" i="7" s="1"/>
  <c r="BZ192" i="7"/>
  <c r="BZ193" i="7" s="1"/>
  <c r="BK192" i="7"/>
  <c r="BK193" i="7" s="1"/>
  <c r="BV185" i="7"/>
  <c r="BJ185" i="7"/>
  <c r="AX185" i="7"/>
  <c r="AL185" i="7"/>
  <c r="AL186" i="7" s="1"/>
  <c r="BT185" i="7"/>
  <c r="BG185" i="7"/>
  <c r="AT185" i="7"/>
  <c r="BS185" i="7"/>
  <c r="BF185" i="7"/>
  <c r="AS185" i="7"/>
  <c r="BW185" i="7"/>
  <c r="BE185" i="7"/>
  <c r="AP185" i="7"/>
  <c r="BP185" i="7"/>
  <c r="BP186" i="7" s="1"/>
  <c r="BA185" i="7"/>
  <c r="AK185" i="7"/>
  <c r="AK186" i="7" s="1"/>
  <c r="BY185" i="7"/>
  <c r="BD185" i="7"/>
  <c r="AM185" i="7"/>
  <c r="AM186" i="7" s="1"/>
  <c r="BX185" i="7"/>
  <c r="BC185" i="7"/>
  <c r="BZ185" i="7"/>
  <c r="AZ185" i="7"/>
  <c r="BU185" i="7"/>
  <c r="AY185" i="7"/>
  <c r="BR185" i="7"/>
  <c r="BR186" i="7" s="1"/>
  <c r="AW185" i="7"/>
  <c r="BQ185" i="7"/>
  <c r="BQ186" i="7" s="1"/>
  <c r="AV185" i="7"/>
  <c r="BL185" i="7"/>
  <c r="BI185" i="7"/>
  <c r="BK185" i="7"/>
  <c r="AU185" i="7"/>
  <c r="CC185" i="7"/>
  <c r="AR185" i="7"/>
  <c r="CB185" i="7"/>
  <c r="CA185" i="7"/>
  <c r="BH185" i="7"/>
  <c r="AQ185" i="7"/>
  <c r="AO185" i="7"/>
  <c r="BO185" i="7"/>
  <c r="BO186" i="7" s="1"/>
  <c r="BN185" i="7"/>
  <c r="BM185" i="7"/>
  <c r="BB185" i="7"/>
  <c r="AN185" i="7"/>
  <c r="BY164" i="7"/>
  <c r="BM164" i="7"/>
  <c r="BA164" i="7"/>
  <c r="AO164" i="7"/>
  <c r="BX164" i="7"/>
  <c r="BK164" i="7"/>
  <c r="AX164" i="7"/>
  <c r="AK164" i="7"/>
  <c r="AK165" i="7" s="1"/>
  <c r="BW164" i="7"/>
  <c r="BJ164" i="7"/>
  <c r="AW164" i="7"/>
  <c r="BP164" i="7"/>
  <c r="BP165" i="7" s="1"/>
  <c r="AZ164" i="7"/>
  <c r="CA164" i="7"/>
  <c r="BI164" i="7"/>
  <c r="AT164" i="7"/>
  <c r="CB164" i="7"/>
  <c r="BG164" i="7"/>
  <c r="AP164" i="7"/>
  <c r="BZ164" i="7"/>
  <c r="BF164" i="7"/>
  <c r="AN164" i="7"/>
  <c r="BU164" i="7"/>
  <c r="BB164" i="7"/>
  <c r="BT164" i="7"/>
  <c r="AY164" i="7"/>
  <c r="BS164" i="7"/>
  <c r="AV164" i="7"/>
  <c r="BR164" i="7"/>
  <c r="BR165" i="7" s="1"/>
  <c r="AU164" i="7"/>
  <c r="BL164" i="7"/>
  <c r="BE164" i="7"/>
  <c r="BH164" i="7"/>
  <c r="AS164" i="7"/>
  <c r="AR164" i="7"/>
  <c r="BC164" i="7"/>
  <c r="AQ164" i="7"/>
  <c r="AM164" i="7"/>
  <c r="AM165" i="7" s="1"/>
  <c r="BQ164" i="7"/>
  <c r="BQ165" i="7" s="1"/>
  <c r="BO164" i="7"/>
  <c r="BO165" i="7" s="1"/>
  <c r="AL164" i="7"/>
  <c r="AL165" i="7" s="1"/>
  <c r="CC164" i="7"/>
  <c r="BV164" i="7"/>
  <c r="BN164" i="7"/>
  <c r="BD164" i="7"/>
  <c r="BV129" i="7"/>
  <c r="BJ129" i="7"/>
  <c r="AX129" i="7"/>
  <c r="AL129" i="7"/>
  <c r="AL130" i="7" s="1"/>
  <c r="CA129" i="7"/>
  <c r="BN129" i="7"/>
  <c r="BA129" i="7"/>
  <c r="AN129" i="7"/>
  <c r="BZ129" i="7"/>
  <c r="BT129" i="7"/>
  <c r="BF129" i="7"/>
  <c r="AR129" i="7"/>
  <c r="BP129" i="7"/>
  <c r="BP130" i="7" s="1"/>
  <c r="BB129" i="7"/>
  <c r="AM129" i="7"/>
  <c r="AM130" i="7" s="1"/>
  <c r="BY129" i="7"/>
  <c r="BH129" i="7"/>
  <c r="AQ129" i="7"/>
  <c r="BX129" i="7"/>
  <c r="BG129" i="7"/>
  <c r="AP129" i="7"/>
  <c r="BU129" i="7"/>
  <c r="AZ129" i="7"/>
  <c r="BS129" i="7"/>
  <c r="AY129" i="7"/>
  <c r="BR129" i="7"/>
  <c r="BR130" i="7" s="1"/>
  <c r="AW129" i="7"/>
  <c r="BQ129" i="7"/>
  <c r="BQ130" i="7" s="1"/>
  <c r="AV129" i="7"/>
  <c r="BC129" i="7"/>
  <c r="CC129" i="7"/>
  <c r="AT129" i="7"/>
  <c r="AU129" i="7"/>
  <c r="BO129" i="7"/>
  <c r="BO130" i="7" s="1"/>
  <c r="AK129" i="7"/>
  <c r="AK130" i="7" s="1"/>
  <c r="BM129" i="7"/>
  <c r="AS129" i="7"/>
  <c r="AO129" i="7"/>
  <c r="BE129" i="7"/>
  <c r="CB129" i="7"/>
  <c r="BW129" i="7"/>
  <c r="BL129" i="7"/>
  <c r="BK129" i="7"/>
  <c r="BD129" i="7"/>
  <c r="BI129" i="7"/>
  <c r="AL17" i="7"/>
  <c r="AX17" i="7"/>
  <c r="BJ17" i="7"/>
  <c r="BV17" i="7"/>
  <c r="AP17" i="7"/>
  <c r="BC17" i="7"/>
  <c r="AR17" i="7"/>
  <c r="BP17" i="7"/>
  <c r="BG17" i="7"/>
  <c r="BH17" i="7"/>
  <c r="BU17" i="7"/>
  <c r="AM17" i="7"/>
  <c r="AY17" i="7"/>
  <c r="BK17" i="7"/>
  <c r="BW17" i="7"/>
  <c r="BB17" i="7"/>
  <c r="BZ17" i="7"/>
  <c r="AQ17" i="7"/>
  <c r="CA17" i="7"/>
  <c r="BD17" i="7"/>
  <c r="BE17" i="7"/>
  <c r="AU17" i="7"/>
  <c r="AN17" i="7"/>
  <c r="AZ17" i="7"/>
  <c r="BL17" i="7"/>
  <c r="BX17" i="7"/>
  <c r="AS17" i="7"/>
  <c r="CC17" i="7"/>
  <c r="AT17" i="7"/>
  <c r="BR17" i="7"/>
  <c r="AW17" i="7"/>
  <c r="AO17" i="7"/>
  <c r="BA17" i="7"/>
  <c r="BM17" i="7"/>
  <c r="BY17" i="7"/>
  <c r="BN17" i="7"/>
  <c r="BO17" i="7"/>
  <c r="CB17" i="7"/>
  <c r="BQ17" i="7"/>
  <c r="BF17" i="7"/>
  <c r="BI17" i="7"/>
  <c r="BS17" i="7"/>
  <c r="AV17" i="7"/>
  <c r="BT17" i="7"/>
  <c r="AK17" i="7"/>
  <c r="G140" i="5"/>
  <c r="G146" i="5" s="1"/>
  <c r="L18" i="4"/>
  <c r="L77" i="4"/>
  <c r="G69" i="5"/>
  <c r="F69" i="5"/>
  <c r="L27" i="4"/>
  <c r="L48" i="4"/>
  <c r="L76" i="4"/>
  <c r="L39" i="4"/>
  <c r="G14" i="4"/>
  <c r="J14" i="4" s="1"/>
  <c r="L37" i="4"/>
  <c r="L38" i="4"/>
  <c r="L46" i="4"/>
  <c r="L54" i="4"/>
  <c r="L47" i="4"/>
  <c r="L44" i="4"/>
  <c r="L58" i="4"/>
  <c r="L68" i="4"/>
  <c r="L45" i="4"/>
  <c r="L61" i="4"/>
  <c r="L15" i="4"/>
  <c r="L51" i="4"/>
  <c r="L66" i="4"/>
  <c r="L82" i="4"/>
  <c r="L17" i="4"/>
  <c r="L69" i="4"/>
  <c r="L89" i="4"/>
  <c r="L26" i="4"/>
  <c r="L19" i="4"/>
  <c r="L65" i="4"/>
  <c r="L71" i="4"/>
  <c r="L80" i="4"/>
  <c r="L87" i="4"/>
  <c r="L70" i="4"/>
  <c r="L30" i="4"/>
  <c r="L50" i="4"/>
  <c r="F20" i="3"/>
  <c r="L13" i="4"/>
  <c r="L29" i="4"/>
  <c r="L60" i="4"/>
  <c r="F132" i="5"/>
  <c r="L79" i="4"/>
  <c r="L28" i="4"/>
  <c r="L59" i="4"/>
  <c r="L73" i="4"/>
  <c r="L88" i="4"/>
  <c r="L72" i="4"/>
  <c r="L57" i="4"/>
  <c r="L31" i="4"/>
  <c r="L16" i="4"/>
  <c r="L36" i="4"/>
  <c r="L63" i="6"/>
  <c r="L78" i="4"/>
  <c r="L56" i="4"/>
  <c r="L52" i="4"/>
  <c r="L74" i="4"/>
  <c r="L12" i="4"/>
  <c r="L22" i="4"/>
  <c r="L55" i="4"/>
  <c r="L42" i="4"/>
  <c r="L20" i="4"/>
  <c r="L40" i="4"/>
  <c r="L62" i="4"/>
  <c r="L83" i="4"/>
  <c r="L81" i="4"/>
  <c r="L85" i="4"/>
  <c r="L32" i="4"/>
  <c r="L53" i="4"/>
  <c r="L75" i="4"/>
  <c r="L14" i="4"/>
  <c r="L35" i="4"/>
  <c r="L33" i="4"/>
  <c r="L49" i="4"/>
  <c r="L67" i="4"/>
  <c r="L41" i="4"/>
  <c r="L63" i="4"/>
  <c r="L84" i="4"/>
  <c r="L23" i="4"/>
  <c r="L21" i="4"/>
  <c r="L43" i="4"/>
  <c r="L25" i="4"/>
  <c r="L64" i="4"/>
  <c r="L86" i="4"/>
  <c r="L24" i="4"/>
  <c r="G21" i="10"/>
  <c r="H21" i="10" s="1"/>
  <c r="G175" i="5"/>
  <c r="H175" i="5" s="1"/>
  <c r="L78" i="6"/>
  <c r="G181" i="7"/>
  <c r="F48" i="5"/>
  <c r="BG290" i="7"/>
  <c r="L42" i="6"/>
  <c r="G119" i="7"/>
  <c r="G125" i="7" s="1"/>
  <c r="L22" i="6"/>
  <c r="L47" i="6"/>
  <c r="L41" i="6"/>
  <c r="F181" i="5"/>
  <c r="L45" i="6"/>
  <c r="L80" i="6"/>
  <c r="L37" i="6"/>
  <c r="F46" i="5"/>
  <c r="L88" i="8"/>
  <c r="L83" i="6"/>
  <c r="H231" i="7"/>
  <c r="I231" i="7" s="1"/>
  <c r="L30" i="8"/>
  <c r="L62" i="6"/>
  <c r="F123" i="7"/>
  <c r="L14" i="6"/>
  <c r="L89" i="6"/>
  <c r="BV290" i="7"/>
  <c r="L26" i="6"/>
  <c r="L67" i="6"/>
  <c r="L39" i="6"/>
  <c r="L50" i="6"/>
  <c r="BF290" i="7"/>
  <c r="BI290" i="7"/>
  <c r="L36" i="6"/>
  <c r="L74" i="6"/>
  <c r="L66" i="6"/>
  <c r="BU290" i="7"/>
  <c r="AV290" i="7"/>
  <c r="L17" i="6"/>
  <c r="L73" i="6"/>
  <c r="L34" i="6"/>
  <c r="L25" i="6"/>
  <c r="BS290" i="7"/>
  <c r="V290" i="7"/>
  <c r="AH290" i="7"/>
  <c r="BL290" i="7"/>
  <c r="AG290" i="7"/>
  <c r="L51" i="6"/>
  <c r="L77" i="6"/>
  <c r="L55" i="6"/>
  <c r="P290" i="7"/>
  <c r="BA290" i="7"/>
  <c r="AA290" i="7"/>
  <c r="F90" i="5"/>
  <c r="N290" i="7"/>
  <c r="L15" i="6"/>
  <c r="L76" i="6"/>
  <c r="L56" i="6"/>
  <c r="BH290" i="7"/>
  <c r="AX290" i="7"/>
  <c r="L86" i="6"/>
  <c r="L27" i="6"/>
  <c r="L20" i="6"/>
  <c r="M37" i="9"/>
  <c r="Z37" i="9" s="1"/>
  <c r="L79" i="8"/>
  <c r="G154" i="5"/>
  <c r="L21" i="8"/>
  <c r="AU290" i="7"/>
  <c r="AM290" i="7"/>
  <c r="G56" i="7"/>
  <c r="G62" i="7" s="1"/>
  <c r="L290" i="7"/>
  <c r="K290" i="7"/>
  <c r="L23" i="8"/>
  <c r="L59" i="8"/>
  <c r="L70" i="8"/>
  <c r="L44" i="8"/>
  <c r="Q290" i="7"/>
  <c r="S290" i="7"/>
  <c r="L32" i="8"/>
  <c r="G16" i="9"/>
  <c r="J16" i="9" s="1"/>
  <c r="J14" i="9"/>
  <c r="M44" i="9"/>
  <c r="AD44" i="9" s="1"/>
  <c r="G56" i="10"/>
  <c r="H56" i="10" s="1"/>
  <c r="G133" i="5"/>
  <c r="G137" i="5" s="1"/>
  <c r="J13" i="9"/>
  <c r="L65" i="8"/>
  <c r="M24" i="9"/>
  <c r="Z24" i="9" s="1"/>
  <c r="L79" i="6"/>
  <c r="L61" i="6"/>
  <c r="L24" i="6"/>
  <c r="G35" i="7"/>
  <c r="G41" i="7" s="1"/>
  <c r="M31" i="9"/>
  <c r="Z31" i="9" s="1"/>
  <c r="L29" i="8"/>
  <c r="L71" i="6"/>
  <c r="L13" i="6"/>
  <c r="L81" i="6"/>
  <c r="M21" i="9"/>
  <c r="AD21" i="9" s="1"/>
  <c r="L81" i="8"/>
  <c r="M18" i="9"/>
  <c r="AD18" i="9" s="1"/>
  <c r="L56" i="8"/>
  <c r="L53" i="6"/>
  <c r="L65" i="6"/>
  <c r="L12" i="6"/>
  <c r="L33" i="6"/>
  <c r="M26" i="9"/>
  <c r="Z26" i="9" s="1"/>
  <c r="L48" i="8"/>
  <c r="M74" i="9"/>
  <c r="Z74" i="9" s="1"/>
  <c r="M88" i="9"/>
  <c r="Z88" i="9" s="1"/>
  <c r="G153" i="5"/>
  <c r="M71" i="9"/>
  <c r="Z71" i="9" s="1"/>
  <c r="M23" i="9"/>
  <c r="Z23" i="9" s="1"/>
  <c r="M73" i="9"/>
  <c r="Z73" i="9" s="1"/>
  <c r="M54" i="9"/>
  <c r="V54" i="9" s="1"/>
  <c r="M39" i="9"/>
  <c r="V39" i="9" s="1"/>
  <c r="M13" i="9"/>
  <c r="Z13" i="9" s="1"/>
  <c r="M89" i="9"/>
  <c r="V89" i="9" s="1"/>
  <c r="F85" i="10"/>
  <c r="L41" i="8"/>
  <c r="L64" i="8"/>
  <c r="L52" i="6"/>
  <c r="L35" i="6"/>
  <c r="L46" i="6"/>
  <c r="L58" i="6"/>
  <c r="L68" i="6"/>
  <c r="G34" i="10"/>
  <c r="L35" i="8"/>
  <c r="L26" i="8"/>
  <c r="L38" i="6"/>
  <c r="L82" i="6"/>
  <c r="L75" i="6"/>
  <c r="L87" i="6"/>
  <c r="L44" i="6"/>
  <c r="H147" i="5"/>
  <c r="I147" i="5" s="1"/>
  <c r="L24" i="8"/>
  <c r="L13" i="8"/>
  <c r="L85" i="6"/>
  <c r="L49" i="6"/>
  <c r="L43" i="6"/>
  <c r="L72" i="6"/>
  <c r="L32" i="6"/>
  <c r="L14" i="8"/>
  <c r="L66" i="8"/>
  <c r="L19" i="6"/>
  <c r="L23" i="6"/>
  <c r="L29" i="6"/>
  <c r="L59" i="6"/>
  <c r="L69" i="6"/>
  <c r="L30" i="6"/>
  <c r="U290" i="7"/>
  <c r="BE290" i="7"/>
  <c r="BX290" i="7"/>
  <c r="BO290" i="7"/>
  <c r="AT290" i="7"/>
  <c r="AD290" i="7"/>
  <c r="BK290" i="7"/>
  <c r="AQ290" i="7"/>
  <c r="F62" i="10"/>
  <c r="L60" i="8"/>
  <c r="L46" i="8"/>
  <c r="L42" i="8"/>
  <c r="M27" i="9"/>
  <c r="V27" i="9" s="1"/>
  <c r="M52" i="9"/>
  <c r="AD52" i="9" s="1"/>
  <c r="F64" i="10"/>
  <c r="F70" i="10" s="1"/>
  <c r="H28" i="7"/>
  <c r="H34" i="7" s="1"/>
  <c r="AS290" i="7"/>
  <c r="AP290" i="7"/>
  <c r="X290" i="7"/>
  <c r="G290" i="7"/>
  <c r="L57" i="8"/>
  <c r="L45" i="8"/>
  <c r="M62" i="9"/>
  <c r="Z62" i="9" s="1"/>
  <c r="M82" i="9"/>
  <c r="Z82" i="9" s="1"/>
  <c r="M78" i="9"/>
  <c r="Z78" i="9" s="1"/>
  <c r="BT290" i="7"/>
  <c r="CB290" i="7"/>
  <c r="AJ290" i="7"/>
  <c r="M68" i="9"/>
  <c r="V68" i="9" s="1"/>
  <c r="M65" i="9"/>
  <c r="V65" i="9" s="1"/>
  <c r="F76" i="10"/>
  <c r="G16" i="6"/>
  <c r="J16" i="6" s="1"/>
  <c r="AB290" i="7"/>
  <c r="H290" i="7"/>
  <c r="BN290" i="7"/>
  <c r="J290" i="7"/>
  <c r="L52" i="8"/>
  <c r="L51" i="8"/>
  <c r="L68" i="8"/>
  <c r="M80" i="9"/>
  <c r="Z80" i="9" s="1"/>
  <c r="M36" i="9"/>
  <c r="Z36" i="9" s="1"/>
  <c r="J14" i="6"/>
  <c r="BB290" i="7"/>
  <c r="BR290" i="7"/>
  <c r="M290" i="7"/>
  <c r="I290" i="7"/>
  <c r="L71" i="8"/>
  <c r="L12" i="8"/>
  <c r="L19" i="8"/>
  <c r="M75" i="9"/>
  <c r="V75" i="9" s="1"/>
  <c r="M81" i="9"/>
  <c r="Z81" i="9" s="1"/>
  <c r="F55" i="7"/>
  <c r="L89" i="8"/>
  <c r="L87" i="8"/>
  <c r="L62" i="8"/>
  <c r="L54" i="8"/>
  <c r="L48" i="6"/>
  <c r="L84" i="6"/>
  <c r="L64" i="6"/>
  <c r="L28" i="6"/>
  <c r="L88" i="6"/>
  <c r="L57" i="6"/>
  <c r="L54" i="6"/>
  <c r="M85" i="9"/>
  <c r="Z85" i="9" s="1"/>
  <c r="M46" i="9"/>
  <c r="V46" i="9" s="1"/>
  <c r="M45" i="9"/>
  <c r="Z45" i="9" s="1"/>
  <c r="D291" i="7" a="1"/>
  <c r="AH291" i="7" s="1"/>
  <c r="AH265" i="7" s="1"/>
  <c r="L77" i="8"/>
  <c r="L15" i="8"/>
  <c r="L73" i="8"/>
  <c r="L70" i="6"/>
  <c r="L31" i="6"/>
  <c r="L16" i="6"/>
  <c r="L60" i="6"/>
  <c r="L40" i="6"/>
  <c r="L21" i="6"/>
  <c r="M25" i="9"/>
  <c r="Z25" i="9" s="1"/>
  <c r="M29" i="9"/>
  <c r="V29" i="9" s="1"/>
  <c r="M40" i="9"/>
  <c r="Z40" i="9" s="1"/>
  <c r="M20" i="9"/>
  <c r="Z20" i="9" s="1"/>
  <c r="M83" i="9"/>
  <c r="Z83" i="9" s="1"/>
  <c r="M51" i="9"/>
  <c r="AD51" i="9" s="1"/>
  <c r="M79" i="9"/>
  <c r="Z79" i="9" s="1"/>
  <c r="M17" i="9"/>
  <c r="AD17" i="9" s="1"/>
  <c r="M48" i="9"/>
  <c r="V48" i="9" s="1"/>
  <c r="M70" i="9"/>
  <c r="Z70" i="9" s="1"/>
  <c r="M69" i="9"/>
  <c r="Z69" i="9" s="1"/>
  <c r="J13" i="6"/>
  <c r="H34" i="10"/>
  <c r="I28" i="10"/>
  <c r="L39" i="8"/>
  <c r="L17" i="8"/>
  <c r="L86" i="8"/>
  <c r="L47" i="8"/>
  <c r="L67" i="8"/>
  <c r="AY290" i="7"/>
  <c r="AL290" i="7"/>
  <c r="D290" i="7"/>
  <c r="BZ290" i="7"/>
  <c r="BW290" i="7"/>
  <c r="CA290" i="7"/>
  <c r="L76" i="8"/>
  <c r="L58" i="8"/>
  <c r="L69" i="8"/>
  <c r="L28" i="8"/>
  <c r="L49" i="8"/>
  <c r="L55" i="8"/>
  <c r="Y290" i="7"/>
  <c r="T290" i="7"/>
  <c r="F290" i="7"/>
  <c r="BQ290" i="7"/>
  <c r="BM290" i="7"/>
  <c r="BJ290" i="7"/>
  <c r="L36" i="8"/>
  <c r="L16" i="8"/>
  <c r="L50" i="8"/>
  <c r="L82" i="8"/>
  <c r="L37" i="8"/>
  <c r="L43" i="8"/>
  <c r="CC290" i="7"/>
  <c r="BY290" i="7"/>
  <c r="BP290" i="7"/>
  <c r="BD290" i="7"/>
  <c r="AZ290" i="7"/>
  <c r="AW290" i="7"/>
  <c r="BC290" i="7"/>
  <c r="F88" i="5"/>
  <c r="L75" i="8"/>
  <c r="L74" i="8"/>
  <c r="L33" i="8"/>
  <c r="L63" i="8"/>
  <c r="L25" i="8"/>
  <c r="L31" i="8"/>
  <c r="R290" i="7"/>
  <c r="O290" i="7"/>
  <c r="E290" i="7"/>
  <c r="AC290" i="7"/>
  <c r="Z290" i="7"/>
  <c r="W290" i="7"/>
  <c r="AE290" i="7"/>
  <c r="L53" i="8"/>
  <c r="L72" i="8"/>
  <c r="L38" i="8"/>
  <c r="L84" i="8"/>
  <c r="L27" i="8"/>
  <c r="L80" i="8"/>
  <c r="L78" i="8"/>
  <c r="M30" i="9"/>
  <c r="AD30" i="9" s="1"/>
  <c r="AF290" i="7"/>
  <c r="AO290" i="7"/>
  <c r="AR290" i="7"/>
  <c r="AN290" i="7"/>
  <c r="AK290" i="7"/>
  <c r="L40" i="8"/>
  <c r="L22" i="8"/>
  <c r="L34" i="8"/>
  <c r="L83" i="8"/>
  <c r="L85" i="8"/>
  <c r="L20" i="8"/>
  <c r="L18" i="8"/>
  <c r="M60" i="9"/>
  <c r="V60" i="9" s="1"/>
  <c r="M16" i="9"/>
  <c r="Z16" i="9" s="1"/>
  <c r="M55" i="9"/>
  <c r="Z55" i="9" s="1"/>
  <c r="M35" i="9"/>
  <c r="Z35" i="9" s="1"/>
  <c r="F85" i="3"/>
  <c r="M87" i="9"/>
  <c r="V87" i="9" s="1"/>
  <c r="M56" i="9"/>
  <c r="V56" i="9" s="1"/>
  <c r="M77" i="9"/>
  <c r="Z77" i="9" s="1"/>
  <c r="M57" i="9"/>
  <c r="Z57" i="9" s="1"/>
  <c r="M42" i="9"/>
  <c r="AD42" i="9" s="1"/>
  <c r="G14" i="10"/>
  <c r="F20" i="10"/>
  <c r="M64" i="9"/>
  <c r="Z64" i="9" s="1"/>
  <c r="G35" i="10"/>
  <c r="F41" i="10"/>
  <c r="F39" i="3"/>
  <c r="F41" i="3"/>
  <c r="G35" i="3"/>
  <c r="J23" i="6"/>
  <c r="R23" i="6"/>
  <c r="AF24" i="6"/>
  <c r="H21" i="5"/>
  <c r="G25" i="5"/>
  <c r="G27" i="5"/>
  <c r="M72" i="9"/>
  <c r="V72" i="9" s="1"/>
  <c r="M84" i="9"/>
  <c r="Z84" i="9" s="1"/>
  <c r="M32" i="9"/>
  <c r="V32" i="9" s="1"/>
  <c r="M58" i="9"/>
  <c r="Z58" i="9" s="1"/>
  <c r="M67" i="9"/>
  <c r="AD67" i="9" s="1"/>
  <c r="M33" i="9"/>
  <c r="Z33" i="9" s="1"/>
  <c r="M14" i="9"/>
  <c r="AD14" i="9" s="1"/>
  <c r="R25" i="6"/>
  <c r="J25" i="6"/>
  <c r="AF26" i="6"/>
  <c r="H69" i="5"/>
  <c r="I63" i="5"/>
  <c r="D291" i="5" a="1"/>
  <c r="E291" i="5" s="1"/>
  <c r="E265" i="5" s="1"/>
  <c r="D95" i="3" a="1"/>
  <c r="L95" i="3" s="1"/>
  <c r="L69" i="3" s="1"/>
  <c r="M86" i="9"/>
  <c r="Z86" i="9" s="1"/>
  <c r="M50" i="9"/>
  <c r="Z50" i="9" s="1"/>
  <c r="M63" i="9"/>
  <c r="AD63" i="9" s="1"/>
  <c r="M34" i="9"/>
  <c r="AD34" i="9" s="1"/>
  <c r="M43" i="9"/>
  <c r="AD43" i="9" s="1"/>
  <c r="M76" i="9"/>
  <c r="AD76" i="9" s="1"/>
  <c r="M66" i="9"/>
  <c r="Z66" i="9" s="1"/>
  <c r="F25" i="3"/>
  <c r="F27" i="3"/>
  <c r="G21" i="3"/>
  <c r="F76" i="7"/>
  <c r="G70" i="7"/>
  <c r="J22" i="4"/>
  <c r="R22" i="4"/>
  <c r="AF23" i="4"/>
  <c r="J23" i="4"/>
  <c r="R23" i="4"/>
  <c r="AF24" i="4"/>
  <c r="F62" i="5"/>
  <c r="G56" i="5"/>
  <c r="G49" i="5"/>
  <c r="F55" i="5"/>
  <c r="F76" i="3"/>
  <c r="G91" i="7"/>
  <c r="F97" i="7"/>
  <c r="M59" i="9"/>
  <c r="Z59" i="9" s="1"/>
  <c r="M61" i="9"/>
  <c r="Z61" i="9" s="1"/>
  <c r="M22" i="9"/>
  <c r="V22" i="9" s="1"/>
  <c r="M53" i="9"/>
  <c r="Z53" i="9" s="1"/>
  <c r="M15" i="9"/>
  <c r="AD15" i="9" s="1"/>
  <c r="M28" i="9"/>
  <c r="Z28" i="9" s="1"/>
  <c r="F104" i="7"/>
  <c r="G98" i="7"/>
  <c r="F69" i="7"/>
  <c r="G63" i="7"/>
  <c r="J44" i="6"/>
  <c r="AF44" i="6"/>
  <c r="D94" i="3" a="1"/>
  <c r="F94" i="3" s="1"/>
  <c r="M38" i="9"/>
  <c r="Z38" i="9" s="1"/>
  <c r="M49" i="9"/>
  <c r="Z49" i="9" s="1"/>
  <c r="M19" i="9"/>
  <c r="V19" i="9" s="1"/>
  <c r="M41" i="9"/>
  <c r="V41" i="9" s="1"/>
  <c r="M12" i="9"/>
  <c r="AD12" i="9" s="1"/>
  <c r="R24" i="6"/>
  <c r="J24" i="6"/>
  <c r="AF25" i="6"/>
  <c r="G28" i="5"/>
  <c r="F34" i="5"/>
  <c r="G140" i="7"/>
  <c r="F146" i="7"/>
  <c r="J22" i="6"/>
  <c r="R22" i="6"/>
  <c r="AF23" i="6"/>
  <c r="G84" i="7"/>
  <c r="F90" i="7"/>
  <c r="F88" i="7"/>
  <c r="H42" i="5"/>
  <c r="G46" i="5"/>
  <c r="G48" i="5"/>
  <c r="G182" i="7"/>
  <c r="F188" i="7"/>
  <c r="F111" i="5"/>
  <c r="F109" i="5"/>
  <c r="G105" i="5"/>
  <c r="J70" i="5"/>
  <c r="I76" i="5"/>
  <c r="G18" i="3"/>
  <c r="G20" i="3"/>
  <c r="H14" i="3"/>
  <c r="AF38" i="8"/>
  <c r="R37" i="8"/>
  <c r="G90" i="5"/>
  <c r="H84" i="5"/>
  <c r="G88" i="5"/>
  <c r="R23" i="9"/>
  <c r="AF24" i="9"/>
  <c r="J23" i="9"/>
  <c r="F64" i="3"/>
  <c r="F70" i="3" s="1"/>
  <c r="F118" i="5"/>
  <c r="G112" i="5"/>
  <c r="AF32" i="8"/>
  <c r="R31" i="8"/>
  <c r="R35" i="9"/>
  <c r="AF36" i="9"/>
  <c r="G167" i="5"/>
  <c r="H161" i="5"/>
  <c r="F111" i="7"/>
  <c r="G105" i="7"/>
  <c r="G147" i="7"/>
  <c r="F153" i="7"/>
  <c r="M26" i="4"/>
  <c r="M13" i="4"/>
  <c r="M15" i="4"/>
  <c r="M17" i="4"/>
  <c r="M19" i="4"/>
  <c r="M21" i="4"/>
  <c r="M23" i="4"/>
  <c r="M27" i="4"/>
  <c r="M38" i="4"/>
  <c r="M50" i="4"/>
  <c r="M62" i="4"/>
  <c r="M74" i="4"/>
  <c r="M86" i="4"/>
  <c r="M33" i="4"/>
  <c r="M45" i="4"/>
  <c r="M57" i="4"/>
  <c r="M69" i="4"/>
  <c r="M81" i="4"/>
  <c r="M14" i="4"/>
  <c r="M22" i="4"/>
  <c r="M40" i="4"/>
  <c r="M52" i="4"/>
  <c r="M64" i="4"/>
  <c r="M76" i="4"/>
  <c r="M88" i="4"/>
  <c r="M35" i="4"/>
  <c r="M47" i="4"/>
  <c r="M59" i="4"/>
  <c r="M71" i="4"/>
  <c r="M83" i="4"/>
  <c r="M42" i="4"/>
  <c r="M54" i="4"/>
  <c r="M66" i="4"/>
  <c r="M78" i="4"/>
  <c r="M29" i="4"/>
  <c r="M30" i="4"/>
  <c r="M37" i="4"/>
  <c r="M49" i="4"/>
  <c r="M61" i="4"/>
  <c r="M73" i="4"/>
  <c r="M85" i="4"/>
  <c r="M16" i="4"/>
  <c r="M20" i="4"/>
  <c r="M32" i="4"/>
  <c r="M44" i="4"/>
  <c r="M56" i="4"/>
  <c r="M68" i="4"/>
  <c r="M80" i="4"/>
  <c r="M28" i="4"/>
  <c r="M39" i="4"/>
  <c r="M51" i="4"/>
  <c r="M63" i="4"/>
  <c r="M75" i="4"/>
  <c r="M87" i="4"/>
  <c r="M34" i="4"/>
  <c r="M46" i="4"/>
  <c r="M58" i="4"/>
  <c r="M70" i="4"/>
  <c r="M82" i="4"/>
  <c r="M41" i="4"/>
  <c r="M53" i="4"/>
  <c r="M65" i="4"/>
  <c r="M77" i="4"/>
  <c r="M89" i="4"/>
  <c r="M12" i="4"/>
  <c r="M18" i="4"/>
  <c r="M36" i="4"/>
  <c r="M48" i="4"/>
  <c r="M60" i="4"/>
  <c r="M72" i="4"/>
  <c r="M84" i="4"/>
  <c r="M24" i="4"/>
  <c r="M25" i="4"/>
  <c r="M31" i="4"/>
  <c r="M43" i="4"/>
  <c r="M55" i="4"/>
  <c r="M67" i="4"/>
  <c r="M79" i="4"/>
  <c r="AF44" i="9"/>
  <c r="R43" i="9"/>
  <c r="AF43" i="9"/>
  <c r="F167" i="7"/>
  <c r="G161" i="7"/>
  <c r="I168" i="5"/>
  <c r="H174" i="5"/>
  <c r="H49" i="7"/>
  <c r="G55" i="7"/>
  <c r="H77" i="7"/>
  <c r="G83" i="7"/>
  <c r="G81" i="7"/>
  <c r="F48" i="3"/>
  <c r="G42" i="3"/>
  <c r="L290" i="5"/>
  <c r="X290" i="5"/>
  <c r="AJ290" i="5"/>
  <c r="AV290" i="5"/>
  <c r="BH290" i="5"/>
  <c r="BT290" i="5"/>
  <c r="N290" i="5"/>
  <c r="Z290" i="5"/>
  <c r="AL290" i="5"/>
  <c r="AX290" i="5"/>
  <c r="BJ290" i="5"/>
  <c r="BV290" i="5"/>
  <c r="O290" i="5"/>
  <c r="AA290" i="5"/>
  <c r="AM290" i="5"/>
  <c r="AY290" i="5"/>
  <c r="BK290" i="5"/>
  <c r="BW290" i="5"/>
  <c r="D290" i="5"/>
  <c r="P290" i="5"/>
  <c r="AB290" i="5"/>
  <c r="AN290" i="5"/>
  <c r="AZ290" i="5"/>
  <c r="BL290" i="5"/>
  <c r="BX290" i="5"/>
  <c r="E290" i="5"/>
  <c r="Q290" i="5"/>
  <c r="AC290" i="5"/>
  <c r="AO290" i="5"/>
  <c r="BA290" i="5"/>
  <c r="BM290" i="5"/>
  <c r="BY290" i="5"/>
  <c r="F290" i="5"/>
  <c r="R290" i="5"/>
  <c r="AD290" i="5"/>
  <c r="AP290" i="5"/>
  <c r="BB290" i="5"/>
  <c r="BN290" i="5"/>
  <c r="BZ290" i="5"/>
  <c r="G290" i="5"/>
  <c r="S290" i="5"/>
  <c r="AE290" i="5"/>
  <c r="AQ290" i="5"/>
  <c r="BC290" i="5"/>
  <c r="BO290" i="5"/>
  <c r="CA290" i="5"/>
  <c r="H290" i="5"/>
  <c r="T290" i="5"/>
  <c r="AF290" i="5"/>
  <c r="AR290" i="5"/>
  <c r="BD290" i="5"/>
  <c r="BP290" i="5"/>
  <c r="CB290" i="5"/>
  <c r="I290" i="5"/>
  <c r="U290" i="5"/>
  <c r="AG290" i="5"/>
  <c r="AS290" i="5"/>
  <c r="BE290" i="5"/>
  <c r="BQ290" i="5"/>
  <c r="CC290" i="5"/>
  <c r="J290" i="5"/>
  <c r="V290" i="5"/>
  <c r="AH290" i="5"/>
  <c r="AT290" i="5"/>
  <c r="BF290" i="5"/>
  <c r="BR290" i="5"/>
  <c r="K290" i="5"/>
  <c r="W290" i="5"/>
  <c r="AI290" i="5"/>
  <c r="AU290" i="5"/>
  <c r="BG290" i="5"/>
  <c r="BS290" i="5"/>
  <c r="M290" i="5"/>
  <c r="Y290" i="5"/>
  <c r="AK290" i="5"/>
  <c r="AW290" i="5"/>
  <c r="BI290" i="5"/>
  <c r="BU290" i="5"/>
  <c r="V47" i="9"/>
  <c r="AD47" i="9"/>
  <c r="H182" i="5"/>
  <c r="G188" i="5"/>
  <c r="F160" i="7"/>
  <c r="G154" i="7"/>
  <c r="F158" i="7"/>
  <c r="G217" i="5"/>
  <c r="F223" i="5"/>
  <c r="F41" i="5"/>
  <c r="G35" i="5"/>
  <c r="R43" i="8"/>
  <c r="AF44" i="8"/>
  <c r="G48" i="7"/>
  <c r="H42" i="7"/>
  <c r="R15" i="8"/>
  <c r="G119" i="5"/>
  <c r="F125" i="5"/>
  <c r="R40" i="9"/>
  <c r="AF41" i="9"/>
  <c r="G252" i="5"/>
  <c r="F258" i="5"/>
  <c r="J25" i="4"/>
  <c r="R25" i="4"/>
  <c r="AF26" i="4"/>
  <c r="AF25" i="4"/>
  <c r="R19" i="8"/>
  <c r="G203" i="7"/>
  <c r="F209" i="7"/>
  <c r="J22" i="9"/>
  <c r="R22" i="9"/>
  <c r="AF23" i="9"/>
  <c r="F244" i="5"/>
  <c r="G238" i="5"/>
  <c r="G55" i="10"/>
  <c r="H49" i="10"/>
  <c r="G53" i="10"/>
  <c r="G83" i="5"/>
  <c r="H77" i="5"/>
  <c r="G81" i="5"/>
  <c r="R28" i="9"/>
  <c r="AF29" i="9"/>
  <c r="R41" i="9"/>
  <c r="AF42" i="9"/>
  <c r="J13" i="4"/>
  <c r="R13" i="4"/>
  <c r="M12" i="8"/>
  <c r="M17" i="8"/>
  <c r="M24" i="8"/>
  <c r="M26" i="8"/>
  <c r="M28" i="8"/>
  <c r="M30" i="8"/>
  <c r="M32" i="8"/>
  <c r="M34" i="8"/>
  <c r="M36" i="8"/>
  <c r="M38" i="8"/>
  <c r="M40" i="8"/>
  <c r="M42" i="8"/>
  <c r="M44" i="8"/>
  <c r="M46" i="8"/>
  <c r="M48" i="8"/>
  <c r="M50" i="8"/>
  <c r="M52" i="8"/>
  <c r="M54" i="8"/>
  <c r="M56" i="8"/>
  <c r="M58" i="8"/>
  <c r="M60" i="8"/>
  <c r="M62" i="8"/>
  <c r="M64" i="8"/>
  <c r="M66" i="8"/>
  <c r="M22" i="8"/>
  <c r="M23" i="8"/>
  <c r="M25" i="8"/>
  <c r="M27" i="8"/>
  <c r="M29" i="8"/>
  <c r="M31" i="8"/>
  <c r="M33" i="8"/>
  <c r="M35" i="8"/>
  <c r="M37" i="8"/>
  <c r="M39" i="8"/>
  <c r="M41" i="8"/>
  <c r="M43" i="8"/>
  <c r="M45" i="8"/>
  <c r="M47" i="8"/>
  <c r="M16" i="8"/>
  <c r="M18" i="8"/>
  <c r="M20" i="8"/>
  <c r="M21" i="8"/>
  <c r="M19" i="8"/>
  <c r="M76" i="8"/>
  <c r="M88" i="8"/>
  <c r="M69" i="8"/>
  <c r="M81" i="8"/>
  <c r="M49" i="8"/>
  <c r="M55" i="8"/>
  <c r="M61" i="8"/>
  <c r="M74" i="8"/>
  <c r="M86" i="8"/>
  <c r="M67" i="8"/>
  <c r="M13" i="8"/>
  <c r="M77" i="8"/>
  <c r="M70" i="8"/>
  <c r="M15" i="8"/>
  <c r="M51" i="8"/>
  <c r="M85" i="8"/>
  <c r="M14" i="8"/>
  <c r="M78" i="8"/>
  <c r="M79" i="8"/>
  <c r="M87" i="8"/>
  <c r="M71" i="8"/>
  <c r="M72" i="8"/>
  <c r="M59" i="8"/>
  <c r="M65" i="8"/>
  <c r="M68" i="8"/>
  <c r="M80" i="8"/>
  <c r="M89" i="8"/>
  <c r="M73" i="8"/>
  <c r="M82" i="8"/>
  <c r="M53" i="8"/>
  <c r="M63" i="8"/>
  <c r="M75" i="8"/>
  <c r="M57" i="8"/>
  <c r="M83" i="8"/>
  <c r="M84" i="8"/>
  <c r="H203" i="5"/>
  <c r="G209" i="5"/>
  <c r="R21" i="4"/>
  <c r="F237" i="5"/>
  <c r="F235" i="5"/>
  <c r="G231" i="5"/>
  <c r="G14" i="7"/>
  <c r="F20" i="7"/>
  <c r="F260" i="7"/>
  <c r="F266" i="7" s="1"/>
  <c r="F272" i="7"/>
  <c r="F281" i="7"/>
  <c r="R38" i="8"/>
  <c r="AF39" i="8"/>
  <c r="J15" i="9"/>
  <c r="R15" i="9"/>
  <c r="H21" i="7"/>
  <c r="G27" i="7"/>
  <c r="R39" i="9"/>
  <c r="AF40" i="9"/>
  <c r="AF39" i="9"/>
  <c r="R18" i="4"/>
  <c r="G91" i="5"/>
  <c r="F97" i="5"/>
  <c r="R26" i="8"/>
  <c r="AF27" i="8"/>
  <c r="AF36" i="8"/>
  <c r="R35" i="8"/>
  <c r="G252" i="7"/>
  <c r="F258" i="7"/>
  <c r="R20" i="4"/>
  <c r="R39" i="6"/>
  <c r="AF40" i="6"/>
  <c r="AF39" i="6"/>
  <c r="R30" i="4"/>
  <c r="AF31" i="4"/>
  <c r="AF30" i="4"/>
  <c r="R34" i="8"/>
  <c r="AF35" i="8"/>
  <c r="AF28" i="6"/>
  <c r="R27" i="6"/>
  <c r="AF27" i="6"/>
  <c r="G217" i="7"/>
  <c r="F223" i="7"/>
  <c r="F221" i="7"/>
  <c r="F216" i="7"/>
  <c r="G210" i="7"/>
  <c r="H189" i="5"/>
  <c r="G195" i="5"/>
  <c r="J44" i="8"/>
  <c r="R21" i="8"/>
  <c r="G224" i="7"/>
  <c r="F230" i="7"/>
  <c r="G25" i="10"/>
  <c r="G196" i="7"/>
  <c r="F202" i="7"/>
  <c r="R31" i="9"/>
  <c r="AF32" i="9"/>
  <c r="AF31" i="9"/>
  <c r="AF34" i="9"/>
  <c r="R33" i="9"/>
  <c r="AF33" i="9"/>
  <c r="R33" i="4"/>
  <c r="AF34" i="4"/>
  <c r="AF31" i="8"/>
  <c r="R13" i="8"/>
  <c r="R27" i="9"/>
  <c r="AF28" i="9"/>
  <c r="AF27" i="9"/>
  <c r="R24" i="8"/>
  <c r="J24" i="8"/>
  <c r="AF25" i="8"/>
  <c r="R12" i="8"/>
  <c r="J12" i="8"/>
  <c r="J18" i="10"/>
  <c r="G48" i="10"/>
  <c r="H42" i="10"/>
  <c r="G46" i="10"/>
  <c r="J44" i="4"/>
  <c r="AF44" i="4"/>
  <c r="M12" i="6"/>
  <c r="M22" i="6"/>
  <c r="M15" i="6"/>
  <c r="M69" i="6"/>
  <c r="M81" i="6"/>
  <c r="M17" i="6"/>
  <c r="M47" i="6"/>
  <c r="M59" i="6"/>
  <c r="M82" i="6"/>
  <c r="M85" i="6"/>
  <c r="M88" i="6"/>
  <c r="M18" i="6"/>
  <c r="M52" i="6"/>
  <c r="M64" i="6"/>
  <c r="M70" i="6"/>
  <c r="M73" i="6"/>
  <c r="M76" i="6"/>
  <c r="M79" i="6"/>
  <c r="M26" i="6"/>
  <c r="M33" i="6"/>
  <c r="M39" i="6"/>
  <c r="M57" i="6"/>
  <c r="M67" i="6"/>
  <c r="M13" i="6"/>
  <c r="M19" i="6"/>
  <c r="M20" i="6"/>
  <c r="M30" i="6"/>
  <c r="M36" i="6"/>
  <c r="M42" i="6"/>
  <c r="M45" i="6"/>
  <c r="M50" i="6"/>
  <c r="M62" i="6"/>
  <c r="M86" i="6"/>
  <c r="M89" i="6"/>
  <c r="M27" i="6"/>
  <c r="M55" i="6"/>
  <c r="M74" i="6"/>
  <c r="M83" i="6"/>
  <c r="M21" i="6"/>
  <c r="M48" i="6"/>
  <c r="M60" i="6"/>
  <c r="M71" i="6"/>
  <c r="M77" i="6"/>
  <c r="M80" i="6"/>
  <c r="M28" i="6"/>
  <c r="M34" i="6"/>
  <c r="M40" i="6"/>
  <c r="M58" i="6"/>
  <c r="M87" i="6"/>
  <c r="M46" i="6"/>
  <c r="M51" i="6"/>
  <c r="M63" i="6"/>
  <c r="M75" i="6"/>
  <c r="M84" i="6"/>
  <c r="M31" i="6"/>
  <c r="M37" i="6"/>
  <c r="M43" i="6"/>
  <c r="M66" i="6"/>
  <c r="M65" i="6"/>
  <c r="M68" i="6"/>
  <c r="M61" i="6"/>
  <c r="M25" i="6"/>
  <c r="M14" i="6"/>
  <c r="M32" i="6"/>
  <c r="M38" i="6"/>
  <c r="M44" i="6"/>
  <c r="M53" i="6"/>
  <c r="M56" i="6"/>
  <c r="M29" i="6"/>
  <c r="M35" i="6"/>
  <c r="M41" i="6"/>
  <c r="M54" i="6"/>
  <c r="M16" i="6"/>
  <c r="M72" i="6"/>
  <c r="M49" i="6"/>
  <c r="M78" i="6"/>
  <c r="M24" i="6"/>
  <c r="M23" i="6"/>
  <c r="AF40" i="8"/>
  <c r="R39" i="8"/>
  <c r="AF34" i="8"/>
  <c r="R33" i="8"/>
  <c r="R16" i="9"/>
  <c r="R20" i="8"/>
  <c r="R29" i="9"/>
  <c r="AF30" i="9"/>
  <c r="G195" i="7"/>
  <c r="H189" i="7"/>
  <c r="H56" i="3"/>
  <c r="G60" i="3"/>
  <c r="G62" i="3"/>
  <c r="F32" i="3"/>
  <c r="F34" i="3"/>
  <c r="G28" i="3"/>
  <c r="F20" i="5"/>
  <c r="G14" i="5"/>
  <c r="F260" i="5"/>
  <c r="F266" i="5" s="1"/>
  <c r="F272" i="5"/>
  <c r="F281" i="5"/>
  <c r="G245" i="5"/>
  <c r="F251" i="5"/>
  <c r="R17" i="9"/>
  <c r="AF35" i="9"/>
  <c r="R37" i="4"/>
  <c r="AF38" i="4"/>
  <c r="AF37" i="4"/>
  <c r="G245" i="7"/>
  <c r="F251" i="7"/>
  <c r="J15" i="6"/>
  <c r="R15" i="6"/>
  <c r="H196" i="5"/>
  <c r="G202" i="5"/>
  <c r="H181" i="7"/>
  <c r="I175" i="7"/>
  <c r="H179" i="7"/>
  <c r="R19" i="9"/>
  <c r="G132" i="5"/>
  <c r="H126" i="5"/>
  <c r="J39" i="10"/>
  <c r="F139" i="7"/>
  <c r="G133" i="7"/>
  <c r="R42" i="4"/>
  <c r="AF43" i="4"/>
  <c r="AF42" i="4"/>
  <c r="R36" i="8"/>
  <c r="AF37" i="8"/>
  <c r="G238" i="7"/>
  <c r="F244" i="7"/>
  <c r="H210" i="5"/>
  <c r="G216" i="5"/>
  <c r="R14" i="8"/>
  <c r="G168" i="7"/>
  <c r="F174" i="7"/>
  <c r="F132" i="7"/>
  <c r="G126" i="7"/>
  <c r="R34" i="6"/>
  <c r="AF35" i="6"/>
  <c r="AF34" i="6"/>
  <c r="J22" i="8"/>
  <c r="R22" i="8"/>
  <c r="AF23" i="8"/>
  <c r="D95" i="10" a="1"/>
  <c r="AF33" i="4"/>
  <c r="R32" i="4"/>
  <c r="AF32" i="4"/>
  <c r="I230" i="5"/>
  <c r="J224" i="5"/>
  <c r="R32" i="8"/>
  <c r="AF33" i="8"/>
  <c r="J32" i="10"/>
  <c r="G49" i="3"/>
  <c r="F53" i="3"/>
  <c r="F55" i="3"/>
  <c r="R21" i="9"/>
  <c r="G98" i="5"/>
  <c r="F104" i="5"/>
  <c r="R18" i="6"/>
  <c r="R25" i="8"/>
  <c r="J25" i="8"/>
  <c r="AF26" i="8"/>
  <c r="R30" i="6"/>
  <c r="AF31" i="6"/>
  <c r="AF30" i="6"/>
  <c r="R23" i="8"/>
  <c r="AF24" i="8"/>
  <c r="J23" i="8"/>
  <c r="F118" i="7"/>
  <c r="G112" i="7"/>
  <c r="G13" i="8"/>
  <c r="G14" i="8" s="1"/>
  <c r="G15" i="8" s="1"/>
  <c r="G16" i="8" s="1"/>
  <c r="AL83" i="10" l="1"/>
  <c r="AL60" i="10"/>
  <c r="AT83" i="10"/>
  <c r="AT97" i="10"/>
  <c r="AT79" i="10"/>
  <c r="AT96" i="10"/>
  <c r="AT84" i="10"/>
  <c r="AT67" i="10"/>
  <c r="AO96" i="10"/>
  <c r="AO67" i="10"/>
  <c r="AO83" i="10"/>
  <c r="AO97" i="10"/>
  <c r="AO79" i="10"/>
  <c r="AO84" i="10"/>
  <c r="BD83" i="10"/>
  <c r="BD79" i="10"/>
  <c r="BD96" i="10"/>
  <c r="BD84" i="10"/>
  <c r="BD67" i="10"/>
  <c r="BD97" i="10"/>
  <c r="BE79" i="10"/>
  <c r="BE96" i="10"/>
  <c r="BE84" i="10"/>
  <c r="BE67" i="10"/>
  <c r="BE83" i="10"/>
  <c r="BE97" i="10"/>
  <c r="BV67" i="10"/>
  <c r="BV96" i="10"/>
  <c r="BV83" i="10"/>
  <c r="BV97" i="10"/>
  <c r="BV79" i="10"/>
  <c r="BV84" i="10"/>
  <c r="BC79" i="10"/>
  <c r="BC84" i="10"/>
  <c r="BC97" i="10"/>
  <c r="BC67" i="10"/>
  <c r="BC83" i="10"/>
  <c r="BC96" i="10"/>
  <c r="AR79" i="10"/>
  <c r="AR96" i="10"/>
  <c r="AR84" i="10"/>
  <c r="AR67" i="10"/>
  <c r="AR83" i="10"/>
  <c r="AR97" i="10"/>
  <c r="BU97" i="10"/>
  <c r="BU79" i="10"/>
  <c r="BU96" i="10"/>
  <c r="BU84" i="10"/>
  <c r="BU67" i="10"/>
  <c r="BU83" i="10"/>
  <c r="BB79" i="10"/>
  <c r="BB84" i="10"/>
  <c r="BB67" i="10"/>
  <c r="BB83" i="10"/>
  <c r="BB97" i="10"/>
  <c r="BB96" i="10"/>
  <c r="CA79" i="10"/>
  <c r="CA97" i="10"/>
  <c r="CA96" i="10"/>
  <c r="CA84" i="10"/>
  <c r="CA67" i="10"/>
  <c r="CA83" i="10"/>
  <c r="BH97" i="10"/>
  <c r="BH79" i="10"/>
  <c r="BH96" i="10"/>
  <c r="BH84" i="10"/>
  <c r="BH67" i="10"/>
  <c r="BH83" i="10"/>
  <c r="BX67" i="10"/>
  <c r="BX83" i="10"/>
  <c r="BX97" i="10"/>
  <c r="BX79" i="10"/>
  <c r="BX96" i="10"/>
  <c r="BX84" i="10"/>
  <c r="BO60" i="10"/>
  <c r="BO96" i="10"/>
  <c r="BO84" i="10"/>
  <c r="BO67" i="10"/>
  <c r="BO83" i="10"/>
  <c r="BO97" i="10"/>
  <c r="BO79" i="10"/>
  <c r="BS83" i="10"/>
  <c r="BS97" i="10"/>
  <c r="BS79" i="10"/>
  <c r="BS96" i="10"/>
  <c r="BS84" i="10"/>
  <c r="BS67" i="10"/>
  <c r="BL84" i="10"/>
  <c r="BL67" i="10"/>
  <c r="BL83" i="10"/>
  <c r="BL97" i="10"/>
  <c r="BL79" i="10"/>
  <c r="BL96" i="10"/>
  <c r="AX96" i="10"/>
  <c r="AX83" i="10"/>
  <c r="AX97" i="10"/>
  <c r="AX79" i="10"/>
  <c r="AX84" i="10"/>
  <c r="AX67" i="10"/>
  <c r="AQ79" i="10"/>
  <c r="AQ96" i="10"/>
  <c r="AQ84" i="10"/>
  <c r="AQ67" i="10"/>
  <c r="AQ83" i="10"/>
  <c r="AQ97" i="10"/>
  <c r="BG83" i="10"/>
  <c r="BG97" i="10"/>
  <c r="BG67" i="10"/>
  <c r="BG79" i="10"/>
  <c r="BG96" i="10"/>
  <c r="BG84" i="10"/>
  <c r="AZ96" i="10"/>
  <c r="AZ84" i="10"/>
  <c r="AZ67" i="10"/>
  <c r="AZ83" i="10"/>
  <c r="AZ97" i="10"/>
  <c r="AZ79" i="10"/>
  <c r="BI83" i="10"/>
  <c r="BI84" i="10"/>
  <c r="BI97" i="10"/>
  <c r="BI79" i="10"/>
  <c r="BI96" i="10"/>
  <c r="BI67" i="10"/>
  <c r="BZ79" i="10"/>
  <c r="BZ96" i="10"/>
  <c r="BZ84" i="10"/>
  <c r="BZ67" i="10"/>
  <c r="BZ83" i="10"/>
  <c r="BZ97" i="10"/>
  <c r="BF79" i="10"/>
  <c r="BF96" i="10"/>
  <c r="BF84" i="10"/>
  <c r="BF67" i="10"/>
  <c r="BF83" i="10"/>
  <c r="BF97" i="10"/>
  <c r="AN67" i="10"/>
  <c r="AN83" i="10"/>
  <c r="AN97" i="10"/>
  <c r="AN79" i="10"/>
  <c r="AN96" i="10"/>
  <c r="AN84" i="10"/>
  <c r="AU67" i="10"/>
  <c r="AU79" i="10"/>
  <c r="AU96" i="10"/>
  <c r="AU84" i="10"/>
  <c r="AU83" i="10"/>
  <c r="AU97" i="10"/>
  <c r="BN96" i="10"/>
  <c r="BN67" i="10"/>
  <c r="BN83" i="10"/>
  <c r="BN97" i="10"/>
  <c r="BN79" i="10"/>
  <c r="BN84" i="10"/>
  <c r="CC79" i="10"/>
  <c r="CC84" i="10"/>
  <c r="CC96" i="10"/>
  <c r="CC67" i="10"/>
  <c r="CC83" i="10"/>
  <c r="CC97" i="10"/>
  <c r="AV83" i="10"/>
  <c r="AV79" i="10"/>
  <c r="AV96" i="10"/>
  <c r="AV84" i="10"/>
  <c r="AV67" i="10"/>
  <c r="AV97" i="10"/>
  <c r="BR83" i="10"/>
  <c r="BR97" i="10"/>
  <c r="BR60" i="10"/>
  <c r="BR79" i="10"/>
  <c r="BR96" i="10"/>
  <c r="BR84" i="10"/>
  <c r="BR67" i="10"/>
  <c r="AP96" i="10"/>
  <c r="AP84" i="10"/>
  <c r="AP67" i="10"/>
  <c r="AP83" i="10"/>
  <c r="AP97" i="10"/>
  <c r="AP79" i="10"/>
  <c r="BQ97" i="10"/>
  <c r="BQ79" i="10"/>
  <c r="BQ96" i="10"/>
  <c r="BQ84" i="10"/>
  <c r="BQ67" i="10"/>
  <c r="BQ83" i="10"/>
  <c r="BQ60" i="10"/>
  <c r="BW84" i="10"/>
  <c r="BW67" i="10"/>
  <c r="BW83" i="10"/>
  <c r="BW97" i="10"/>
  <c r="BW79" i="10"/>
  <c r="BW96" i="10"/>
  <c r="BJ67" i="10"/>
  <c r="BJ96" i="10"/>
  <c r="BJ83" i="10"/>
  <c r="BJ97" i="10"/>
  <c r="BJ79" i="10"/>
  <c r="BJ84" i="10"/>
  <c r="BY79" i="10"/>
  <c r="BY96" i="10"/>
  <c r="BY67" i="10"/>
  <c r="BY83" i="10"/>
  <c r="BY97" i="10"/>
  <c r="BY84" i="10"/>
  <c r="AS97" i="10"/>
  <c r="AS79" i="10"/>
  <c r="AS96" i="10"/>
  <c r="AS84" i="10"/>
  <c r="AS67" i="10"/>
  <c r="AS83" i="10"/>
  <c r="BK79" i="10"/>
  <c r="BK83" i="10"/>
  <c r="BK97" i="10"/>
  <c r="BK96" i="10"/>
  <c r="BK84" i="10"/>
  <c r="BK67" i="10"/>
  <c r="AW67" i="10"/>
  <c r="AW83" i="10"/>
  <c r="AW84" i="10"/>
  <c r="AW97" i="10"/>
  <c r="AW79" i="10"/>
  <c r="AW96" i="10"/>
  <c r="BM84" i="10"/>
  <c r="BM67" i="10"/>
  <c r="BM83" i="10"/>
  <c r="BM97" i="10"/>
  <c r="BM79" i="10"/>
  <c r="BM96" i="10"/>
  <c r="CB79" i="10"/>
  <c r="CB96" i="10"/>
  <c r="CB83" i="10"/>
  <c r="CB84" i="10"/>
  <c r="CB67" i="10"/>
  <c r="CB97" i="10"/>
  <c r="AY84" i="10"/>
  <c r="AY67" i="10"/>
  <c r="AY79" i="10"/>
  <c r="AY97" i="10"/>
  <c r="AY83" i="10"/>
  <c r="AY96" i="10"/>
  <c r="BT83" i="10"/>
  <c r="BT79" i="10"/>
  <c r="BT96" i="10"/>
  <c r="BT84" i="10"/>
  <c r="BT67" i="10"/>
  <c r="BT97" i="10"/>
  <c r="BA79" i="10"/>
  <c r="BA96" i="10"/>
  <c r="BA84" i="10"/>
  <c r="BA67" i="10"/>
  <c r="BA83" i="10"/>
  <c r="BA97" i="10"/>
  <c r="BP79" i="10"/>
  <c r="BP96" i="10"/>
  <c r="BP84" i="10"/>
  <c r="BP67" i="10"/>
  <c r="BP83" i="10"/>
  <c r="BP60" i="10"/>
  <c r="BP97" i="10"/>
  <c r="AM67" i="10"/>
  <c r="AM83" i="10"/>
  <c r="AM60" i="10"/>
  <c r="AM79" i="10"/>
  <c r="AM97" i="10"/>
  <c r="AM96" i="10"/>
  <c r="AM84" i="10"/>
  <c r="AL96" i="10"/>
  <c r="AL84" i="10"/>
  <c r="AL97" i="10"/>
  <c r="AL67" i="10"/>
  <c r="AL70" i="10" s="1"/>
  <c r="AL79" i="10"/>
  <c r="AK79" i="10"/>
  <c r="AK97" i="10"/>
  <c r="AK96" i="10"/>
  <c r="AK83" i="10"/>
  <c r="AK67" i="10"/>
  <c r="AK60" i="10"/>
  <c r="AK84" i="10"/>
  <c r="AL67" i="3"/>
  <c r="I46" i="4" s="1"/>
  <c r="AL83" i="3"/>
  <c r="AL96" i="3"/>
  <c r="AL79" i="3"/>
  <c r="AL84" i="3"/>
  <c r="G15" i="4"/>
  <c r="J15" i="4" s="1"/>
  <c r="AL97" i="3"/>
  <c r="AL18" i="3"/>
  <c r="BH83" i="3"/>
  <c r="BH97" i="3"/>
  <c r="BH79" i="3"/>
  <c r="BH96" i="3"/>
  <c r="BH67" i="3"/>
  <c r="BH84" i="3"/>
  <c r="AZ79" i="3"/>
  <c r="AZ96" i="3"/>
  <c r="AZ84" i="3"/>
  <c r="AZ67" i="3"/>
  <c r="AZ83" i="3"/>
  <c r="AZ97" i="3"/>
  <c r="BI67" i="3"/>
  <c r="BI83" i="3"/>
  <c r="BI97" i="3"/>
  <c r="BI79" i="3"/>
  <c r="BI84" i="3"/>
  <c r="BI96" i="3"/>
  <c r="AT83" i="3"/>
  <c r="AT97" i="3"/>
  <c r="AT79" i="3"/>
  <c r="AT96" i="3"/>
  <c r="AT84" i="3"/>
  <c r="AT67" i="3"/>
  <c r="AN79" i="3"/>
  <c r="AN96" i="3"/>
  <c r="AN67" i="3"/>
  <c r="AN84" i="3"/>
  <c r="AN97" i="3"/>
  <c r="AN83" i="3"/>
  <c r="BS97" i="3"/>
  <c r="BS83" i="3"/>
  <c r="BS79" i="3"/>
  <c r="BS96" i="3"/>
  <c r="BS84" i="3"/>
  <c r="BS67" i="3"/>
  <c r="BE83" i="3"/>
  <c r="BE97" i="3"/>
  <c r="BE79" i="3"/>
  <c r="BE96" i="3"/>
  <c r="BE84" i="3"/>
  <c r="BE67" i="3"/>
  <c r="BT83" i="3"/>
  <c r="BT97" i="3"/>
  <c r="BT79" i="3"/>
  <c r="BT96" i="3"/>
  <c r="BT84" i="3"/>
  <c r="BT67" i="3"/>
  <c r="BG83" i="3"/>
  <c r="BG97" i="3"/>
  <c r="BG79" i="3"/>
  <c r="BG96" i="3"/>
  <c r="BG84" i="3"/>
  <c r="BG67" i="3"/>
  <c r="CB97" i="3"/>
  <c r="CB79" i="3"/>
  <c r="CB96" i="3"/>
  <c r="CB84" i="3"/>
  <c r="CB67" i="3"/>
  <c r="CB83" i="3"/>
  <c r="BF83" i="3"/>
  <c r="BF97" i="3"/>
  <c r="BF84" i="3"/>
  <c r="BF79" i="3"/>
  <c r="BF96" i="3"/>
  <c r="BF67" i="3"/>
  <c r="AU83" i="3"/>
  <c r="AU97" i="3"/>
  <c r="AU96" i="3"/>
  <c r="AU79" i="3"/>
  <c r="AU84" i="3"/>
  <c r="AU67" i="3"/>
  <c r="BU67" i="3"/>
  <c r="BU83" i="3"/>
  <c r="BU97" i="3"/>
  <c r="BU79" i="3"/>
  <c r="BU96" i="3"/>
  <c r="BU84" i="3"/>
  <c r="BD97" i="3"/>
  <c r="BD79" i="3"/>
  <c r="BD96" i="3"/>
  <c r="BD84" i="3"/>
  <c r="BD67" i="3"/>
  <c r="BD83" i="3"/>
  <c r="BP97" i="3"/>
  <c r="BP79" i="3"/>
  <c r="BP96" i="3"/>
  <c r="BP84" i="3"/>
  <c r="BP67" i="3"/>
  <c r="BP18" i="3"/>
  <c r="BP83" i="3"/>
  <c r="CC83" i="3"/>
  <c r="CC97" i="3"/>
  <c r="CC79" i="3"/>
  <c r="CC96" i="3"/>
  <c r="CC84" i="3"/>
  <c r="CC67" i="3"/>
  <c r="AW67" i="3"/>
  <c r="AW83" i="3"/>
  <c r="AW97" i="3"/>
  <c r="AW79" i="3"/>
  <c r="AW96" i="3"/>
  <c r="AW84" i="3"/>
  <c r="CA79" i="3"/>
  <c r="CA96" i="3"/>
  <c r="CA84" i="3"/>
  <c r="CA67" i="3"/>
  <c r="CA83" i="3"/>
  <c r="CA97" i="3"/>
  <c r="AQ79" i="3"/>
  <c r="AQ96" i="3"/>
  <c r="AQ84" i="3"/>
  <c r="AQ67" i="3"/>
  <c r="AQ83" i="3"/>
  <c r="AQ97" i="3"/>
  <c r="BQ18" i="3"/>
  <c r="BQ83" i="3"/>
  <c r="BQ97" i="3"/>
  <c r="BQ79" i="3"/>
  <c r="BQ96" i="3"/>
  <c r="BQ84" i="3"/>
  <c r="BQ67" i="3"/>
  <c r="BR18" i="3"/>
  <c r="BR83" i="3"/>
  <c r="BR97" i="3"/>
  <c r="BR84" i="3"/>
  <c r="BR79" i="3"/>
  <c r="BR96" i="3"/>
  <c r="BR67" i="3"/>
  <c r="AO79" i="3"/>
  <c r="AO84" i="3"/>
  <c r="AO96" i="3"/>
  <c r="AO67" i="3"/>
  <c r="AO83" i="3"/>
  <c r="AO97" i="3"/>
  <c r="BY79" i="3"/>
  <c r="BY96" i="3"/>
  <c r="BY84" i="3"/>
  <c r="BY67" i="3"/>
  <c r="BY83" i="3"/>
  <c r="BY97" i="3"/>
  <c r="AS83" i="3"/>
  <c r="AS97" i="3"/>
  <c r="AS79" i="3"/>
  <c r="AS96" i="3"/>
  <c r="AS84" i="3"/>
  <c r="AS67" i="3"/>
  <c r="BC79" i="3"/>
  <c r="BC96" i="3"/>
  <c r="BC84" i="3"/>
  <c r="BC67" i="3"/>
  <c r="BC83" i="3"/>
  <c r="BC97" i="3"/>
  <c r="AV83" i="3"/>
  <c r="AV97" i="3"/>
  <c r="AV79" i="3"/>
  <c r="AV96" i="3"/>
  <c r="AV84" i="3"/>
  <c r="AV67" i="3"/>
  <c r="BA79" i="3"/>
  <c r="BA96" i="3"/>
  <c r="BA84" i="3"/>
  <c r="BA67" i="3"/>
  <c r="BA83" i="3"/>
  <c r="BA97" i="3"/>
  <c r="AR97" i="3"/>
  <c r="AR79" i="3"/>
  <c r="AR96" i="3"/>
  <c r="AR84" i="3"/>
  <c r="AR67" i="3"/>
  <c r="AR83" i="3"/>
  <c r="BZ96" i="3"/>
  <c r="BZ79" i="3"/>
  <c r="BZ84" i="3"/>
  <c r="BZ67" i="3"/>
  <c r="BZ83" i="3"/>
  <c r="BZ97" i="3"/>
  <c r="BO79" i="3"/>
  <c r="BO96" i="3"/>
  <c r="BO84" i="3"/>
  <c r="BO67" i="3"/>
  <c r="BO97" i="3"/>
  <c r="BO18" i="3"/>
  <c r="BO83" i="3"/>
  <c r="BW96" i="3"/>
  <c r="BW84" i="3"/>
  <c r="BW67" i="3"/>
  <c r="BW83" i="3"/>
  <c r="BW97" i="3"/>
  <c r="BW79" i="3"/>
  <c r="BV84" i="3"/>
  <c r="BV67" i="3"/>
  <c r="BV83" i="3"/>
  <c r="BV97" i="3"/>
  <c r="BV96" i="3"/>
  <c r="BV79" i="3"/>
  <c r="BN79" i="3"/>
  <c r="BN96" i="3"/>
  <c r="BN84" i="3"/>
  <c r="BN67" i="3"/>
  <c r="BN83" i="3"/>
  <c r="BN97" i="3"/>
  <c r="BM79" i="3"/>
  <c r="BM84" i="3"/>
  <c r="BM96" i="3"/>
  <c r="BM67" i="3"/>
  <c r="BM83" i="3"/>
  <c r="BM97" i="3"/>
  <c r="BK96" i="3"/>
  <c r="BK84" i="3"/>
  <c r="BK67" i="3"/>
  <c r="BK83" i="3"/>
  <c r="BK97" i="3"/>
  <c r="BK79" i="3"/>
  <c r="BJ84" i="3"/>
  <c r="BJ67" i="3"/>
  <c r="BJ83" i="3"/>
  <c r="BJ97" i="3"/>
  <c r="BJ79" i="3"/>
  <c r="BJ96" i="3"/>
  <c r="BB79" i="3"/>
  <c r="BB96" i="3"/>
  <c r="BB84" i="3"/>
  <c r="BB67" i="3"/>
  <c r="BB83" i="3"/>
  <c r="BB97" i="3"/>
  <c r="BX79" i="3"/>
  <c r="BX96" i="3"/>
  <c r="BX84" i="3"/>
  <c r="BX67" i="3"/>
  <c r="BX97" i="3"/>
  <c r="BX83" i="3"/>
  <c r="AY96" i="3"/>
  <c r="AY84" i="3"/>
  <c r="AY67" i="3"/>
  <c r="AY83" i="3"/>
  <c r="AY97" i="3"/>
  <c r="AY79" i="3"/>
  <c r="AX84" i="3"/>
  <c r="AX67" i="3"/>
  <c r="AX83" i="3"/>
  <c r="AX97" i="3"/>
  <c r="AX79" i="3"/>
  <c r="AX96" i="3"/>
  <c r="AP96" i="3"/>
  <c r="AP79" i="3"/>
  <c r="AP84" i="3"/>
  <c r="AP67" i="3"/>
  <c r="AP83" i="3"/>
  <c r="AP97" i="3"/>
  <c r="BL79" i="3"/>
  <c r="BL96" i="3"/>
  <c r="BL84" i="3"/>
  <c r="BL67" i="3"/>
  <c r="BL97" i="3"/>
  <c r="BL83" i="3"/>
  <c r="AM96" i="3"/>
  <c r="AM84" i="3"/>
  <c r="AM67" i="3"/>
  <c r="AM18" i="3"/>
  <c r="AM83" i="3"/>
  <c r="AM97" i="3"/>
  <c r="AM79" i="3"/>
  <c r="AK79" i="3"/>
  <c r="AK97" i="3"/>
  <c r="AK67" i="3"/>
  <c r="AK84" i="3"/>
  <c r="AK96" i="3"/>
  <c r="AK18" i="3"/>
  <c r="AK83" i="3"/>
  <c r="AL293" i="5"/>
  <c r="AL18" i="5"/>
  <c r="AL292" i="5"/>
  <c r="AL279" i="5"/>
  <c r="AL280" i="5"/>
  <c r="AO263" i="5"/>
  <c r="AO279" i="5"/>
  <c r="AO293" i="5"/>
  <c r="AO18" i="5"/>
  <c r="AO275" i="5"/>
  <c r="AO292" i="5"/>
  <c r="AO280" i="5"/>
  <c r="AS18" i="5"/>
  <c r="AS292" i="5"/>
  <c r="AS280" i="5"/>
  <c r="AS263" i="5"/>
  <c r="AS279" i="5"/>
  <c r="AS293" i="5"/>
  <c r="AS275" i="5"/>
  <c r="BI18" i="5"/>
  <c r="BI275" i="5"/>
  <c r="BI292" i="5"/>
  <c r="BI280" i="5"/>
  <c r="BI263" i="5"/>
  <c r="BI279" i="5"/>
  <c r="BI293" i="5"/>
  <c r="BU293" i="5"/>
  <c r="BU18" i="5"/>
  <c r="BU275" i="5"/>
  <c r="BU292" i="5"/>
  <c r="BU280" i="5"/>
  <c r="BU263" i="5"/>
  <c r="BU279" i="5"/>
  <c r="CB280" i="5"/>
  <c r="CB263" i="5"/>
  <c r="CB279" i="5"/>
  <c r="CB293" i="5"/>
  <c r="CB18" i="5"/>
  <c r="CB275" i="5"/>
  <c r="CB292" i="5"/>
  <c r="BH18" i="5"/>
  <c r="BH275" i="5"/>
  <c r="BH292" i="5"/>
  <c r="BH280" i="5"/>
  <c r="BH263" i="5"/>
  <c r="BH279" i="5"/>
  <c r="BH293" i="5"/>
  <c r="AL263" i="5"/>
  <c r="I46" i="6" s="1"/>
  <c r="AW18" i="5"/>
  <c r="AW275" i="5"/>
  <c r="AW292" i="5"/>
  <c r="AW280" i="5"/>
  <c r="AW263" i="5"/>
  <c r="AW279" i="5"/>
  <c r="AW293" i="5"/>
  <c r="AR280" i="5"/>
  <c r="AR263" i="5"/>
  <c r="AR279" i="5"/>
  <c r="AR293" i="5"/>
  <c r="AR18" i="5"/>
  <c r="AR275" i="5"/>
  <c r="AR292" i="5"/>
  <c r="AT18" i="5"/>
  <c r="AT275" i="5"/>
  <c r="AT292" i="5"/>
  <c r="AT280" i="5"/>
  <c r="AT263" i="5"/>
  <c r="AT279" i="5"/>
  <c r="AT293" i="5"/>
  <c r="BG18" i="5"/>
  <c r="BG275" i="5"/>
  <c r="BG292" i="5"/>
  <c r="BG280" i="5"/>
  <c r="BG263" i="5"/>
  <c r="BG279" i="5"/>
  <c r="BG293" i="5"/>
  <c r="CA263" i="5"/>
  <c r="CA279" i="5"/>
  <c r="CA293" i="5"/>
  <c r="CA18" i="5"/>
  <c r="CA275" i="5"/>
  <c r="CA292" i="5"/>
  <c r="CA280" i="5"/>
  <c r="CC18" i="5"/>
  <c r="CC275" i="5"/>
  <c r="CC292" i="5"/>
  <c r="CC280" i="5"/>
  <c r="CC263" i="5"/>
  <c r="CC279" i="5"/>
  <c r="CC293" i="5"/>
  <c r="AU18" i="5"/>
  <c r="AU275" i="5"/>
  <c r="AU292" i="5"/>
  <c r="AU280" i="5"/>
  <c r="AU263" i="5"/>
  <c r="AU279" i="5"/>
  <c r="AU293" i="5"/>
  <c r="BQ18" i="5"/>
  <c r="BQ292" i="5"/>
  <c r="BQ280" i="5"/>
  <c r="BQ263" i="5"/>
  <c r="BQ279" i="5"/>
  <c r="BQ293" i="5"/>
  <c r="BQ275" i="5"/>
  <c r="BC263" i="5"/>
  <c r="BC279" i="5"/>
  <c r="BC293" i="5"/>
  <c r="BC18" i="5"/>
  <c r="BC275" i="5"/>
  <c r="BC292" i="5"/>
  <c r="BC280" i="5"/>
  <c r="BE18" i="5"/>
  <c r="BE292" i="5"/>
  <c r="BE280" i="5"/>
  <c r="BE263" i="5"/>
  <c r="BE279" i="5"/>
  <c r="BE293" i="5"/>
  <c r="BE275" i="5"/>
  <c r="BT18" i="5"/>
  <c r="BT275" i="5"/>
  <c r="BT292" i="5"/>
  <c r="BT280" i="5"/>
  <c r="BT263" i="5"/>
  <c r="BT279" i="5"/>
  <c r="BT293" i="5"/>
  <c r="BD280" i="5"/>
  <c r="BD263" i="5"/>
  <c r="BD279" i="5"/>
  <c r="BD293" i="5"/>
  <c r="BD18" i="5"/>
  <c r="BD275" i="5"/>
  <c r="BD292" i="5"/>
  <c r="BZ263" i="5"/>
  <c r="BZ279" i="5"/>
  <c r="BZ293" i="5"/>
  <c r="BZ18" i="5"/>
  <c r="BZ275" i="5"/>
  <c r="BZ292" i="5"/>
  <c r="BZ280" i="5"/>
  <c r="BP292" i="5"/>
  <c r="BP280" i="5"/>
  <c r="BP263" i="5"/>
  <c r="BP279" i="5"/>
  <c r="BP293" i="5"/>
  <c r="BP18" i="5"/>
  <c r="BP275" i="5"/>
  <c r="BS18" i="5"/>
  <c r="BS275" i="5"/>
  <c r="BS292" i="5"/>
  <c r="BS280" i="5"/>
  <c r="BS263" i="5"/>
  <c r="BS279" i="5"/>
  <c r="BS293" i="5"/>
  <c r="AQ280" i="5"/>
  <c r="AQ263" i="5"/>
  <c r="AQ279" i="5"/>
  <c r="AQ293" i="5"/>
  <c r="AQ18" i="5"/>
  <c r="AQ275" i="5"/>
  <c r="AQ292" i="5"/>
  <c r="AP263" i="5"/>
  <c r="AP279" i="5"/>
  <c r="AP293" i="5"/>
  <c r="AP18" i="5"/>
  <c r="AP275" i="5"/>
  <c r="AP292" i="5"/>
  <c r="AP280" i="5"/>
  <c r="BN263" i="5"/>
  <c r="BN279" i="5"/>
  <c r="BN293" i="5"/>
  <c r="BN18" i="5"/>
  <c r="BN275" i="5"/>
  <c r="BN292" i="5"/>
  <c r="BN280" i="5"/>
  <c r="BR18" i="5"/>
  <c r="BR275" i="5"/>
  <c r="BR292" i="5"/>
  <c r="BR280" i="5"/>
  <c r="BR263" i="5"/>
  <c r="BR279" i="5"/>
  <c r="BR293" i="5"/>
  <c r="BX279" i="5"/>
  <c r="BX293" i="5"/>
  <c r="BX18" i="5"/>
  <c r="BX275" i="5"/>
  <c r="BX292" i="5"/>
  <c r="BX280" i="5"/>
  <c r="BX263" i="5"/>
  <c r="BL279" i="5"/>
  <c r="BL293" i="5"/>
  <c r="BL18" i="5"/>
  <c r="BL275" i="5"/>
  <c r="BL292" i="5"/>
  <c r="BL280" i="5"/>
  <c r="BL263" i="5"/>
  <c r="BB263" i="5"/>
  <c r="BB279" i="5"/>
  <c r="BB293" i="5"/>
  <c r="BB18" i="5"/>
  <c r="BB275" i="5"/>
  <c r="BB292" i="5"/>
  <c r="BB280" i="5"/>
  <c r="AL275" i="5"/>
  <c r="BO280" i="5"/>
  <c r="BO263" i="5"/>
  <c r="BO279" i="5"/>
  <c r="BO293" i="5"/>
  <c r="BO18" i="5"/>
  <c r="BO275" i="5"/>
  <c r="BO292" i="5"/>
  <c r="AZ279" i="5"/>
  <c r="AZ293" i="5"/>
  <c r="AZ18" i="5"/>
  <c r="AZ275" i="5"/>
  <c r="AZ292" i="5"/>
  <c r="AZ280" i="5"/>
  <c r="AZ263" i="5"/>
  <c r="BW279" i="5"/>
  <c r="BW293" i="5"/>
  <c r="BW18" i="5"/>
  <c r="BW275" i="5"/>
  <c r="BW292" i="5"/>
  <c r="BW280" i="5"/>
  <c r="BW263" i="5"/>
  <c r="BV293" i="5"/>
  <c r="BV18" i="5"/>
  <c r="BV275" i="5"/>
  <c r="BV292" i="5"/>
  <c r="BV280" i="5"/>
  <c r="BV263" i="5"/>
  <c r="BV279" i="5"/>
  <c r="BY263" i="5"/>
  <c r="BY279" i="5"/>
  <c r="BY293" i="5"/>
  <c r="BY18" i="5"/>
  <c r="BY275" i="5"/>
  <c r="BY292" i="5"/>
  <c r="BY280" i="5"/>
  <c r="AN279" i="5"/>
  <c r="AN293" i="5"/>
  <c r="AN18" i="5"/>
  <c r="AN275" i="5"/>
  <c r="AN292" i="5"/>
  <c r="AN280" i="5"/>
  <c r="AN263" i="5"/>
  <c r="BK279" i="5"/>
  <c r="BK293" i="5"/>
  <c r="BK18" i="5"/>
  <c r="BK275" i="5"/>
  <c r="BK292" i="5"/>
  <c r="BK280" i="5"/>
  <c r="BK263" i="5"/>
  <c r="BJ279" i="5"/>
  <c r="BJ293" i="5"/>
  <c r="BJ18" i="5"/>
  <c r="BJ275" i="5"/>
  <c r="BJ292" i="5"/>
  <c r="BJ280" i="5"/>
  <c r="BJ263" i="5"/>
  <c r="BM263" i="5"/>
  <c r="BM279" i="5"/>
  <c r="BM293" i="5"/>
  <c r="BM18" i="5"/>
  <c r="BM275" i="5"/>
  <c r="BM292" i="5"/>
  <c r="BM280" i="5"/>
  <c r="AV18" i="5"/>
  <c r="AV275" i="5"/>
  <c r="AV292" i="5"/>
  <c r="AV280" i="5"/>
  <c r="AV263" i="5"/>
  <c r="AV279" i="5"/>
  <c r="AV293" i="5"/>
  <c r="AY279" i="5"/>
  <c r="AY293" i="5"/>
  <c r="AY18" i="5"/>
  <c r="AY275" i="5"/>
  <c r="AY292" i="5"/>
  <c r="AY280" i="5"/>
  <c r="AY263" i="5"/>
  <c r="AX279" i="5"/>
  <c r="AX293" i="5"/>
  <c r="AX18" i="5"/>
  <c r="AX275" i="5"/>
  <c r="AX292" i="5"/>
  <c r="AX280" i="5"/>
  <c r="AX263" i="5"/>
  <c r="BA263" i="5"/>
  <c r="BA279" i="5"/>
  <c r="BA293" i="5"/>
  <c r="BA18" i="5"/>
  <c r="BA275" i="5"/>
  <c r="BA292" i="5"/>
  <c r="BA280" i="5"/>
  <c r="BF18" i="5"/>
  <c r="BF275" i="5"/>
  <c r="BF292" i="5"/>
  <c r="BF280" i="5"/>
  <c r="BF263" i="5"/>
  <c r="BF279" i="5"/>
  <c r="BF293" i="5"/>
  <c r="AM279" i="5"/>
  <c r="AM293" i="5"/>
  <c r="AM18" i="5"/>
  <c r="AM275" i="5"/>
  <c r="AM292" i="5"/>
  <c r="AM280" i="5"/>
  <c r="AM263" i="5"/>
  <c r="AL280" i="7"/>
  <c r="AK280" i="5"/>
  <c r="AK292" i="5"/>
  <c r="AK279" i="5"/>
  <c r="AK18" i="5"/>
  <c r="AK275" i="5"/>
  <c r="AK293" i="5"/>
  <c r="AK263" i="5"/>
  <c r="AL275" i="7"/>
  <c r="AL18" i="7"/>
  <c r="BN280" i="7"/>
  <c r="BN263" i="7"/>
  <c r="BN279" i="7"/>
  <c r="BN18" i="7"/>
  <c r="BN293" i="7"/>
  <c r="BN275" i="7"/>
  <c r="BN292" i="7"/>
  <c r="AZ263" i="7"/>
  <c r="AZ279" i="7"/>
  <c r="AZ18" i="7"/>
  <c r="AZ293" i="7"/>
  <c r="AZ275" i="7"/>
  <c r="AZ292" i="7"/>
  <c r="AZ280" i="7"/>
  <c r="AM279" i="7"/>
  <c r="AM18" i="7"/>
  <c r="AM293" i="7"/>
  <c r="AM275" i="7"/>
  <c r="AM292" i="7"/>
  <c r="AM280" i="7"/>
  <c r="AM263" i="7"/>
  <c r="BY263" i="7"/>
  <c r="BY279" i="7"/>
  <c r="BY18" i="7"/>
  <c r="BY293" i="7"/>
  <c r="BY275" i="7"/>
  <c r="BY292" i="7"/>
  <c r="BY280" i="7"/>
  <c r="AN263" i="7"/>
  <c r="AN279" i="7"/>
  <c r="AN18" i="7"/>
  <c r="AN293" i="7"/>
  <c r="AN275" i="7"/>
  <c r="AN292" i="7"/>
  <c r="AN280" i="7"/>
  <c r="BU279" i="7"/>
  <c r="BU18" i="7"/>
  <c r="BU293" i="7"/>
  <c r="BU275" i="7"/>
  <c r="BU292" i="7"/>
  <c r="BU280" i="7"/>
  <c r="BU263" i="7"/>
  <c r="BM263" i="7"/>
  <c r="BM279" i="7"/>
  <c r="BM18" i="7"/>
  <c r="BM293" i="7"/>
  <c r="BM275" i="7"/>
  <c r="BM292" i="7"/>
  <c r="BM280" i="7"/>
  <c r="AU275" i="7"/>
  <c r="AU292" i="7"/>
  <c r="AU280" i="7"/>
  <c r="AU263" i="7"/>
  <c r="AU279" i="7"/>
  <c r="AU18" i="7"/>
  <c r="AU293" i="7"/>
  <c r="BH18" i="7"/>
  <c r="BH293" i="7"/>
  <c r="BH275" i="7"/>
  <c r="BH292" i="7"/>
  <c r="BH280" i="7"/>
  <c r="BH263" i="7"/>
  <c r="BH279" i="7"/>
  <c r="BA263" i="7"/>
  <c r="BA279" i="7"/>
  <c r="BA18" i="7"/>
  <c r="BA293" i="7"/>
  <c r="BA275" i="7"/>
  <c r="BA292" i="7"/>
  <c r="BA280" i="7"/>
  <c r="BE275" i="7"/>
  <c r="BE292" i="7"/>
  <c r="BE280" i="7"/>
  <c r="BE263" i="7"/>
  <c r="BE279" i="7"/>
  <c r="BE18" i="7"/>
  <c r="BE293" i="7"/>
  <c r="BG275" i="7"/>
  <c r="BG292" i="7"/>
  <c r="BG280" i="7"/>
  <c r="BG263" i="7"/>
  <c r="BG279" i="7"/>
  <c r="BG18" i="7"/>
  <c r="BG293" i="7"/>
  <c r="BT18" i="7"/>
  <c r="BT293" i="7"/>
  <c r="BT275" i="7"/>
  <c r="BT292" i="7"/>
  <c r="BT280" i="7"/>
  <c r="BT263" i="7"/>
  <c r="BT279" i="7"/>
  <c r="AO263" i="7"/>
  <c r="AO279" i="7"/>
  <c r="AO18" i="7"/>
  <c r="AO293" i="7"/>
  <c r="AO275" i="7"/>
  <c r="AO292" i="7"/>
  <c r="AO280" i="7"/>
  <c r="BD275" i="7"/>
  <c r="BD292" i="7"/>
  <c r="BD280" i="7"/>
  <c r="BD263" i="7"/>
  <c r="BD279" i="7"/>
  <c r="BD18" i="7"/>
  <c r="BD293" i="7"/>
  <c r="BP275" i="7"/>
  <c r="BP292" i="7"/>
  <c r="BP280" i="7"/>
  <c r="BP263" i="7"/>
  <c r="BP279" i="7"/>
  <c r="BP18" i="7"/>
  <c r="BP293" i="7"/>
  <c r="AV18" i="7"/>
  <c r="AV293" i="7"/>
  <c r="AV275" i="7"/>
  <c r="AV292" i="7"/>
  <c r="AV280" i="7"/>
  <c r="AV263" i="7"/>
  <c r="AV279" i="7"/>
  <c r="AW279" i="7"/>
  <c r="AW18" i="7"/>
  <c r="AW293" i="7"/>
  <c r="AW275" i="7"/>
  <c r="AW292" i="7"/>
  <c r="AW280" i="7"/>
  <c r="AW263" i="7"/>
  <c r="CA292" i="7"/>
  <c r="CA280" i="7"/>
  <c r="CA263" i="7"/>
  <c r="CA279" i="7"/>
  <c r="CA18" i="7"/>
  <c r="CA293" i="7"/>
  <c r="CA275" i="7"/>
  <c r="AR275" i="7"/>
  <c r="AR292" i="7"/>
  <c r="AR280" i="7"/>
  <c r="AR263" i="7"/>
  <c r="AR279" i="7"/>
  <c r="AR18" i="7"/>
  <c r="AR293" i="7"/>
  <c r="BS275" i="7"/>
  <c r="BS292" i="7"/>
  <c r="BS280" i="7"/>
  <c r="BS263" i="7"/>
  <c r="BS279" i="7"/>
  <c r="BS18" i="7"/>
  <c r="BS293" i="7"/>
  <c r="BR275" i="7"/>
  <c r="BR292" i="7"/>
  <c r="BR280" i="7"/>
  <c r="BR263" i="7"/>
  <c r="BR279" i="7"/>
  <c r="BR18" i="7"/>
  <c r="BR293" i="7"/>
  <c r="AQ292" i="7"/>
  <c r="AQ280" i="7"/>
  <c r="AQ263" i="7"/>
  <c r="AQ279" i="7"/>
  <c r="AQ18" i="7"/>
  <c r="AQ293" i="7"/>
  <c r="AQ275" i="7"/>
  <c r="BC292" i="7"/>
  <c r="BC280" i="7"/>
  <c r="BC263" i="7"/>
  <c r="BC279" i="7"/>
  <c r="BC18" i="7"/>
  <c r="BC293" i="7"/>
  <c r="BC275" i="7"/>
  <c r="H140" i="5"/>
  <c r="H146" i="5" s="1"/>
  <c r="BI279" i="7"/>
  <c r="BI18" i="7"/>
  <c r="BI293" i="7"/>
  <c r="BI275" i="7"/>
  <c r="BI292" i="7"/>
  <c r="BI280" i="7"/>
  <c r="BI263" i="7"/>
  <c r="AT275" i="7"/>
  <c r="AT292" i="7"/>
  <c r="AT280" i="7"/>
  <c r="AT263" i="7"/>
  <c r="AT279" i="7"/>
  <c r="AT18" i="7"/>
  <c r="AT293" i="7"/>
  <c r="BZ280" i="7"/>
  <c r="BZ263" i="7"/>
  <c r="BZ279" i="7"/>
  <c r="BZ18" i="7"/>
  <c r="BZ293" i="7"/>
  <c r="BZ275" i="7"/>
  <c r="BZ292" i="7"/>
  <c r="AP280" i="7"/>
  <c r="AP263" i="7"/>
  <c r="AP279" i="7"/>
  <c r="AP18" i="7"/>
  <c r="AP293" i="7"/>
  <c r="AP275" i="7"/>
  <c r="AP292" i="7"/>
  <c r="BF275" i="7"/>
  <c r="BF292" i="7"/>
  <c r="BF280" i="7"/>
  <c r="BF263" i="7"/>
  <c r="BF279" i="7"/>
  <c r="BF18" i="7"/>
  <c r="BF293" i="7"/>
  <c r="CC275" i="7"/>
  <c r="CC292" i="7"/>
  <c r="CC280" i="7"/>
  <c r="CC263" i="7"/>
  <c r="CC279" i="7"/>
  <c r="CC18" i="7"/>
  <c r="CC293" i="7"/>
  <c r="BB280" i="7"/>
  <c r="BB263" i="7"/>
  <c r="BB279" i="7"/>
  <c r="BB18" i="7"/>
  <c r="BB293" i="7"/>
  <c r="BB275" i="7"/>
  <c r="BB292" i="7"/>
  <c r="BV279" i="7"/>
  <c r="BV18" i="7"/>
  <c r="BV293" i="7"/>
  <c r="BV275" i="7"/>
  <c r="BV292" i="7"/>
  <c r="BV280" i="7"/>
  <c r="BV263" i="7"/>
  <c r="BQ275" i="7"/>
  <c r="BQ292" i="7"/>
  <c r="BQ280" i="7"/>
  <c r="BQ263" i="7"/>
  <c r="BQ279" i="7"/>
  <c r="BQ18" i="7"/>
  <c r="BQ293" i="7"/>
  <c r="AS275" i="7"/>
  <c r="AS292" i="7"/>
  <c r="AS280" i="7"/>
  <c r="AS263" i="7"/>
  <c r="AS279" i="7"/>
  <c r="AS18" i="7"/>
  <c r="AS293" i="7"/>
  <c r="BW279" i="7"/>
  <c r="BW18" i="7"/>
  <c r="BW293" i="7"/>
  <c r="BW275" i="7"/>
  <c r="BW292" i="7"/>
  <c r="BW280" i="7"/>
  <c r="BW263" i="7"/>
  <c r="BJ279" i="7"/>
  <c r="BJ18" i="7"/>
  <c r="BJ293" i="7"/>
  <c r="BJ275" i="7"/>
  <c r="BJ292" i="7"/>
  <c r="BJ280" i="7"/>
  <c r="BJ263" i="7"/>
  <c r="CB275" i="7"/>
  <c r="CB292" i="7"/>
  <c r="CB280" i="7"/>
  <c r="CB263" i="7"/>
  <c r="CB279" i="7"/>
  <c r="CB18" i="7"/>
  <c r="CB293" i="7"/>
  <c r="BX263" i="7"/>
  <c r="BX279" i="7"/>
  <c r="BX18" i="7"/>
  <c r="BX293" i="7"/>
  <c r="BX275" i="7"/>
  <c r="BX292" i="7"/>
  <c r="BX280" i="7"/>
  <c r="BK279" i="7"/>
  <c r="BK18" i="7"/>
  <c r="BK293" i="7"/>
  <c r="BK275" i="7"/>
  <c r="BK292" i="7"/>
  <c r="BK280" i="7"/>
  <c r="BK263" i="7"/>
  <c r="AX279" i="7"/>
  <c r="AX18" i="7"/>
  <c r="AX293" i="7"/>
  <c r="AX275" i="7"/>
  <c r="AX292" i="7"/>
  <c r="AX280" i="7"/>
  <c r="AX263" i="7"/>
  <c r="BO292" i="7"/>
  <c r="BO280" i="7"/>
  <c r="BO263" i="7"/>
  <c r="BO279" i="7"/>
  <c r="BO18" i="7"/>
  <c r="BO293" i="7"/>
  <c r="BO275" i="7"/>
  <c r="BL263" i="7"/>
  <c r="BL279" i="7"/>
  <c r="BL18" i="7"/>
  <c r="BL293" i="7"/>
  <c r="BL275" i="7"/>
  <c r="BL292" i="7"/>
  <c r="BL280" i="7"/>
  <c r="AY279" i="7"/>
  <c r="AY18" i="7"/>
  <c r="AY293" i="7"/>
  <c r="AY275" i="7"/>
  <c r="AY292" i="7"/>
  <c r="AY280" i="7"/>
  <c r="AY263" i="7"/>
  <c r="AL279" i="7"/>
  <c r="AL292" i="7"/>
  <c r="AL293" i="7"/>
  <c r="AL263" i="7"/>
  <c r="I46" i="8" s="1"/>
  <c r="AK263" i="7"/>
  <c r="AK280" i="7"/>
  <c r="AK292" i="7"/>
  <c r="AK18" i="7"/>
  <c r="AK279" i="7"/>
  <c r="AK275" i="7"/>
  <c r="AK293" i="7"/>
  <c r="G123" i="7"/>
  <c r="G62" i="10"/>
  <c r="Z89" i="9"/>
  <c r="H119" i="7"/>
  <c r="I119" i="7" s="1"/>
  <c r="V85" i="9"/>
  <c r="J291" i="7"/>
  <c r="J265" i="7" s="1"/>
  <c r="AA291" i="7"/>
  <c r="AA265" i="7" s="1"/>
  <c r="G60" i="10"/>
  <c r="BO291" i="7"/>
  <c r="BO265" i="7" s="1"/>
  <c r="Z291" i="7"/>
  <c r="Z265" i="7" s="1"/>
  <c r="V291" i="7"/>
  <c r="V265" i="7" s="1"/>
  <c r="AX291" i="7"/>
  <c r="AX265" i="7" s="1"/>
  <c r="G139" i="5"/>
  <c r="G27" i="10"/>
  <c r="AD54" i="9"/>
  <c r="AD31" i="9"/>
  <c r="V21" i="9"/>
  <c r="V31" i="9"/>
  <c r="V88" i="9"/>
  <c r="V44" i="9"/>
  <c r="AD46" i="9"/>
  <c r="G181" i="5"/>
  <c r="E291" i="7"/>
  <c r="E265" i="7" s="1"/>
  <c r="V71" i="9"/>
  <c r="BM291" i="7"/>
  <c r="BM265" i="7" s="1"/>
  <c r="U291" i="7"/>
  <c r="U265" i="7" s="1"/>
  <c r="AD85" i="9"/>
  <c r="AD89" i="9"/>
  <c r="Z68" i="9"/>
  <c r="Z21" i="9"/>
  <c r="V64" i="9"/>
  <c r="H237" i="7"/>
  <c r="AD88" i="9"/>
  <c r="AD80" i="9"/>
  <c r="Q291" i="7"/>
  <c r="Q265" i="7" s="1"/>
  <c r="AD50" i="9"/>
  <c r="V45" i="9"/>
  <c r="V43" i="9"/>
  <c r="S291" i="7"/>
  <c r="S265" i="7" s="1"/>
  <c r="V25" i="9"/>
  <c r="D291" i="7"/>
  <c r="D265" i="7" s="1"/>
  <c r="BP291" i="7"/>
  <c r="BP265" i="7" s="1"/>
  <c r="Z76" i="9"/>
  <c r="Y291" i="7"/>
  <c r="Y265" i="7" s="1"/>
  <c r="Z51" i="9"/>
  <c r="I28" i="7"/>
  <c r="J28" i="7" s="1"/>
  <c r="V24" i="9"/>
  <c r="H151" i="5"/>
  <c r="V69" i="9"/>
  <c r="AD62" i="9"/>
  <c r="AD45" i="9"/>
  <c r="Z18" i="9"/>
  <c r="AD79" i="9"/>
  <c r="V62" i="9"/>
  <c r="V23" i="9"/>
  <c r="H153" i="5"/>
  <c r="Z67" i="9"/>
  <c r="V63" i="9"/>
  <c r="BF291" i="7"/>
  <c r="BF265" i="7" s="1"/>
  <c r="AU291" i="7"/>
  <c r="AU265" i="7" s="1"/>
  <c r="AD24" i="9"/>
  <c r="V80" i="9"/>
  <c r="AD36" i="9"/>
  <c r="V26" i="9"/>
  <c r="V51" i="9"/>
  <c r="BS291" i="7"/>
  <c r="BS265" i="7" s="1"/>
  <c r="AP291" i="7"/>
  <c r="AP265" i="7" s="1"/>
  <c r="BT291" i="7"/>
  <c r="BT265" i="7" s="1"/>
  <c r="V37" i="9"/>
  <c r="BR291" i="7"/>
  <c r="BR265" i="7" s="1"/>
  <c r="AC291" i="7"/>
  <c r="AC265" i="7" s="1"/>
  <c r="BH291" i="7"/>
  <c r="BH265" i="7" s="1"/>
  <c r="AD20" i="9"/>
  <c r="AD37" i="9"/>
  <c r="V18" i="9"/>
  <c r="AL291" i="7"/>
  <c r="AL265" i="7" s="1"/>
  <c r="P291" i="7"/>
  <c r="P265" i="7" s="1"/>
  <c r="AV291" i="7"/>
  <c r="AV265" i="7" s="1"/>
  <c r="V74" i="9"/>
  <c r="AD74" i="9"/>
  <c r="Z87" i="9"/>
  <c r="AD87" i="9"/>
  <c r="BB291" i="7"/>
  <c r="BB265" i="7" s="1"/>
  <c r="W291" i="7"/>
  <c r="W265" i="7" s="1"/>
  <c r="AD71" i="9"/>
  <c r="O291" i="7"/>
  <c r="O265" i="7" s="1"/>
  <c r="CB291" i="7"/>
  <c r="CB265" i="7" s="1"/>
  <c r="M291" i="7"/>
  <c r="M265" i="7" s="1"/>
  <c r="X291" i="7"/>
  <c r="X265" i="7" s="1"/>
  <c r="K291" i="7"/>
  <c r="K265" i="7" s="1"/>
  <c r="R291" i="7"/>
  <c r="R265" i="7" s="1"/>
  <c r="BK291" i="7"/>
  <c r="BK265" i="7" s="1"/>
  <c r="L291" i="7"/>
  <c r="L265" i="7" s="1"/>
  <c r="F291" i="7"/>
  <c r="F265" i="7" s="1"/>
  <c r="BC291" i="7"/>
  <c r="BC265" i="7" s="1"/>
  <c r="BW291" i="7"/>
  <c r="BW265" i="7" s="1"/>
  <c r="Z46" i="9"/>
  <c r="H133" i="5"/>
  <c r="I133" i="5" s="1"/>
  <c r="AD23" i="9"/>
  <c r="V73" i="9"/>
  <c r="H56" i="7"/>
  <c r="Z63" i="9"/>
  <c r="G291" i="7"/>
  <c r="G265" i="7" s="1"/>
  <c r="T291" i="7"/>
  <c r="T265" i="7" s="1"/>
  <c r="BA291" i="7"/>
  <c r="BA265" i="7" s="1"/>
  <c r="I291" i="7"/>
  <c r="I265" i="7" s="1"/>
  <c r="AS291" i="7"/>
  <c r="AS265" i="7" s="1"/>
  <c r="AT291" i="7"/>
  <c r="AT265" i="7" s="1"/>
  <c r="AZ291" i="7"/>
  <c r="AZ265" i="7" s="1"/>
  <c r="H291" i="7"/>
  <c r="H265" i="7" s="1"/>
  <c r="AD26" i="9"/>
  <c r="AD81" i="9"/>
  <c r="G160" i="5"/>
  <c r="H154" i="5"/>
  <c r="BU291" i="7"/>
  <c r="BU265" i="7" s="1"/>
  <c r="AY291" i="7"/>
  <c r="AY265" i="7" s="1"/>
  <c r="BN291" i="7"/>
  <c r="BN265" i="7" s="1"/>
  <c r="AW291" i="7"/>
  <c r="AW265" i="7" s="1"/>
  <c r="V70" i="9"/>
  <c r="AD68" i="9"/>
  <c r="Z44" i="9"/>
  <c r="V55" i="9"/>
  <c r="Z72" i="9"/>
  <c r="Z42" i="9"/>
  <c r="Z52" i="9"/>
  <c r="AD60" i="9"/>
  <c r="V36" i="9"/>
  <c r="V52" i="9"/>
  <c r="H35" i="7"/>
  <c r="I35" i="7" s="1"/>
  <c r="V66" i="9"/>
  <c r="V13" i="9"/>
  <c r="AD13" i="9"/>
  <c r="AD66" i="9"/>
  <c r="Z54" i="9"/>
  <c r="V76" i="9"/>
  <c r="AD48" i="9"/>
  <c r="Z48" i="9"/>
  <c r="Z17" i="9"/>
  <c r="AD78" i="9"/>
  <c r="V17" i="9"/>
  <c r="AD77" i="9"/>
  <c r="V77" i="9"/>
  <c r="V78" i="9"/>
  <c r="Z39" i="9"/>
  <c r="Z27" i="9"/>
  <c r="AD39" i="9"/>
  <c r="V57" i="9"/>
  <c r="AF291" i="7"/>
  <c r="AF265" i="7" s="1"/>
  <c r="AB291" i="7"/>
  <c r="AB265" i="7" s="1"/>
  <c r="CC291" i="7"/>
  <c r="CC265" i="7" s="1"/>
  <c r="AM291" i="7"/>
  <c r="AM265" i="7" s="1"/>
  <c r="BI291" i="7"/>
  <c r="BI265" i="7" s="1"/>
  <c r="AD27" i="9"/>
  <c r="J291" i="5"/>
  <c r="J265" i="5" s="1"/>
  <c r="V42" i="9"/>
  <c r="V82" i="9"/>
  <c r="V83" i="9"/>
  <c r="AD55" i="9"/>
  <c r="Z32" i="9"/>
  <c r="Z75" i="9"/>
  <c r="AD32" i="9"/>
  <c r="Z34" i="9"/>
  <c r="AO291" i="7"/>
  <c r="AO265" i="7" s="1"/>
  <c r="AG291" i="7"/>
  <c r="AG265" i="7" s="1"/>
  <c r="BD291" i="7"/>
  <c r="BD265" i="7" s="1"/>
  <c r="BZ291" i="7"/>
  <c r="BZ265" i="7" s="1"/>
  <c r="AI291" i="7"/>
  <c r="AI265" i="7" s="1"/>
  <c r="AD75" i="9"/>
  <c r="BV291" i="5"/>
  <c r="BV265" i="5" s="1"/>
  <c r="V40" i="9"/>
  <c r="AD40" i="9"/>
  <c r="AD69" i="9"/>
  <c r="V81" i="9"/>
  <c r="AD41" i="9"/>
  <c r="AD29" i="9"/>
  <c r="AD73" i="9"/>
  <c r="AR291" i="5"/>
  <c r="AR265" i="5" s="1"/>
  <c r="G85" i="10"/>
  <c r="V20" i="9"/>
  <c r="V86" i="9"/>
  <c r="AD70" i="9"/>
  <c r="Z29" i="9"/>
  <c r="AD86" i="9"/>
  <c r="AR291" i="7"/>
  <c r="AR265" i="7" s="1"/>
  <c r="BG291" i="7"/>
  <c r="BG265" i="7" s="1"/>
  <c r="AQ291" i="7"/>
  <c r="AQ265" i="7" s="1"/>
  <c r="N291" i="7"/>
  <c r="N265" i="7" s="1"/>
  <c r="BJ291" i="7"/>
  <c r="BJ265" i="7" s="1"/>
  <c r="AJ291" i="7"/>
  <c r="AJ265" i="7" s="1"/>
  <c r="P291" i="5"/>
  <c r="P265" i="5" s="1"/>
  <c r="V58" i="9"/>
  <c r="V30" i="9"/>
  <c r="AD83" i="9"/>
  <c r="AW291" i="5"/>
  <c r="AW265" i="5" s="1"/>
  <c r="AD58" i="9"/>
  <c r="V84" i="9"/>
  <c r="V79" i="9"/>
  <c r="K79" i="9" s="1"/>
  <c r="AG79" i="9" s="1"/>
  <c r="AI79" i="9" s="1"/>
  <c r="Z65" i="9"/>
  <c r="V28" i="9"/>
  <c r="AV291" i="5"/>
  <c r="AV265" i="5" s="1"/>
  <c r="Z15" i="9"/>
  <c r="AD22" i="9"/>
  <c r="AD57" i="9"/>
  <c r="AD65" i="9"/>
  <c r="AE291" i="5"/>
  <c r="AE265" i="5" s="1"/>
  <c r="Z30" i="9"/>
  <c r="AD82" i="9"/>
  <c r="V16" i="9"/>
  <c r="Z41" i="9"/>
  <c r="D291" i="5"/>
  <c r="D265" i="5" s="1"/>
  <c r="AD19" i="9"/>
  <c r="BY291" i="7"/>
  <c r="BY265" i="7" s="1"/>
  <c r="AE291" i="7"/>
  <c r="AE265" i="7" s="1"/>
  <c r="BQ291" i="7"/>
  <c r="BQ265" i="7" s="1"/>
  <c r="CA291" i="7"/>
  <c r="CA265" i="7" s="1"/>
  <c r="BX291" i="7"/>
  <c r="BX265" i="7" s="1"/>
  <c r="BV291" i="7"/>
  <c r="BV265" i="7" s="1"/>
  <c r="AD33" i="9"/>
  <c r="AD25" i="9"/>
  <c r="Z12" i="9"/>
  <c r="L291" i="5"/>
  <c r="L265" i="5" s="1"/>
  <c r="G76" i="10"/>
  <c r="V34" i="9"/>
  <c r="BL291" i="7"/>
  <c r="BL265" i="7" s="1"/>
  <c r="BE291" i="7"/>
  <c r="BE265" i="7" s="1"/>
  <c r="AD291" i="7"/>
  <c r="AD265" i="7" s="1"/>
  <c r="AN291" i="7"/>
  <c r="AN265" i="7" s="1"/>
  <c r="AK291" i="7"/>
  <c r="AK265" i="7" s="1"/>
  <c r="Z60" i="9"/>
  <c r="AF291" i="5"/>
  <c r="AF265" i="5" s="1"/>
  <c r="V49" i="9"/>
  <c r="BZ291" i="5"/>
  <c r="BZ265" i="5" s="1"/>
  <c r="Q291" i="5"/>
  <c r="Q265" i="5" s="1"/>
  <c r="AJ94" i="3"/>
  <c r="BB94" i="3"/>
  <c r="AD53" i="9"/>
  <c r="J28" i="10"/>
  <c r="I34" i="10"/>
  <c r="Z14" i="9"/>
  <c r="AJ291" i="5"/>
  <c r="AJ265" i="5" s="1"/>
  <c r="AD35" i="9"/>
  <c r="AD64" i="9"/>
  <c r="V14" i="9"/>
  <c r="AT291" i="5"/>
  <c r="AT265" i="5" s="1"/>
  <c r="Z43" i="9"/>
  <c r="V33" i="9"/>
  <c r="AD56" i="9"/>
  <c r="AD28" i="9"/>
  <c r="AB291" i="5"/>
  <c r="AB265" i="5" s="1"/>
  <c r="BD291" i="5"/>
  <c r="BD265" i="5" s="1"/>
  <c r="V59" i="9"/>
  <c r="AX291" i="5"/>
  <c r="AX265" i="5" s="1"/>
  <c r="G291" i="5"/>
  <c r="G265" i="5" s="1"/>
  <c r="O94" i="3"/>
  <c r="AD49" i="9"/>
  <c r="BF291" i="5"/>
  <c r="BF265" i="5" s="1"/>
  <c r="L94" i="3"/>
  <c r="AD84" i="9"/>
  <c r="AL291" i="5"/>
  <c r="AL265" i="5" s="1"/>
  <c r="AH291" i="5"/>
  <c r="AH265" i="5" s="1"/>
  <c r="BY291" i="5"/>
  <c r="BY265" i="5" s="1"/>
  <c r="AU94" i="3"/>
  <c r="AH94" i="3"/>
  <c r="S95" i="3"/>
  <c r="S69" i="3" s="1"/>
  <c r="V67" i="9"/>
  <c r="AD72" i="9"/>
  <c r="V53" i="9"/>
  <c r="BX291" i="5"/>
  <c r="BX265" i="5" s="1"/>
  <c r="M291" i="5"/>
  <c r="M265" i="5" s="1"/>
  <c r="U291" i="5"/>
  <c r="U265" i="5" s="1"/>
  <c r="BM94" i="3"/>
  <c r="U94" i="3"/>
  <c r="AD16" i="9"/>
  <c r="AP291" i="5"/>
  <c r="AP265" i="5" s="1"/>
  <c r="Y291" i="5"/>
  <c r="Y265" i="5" s="1"/>
  <c r="BE291" i="5"/>
  <c r="BE265" i="5" s="1"/>
  <c r="J94" i="3"/>
  <c r="V50" i="9"/>
  <c r="Z22" i="9"/>
  <c r="BL291" i="5"/>
  <c r="BL265" i="5" s="1"/>
  <c r="BT291" i="5"/>
  <c r="BT265" i="5" s="1"/>
  <c r="I291" i="5"/>
  <c r="I265" i="5" s="1"/>
  <c r="AC94" i="3"/>
  <c r="BD94" i="3"/>
  <c r="AB94" i="3"/>
  <c r="AQ94" i="3"/>
  <c r="D94" i="3"/>
  <c r="BZ94" i="3"/>
  <c r="Z56" i="9"/>
  <c r="AD38" i="9"/>
  <c r="AY291" i="5"/>
  <c r="AY265" i="5" s="1"/>
  <c r="AU291" i="5"/>
  <c r="AU265" i="5" s="1"/>
  <c r="CA291" i="5"/>
  <c r="CA265" i="5" s="1"/>
  <c r="AL94" i="3"/>
  <c r="R94" i="3"/>
  <c r="O291" i="5"/>
  <c r="O265" i="5" s="1"/>
  <c r="BR291" i="5"/>
  <c r="BR265" i="5" s="1"/>
  <c r="AQ291" i="5"/>
  <c r="AQ265" i="5" s="1"/>
  <c r="M94" i="3"/>
  <c r="G64" i="10"/>
  <c r="G70" i="10" s="1"/>
  <c r="V38" i="9"/>
  <c r="V61" i="9"/>
  <c r="R291" i="5"/>
  <c r="R265" i="5" s="1"/>
  <c r="BJ291" i="5"/>
  <c r="BJ265" i="5" s="1"/>
  <c r="X291" i="5"/>
  <c r="X265" i="5" s="1"/>
  <c r="AG291" i="5"/>
  <c r="AG265" i="5" s="1"/>
  <c r="S291" i="5"/>
  <c r="S265" i="5" s="1"/>
  <c r="AO95" i="3"/>
  <c r="AO69" i="3" s="1"/>
  <c r="AY94" i="3"/>
  <c r="BE94" i="3"/>
  <c r="AD59" i="9"/>
  <c r="AZ95" i="3"/>
  <c r="AZ69" i="3" s="1"/>
  <c r="H14" i="10"/>
  <c r="G20" i="10"/>
  <c r="BK95" i="3"/>
  <c r="BK69" i="3" s="1"/>
  <c r="AZ291" i="5"/>
  <c r="AZ265" i="5" s="1"/>
  <c r="Z291" i="5"/>
  <c r="Z265" i="5" s="1"/>
  <c r="W291" i="5"/>
  <c r="W265" i="5" s="1"/>
  <c r="CB291" i="5"/>
  <c r="CB265" i="5" s="1"/>
  <c r="BM291" i="5"/>
  <c r="BM265" i="5" s="1"/>
  <c r="BJ95" i="3"/>
  <c r="BJ69" i="3" s="1"/>
  <c r="N94" i="3"/>
  <c r="AF94" i="3"/>
  <c r="AN291" i="5"/>
  <c r="AN265" i="5" s="1"/>
  <c r="N291" i="5"/>
  <c r="N265" i="5" s="1"/>
  <c r="K291" i="5"/>
  <c r="K265" i="5" s="1"/>
  <c r="BP291" i="5"/>
  <c r="BP265" i="5" s="1"/>
  <c r="BA291" i="5"/>
  <c r="BA265" i="5" s="1"/>
  <c r="BI95" i="3"/>
  <c r="BI69" i="3" s="1"/>
  <c r="AW94" i="3"/>
  <c r="CA94" i="3"/>
  <c r="BH95" i="3"/>
  <c r="BH69" i="3" s="1"/>
  <c r="BF95" i="3"/>
  <c r="BF69" i="3" s="1"/>
  <c r="BG95" i="3"/>
  <c r="BG69" i="3" s="1"/>
  <c r="BQ95" i="3"/>
  <c r="BQ69" i="3" s="1"/>
  <c r="CB95" i="3"/>
  <c r="CB69" i="3" s="1"/>
  <c r="V35" i="9"/>
  <c r="F291" i="5"/>
  <c r="F265" i="5" s="1"/>
  <c r="AA291" i="5"/>
  <c r="AA265" i="5" s="1"/>
  <c r="BH291" i="5"/>
  <c r="BH265" i="5" s="1"/>
  <c r="V291" i="5"/>
  <c r="V265" i="5" s="1"/>
  <c r="BC291" i="5"/>
  <c r="BC265" i="5" s="1"/>
  <c r="H95" i="3"/>
  <c r="H69" i="3" s="1"/>
  <c r="BX94" i="3"/>
  <c r="K94" i="3"/>
  <c r="H35" i="10"/>
  <c r="G41" i="10"/>
  <c r="AD95" i="3"/>
  <c r="AD69" i="3" s="1"/>
  <c r="BR95" i="3"/>
  <c r="BR69" i="3" s="1"/>
  <c r="I95" i="3"/>
  <c r="I69" i="3" s="1"/>
  <c r="AE95" i="3"/>
  <c r="AE69" i="3" s="1"/>
  <c r="BA95" i="3"/>
  <c r="BA69" i="3" s="1"/>
  <c r="BW95" i="3"/>
  <c r="BW69" i="3" s="1"/>
  <c r="BU95" i="3"/>
  <c r="BU69" i="3" s="1"/>
  <c r="BS95" i="3"/>
  <c r="BS69" i="3" s="1"/>
  <c r="E94" i="3"/>
  <c r="AA94" i="3"/>
  <c r="Y94" i="3"/>
  <c r="W94" i="3"/>
  <c r="AG94" i="3"/>
  <c r="BC94" i="3"/>
  <c r="H28" i="5"/>
  <c r="G34" i="5"/>
  <c r="H91" i="7"/>
  <c r="G97" i="7"/>
  <c r="G95" i="7"/>
  <c r="G76" i="7"/>
  <c r="H70" i="7"/>
  <c r="AT95" i="3"/>
  <c r="AT69" i="3" s="1"/>
  <c r="BP95" i="3"/>
  <c r="BP69" i="3" s="1"/>
  <c r="G95" i="3"/>
  <c r="G69" i="3" s="1"/>
  <c r="AC95" i="3"/>
  <c r="AC69" i="3" s="1"/>
  <c r="AY95" i="3"/>
  <c r="AY69" i="3" s="1"/>
  <c r="AW95" i="3"/>
  <c r="AW69" i="3" s="1"/>
  <c r="AU95" i="3"/>
  <c r="AU69" i="3" s="1"/>
  <c r="BL94" i="3"/>
  <c r="BV94" i="3"/>
  <c r="BT94" i="3"/>
  <c r="BR94" i="3"/>
  <c r="I94" i="3"/>
  <c r="AE94" i="3"/>
  <c r="H63" i="7"/>
  <c r="G69" i="7"/>
  <c r="Z19" i="9"/>
  <c r="AH95" i="3"/>
  <c r="AH69" i="3" s="1"/>
  <c r="BD95" i="3"/>
  <c r="BD69" i="3" s="1"/>
  <c r="BZ95" i="3"/>
  <c r="BZ69" i="3" s="1"/>
  <c r="Q95" i="3"/>
  <c r="Q69" i="3" s="1"/>
  <c r="AM95" i="3"/>
  <c r="AM69" i="3" s="1"/>
  <c r="AK95" i="3"/>
  <c r="AK69" i="3" s="1"/>
  <c r="AI95" i="3"/>
  <c r="AI69" i="3" s="1"/>
  <c r="AZ94" i="3"/>
  <c r="BJ94" i="3"/>
  <c r="BH94" i="3"/>
  <c r="BF94" i="3"/>
  <c r="CB94" i="3"/>
  <c r="S94" i="3"/>
  <c r="H21" i="3"/>
  <c r="G25" i="3"/>
  <c r="G27" i="3"/>
  <c r="J63" i="5"/>
  <c r="I69" i="5"/>
  <c r="V95" i="3"/>
  <c r="V69" i="3" s="1"/>
  <c r="AR95" i="3"/>
  <c r="AR69" i="3" s="1"/>
  <c r="BN95" i="3"/>
  <c r="BN69" i="3" s="1"/>
  <c r="E95" i="3"/>
  <c r="E69" i="3" s="1"/>
  <c r="AA95" i="3"/>
  <c r="AA69" i="3" s="1"/>
  <c r="Y95" i="3"/>
  <c r="Y69" i="3" s="1"/>
  <c r="W95" i="3"/>
  <c r="W69" i="3" s="1"/>
  <c r="AN94" i="3"/>
  <c r="AX94" i="3"/>
  <c r="AV94" i="3"/>
  <c r="AT94" i="3"/>
  <c r="BP94" i="3"/>
  <c r="G94" i="3"/>
  <c r="H98" i="7"/>
  <c r="G104" i="7"/>
  <c r="H49" i="5"/>
  <c r="G55" i="5"/>
  <c r="J95" i="3"/>
  <c r="J69" i="3" s="1"/>
  <c r="AF95" i="3"/>
  <c r="AF69" i="3" s="1"/>
  <c r="BB95" i="3"/>
  <c r="BB69" i="3" s="1"/>
  <c r="BX95" i="3"/>
  <c r="BX69" i="3" s="1"/>
  <c r="O95" i="3"/>
  <c r="O69" i="3" s="1"/>
  <c r="M95" i="3"/>
  <c r="M69" i="3" s="1"/>
  <c r="K95" i="3"/>
  <c r="K69" i="3" s="1"/>
  <c r="G62" i="5"/>
  <c r="H56" i="5"/>
  <c r="H25" i="5"/>
  <c r="H27" i="5"/>
  <c r="I21" i="5"/>
  <c r="AD61" i="9"/>
  <c r="CC95" i="3"/>
  <c r="CC69" i="3" s="1"/>
  <c r="T95" i="3"/>
  <c r="T69" i="3" s="1"/>
  <c r="AP95" i="3"/>
  <c r="AP69" i="3" s="1"/>
  <c r="BL95" i="3"/>
  <c r="BL69" i="3" s="1"/>
  <c r="BV95" i="3"/>
  <c r="BV69" i="3" s="1"/>
  <c r="BT95" i="3"/>
  <c r="BT69" i="3" s="1"/>
  <c r="BY94" i="3"/>
  <c r="P94" i="3"/>
  <c r="Z94" i="3"/>
  <c r="X94" i="3"/>
  <c r="V94" i="3"/>
  <c r="AR94" i="3"/>
  <c r="BN94" i="3"/>
  <c r="V15" i="9"/>
  <c r="BN291" i="5"/>
  <c r="BN265" i="5" s="1"/>
  <c r="BW291" i="5"/>
  <c r="BW265" i="5" s="1"/>
  <c r="BU291" i="5"/>
  <c r="BU265" i="5" s="1"/>
  <c r="BS291" i="5"/>
  <c r="BS265" i="5" s="1"/>
  <c r="CC291" i="5"/>
  <c r="CC265" i="5" s="1"/>
  <c r="T291" i="5"/>
  <c r="T265" i="5" s="1"/>
  <c r="AO291" i="5"/>
  <c r="AO265" i="5" s="1"/>
  <c r="BE95" i="3"/>
  <c r="BE69" i="3" s="1"/>
  <c r="CA95" i="3"/>
  <c r="CA69" i="3" s="1"/>
  <c r="R95" i="3"/>
  <c r="R69" i="3" s="1"/>
  <c r="AN95" i="3"/>
  <c r="AN69" i="3" s="1"/>
  <c r="AX95" i="3"/>
  <c r="AX69" i="3" s="1"/>
  <c r="AV95" i="3"/>
  <c r="AV69" i="3" s="1"/>
  <c r="BA94" i="3"/>
  <c r="BW94" i="3"/>
  <c r="BU94" i="3"/>
  <c r="BS94" i="3"/>
  <c r="CC94" i="3"/>
  <c r="T94" i="3"/>
  <c r="AP94" i="3"/>
  <c r="V12" i="9"/>
  <c r="BB291" i="5"/>
  <c r="BB265" i="5" s="1"/>
  <c r="BK291" i="5"/>
  <c r="BK265" i="5" s="1"/>
  <c r="BI291" i="5"/>
  <c r="BI265" i="5" s="1"/>
  <c r="BG291" i="5"/>
  <c r="BG265" i="5" s="1"/>
  <c r="BQ291" i="5"/>
  <c r="BQ265" i="5" s="1"/>
  <c r="H291" i="5"/>
  <c r="H265" i="5" s="1"/>
  <c r="AC291" i="5"/>
  <c r="AC265" i="5" s="1"/>
  <c r="AS95" i="3"/>
  <c r="AS69" i="3" s="1"/>
  <c r="BO95" i="3"/>
  <c r="BO69" i="3" s="1"/>
  <c r="F95" i="3"/>
  <c r="F69" i="3" s="1"/>
  <c r="AB95" i="3"/>
  <c r="AB69" i="3" s="1"/>
  <c r="AL95" i="3"/>
  <c r="AL69" i="3" s="1"/>
  <c r="AJ95" i="3"/>
  <c r="AJ69" i="3" s="1"/>
  <c r="AO94" i="3"/>
  <c r="BK94" i="3"/>
  <c r="BI94" i="3"/>
  <c r="BG94" i="3"/>
  <c r="BQ94" i="3"/>
  <c r="H94" i="3"/>
  <c r="AD94" i="3"/>
  <c r="G39" i="3"/>
  <c r="G41" i="3"/>
  <c r="H35" i="3"/>
  <c r="AG95" i="3"/>
  <c r="AG69" i="3" s="1"/>
  <c r="BC95" i="3"/>
  <c r="BC69" i="3" s="1"/>
  <c r="BY95" i="3"/>
  <c r="BY69" i="3" s="1"/>
  <c r="P95" i="3"/>
  <c r="P69" i="3" s="1"/>
  <c r="Z95" i="3"/>
  <c r="Z69" i="3" s="1"/>
  <c r="X95" i="3"/>
  <c r="X69" i="3" s="1"/>
  <c r="AD291" i="5"/>
  <c r="AD265" i="5" s="1"/>
  <c r="AM291" i="5"/>
  <c r="AM265" i="5" s="1"/>
  <c r="AK291" i="5"/>
  <c r="AK265" i="5" s="1"/>
  <c r="AI291" i="5"/>
  <c r="AI265" i="5" s="1"/>
  <c r="AS291" i="5"/>
  <c r="AS265" i="5" s="1"/>
  <c r="BO291" i="5"/>
  <c r="BO265" i="5" s="1"/>
  <c r="U95" i="3"/>
  <c r="U69" i="3" s="1"/>
  <c r="AQ95" i="3"/>
  <c r="AQ69" i="3" s="1"/>
  <c r="BM95" i="3"/>
  <c r="BM69" i="3" s="1"/>
  <c r="D95" i="3"/>
  <c r="D69" i="3" s="1"/>
  <c r="N95" i="3"/>
  <c r="N69" i="3" s="1"/>
  <c r="Q94" i="3"/>
  <c r="AM94" i="3"/>
  <c r="AK94" i="3"/>
  <c r="AI94" i="3"/>
  <c r="AS94" i="3"/>
  <c r="BO94" i="3"/>
  <c r="H95" i="10"/>
  <c r="H69" i="10" s="1"/>
  <c r="T95" i="10"/>
  <c r="T69" i="10" s="1"/>
  <c r="AF95" i="10"/>
  <c r="AF69" i="10" s="1"/>
  <c r="AR95" i="10"/>
  <c r="AR69" i="10" s="1"/>
  <c r="BD95" i="10"/>
  <c r="BD69" i="10" s="1"/>
  <c r="BP95" i="10"/>
  <c r="BP69" i="10" s="1"/>
  <c r="CB95" i="10"/>
  <c r="CB69" i="10" s="1"/>
  <c r="I95" i="10"/>
  <c r="I69" i="10" s="1"/>
  <c r="U95" i="10"/>
  <c r="U69" i="10" s="1"/>
  <c r="AG95" i="10"/>
  <c r="AG69" i="10" s="1"/>
  <c r="AS95" i="10"/>
  <c r="AS69" i="10" s="1"/>
  <c r="BE95" i="10"/>
  <c r="BE69" i="10" s="1"/>
  <c r="BQ95" i="10"/>
  <c r="BQ69" i="10" s="1"/>
  <c r="CC95" i="10"/>
  <c r="CC69" i="10" s="1"/>
  <c r="V95" i="10"/>
  <c r="V69" i="10" s="1"/>
  <c r="BF95" i="10"/>
  <c r="BF69" i="10" s="1"/>
  <c r="K95" i="10"/>
  <c r="K69" i="10" s="1"/>
  <c r="AU95" i="10"/>
  <c r="AU69" i="10" s="1"/>
  <c r="BS95" i="10"/>
  <c r="BS69" i="10" s="1"/>
  <c r="G95" i="10"/>
  <c r="G69" i="10" s="1"/>
  <c r="J95" i="10"/>
  <c r="J69" i="10" s="1"/>
  <c r="AH95" i="10"/>
  <c r="AH69" i="10" s="1"/>
  <c r="AT95" i="10"/>
  <c r="AT69" i="10" s="1"/>
  <c r="BR95" i="10"/>
  <c r="BR69" i="10" s="1"/>
  <c r="AI95" i="10"/>
  <c r="AI69" i="10" s="1"/>
  <c r="W95" i="10"/>
  <c r="W69" i="10" s="1"/>
  <c r="BG95" i="10"/>
  <c r="BG69" i="10" s="1"/>
  <c r="BC95" i="10"/>
  <c r="BC69" i="10" s="1"/>
  <c r="L95" i="10"/>
  <c r="L69" i="10" s="1"/>
  <c r="X95" i="10"/>
  <c r="X69" i="10" s="1"/>
  <c r="AJ95" i="10"/>
  <c r="AJ69" i="10" s="1"/>
  <c r="AV95" i="10"/>
  <c r="AV69" i="10" s="1"/>
  <c r="BH95" i="10"/>
  <c r="BH69" i="10" s="1"/>
  <c r="BT95" i="10"/>
  <c r="BT69" i="10" s="1"/>
  <c r="Y95" i="10"/>
  <c r="Y69" i="10" s="1"/>
  <c r="AK95" i="10"/>
  <c r="AK69" i="10" s="1"/>
  <c r="AW95" i="10"/>
  <c r="AW69" i="10" s="1"/>
  <c r="BU95" i="10"/>
  <c r="BU69" i="10" s="1"/>
  <c r="S95" i="10"/>
  <c r="S69" i="10" s="1"/>
  <c r="M95" i="10"/>
  <c r="M69" i="10" s="1"/>
  <c r="BI95" i="10"/>
  <c r="BI69" i="10" s="1"/>
  <c r="Q95" i="10"/>
  <c r="Q69" i="10" s="1"/>
  <c r="AO95" i="10"/>
  <c r="AO69" i="10" s="1"/>
  <c r="BY95" i="10"/>
  <c r="BY69" i="10" s="1"/>
  <c r="N95" i="10"/>
  <c r="N69" i="10" s="1"/>
  <c r="Z95" i="10"/>
  <c r="Z69" i="10" s="1"/>
  <c r="AL95" i="10"/>
  <c r="AL69" i="10" s="1"/>
  <c r="AX95" i="10"/>
  <c r="AX69" i="10" s="1"/>
  <c r="BJ95" i="10"/>
  <c r="BJ69" i="10" s="1"/>
  <c r="BV95" i="10"/>
  <c r="BV69" i="10" s="1"/>
  <c r="O95" i="10"/>
  <c r="O69" i="10" s="1"/>
  <c r="AY95" i="10"/>
  <c r="AY69" i="10" s="1"/>
  <c r="BW95" i="10"/>
  <c r="BW69" i="10" s="1"/>
  <c r="P95" i="10"/>
  <c r="P69" i="10" s="1"/>
  <c r="AZ95" i="10"/>
  <c r="AZ69" i="10" s="1"/>
  <c r="BL95" i="10"/>
  <c r="BL69" i="10" s="1"/>
  <c r="AC95" i="10"/>
  <c r="AC69" i="10" s="1"/>
  <c r="BM95" i="10"/>
  <c r="BM69" i="10" s="1"/>
  <c r="BO95" i="10"/>
  <c r="BO69" i="10" s="1"/>
  <c r="AA95" i="10"/>
  <c r="AA69" i="10" s="1"/>
  <c r="AM95" i="10"/>
  <c r="AM69" i="10" s="1"/>
  <c r="BK95" i="10"/>
  <c r="BK69" i="10" s="1"/>
  <c r="D95" i="10"/>
  <c r="D69" i="10" s="1"/>
  <c r="AN95" i="10"/>
  <c r="AN69" i="10" s="1"/>
  <c r="E95" i="10"/>
  <c r="E69" i="10" s="1"/>
  <c r="CA95" i="10"/>
  <c r="CA69" i="10" s="1"/>
  <c r="AB95" i="10"/>
  <c r="AB69" i="10" s="1"/>
  <c r="BX95" i="10"/>
  <c r="BX69" i="10" s="1"/>
  <c r="BA95" i="10"/>
  <c r="BA69" i="10" s="1"/>
  <c r="AQ95" i="10"/>
  <c r="AQ69" i="10" s="1"/>
  <c r="AE95" i="10"/>
  <c r="AE69" i="10" s="1"/>
  <c r="F95" i="10"/>
  <c r="R95" i="10"/>
  <c r="R69" i="10" s="1"/>
  <c r="AD95" i="10"/>
  <c r="AD69" i="10" s="1"/>
  <c r="AP95" i="10"/>
  <c r="AP69" i="10" s="1"/>
  <c r="BB95" i="10"/>
  <c r="BB69" i="10" s="1"/>
  <c r="BN95" i="10"/>
  <c r="BN69" i="10" s="1"/>
  <c r="BZ95" i="10"/>
  <c r="BZ69" i="10" s="1"/>
  <c r="V82" i="6"/>
  <c r="AD82" i="6"/>
  <c r="Z82" i="6"/>
  <c r="H98" i="5"/>
  <c r="G104" i="5"/>
  <c r="V23" i="6"/>
  <c r="AD23" i="6"/>
  <c r="Z23" i="6"/>
  <c r="V44" i="6"/>
  <c r="Z44" i="6"/>
  <c r="AD44" i="6"/>
  <c r="AD84" i="6"/>
  <c r="V84" i="6"/>
  <c r="Z84" i="6"/>
  <c r="V71" i="6"/>
  <c r="Z71" i="6"/>
  <c r="AD71" i="6"/>
  <c r="Z45" i="6"/>
  <c r="V45" i="6"/>
  <c r="AD45" i="6"/>
  <c r="V79" i="6"/>
  <c r="AD79" i="6"/>
  <c r="Z79" i="6"/>
  <c r="V17" i="6"/>
  <c r="Z17" i="6"/>
  <c r="AD17" i="6"/>
  <c r="G174" i="7"/>
  <c r="H168" i="7"/>
  <c r="J175" i="7"/>
  <c r="I181" i="7"/>
  <c r="H245" i="7"/>
  <c r="G251" i="7"/>
  <c r="G32" i="3"/>
  <c r="G34" i="3"/>
  <c r="H28" i="3"/>
  <c r="Z24" i="6"/>
  <c r="AD24" i="6"/>
  <c r="V24" i="6"/>
  <c r="V38" i="6"/>
  <c r="Z38" i="6"/>
  <c r="AD38" i="6"/>
  <c r="AD75" i="6"/>
  <c r="V75" i="6"/>
  <c r="Z75" i="6"/>
  <c r="V60" i="6"/>
  <c r="Z60" i="6"/>
  <c r="AD60" i="6"/>
  <c r="V42" i="6"/>
  <c r="AD42" i="6"/>
  <c r="Z42" i="6"/>
  <c r="V76" i="6"/>
  <c r="AD76" i="6"/>
  <c r="Z76" i="6"/>
  <c r="AD81" i="6"/>
  <c r="V81" i="6"/>
  <c r="Z81" i="6"/>
  <c r="H14" i="7"/>
  <c r="G20" i="7"/>
  <c r="G260" i="7"/>
  <c r="G266" i="7" s="1"/>
  <c r="G272" i="7"/>
  <c r="G281" i="7"/>
  <c r="AD63" i="8"/>
  <c r="V63" i="8"/>
  <c r="Z63" i="8"/>
  <c r="V79" i="8"/>
  <c r="Z79" i="8"/>
  <c r="AD79" i="8"/>
  <c r="V61" i="8"/>
  <c r="AD61" i="8"/>
  <c r="Z61" i="8"/>
  <c r="V47" i="8"/>
  <c r="AD47" i="8"/>
  <c r="Z47" i="8"/>
  <c r="V23" i="8"/>
  <c r="AD23" i="8"/>
  <c r="Z23" i="8"/>
  <c r="AD46" i="8"/>
  <c r="Z46" i="8"/>
  <c r="V46" i="8"/>
  <c r="V17" i="8"/>
  <c r="AD17" i="8"/>
  <c r="Z17" i="8"/>
  <c r="G46" i="3"/>
  <c r="H42" i="3"/>
  <c r="G48" i="3"/>
  <c r="V60" i="4"/>
  <c r="Z60" i="4"/>
  <c r="AD60" i="4"/>
  <c r="AD58" i="4"/>
  <c r="Z58" i="4"/>
  <c r="V58" i="4"/>
  <c r="V44" i="4"/>
  <c r="AD44" i="4"/>
  <c r="Z44" i="4"/>
  <c r="V66" i="4"/>
  <c r="Z66" i="4"/>
  <c r="AD66" i="4"/>
  <c r="V40" i="4"/>
  <c r="Z40" i="4"/>
  <c r="AD40" i="4"/>
  <c r="V38" i="4"/>
  <c r="AD38" i="4"/>
  <c r="Z38" i="4"/>
  <c r="J76" i="5"/>
  <c r="K70" i="5"/>
  <c r="AD78" i="6"/>
  <c r="V78" i="6"/>
  <c r="Z78" i="6"/>
  <c r="V63" i="6"/>
  <c r="AD63" i="6"/>
  <c r="Z63" i="6"/>
  <c r="V36" i="6"/>
  <c r="AD36" i="6"/>
  <c r="Z36" i="6"/>
  <c r="AD69" i="6"/>
  <c r="V69" i="6"/>
  <c r="Z69" i="6"/>
  <c r="AD78" i="8"/>
  <c r="V78" i="8"/>
  <c r="Z78" i="8"/>
  <c r="V46" i="4"/>
  <c r="Z46" i="4"/>
  <c r="AD46" i="4"/>
  <c r="V27" i="4"/>
  <c r="Z27" i="4"/>
  <c r="AD27" i="4"/>
  <c r="H105" i="7"/>
  <c r="G111" i="7"/>
  <c r="G109" i="7"/>
  <c r="H140" i="7"/>
  <c r="G146" i="7"/>
  <c r="G144" i="7"/>
  <c r="V32" i="6"/>
  <c r="Z32" i="6"/>
  <c r="AD32" i="6"/>
  <c r="V48" i="6"/>
  <c r="AD48" i="6"/>
  <c r="Z48" i="6"/>
  <c r="V73" i="6"/>
  <c r="AD73" i="6"/>
  <c r="Z73" i="6"/>
  <c r="H48" i="10"/>
  <c r="I42" i="10"/>
  <c r="H46" i="10"/>
  <c r="H231" i="5"/>
  <c r="G237" i="5"/>
  <c r="G235" i="5"/>
  <c r="AD53" i="8"/>
  <c r="V53" i="8"/>
  <c r="Z53" i="8"/>
  <c r="V55" i="8"/>
  <c r="AD55" i="8"/>
  <c r="Z55" i="8"/>
  <c r="AD45" i="8"/>
  <c r="Z45" i="8"/>
  <c r="V45" i="8"/>
  <c r="V22" i="8"/>
  <c r="AD22" i="8"/>
  <c r="Z22" i="8"/>
  <c r="Z44" i="8"/>
  <c r="AD44" i="8"/>
  <c r="V44" i="8"/>
  <c r="AD12" i="8"/>
  <c r="V12" i="8"/>
  <c r="Z12" i="8"/>
  <c r="I182" i="5"/>
  <c r="H188" i="5"/>
  <c r="V48" i="4"/>
  <c r="Z48" i="4"/>
  <c r="AD48" i="4"/>
  <c r="AD32" i="4"/>
  <c r="V32" i="4"/>
  <c r="Z32" i="4"/>
  <c r="V54" i="4"/>
  <c r="AD54" i="4"/>
  <c r="Z54" i="4"/>
  <c r="Z22" i="4"/>
  <c r="V22" i="4"/>
  <c r="AD22" i="4"/>
  <c r="H105" i="5"/>
  <c r="G111" i="5"/>
  <c r="G109" i="5"/>
  <c r="J16" i="8"/>
  <c r="J14" i="8"/>
  <c r="Z49" i="6"/>
  <c r="V49" i="6"/>
  <c r="AD49" i="6"/>
  <c r="V14" i="6"/>
  <c r="Z14" i="6"/>
  <c r="AD14" i="6"/>
  <c r="V51" i="6"/>
  <c r="AD51" i="6"/>
  <c r="Z51" i="6"/>
  <c r="AD21" i="6"/>
  <c r="V21" i="6"/>
  <c r="Z21" i="6"/>
  <c r="V30" i="6"/>
  <c r="AD30" i="6"/>
  <c r="Z30" i="6"/>
  <c r="V70" i="6"/>
  <c r="AD70" i="6"/>
  <c r="Z70" i="6"/>
  <c r="AD15" i="6"/>
  <c r="V15" i="6"/>
  <c r="Z15" i="6"/>
  <c r="AD82" i="8"/>
  <c r="V82" i="8"/>
  <c r="Z82" i="8"/>
  <c r="AD14" i="8"/>
  <c r="V14" i="8"/>
  <c r="Z14" i="8"/>
  <c r="AD49" i="8"/>
  <c r="V49" i="8"/>
  <c r="Z49" i="8"/>
  <c r="AD43" i="8"/>
  <c r="V43" i="8"/>
  <c r="Z43" i="8"/>
  <c r="Z66" i="8"/>
  <c r="V66" i="8"/>
  <c r="AD66" i="8"/>
  <c r="V42" i="8"/>
  <c r="AD42" i="8"/>
  <c r="Z42" i="8"/>
  <c r="H55" i="10"/>
  <c r="I49" i="10"/>
  <c r="H53" i="10"/>
  <c r="V36" i="4"/>
  <c r="Z36" i="4"/>
  <c r="AD36" i="4"/>
  <c r="V34" i="4"/>
  <c r="AD34" i="4"/>
  <c r="Z34" i="4"/>
  <c r="V20" i="4"/>
  <c r="Z20" i="4"/>
  <c r="AD20" i="4"/>
  <c r="V42" i="4"/>
  <c r="Z42" i="4"/>
  <c r="AD42" i="4"/>
  <c r="AD14" i="4"/>
  <c r="V14" i="4"/>
  <c r="Z14" i="4"/>
  <c r="AD23" i="4"/>
  <c r="V23" i="4"/>
  <c r="Z23" i="4"/>
  <c r="G118" i="5"/>
  <c r="H112" i="5"/>
  <c r="G116" i="5"/>
  <c r="I189" i="5"/>
  <c r="H195" i="5"/>
  <c r="AD73" i="8"/>
  <c r="V73" i="8"/>
  <c r="Z73" i="8"/>
  <c r="AD85" i="8"/>
  <c r="V85" i="8"/>
  <c r="Z85" i="8"/>
  <c r="V81" i="8"/>
  <c r="AD81" i="8"/>
  <c r="Z81" i="8"/>
  <c r="AD41" i="8"/>
  <c r="V41" i="8"/>
  <c r="Z41" i="8"/>
  <c r="V64" i="8"/>
  <c r="AD64" i="8"/>
  <c r="Z64" i="8"/>
  <c r="V40" i="8"/>
  <c r="Z40" i="8"/>
  <c r="AD40" i="8"/>
  <c r="K47" i="9"/>
  <c r="AG47" i="9" s="1"/>
  <c r="AI47" i="9" s="1"/>
  <c r="G167" i="7"/>
  <c r="H161" i="7"/>
  <c r="G165" i="7"/>
  <c r="AD79" i="4"/>
  <c r="V79" i="4"/>
  <c r="Z79" i="4"/>
  <c r="Z18" i="4"/>
  <c r="V18" i="4"/>
  <c r="AD18" i="4"/>
  <c r="V87" i="4"/>
  <c r="Z87" i="4"/>
  <c r="AD87" i="4"/>
  <c r="V16" i="4"/>
  <c r="AD16" i="4"/>
  <c r="Z16" i="4"/>
  <c r="V83" i="4"/>
  <c r="Z83" i="4"/>
  <c r="AD83" i="4"/>
  <c r="Z81" i="4"/>
  <c r="V81" i="4"/>
  <c r="AD81" i="4"/>
  <c r="AD21" i="4"/>
  <c r="V21" i="4"/>
  <c r="Z21" i="4"/>
  <c r="H245" i="5"/>
  <c r="G251" i="5"/>
  <c r="AD72" i="6"/>
  <c r="V72" i="6"/>
  <c r="Z72" i="6"/>
  <c r="V83" i="6"/>
  <c r="Z83" i="6"/>
  <c r="AD83" i="6"/>
  <c r="V22" i="6"/>
  <c r="AD22" i="6"/>
  <c r="Z22" i="6"/>
  <c r="AD16" i="6"/>
  <c r="V16" i="6"/>
  <c r="Z16" i="6"/>
  <c r="Z61" i="6"/>
  <c r="AD61" i="6"/>
  <c r="V61" i="6"/>
  <c r="AD87" i="6"/>
  <c r="V87" i="6"/>
  <c r="Z87" i="6"/>
  <c r="AD74" i="6"/>
  <c r="V74" i="6"/>
  <c r="Z74" i="6"/>
  <c r="AD19" i="6"/>
  <c r="Z19" i="6"/>
  <c r="V19" i="6"/>
  <c r="V52" i="6"/>
  <c r="AD52" i="6"/>
  <c r="Z52" i="6"/>
  <c r="AD12" i="6"/>
  <c r="Z12" i="6"/>
  <c r="V12" i="6"/>
  <c r="G216" i="7"/>
  <c r="H210" i="7"/>
  <c r="V89" i="8"/>
  <c r="AD89" i="8"/>
  <c r="Z89" i="8"/>
  <c r="AD51" i="8"/>
  <c r="V51" i="8"/>
  <c r="Z51" i="8"/>
  <c r="Z69" i="8"/>
  <c r="AD69" i="8"/>
  <c r="V69" i="8"/>
  <c r="AD39" i="8"/>
  <c r="V39" i="8"/>
  <c r="Z39" i="8"/>
  <c r="AD62" i="8"/>
  <c r="V62" i="8"/>
  <c r="Z62" i="8"/>
  <c r="V38" i="8"/>
  <c r="AD38" i="8"/>
  <c r="Z38" i="8"/>
  <c r="H238" i="5"/>
  <c r="G244" i="5"/>
  <c r="H35" i="5"/>
  <c r="G41" i="5"/>
  <c r="I77" i="7"/>
  <c r="H83" i="7"/>
  <c r="H81" i="7"/>
  <c r="AD67" i="4"/>
  <c r="Z67" i="4"/>
  <c r="V67" i="4"/>
  <c r="AD12" i="4"/>
  <c r="V12" i="4"/>
  <c r="Z12" i="4"/>
  <c r="AD75" i="4"/>
  <c r="V75" i="4"/>
  <c r="Z75" i="4"/>
  <c r="V85" i="4"/>
  <c r="AD85" i="4"/>
  <c r="Z85" i="4"/>
  <c r="V71" i="4"/>
  <c r="Z71" i="4"/>
  <c r="AD71" i="4"/>
  <c r="V69" i="4"/>
  <c r="Z69" i="4"/>
  <c r="AD69" i="4"/>
  <c r="V19" i="4"/>
  <c r="AD19" i="4"/>
  <c r="Z19" i="4"/>
  <c r="I161" i="5"/>
  <c r="H167" i="5"/>
  <c r="Z46" i="6"/>
  <c r="AD46" i="6"/>
  <c r="V46" i="6"/>
  <c r="H49" i="3"/>
  <c r="G53" i="3"/>
  <c r="G55" i="3"/>
  <c r="I210" i="5"/>
  <c r="H216" i="5"/>
  <c r="J231" i="7"/>
  <c r="I237" i="7"/>
  <c r="I56" i="3"/>
  <c r="H60" i="3"/>
  <c r="H62" i="3"/>
  <c r="V54" i="6"/>
  <c r="Z54" i="6"/>
  <c r="AD54" i="6"/>
  <c r="V68" i="6"/>
  <c r="AD68" i="6"/>
  <c r="Z68" i="6"/>
  <c r="AD58" i="6"/>
  <c r="V58" i="6"/>
  <c r="Z58" i="6"/>
  <c r="Z55" i="6"/>
  <c r="AD55" i="6"/>
  <c r="V55" i="6"/>
  <c r="V13" i="6"/>
  <c r="Z13" i="6"/>
  <c r="AD13" i="6"/>
  <c r="V18" i="6"/>
  <c r="Z18" i="6"/>
  <c r="AD18" i="6"/>
  <c r="V80" i="8"/>
  <c r="AD80" i="8"/>
  <c r="Z80" i="8"/>
  <c r="V15" i="8"/>
  <c r="AD15" i="8"/>
  <c r="Z15" i="8"/>
  <c r="V88" i="8"/>
  <c r="AD88" i="8"/>
  <c r="Z88" i="8"/>
  <c r="V37" i="8"/>
  <c r="AD37" i="8"/>
  <c r="Z37" i="8"/>
  <c r="Z60" i="8"/>
  <c r="AD60" i="8"/>
  <c r="V60" i="8"/>
  <c r="Z36" i="8"/>
  <c r="V36" i="8"/>
  <c r="AD36" i="8"/>
  <c r="AD55" i="4"/>
  <c r="V55" i="4"/>
  <c r="Z55" i="4"/>
  <c r="V89" i="4"/>
  <c r="Z89" i="4"/>
  <c r="AD89" i="4"/>
  <c r="V63" i="4"/>
  <c r="Z63" i="4"/>
  <c r="AD63" i="4"/>
  <c r="AD73" i="4"/>
  <c r="V73" i="4"/>
  <c r="Z73" i="4"/>
  <c r="V59" i="4"/>
  <c r="Z59" i="4"/>
  <c r="AD59" i="4"/>
  <c r="V57" i="4"/>
  <c r="Z57" i="4"/>
  <c r="AD57" i="4"/>
  <c r="AD17" i="4"/>
  <c r="V17" i="4"/>
  <c r="Z17" i="4"/>
  <c r="G76" i="3"/>
  <c r="H182" i="7"/>
  <c r="G188" i="7"/>
  <c r="K39" i="10"/>
  <c r="H112" i="7"/>
  <c r="G118" i="7"/>
  <c r="V64" i="6"/>
  <c r="AD64" i="6"/>
  <c r="Z64" i="6"/>
  <c r="K32" i="10"/>
  <c r="H132" i="5"/>
  <c r="I126" i="5"/>
  <c r="J147" i="5"/>
  <c r="I153" i="5"/>
  <c r="I151" i="5"/>
  <c r="H195" i="7"/>
  <c r="I189" i="7"/>
  <c r="Z41" i="6"/>
  <c r="V41" i="6"/>
  <c r="AD41" i="6"/>
  <c r="V65" i="6"/>
  <c r="Z65" i="6"/>
  <c r="AD65" i="6"/>
  <c r="AD40" i="6"/>
  <c r="V40" i="6"/>
  <c r="Z40" i="6"/>
  <c r="V27" i="6"/>
  <c r="AD27" i="6"/>
  <c r="Z27" i="6"/>
  <c r="AD67" i="6"/>
  <c r="Z67" i="6"/>
  <c r="V67" i="6"/>
  <c r="V88" i="6"/>
  <c r="Z88" i="6"/>
  <c r="AD88" i="6"/>
  <c r="K18" i="10"/>
  <c r="G202" i="7"/>
  <c r="H196" i="7"/>
  <c r="G200" i="7"/>
  <c r="H224" i="7"/>
  <c r="G228" i="7"/>
  <c r="G230" i="7"/>
  <c r="I21" i="7"/>
  <c r="H27" i="7"/>
  <c r="AD68" i="8"/>
  <c r="V68" i="8"/>
  <c r="Z68" i="8"/>
  <c r="V70" i="8"/>
  <c r="Z70" i="8"/>
  <c r="AD70" i="8"/>
  <c r="V76" i="8"/>
  <c r="Z76" i="8"/>
  <c r="AD76" i="8"/>
  <c r="AD35" i="8"/>
  <c r="V35" i="8"/>
  <c r="Z35" i="8"/>
  <c r="AD58" i="8"/>
  <c r="V58" i="8"/>
  <c r="Z58" i="8"/>
  <c r="V34" i="8"/>
  <c r="AD34" i="8"/>
  <c r="Z34" i="8"/>
  <c r="G125" i="5"/>
  <c r="H119" i="5"/>
  <c r="G123" i="5"/>
  <c r="I49" i="7"/>
  <c r="H55" i="7"/>
  <c r="Z43" i="4"/>
  <c r="AD43" i="4"/>
  <c r="V43" i="4"/>
  <c r="V77" i="4"/>
  <c r="Z77" i="4"/>
  <c r="AD77" i="4"/>
  <c r="V51" i="4"/>
  <c r="Z51" i="4"/>
  <c r="AD51" i="4"/>
  <c r="V61" i="4"/>
  <c r="AD61" i="4"/>
  <c r="Z61" i="4"/>
  <c r="V47" i="4"/>
  <c r="Z47" i="4"/>
  <c r="AD47" i="4"/>
  <c r="V45" i="4"/>
  <c r="AD45" i="4"/>
  <c r="Z45" i="4"/>
  <c r="V15" i="4"/>
  <c r="AD15" i="4"/>
  <c r="Z15" i="4"/>
  <c r="G85" i="3"/>
  <c r="H238" i="7"/>
  <c r="G244" i="7"/>
  <c r="G242" i="7"/>
  <c r="V25" i="6"/>
  <c r="Z25" i="6"/>
  <c r="AD25" i="6"/>
  <c r="V20" i="6"/>
  <c r="Z20" i="6"/>
  <c r="AD20" i="6"/>
  <c r="K224" i="5"/>
  <c r="J230" i="5"/>
  <c r="I196" i="5"/>
  <c r="H202" i="5"/>
  <c r="H200" i="5"/>
  <c r="Z35" i="6"/>
  <c r="V35" i="6"/>
  <c r="AD35" i="6"/>
  <c r="Z66" i="6"/>
  <c r="V66" i="6"/>
  <c r="AD66" i="6"/>
  <c r="AD34" i="6"/>
  <c r="V34" i="6"/>
  <c r="Z34" i="6"/>
  <c r="Z89" i="6"/>
  <c r="V89" i="6"/>
  <c r="AD89" i="6"/>
  <c r="AD57" i="6"/>
  <c r="V57" i="6"/>
  <c r="Z57" i="6"/>
  <c r="V85" i="6"/>
  <c r="Z85" i="6"/>
  <c r="AD85" i="6"/>
  <c r="I203" i="5"/>
  <c r="H209" i="5"/>
  <c r="AD65" i="8"/>
  <c r="Z65" i="8"/>
  <c r="V65" i="8"/>
  <c r="V77" i="8"/>
  <c r="Z77" i="8"/>
  <c r="AD77" i="8"/>
  <c r="Z19" i="8"/>
  <c r="V19" i="8"/>
  <c r="AD19" i="8"/>
  <c r="AD33" i="8"/>
  <c r="V33" i="8"/>
  <c r="Z33" i="8"/>
  <c r="V56" i="8"/>
  <c r="Z56" i="8"/>
  <c r="AD56" i="8"/>
  <c r="V32" i="8"/>
  <c r="AD32" i="8"/>
  <c r="Z32" i="8"/>
  <c r="H217" i="5"/>
  <c r="G223" i="5"/>
  <c r="AD31" i="4"/>
  <c r="V31" i="4"/>
  <c r="Z31" i="4"/>
  <c r="Z65" i="4"/>
  <c r="V65" i="4"/>
  <c r="AD65" i="4"/>
  <c r="V39" i="4"/>
  <c r="AD39" i="4"/>
  <c r="Z39" i="4"/>
  <c r="AD49" i="4"/>
  <c r="V49" i="4"/>
  <c r="Z49" i="4"/>
  <c r="V35" i="4"/>
  <c r="Z35" i="4"/>
  <c r="AD35" i="4"/>
  <c r="AD33" i="4"/>
  <c r="Z33" i="4"/>
  <c r="V33" i="4"/>
  <c r="AD13" i="4"/>
  <c r="V13" i="4"/>
  <c r="Z13" i="4"/>
  <c r="G64" i="3"/>
  <c r="G70" i="3" s="1"/>
  <c r="G90" i="7"/>
  <c r="G88" i="7"/>
  <c r="H84" i="7"/>
  <c r="H18" i="3"/>
  <c r="H20" i="3"/>
  <c r="I14" i="3"/>
  <c r="Z86" i="6"/>
  <c r="V86" i="6"/>
  <c r="AD86" i="6"/>
  <c r="V84" i="8"/>
  <c r="Z84" i="8"/>
  <c r="AD84" i="8"/>
  <c r="AD59" i="8"/>
  <c r="V59" i="8"/>
  <c r="Z59" i="8"/>
  <c r="AD13" i="8"/>
  <c r="Z13" i="8"/>
  <c r="V13" i="8"/>
  <c r="AD21" i="8"/>
  <c r="V21" i="8"/>
  <c r="Z21" i="8"/>
  <c r="V31" i="8"/>
  <c r="AD31" i="8"/>
  <c r="Z31" i="8"/>
  <c r="V54" i="8"/>
  <c r="Z54" i="8"/>
  <c r="AD54" i="8"/>
  <c r="V30" i="8"/>
  <c r="AD30" i="8"/>
  <c r="Z30" i="8"/>
  <c r="V25" i="4"/>
  <c r="Z25" i="4"/>
  <c r="AD25" i="4"/>
  <c r="Z53" i="4"/>
  <c r="V53" i="4"/>
  <c r="AD53" i="4"/>
  <c r="AD28" i="4"/>
  <c r="Z28" i="4"/>
  <c r="V28" i="4"/>
  <c r="AD37" i="4"/>
  <c r="V37" i="4"/>
  <c r="Z37" i="4"/>
  <c r="V88" i="4"/>
  <c r="Z88" i="4"/>
  <c r="AD88" i="4"/>
  <c r="Z86" i="4"/>
  <c r="V86" i="4"/>
  <c r="AD86" i="4"/>
  <c r="Z26" i="4"/>
  <c r="V26" i="4"/>
  <c r="AD26" i="4"/>
  <c r="H126" i="7"/>
  <c r="G132" i="7"/>
  <c r="G139" i="7"/>
  <c r="G137" i="7"/>
  <c r="H133" i="7"/>
  <c r="V56" i="6"/>
  <c r="Z56" i="6"/>
  <c r="AD56" i="6"/>
  <c r="V37" i="6"/>
  <c r="Z37" i="6"/>
  <c r="AD37" i="6"/>
  <c r="V80" i="6"/>
  <c r="AD80" i="6"/>
  <c r="Z80" i="6"/>
  <c r="V62" i="6"/>
  <c r="Z62" i="6"/>
  <c r="AD62" i="6"/>
  <c r="AD33" i="6"/>
  <c r="V33" i="6"/>
  <c r="Z33" i="6"/>
  <c r="V59" i="6"/>
  <c r="Z59" i="6"/>
  <c r="AD59" i="6"/>
  <c r="J13" i="8"/>
  <c r="H252" i="7"/>
  <c r="G258" i="7"/>
  <c r="Z83" i="8"/>
  <c r="AD83" i="8"/>
  <c r="V83" i="8"/>
  <c r="V72" i="8"/>
  <c r="AD72" i="8"/>
  <c r="Z72" i="8"/>
  <c r="AD67" i="8"/>
  <c r="V67" i="8"/>
  <c r="Z67" i="8"/>
  <c r="Z20" i="8"/>
  <c r="V20" i="8"/>
  <c r="AD20" i="8"/>
  <c r="V29" i="8"/>
  <c r="AD29" i="8"/>
  <c r="Z29" i="8"/>
  <c r="AD52" i="8"/>
  <c r="V52" i="8"/>
  <c r="Z52" i="8"/>
  <c r="V28" i="8"/>
  <c r="AD28" i="8"/>
  <c r="Z28" i="8"/>
  <c r="V24" i="4"/>
  <c r="Z24" i="4"/>
  <c r="AD24" i="4"/>
  <c r="Z41" i="4"/>
  <c r="V41" i="4"/>
  <c r="AD41" i="4"/>
  <c r="V80" i="4"/>
  <c r="Z80" i="4"/>
  <c r="AD80" i="4"/>
  <c r="Z30" i="4"/>
  <c r="V30" i="4"/>
  <c r="AD30" i="4"/>
  <c r="V76" i="4"/>
  <c r="Z76" i="4"/>
  <c r="AD76" i="4"/>
  <c r="V74" i="4"/>
  <c r="AD74" i="4"/>
  <c r="Z74" i="4"/>
  <c r="H90" i="5"/>
  <c r="H88" i="5"/>
  <c r="I84" i="5"/>
  <c r="H48" i="5"/>
  <c r="I42" i="5"/>
  <c r="Z29" i="6"/>
  <c r="V29" i="6"/>
  <c r="AD29" i="6"/>
  <c r="V43" i="6"/>
  <c r="Z43" i="6"/>
  <c r="AD43" i="6"/>
  <c r="AD28" i="6"/>
  <c r="V28" i="6"/>
  <c r="Z28" i="6"/>
  <c r="AD39" i="6"/>
  <c r="V39" i="6"/>
  <c r="Z39" i="6"/>
  <c r="H217" i="7"/>
  <c r="G223" i="7"/>
  <c r="G221" i="7"/>
  <c r="G20" i="5"/>
  <c r="H14" i="5"/>
  <c r="G260" i="5"/>
  <c r="G266" i="5" s="1"/>
  <c r="G272" i="5"/>
  <c r="G281" i="5"/>
  <c r="V53" i="6"/>
  <c r="Z53" i="6"/>
  <c r="AD53" i="6"/>
  <c r="V31" i="6"/>
  <c r="AD31" i="6"/>
  <c r="Z31" i="6"/>
  <c r="V77" i="6"/>
  <c r="AD77" i="6"/>
  <c r="Z77" i="6"/>
  <c r="Z50" i="6"/>
  <c r="V50" i="6"/>
  <c r="AD50" i="6"/>
  <c r="V26" i="6"/>
  <c r="AD26" i="6"/>
  <c r="Z26" i="6"/>
  <c r="V47" i="6"/>
  <c r="Z47" i="6"/>
  <c r="AD47" i="6"/>
  <c r="H62" i="10"/>
  <c r="I56" i="10"/>
  <c r="H60" i="10"/>
  <c r="H91" i="5"/>
  <c r="G97" i="5"/>
  <c r="AD57" i="8"/>
  <c r="Z57" i="8"/>
  <c r="V57" i="8"/>
  <c r="Z71" i="8"/>
  <c r="AD71" i="8"/>
  <c r="V71" i="8"/>
  <c r="V86" i="8"/>
  <c r="Z86" i="8"/>
  <c r="AD86" i="8"/>
  <c r="AD18" i="8"/>
  <c r="V18" i="8"/>
  <c r="Z18" i="8"/>
  <c r="V27" i="8"/>
  <c r="AD27" i="8"/>
  <c r="Z27" i="8"/>
  <c r="V50" i="8"/>
  <c r="AD50" i="8"/>
  <c r="Z50" i="8"/>
  <c r="V26" i="8"/>
  <c r="Z26" i="8"/>
  <c r="AD26" i="8"/>
  <c r="H203" i="7"/>
  <c r="G209" i="7"/>
  <c r="H252" i="5"/>
  <c r="G258" i="5"/>
  <c r="J15" i="8"/>
  <c r="H154" i="7"/>
  <c r="G158" i="7"/>
  <c r="G160" i="7"/>
  <c r="AD84" i="4"/>
  <c r="V84" i="4"/>
  <c r="Z84" i="4"/>
  <c r="Z82" i="4"/>
  <c r="V82" i="4"/>
  <c r="AD82" i="4"/>
  <c r="V68" i="4"/>
  <c r="AD68" i="4"/>
  <c r="Z68" i="4"/>
  <c r="Z29" i="4"/>
  <c r="AD29" i="4"/>
  <c r="V29" i="4"/>
  <c r="V64" i="4"/>
  <c r="AD64" i="4"/>
  <c r="Z64" i="4"/>
  <c r="AD62" i="4"/>
  <c r="V62" i="4"/>
  <c r="Z62" i="4"/>
  <c r="H147" i="7"/>
  <c r="G153" i="7"/>
  <c r="G151" i="7"/>
  <c r="H27" i="10"/>
  <c r="I21" i="10"/>
  <c r="H25" i="10"/>
  <c r="V75" i="8"/>
  <c r="Z75" i="8"/>
  <c r="AD75" i="8"/>
  <c r="V87" i="8"/>
  <c r="Z87" i="8"/>
  <c r="AD87" i="8"/>
  <c r="AD74" i="8"/>
  <c r="V74" i="8"/>
  <c r="Z74" i="8"/>
  <c r="AD16" i="8"/>
  <c r="V16" i="8"/>
  <c r="Z16" i="8"/>
  <c r="AD25" i="8"/>
  <c r="Z25" i="8"/>
  <c r="V25" i="8"/>
  <c r="V48" i="8"/>
  <c r="Z48" i="8"/>
  <c r="AD48" i="8"/>
  <c r="V24" i="8"/>
  <c r="AD24" i="8"/>
  <c r="Z24" i="8"/>
  <c r="H83" i="5"/>
  <c r="I77" i="5"/>
  <c r="H81" i="5"/>
  <c r="H179" i="5"/>
  <c r="H181" i="5"/>
  <c r="I175" i="5"/>
  <c r="H48" i="7"/>
  <c r="I42" i="7"/>
  <c r="I174" i="5"/>
  <c r="J168" i="5"/>
  <c r="V72" i="4"/>
  <c r="AD72" i="4"/>
  <c r="Z72" i="4"/>
  <c r="Z70" i="4"/>
  <c r="V70" i="4"/>
  <c r="AD70" i="4"/>
  <c r="AD56" i="4"/>
  <c r="V56" i="4"/>
  <c r="Z56" i="4"/>
  <c r="AD78" i="4"/>
  <c r="V78" i="4"/>
  <c r="Z78" i="4"/>
  <c r="V52" i="4"/>
  <c r="Z52" i="4"/>
  <c r="AD52" i="4"/>
  <c r="V50" i="4"/>
  <c r="AD50" i="4"/>
  <c r="Z50" i="4"/>
  <c r="G16" i="4" l="1"/>
  <c r="K83" i="9"/>
  <c r="AG83" i="9" s="1"/>
  <c r="AI83" i="9" s="1"/>
  <c r="AL70" i="3"/>
  <c r="I140" i="5"/>
  <c r="I146" i="5" s="1"/>
  <c r="I46" i="9"/>
  <c r="I88" i="9"/>
  <c r="I86" i="9"/>
  <c r="I85" i="9"/>
  <c r="I89" i="9"/>
  <c r="I48" i="9"/>
  <c r="I62" i="9"/>
  <c r="I52" i="9"/>
  <c r="I60" i="9"/>
  <c r="I51" i="9"/>
  <c r="I87" i="9"/>
  <c r="I49" i="9"/>
  <c r="I61" i="9"/>
  <c r="I53" i="9"/>
  <c r="I83" i="9"/>
  <c r="I56" i="9"/>
  <c r="I69" i="9"/>
  <c r="I47" i="9"/>
  <c r="AM70" i="10"/>
  <c r="I50" i="9"/>
  <c r="I55" i="9"/>
  <c r="I66" i="9"/>
  <c r="I81" i="9"/>
  <c r="I64" i="9"/>
  <c r="I54" i="9"/>
  <c r="I57" i="9"/>
  <c r="I84" i="9"/>
  <c r="I71" i="9"/>
  <c r="I82" i="9"/>
  <c r="I59" i="9"/>
  <c r="I77" i="9"/>
  <c r="BQ70" i="10"/>
  <c r="I78" i="9"/>
  <c r="BR70" i="10"/>
  <c r="I58" i="9"/>
  <c r="I72" i="9"/>
  <c r="BO70" i="10"/>
  <c r="I75" i="9"/>
  <c r="I68" i="9"/>
  <c r="I76" i="9"/>
  <c r="BP70" i="10"/>
  <c r="I80" i="9"/>
  <c r="I67" i="9"/>
  <c r="I63" i="9"/>
  <c r="I73" i="9"/>
  <c r="I70" i="9"/>
  <c r="I74" i="9"/>
  <c r="I79" i="9"/>
  <c r="I65" i="9"/>
  <c r="I45" i="9"/>
  <c r="AK70" i="10"/>
  <c r="I74" i="4"/>
  <c r="I53" i="4"/>
  <c r="I64" i="4"/>
  <c r="I55" i="4"/>
  <c r="I58" i="4"/>
  <c r="I84" i="4"/>
  <c r="I60" i="4"/>
  <c r="I51" i="4"/>
  <c r="I47" i="4"/>
  <c r="AF47" i="4" s="1"/>
  <c r="AM70" i="3"/>
  <c r="I83" i="4"/>
  <c r="I50" i="4"/>
  <c r="I86" i="4"/>
  <c r="I77" i="4"/>
  <c r="BQ70" i="3"/>
  <c r="I88" i="4"/>
  <c r="I80" i="4"/>
  <c r="I70" i="4"/>
  <c r="I73" i="4"/>
  <c r="I49" i="4"/>
  <c r="I76" i="4"/>
  <c r="BP70" i="3"/>
  <c r="I48" i="4"/>
  <c r="I61" i="4"/>
  <c r="I79" i="4"/>
  <c r="I68" i="4"/>
  <c r="I59" i="4"/>
  <c r="I57" i="4"/>
  <c r="I66" i="4"/>
  <c r="I62" i="4"/>
  <c r="I63" i="4"/>
  <c r="I89" i="4"/>
  <c r="I54" i="4"/>
  <c r="I72" i="4"/>
  <c r="I82" i="4"/>
  <c r="I75" i="4"/>
  <c r="BO70" i="3"/>
  <c r="I78" i="4"/>
  <c r="BR70" i="3"/>
  <c r="I87" i="4"/>
  <c r="I67" i="4"/>
  <c r="I69" i="4"/>
  <c r="I52" i="4"/>
  <c r="I56" i="4"/>
  <c r="I85" i="4"/>
  <c r="I71" i="4"/>
  <c r="I81" i="4"/>
  <c r="I65" i="4"/>
  <c r="I45" i="4"/>
  <c r="AF46" i="4" s="1"/>
  <c r="AK70" i="3"/>
  <c r="J46" i="4"/>
  <c r="AL266" i="5"/>
  <c r="H123" i="7"/>
  <c r="H125" i="7"/>
  <c r="I59" i="6"/>
  <c r="I85" i="6"/>
  <c r="I62" i="6"/>
  <c r="I89" i="6"/>
  <c r="I53" i="6"/>
  <c r="I72" i="6"/>
  <c r="I80" i="6"/>
  <c r="I82" i="6"/>
  <c r="I67" i="6"/>
  <c r="I60" i="6"/>
  <c r="I75" i="6"/>
  <c r="BO266" i="5"/>
  <c r="I86" i="6"/>
  <c r="I61" i="6"/>
  <c r="I71" i="6"/>
  <c r="I74" i="6"/>
  <c r="I69" i="6"/>
  <c r="I66" i="6"/>
  <c r="I58" i="6"/>
  <c r="I78" i="6"/>
  <c r="BR266" i="5"/>
  <c r="I51" i="6"/>
  <c r="I55" i="6"/>
  <c r="I88" i="6"/>
  <c r="I76" i="6"/>
  <c r="BP266" i="5"/>
  <c r="I63" i="6"/>
  <c r="I52" i="6"/>
  <c r="I68" i="6"/>
  <c r="I47" i="6"/>
  <c r="AF47" i="6" s="1"/>
  <c r="AM266" i="5"/>
  <c r="I73" i="6"/>
  <c r="I83" i="6"/>
  <c r="I84" i="6"/>
  <c r="I81" i="6"/>
  <c r="I56" i="6"/>
  <c r="I70" i="6"/>
  <c r="I79" i="6"/>
  <c r="I64" i="6"/>
  <c r="I65" i="6"/>
  <c r="I54" i="6"/>
  <c r="I49" i="6"/>
  <c r="I48" i="6"/>
  <c r="I50" i="6"/>
  <c r="I77" i="6"/>
  <c r="BQ266" i="5"/>
  <c r="I87" i="6"/>
  <c r="I57" i="6"/>
  <c r="I45" i="6"/>
  <c r="AF46" i="6" s="1"/>
  <c r="AK266" i="5"/>
  <c r="J46" i="6"/>
  <c r="I50" i="8"/>
  <c r="I54" i="8"/>
  <c r="I79" i="8"/>
  <c r="I71" i="8"/>
  <c r="I56" i="8"/>
  <c r="I85" i="8"/>
  <c r="I84" i="8"/>
  <c r="I82" i="8"/>
  <c r="I62" i="8"/>
  <c r="I66" i="8"/>
  <c r="I87" i="8"/>
  <c r="I67" i="8"/>
  <c r="I47" i="8"/>
  <c r="AF47" i="8" s="1"/>
  <c r="AM266" i="7"/>
  <c r="BO266" i="7"/>
  <c r="I75" i="8"/>
  <c r="I53" i="8"/>
  <c r="I69" i="8"/>
  <c r="I63" i="8"/>
  <c r="I49" i="8"/>
  <c r="I60" i="8"/>
  <c r="BR266" i="7"/>
  <c r="I78" i="8"/>
  <c r="I73" i="8"/>
  <c r="I83" i="8"/>
  <c r="I57" i="8"/>
  <c r="I64" i="8"/>
  <c r="I80" i="8"/>
  <c r="I81" i="8"/>
  <c r="I58" i="8"/>
  <c r="I88" i="8"/>
  <c r="I86" i="8"/>
  <c r="I52" i="8"/>
  <c r="I55" i="8"/>
  <c r="I48" i="8"/>
  <c r="I89" i="8"/>
  <c r="I61" i="8"/>
  <c r="AL266" i="7"/>
  <c r="I59" i="8"/>
  <c r="I65" i="8"/>
  <c r="I68" i="8"/>
  <c r="I74" i="8"/>
  <c r="I72" i="8"/>
  <c r="I70" i="8"/>
  <c r="I77" i="8"/>
  <c r="BQ266" i="7"/>
  <c r="I51" i="8"/>
  <c r="I76" i="8"/>
  <c r="J76" i="8" s="1"/>
  <c r="BP266" i="7"/>
  <c r="I45" i="8"/>
  <c r="AF46" i="8" s="1"/>
  <c r="AK266" i="7"/>
  <c r="J46" i="8"/>
  <c r="K89" i="9"/>
  <c r="AG89" i="9" s="1"/>
  <c r="AI89" i="9" s="1"/>
  <c r="K85" i="9"/>
  <c r="AG85" i="9" s="1"/>
  <c r="AI85" i="9" s="1"/>
  <c r="K21" i="9"/>
  <c r="AG21" i="9" s="1"/>
  <c r="K54" i="9"/>
  <c r="AG54" i="9" s="1"/>
  <c r="AI54" i="9" s="1"/>
  <c r="K88" i="9"/>
  <c r="AG88" i="9" s="1"/>
  <c r="AI88" i="9" s="1"/>
  <c r="K31" i="9"/>
  <c r="AG31" i="9" s="1"/>
  <c r="AI31" i="9" s="1"/>
  <c r="K44" i="9"/>
  <c r="AG44" i="9" s="1"/>
  <c r="AI44" i="9" s="1"/>
  <c r="K62" i="9"/>
  <c r="AG62" i="9" s="1"/>
  <c r="AI62" i="9" s="1"/>
  <c r="K80" i="9"/>
  <c r="AG80" i="9" s="1"/>
  <c r="AI80" i="9" s="1"/>
  <c r="K46" i="9"/>
  <c r="AG46" i="9" s="1"/>
  <c r="AI46" i="9" s="1"/>
  <c r="K71" i="9"/>
  <c r="AG71" i="9" s="1"/>
  <c r="AI71" i="9" s="1"/>
  <c r="H41" i="7"/>
  <c r="H137" i="5"/>
  <c r="K53" i="9"/>
  <c r="AG53" i="9" s="1"/>
  <c r="AI53" i="9" s="1"/>
  <c r="H76" i="10"/>
  <c r="K45" i="9"/>
  <c r="AG45" i="9" s="1"/>
  <c r="K50" i="9"/>
  <c r="AG50" i="9" s="1"/>
  <c r="AI50" i="9" s="1"/>
  <c r="K64" i="9"/>
  <c r="AG64" i="9" s="1"/>
  <c r="AI64" i="9" s="1"/>
  <c r="K70" i="9"/>
  <c r="AG70" i="9" s="1"/>
  <c r="AI70" i="9" s="1"/>
  <c r="K24" i="9"/>
  <c r="AG24" i="9" s="1"/>
  <c r="AI24" i="9" s="1"/>
  <c r="K69" i="9"/>
  <c r="AG69" i="9" s="1"/>
  <c r="AI69" i="9" s="1"/>
  <c r="K68" i="9"/>
  <c r="AG68" i="9" s="1"/>
  <c r="AI68" i="9" s="1"/>
  <c r="K74" i="9"/>
  <c r="AG74" i="9" s="1"/>
  <c r="AI74" i="9" s="1"/>
  <c r="K23" i="9"/>
  <c r="AG23" i="9" s="1"/>
  <c r="AI23" i="9" s="1"/>
  <c r="K18" i="9"/>
  <c r="AG18" i="9" s="1"/>
  <c r="AI18" i="9" s="1"/>
  <c r="K63" i="9"/>
  <c r="AG63" i="9" s="1"/>
  <c r="AI63" i="9" s="1"/>
  <c r="K28" i="9"/>
  <c r="AG28" i="9" s="1"/>
  <c r="AI28" i="9" s="1"/>
  <c r="K29" i="9"/>
  <c r="AG29" i="9" s="1"/>
  <c r="AI29" i="9" s="1"/>
  <c r="K43" i="9"/>
  <c r="AG43" i="9" s="1"/>
  <c r="AI43" i="9" s="1"/>
  <c r="K51" i="9"/>
  <c r="AG51" i="9" s="1"/>
  <c r="AI51" i="9" s="1"/>
  <c r="H139" i="5"/>
  <c r="K25" i="9"/>
  <c r="AG25" i="9" s="1"/>
  <c r="AI25" i="9" s="1"/>
  <c r="K76" i="9"/>
  <c r="AG76" i="9" s="1"/>
  <c r="AI76" i="9" s="1"/>
  <c r="K26" i="9"/>
  <c r="AG26" i="9" s="1"/>
  <c r="AI26" i="9" s="1"/>
  <c r="I34" i="7"/>
  <c r="K32" i="9"/>
  <c r="AG32" i="9" s="1"/>
  <c r="AI32" i="9" s="1"/>
  <c r="K40" i="9"/>
  <c r="AG40" i="9" s="1"/>
  <c r="AI40" i="9" s="1"/>
  <c r="K37" i="9"/>
  <c r="AG37" i="9" s="1"/>
  <c r="AI37" i="9" s="1"/>
  <c r="K72" i="9"/>
  <c r="AG72" i="9" s="1"/>
  <c r="AI72" i="9" s="1"/>
  <c r="K36" i="9"/>
  <c r="AG36" i="9" s="1"/>
  <c r="AI36" i="9" s="1"/>
  <c r="K84" i="9"/>
  <c r="AG84" i="9" s="1"/>
  <c r="AI84" i="9" s="1"/>
  <c r="K75" i="9"/>
  <c r="AG75" i="9" s="1"/>
  <c r="AI75" i="9" s="1"/>
  <c r="K38" i="9"/>
  <c r="AG38" i="9" s="1"/>
  <c r="AI38" i="9" s="1"/>
  <c r="K67" i="9"/>
  <c r="AG67" i="9" s="1"/>
  <c r="AI67" i="9" s="1"/>
  <c r="K27" i="9"/>
  <c r="AG27" i="9" s="1"/>
  <c r="AI27" i="9" s="1"/>
  <c r="K87" i="9"/>
  <c r="AG87" i="9" s="1"/>
  <c r="AI87" i="9" s="1"/>
  <c r="K55" i="9"/>
  <c r="AG55" i="9" s="1"/>
  <c r="AI55" i="9" s="1"/>
  <c r="K86" i="9"/>
  <c r="AG86" i="9" s="1"/>
  <c r="AI86" i="9" s="1"/>
  <c r="K82" i="9"/>
  <c r="AG82" i="9" s="1"/>
  <c r="AI82" i="9" s="1"/>
  <c r="K39" i="9"/>
  <c r="AG39" i="9" s="1"/>
  <c r="AI39" i="9" s="1"/>
  <c r="K14" i="9"/>
  <c r="AG14" i="9" s="1"/>
  <c r="AI14" i="9" s="1"/>
  <c r="K57" i="9"/>
  <c r="AG57" i="9" s="1"/>
  <c r="AI57" i="9" s="1"/>
  <c r="K58" i="9"/>
  <c r="AG58" i="9" s="1"/>
  <c r="AI58" i="9" s="1"/>
  <c r="K20" i="9"/>
  <c r="AG20" i="9" s="1"/>
  <c r="AI20" i="9" s="1"/>
  <c r="K66" i="9"/>
  <c r="AG66" i="9" s="1"/>
  <c r="AI66" i="9" s="1"/>
  <c r="K16" i="9"/>
  <c r="AG16" i="9" s="1"/>
  <c r="AI16" i="9" s="1"/>
  <c r="K73" i="9"/>
  <c r="AG73" i="9" s="1"/>
  <c r="AI73" i="9" s="1"/>
  <c r="K13" i="9"/>
  <c r="AG13" i="9" s="1"/>
  <c r="AI13" i="9" s="1"/>
  <c r="I56" i="7"/>
  <c r="H62" i="7"/>
  <c r="K15" i="9"/>
  <c r="AG15" i="9" s="1"/>
  <c r="AI15" i="9" s="1"/>
  <c r="K19" i="9"/>
  <c r="AG19" i="9" s="1"/>
  <c r="AI19" i="9" s="1"/>
  <c r="K41" i="9"/>
  <c r="AG41" i="9" s="1"/>
  <c r="AI41" i="9" s="1"/>
  <c r="K81" i="9"/>
  <c r="AG81" i="9" s="1"/>
  <c r="AI81" i="9" s="1"/>
  <c r="K48" i="9"/>
  <c r="AG48" i="9" s="1"/>
  <c r="AI48" i="9" s="1"/>
  <c r="K52" i="9"/>
  <c r="AG52" i="9" s="1"/>
  <c r="AI52" i="9" s="1"/>
  <c r="K12" i="9"/>
  <c r="G17" i="9" s="1"/>
  <c r="K42" i="9"/>
  <c r="AG42" i="9" s="1"/>
  <c r="AI42" i="9" s="1"/>
  <c r="K78" i="9"/>
  <c r="AG78" i="9" s="1"/>
  <c r="K33" i="9"/>
  <c r="AG33" i="9" s="1"/>
  <c r="AI33" i="9" s="1"/>
  <c r="K65" i="9"/>
  <c r="AG65" i="9" s="1"/>
  <c r="AI65" i="9" s="1"/>
  <c r="K17" i="9"/>
  <c r="AG17" i="9" s="1"/>
  <c r="AI17" i="9" s="1"/>
  <c r="K60" i="9"/>
  <c r="AG60" i="9" s="1"/>
  <c r="AI60" i="9" s="1"/>
  <c r="I154" i="5"/>
  <c r="H160" i="5"/>
  <c r="K77" i="9"/>
  <c r="AG77" i="9" s="1"/>
  <c r="K34" i="9"/>
  <c r="AG34" i="9" s="1"/>
  <c r="AI34" i="9" s="1"/>
  <c r="K35" i="9"/>
  <c r="AG35" i="9" s="1"/>
  <c r="AI35" i="9" s="1"/>
  <c r="K56" i="9"/>
  <c r="AG56" i="9" s="1"/>
  <c r="AI56" i="9" s="1"/>
  <c r="K59" i="9"/>
  <c r="AG59" i="9" s="1"/>
  <c r="AI59" i="9" s="1"/>
  <c r="H85" i="10"/>
  <c r="K30" i="9"/>
  <c r="AG30" i="9" s="1"/>
  <c r="AI30" i="9" s="1"/>
  <c r="K49" i="9"/>
  <c r="AG49" i="9" s="1"/>
  <c r="AI49" i="9" s="1"/>
  <c r="H64" i="10"/>
  <c r="H70" i="10" s="1"/>
  <c r="K22" i="9"/>
  <c r="AG22" i="9" s="1"/>
  <c r="K61" i="9"/>
  <c r="AG61" i="9" s="1"/>
  <c r="AI61" i="9" s="1"/>
  <c r="J34" i="10"/>
  <c r="K28" i="10"/>
  <c r="K69" i="8"/>
  <c r="AG69" i="8" s="1"/>
  <c r="AI69" i="8" s="1"/>
  <c r="K29" i="4"/>
  <c r="AG29" i="4" s="1"/>
  <c r="AI29" i="4" s="1"/>
  <c r="K58" i="8"/>
  <c r="AG58" i="8" s="1"/>
  <c r="AI58" i="8" s="1"/>
  <c r="K68" i="8"/>
  <c r="AG68" i="8" s="1"/>
  <c r="AI68" i="8" s="1"/>
  <c r="K19" i="6"/>
  <c r="AG19" i="6" s="1"/>
  <c r="AI19" i="6" s="1"/>
  <c r="K73" i="8"/>
  <c r="AG73" i="8" s="1"/>
  <c r="AI73" i="8" s="1"/>
  <c r="K55" i="8"/>
  <c r="AG55" i="8" s="1"/>
  <c r="AI55" i="8" s="1"/>
  <c r="K56" i="4"/>
  <c r="AG56" i="4" s="1"/>
  <c r="AI56" i="4" s="1"/>
  <c r="K53" i="8"/>
  <c r="AG53" i="8" s="1"/>
  <c r="AI53" i="8" s="1"/>
  <c r="K69" i="6"/>
  <c r="AG69" i="6" s="1"/>
  <c r="AI69" i="6" s="1"/>
  <c r="K60" i="6"/>
  <c r="AG60" i="6" s="1"/>
  <c r="AI60" i="6" s="1"/>
  <c r="K17" i="6"/>
  <c r="AG17" i="6" s="1"/>
  <c r="AI17" i="6" s="1"/>
  <c r="K82" i="6"/>
  <c r="AG82" i="6" s="1"/>
  <c r="AI82" i="6" s="1"/>
  <c r="K50" i="4"/>
  <c r="AG50" i="4" s="1"/>
  <c r="AI50" i="4" s="1"/>
  <c r="K75" i="8"/>
  <c r="AG75" i="8" s="1"/>
  <c r="AI75" i="8" s="1"/>
  <c r="K65" i="8"/>
  <c r="AG65" i="8" s="1"/>
  <c r="AI65" i="8" s="1"/>
  <c r="H85" i="3"/>
  <c r="K81" i="6"/>
  <c r="AG81" i="6" s="1"/>
  <c r="AI81" i="6" s="1"/>
  <c r="K75" i="6"/>
  <c r="AG75" i="6" s="1"/>
  <c r="AI75" i="6" s="1"/>
  <c r="K60" i="8"/>
  <c r="AG60" i="8" s="1"/>
  <c r="AI60" i="8" s="1"/>
  <c r="H20" i="10"/>
  <c r="I14" i="10"/>
  <c r="H41" i="10"/>
  <c r="I35" i="10"/>
  <c r="K87" i="6"/>
  <c r="AG87" i="6" s="1"/>
  <c r="AI87" i="6" s="1"/>
  <c r="I27" i="5"/>
  <c r="J21" i="5"/>
  <c r="I25" i="5"/>
  <c r="J69" i="5"/>
  <c r="K63" i="5"/>
  <c r="H76" i="7"/>
  <c r="I70" i="7"/>
  <c r="K28" i="6"/>
  <c r="AG28" i="6" s="1"/>
  <c r="AI28" i="6" s="1"/>
  <c r="K28" i="8"/>
  <c r="AG28" i="8" s="1"/>
  <c r="AI28" i="8" s="1"/>
  <c r="K59" i="6"/>
  <c r="AG59" i="6" s="1"/>
  <c r="AI59" i="6" s="1"/>
  <c r="K19" i="8"/>
  <c r="AG19" i="8" s="1"/>
  <c r="AI19" i="8" s="1"/>
  <c r="K61" i="4"/>
  <c r="AG61" i="4" s="1"/>
  <c r="AI61" i="4" s="1"/>
  <c r="K87" i="8"/>
  <c r="AG87" i="8" s="1"/>
  <c r="AI87" i="8" s="1"/>
  <c r="K42" i="4"/>
  <c r="AG42" i="4" s="1"/>
  <c r="AI42" i="4" s="1"/>
  <c r="K44" i="4"/>
  <c r="AG44" i="4" s="1"/>
  <c r="AI44" i="4" s="1"/>
  <c r="K47" i="8"/>
  <c r="AG47" i="8" s="1"/>
  <c r="AI47" i="8" s="1"/>
  <c r="K45" i="6"/>
  <c r="AG45" i="6" s="1"/>
  <c r="K19" i="4"/>
  <c r="AG19" i="4" s="1"/>
  <c r="AI19" i="4" s="1"/>
  <c r="K27" i="8"/>
  <c r="AG27" i="8" s="1"/>
  <c r="AI27" i="8" s="1"/>
  <c r="K26" i="6"/>
  <c r="AG26" i="6" s="1"/>
  <c r="AI26" i="6" s="1"/>
  <c r="K53" i="6"/>
  <c r="AG53" i="6" s="1"/>
  <c r="AI53" i="6" s="1"/>
  <c r="K52" i="8"/>
  <c r="AG52" i="8" s="1"/>
  <c r="AI52" i="8" s="1"/>
  <c r="K33" i="6"/>
  <c r="AG33" i="6" s="1"/>
  <c r="AI33" i="6" s="1"/>
  <c r="K26" i="4"/>
  <c r="AG26" i="4" s="1"/>
  <c r="AI26" i="4" s="1"/>
  <c r="K13" i="4"/>
  <c r="AG13" i="4" s="1"/>
  <c r="AI13" i="4" s="1"/>
  <c r="K66" i="6"/>
  <c r="AG66" i="6" s="1"/>
  <c r="AI66" i="6" s="1"/>
  <c r="K64" i="6"/>
  <c r="AG64" i="6" s="1"/>
  <c r="AI64" i="6" s="1"/>
  <c r="K58" i="6"/>
  <c r="AG58" i="6" s="1"/>
  <c r="AI58" i="6" s="1"/>
  <c r="K69" i="4"/>
  <c r="AG69" i="4" s="1"/>
  <c r="AI69" i="4" s="1"/>
  <c r="K72" i="6"/>
  <c r="AG72" i="6" s="1"/>
  <c r="AI72" i="6" s="1"/>
  <c r="K40" i="8"/>
  <c r="AG40" i="8" s="1"/>
  <c r="AI40" i="8" s="1"/>
  <c r="K49" i="8"/>
  <c r="AG49" i="8" s="1"/>
  <c r="AI49" i="8" s="1"/>
  <c r="H62" i="5"/>
  <c r="I56" i="5"/>
  <c r="H55" i="5"/>
  <c r="I49" i="5"/>
  <c r="H25" i="3"/>
  <c r="H27" i="3"/>
  <c r="I21" i="3"/>
  <c r="H76" i="3"/>
  <c r="H39" i="3"/>
  <c r="I35" i="3"/>
  <c r="H41" i="3"/>
  <c r="H95" i="7"/>
  <c r="H97" i="7"/>
  <c r="I91" i="7"/>
  <c r="K38" i="4"/>
  <c r="AG38" i="4" s="1"/>
  <c r="AI38" i="4" s="1"/>
  <c r="K17" i="8"/>
  <c r="AG17" i="8" s="1"/>
  <c r="AI17" i="8" s="1"/>
  <c r="K61" i="8"/>
  <c r="AG61" i="8" s="1"/>
  <c r="AI61" i="8" s="1"/>
  <c r="I98" i="7"/>
  <c r="H104" i="7"/>
  <c r="K57" i="6"/>
  <c r="AG57" i="6" s="1"/>
  <c r="AI57" i="6" s="1"/>
  <c r="K35" i="6"/>
  <c r="AG35" i="6" s="1"/>
  <c r="AI35" i="6" s="1"/>
  <c r="K14" i="8"/>
  <c r="AG14" i="8" s="1"/>
  <c r="AI14" i="8" s="1"/>
  <c r="H34" i="5"/>
  <c r="H32" i="5"/>
  <c r="I28" i="5"/>
  <c r="K53" i="4"/>
  <c r="AG53" i="4" s="1"/>
  <c r="AI53" i="4" s="1"/>
  <c r="K59" i="8"/>
  <c r="AG59" i="8" s="1"/>
  <c r="AI59" i="8" s="1"/>
  <c r="H64" i="3"/>
  <c r="H70" i="3" s="1"/>
  <c r="K65" i="4"/>
  <c r="AG65" i="4" s="1"/>
  <c r="AI65" i="4" s="1"/>
  <c r="K76" i="8"/>
  <c r="AG76" i="8" s="1"/>
  <c r="AI76" i="8" s="1"/>
  <c r="K86" i="4"/>
  <c r="AG86" i="4" s="1"/>
  <c r="AI86" i="4" s="1"/>
  <c r="K78" i="4"/>
  <c r="AG78" i="4" s="1"/>
  <c r="K74" i="8"/>
  <c r="AG74" i="8" s="1"/>
  <c r="AI74" i="8" s="1"/>
  <c r="K43" i="4"/>
  <c r="AG43" i="4" s="1"/>
  <c r="AI43" i="4" s="1"/>
  <c r="K59" i="4"/>
  <c r="AG59" i="4" s="1"/>
  <c r="AI59" i="4" s="1"/>
  <c r="K88" i="8"/>
  <c r="AG88" i="8" s="1"/>
  <c r="AI88" i="8" s="1"/>
  <c r="K73" i="4"/>
  <c r="AG73" i="4" s="1"/>
  <c r="AI73" i="4" s="1"/>
  <c r="K36" i="8"/>
  <c r="AG36" i="8" s="1"/>
  <c r="AI36" i="8" s="1"/>
  <c r="K13" i="6"/>
  <c r="AG13" i="6" s="1"/>
  <c r="AI13" i="6" s="1"/>
  <c r="K54" i="6"/>
  <c r="AG54" i="6" s="1"/>
  <c r="AI54" i="6" s="1"/>
  <c r="K39" i="8"/>
  <c r="AG39" i="8" s="1"/>
  <c r="AI39" i="8" s="1"/>
  <c r="K22" i="6"/>
  <c r="AG22" i="6" s="1"/>
  <c r="K21" i="4"/>
  <c r="AG21" i="4" s="1"/>
  <c r="K14" i="4"/>
  <c r="AG14" i="4" s="1"/>
  <c r="AI14" i="4" s="1"/>
  <c r="K21" i="6"/>
  <c r="AG21" i="6" s="1"/>
  <c r="H69" i="7"/>
  <c r="I63" i="7"/>
  <c r="H151" i="7"/>
  <c r="I147" i="7"/>
  <c r="H153" i="7"/>
  <c r="K16" i="8"/>
  <c r="AG16" i="8" s="1"/>
  <c r="AI16" i="8" s="1"/>
  <c r="K52" i="4"/>
  <c r="AG52" i="4" s="1"/>
  <c r="AI52" i="4" s="1"/>
  <c r="K72" i="4"/>
  <c r="AG72" i="4" s="1"/>
  <c r="AI72" i="4" s="1"/>
  <c r="I62" i="10"/>
  <c r="J56" i="10"/>
  <c r="I60" i="10"/>
  <c r="I217" i="7"/>
  <c r="H223" i="7"/>
  <c r="H221" i="7"/>
  <c r="K76" i="4"/>
  <c r="AG76" i="4" s="1"/>
  <c r="AI76" i="4" s="1"/>
  <c r="K24" i="4"/>
  <c r="AG24" i="4" s="1"/>
  <c r="AI24" i="4" s="1"/>
  <c r="K56" i="8"/>
  <c r="AG56" i="8" s="1"/>
  <c r="AI56" i="8" s="1"/>
  <c r="K25" i="6"/>
  <c r="AG25" i="6" s="1"/>
  <c r="AI25" i="6" s="1"/>
  <c r="K88" i="6"/>
  <c r="AG88" i="6" s="1"/>
  <c r="AI88" i="6" s="1"/>
  <c r="K65" i="6"/>
  <c r="AG65" i="6" s="1"/>
  <c r="AI65" i="6" s="1"/>
  <c r="H118" i="7"/>
  <c r="I112" i="7"/>
  <c r="K57" i="4"/>
  <c r="AG57" i="4" s="1"/>
  <c r="AI57" i="4" s="1"/>
  <c r="K89" i="4"/>
  <c r="AG89" i="4" s="1"/>
  <c r="AI89" i="4" s="1"/>
  <c r="K37" i="8"/>
  <c r="AG37" i="8" s="1"/>
  <c r="AI37" i="8" s="1"/>
  <c r="K38" i="8"/>
  <c r="AG38" i="8" s="1"/>
  <c r="AI38" i="8" s="1"/>
  <c r="K83" i="4"/>
  <c r="AG83" i="4" s="1"/>
  <c r="AI83" i="4" s="1"/>
  <c r="K20" i="4"/>
  <c r="AG20" i="4" s="1"/>
  <c r="AI20" i="4" s="1"/>
  <c r="K70" i="6"/>
  <c r="AG70" i="6" s="1"/>
  <c r="AI70" i="6" s="1"/>
  <c r="K14" i="6"/>
  <c r="AG14" i="6" s="1"/>
  <c r="AI14" i="6" s="1"/>
  <c r="I105" i="5"/>
  <c r="H111" i="5"/>
  <c r="H109" i="5"/>
  <c r="K48" i="4"/>
  <c r="AG48" i="4" s="1"/>
  <c r="AI48" i="4" s="1"/>
  <c r="K45" i="8"/>
  <c r="AG45" i="8" s="1"/>
  <c r="H20" i="7"/>
  <c r="I14" i="7"/>
  <c r="H260" i="7"/>
  <c r="H266" i="7" s="1"/>
  <c r="H272" i="7"/>
  <c r="H281" i="7"/>
  <c r="K24" i="6"/>
  <c r="AG24" i="6" s="1"/>
  <c r="AI24" i="6" s="1"/>
  <c r="K20" i="8"/>
  <c r="AG20" i="8" s="1"/>
  <c r="AI20" i="8" s="1"/>
  <c r="I252" i="7"/>
  <c r="H258" i="7"/>
  <c r="K31" i="4"/>
  <c r="AG31" i="4" s="1"/>
  <c r="AI31" i="4" s="1"/>
  <c r="K89" i="6"/>
  <c r="AG89" i="6" s="1"/>
  <c r="AI89" i="6" s="1"/>
  <c r="K34" i="8"/>
  <c r="AG34" i="8" s="1"/>
  <c r="AI34" i="8" s="1"/>
  <c r="K70" i="8"/>
  <c r="AG70" i="8" s="1"/>
  <c r="AI70" i="8" s="1"/>
  <c r="H202" i="7"/>
  <c r="I196" i="7"/>
  <c r="K67" i="6"/>
  <c r="AG67" i="6" s="1"/>
  <c r="AI67" i="6" s="1"/>
  <c r="K71" i="4"/>
  <c r="AG71" i="4" s="1"/>
  <c r="AI71" i="4" s="1"/>
  <c r="K16" i="6"/>
  <c r="AG16" i="6" s="1"/>
  <c r="AI16" i="6" s="1"/>
  <c r="I245" i="5"/>
  <c r="H251" i="5"/>
  <c r="K64" i="8"/>
  <c r="AG64" i="8" s="1"/>
  <c r="AI64" i="8" s="1"/>
  <c r="I139" i="5"/>
  <c r="J133" i="5"/>
  <c r="I137" i="5"/>
  <c r="K24" i="8"/>
  <c r="AG24" i="8" s="1"/>
  <c r="AI24" i="8" s="1"/>
  <c r="K84" i="4"/>
  <c r="AG84" i="4" s="1"/>
  <c r="AI84" i="4" s="1"/>
  <c r="K26" i="8"/>
  <c r="AG26" i="8" s="1"/>
  <c r="AI26" i="8" s="1"/>
  <c r="K86" i="8"/>
  <c r="AG86" i="8" s="1"/>
  <c r="AI86" i="8" s="1"/>
  <c r="K77" i="6"/>
  <c r="AG77" i="6" s="1"/>
  <c r="I48" i="7"/>
  <c r="J42" i="7"/>
  <c r="K64" i="4"/>
  <c r="AG64" i="4" s="1"/>
  <c r="AI64" i="4" s="1"/>
  <c r="K71" i="8"/>
  <c r="AG71" i="8" s="1"/>
  <c r="AI71" i="8" s="1"/>
  <c r="K39" i="6"/>
  <c r="AG39" i="6" s="1"/>
  <c r="AI39" i="6" s="1"/>
  <c r="J42" i="5"/>
  <c r="I48" i="5"/>
  <c r="I46" i="5"/>
  <c r="K30" i="4"/>
  <c r="AG30" i="4" s="1"/>
  <c r="AI30" i="4" s="1"/>
  <c r="K80" i="6"/>
  <c r="AG80" i="6" s="1"/>
  <c r="AI80" i="6" s="1"/>
  <c r="K88" i="4"/>
  <c r="AG88" i="4" s="1"/>
  <c r="AI88" i="4" s="1"/>
  <c r="K25" i="4"/>
  <c r="AG25" i="4" s="1"/>
  <c r="AI25" i="4" s="1"/>
  <c r="K31" i="8"/>
  <c r="AG31" i="8" s="1"/>
  <c r="AI31" i="8" s="1"/>
  <c r="K84" i="8"/>
  <c r="AG84" i="8" s="1"/>
  <c r="AI84" i="8" s="1"/>
  <c r="H90" i="7"/>
  <c r="H88" i="7"/>
  <c r="I84" i="7"/>
  <c r="K35" i="4"/>
  <c r="AG35" i="4" s="1"/>
  <c r="AI35" i="4" s="1"/>
  <c r="K33" i="8"/>
  <c r="AG33" i="8" s="1"/>
  <c r="AI33" i="8" s="1"/>
  <c r="J203" i="5"/>
  <c r="I209" i="5"/>
  <c r="K47" i="4"/>
  <c r="AG47" i="4" s="1"/>
  <c r="AI47" i="4" s="1"/>
  <c r="K41" i="6"/>
  <c r="AG41" i="6" s="1"/>
  <c r="AI41" i="6" s="1"/>
  <c r="K55" i="4"/>
  <c r="AG55" i="4" s="1"/>
  <c r="AI55" i="4" s="1"/>
  <c r="K18" i="6"/>
  <c r="AG18" i="6" s="1"/>
  <c r="AI18" i="6" s="1"/>
  <c r="K68" i="6"/>
  <c r="AG68" i="6" s="1"/>
  <c r="AI68" i="6" s="1"/>
  <c r="K62" i="8"/>
  <c r="AG62" i="8" s="1"/>
  <c r="AI62" i="8" s="1"/>
  <c r="I161" i="7"/>
  <c r="H167" i="7"/>
  <c r="K23" i="4"/>
  <c r="AG23" i="4" s="1"/>
  <c r="AI23" i="4" s="1"/>
  <c r="K42" i="8"/>
  <c r="AG42" i="8" s="1"/>
  <c r="AI42" i="8" s="1"/>
  <c r="K49" i="6"/>
  <c r="AG49" i="6" s="1"/>
  <c r="AI49" i="6" s="1"/>
  <c r="K22" i="4"/>
  <c r="AG22" i="4" s="1"/>
  <c r="J182" i="5"/>
  <c r="I188" i="5"/>
  <c r="K32" i="6"/>
  <c r="AG32" i="6" s="1"/>
  <c r="AI32" i="6" s="1"/>
  <c r="K46" i="4"/>
  <c r="AG46" i="4" s="1"/>
  <c r="AI46" i="4" s="1"/>
  <c r="K63" i="6"/>
  <c r="AG63" i="6" s="1"/>
  <c r="AI63" i="6" s="1"/>
  <c r="K46" i="8"/>
  <c r="AG46" i="8" s="1"/>
  <c r="AI46" i="8" s="1"/>
  <c r="K42" i="6"/>
  <c r="AG42" i="6" s="1"/>
  <c r="AI42" i="6" s="1"/>
  <c r="K71" i="6"/>
  <c r="AG71" i="6" s="1"/>
  <c r="AI71" i="6" s="1"/>
  <c r="I98" i="5"/>
  <c r="H104" i="5"/>
  <c r="J21" i="7"/>
  <c r="I27" i="7"/>
  <c r="H132" i="7"/>
  <c r="I126" i="7"/>
  <c r="J196" i="5"/>
  <c r="I202" i="5"/>
  <c r="I238" i="7"/>
  <c r="H244" i="7"/>
  <c r="L39" i="10"/>
  <c r="J210" i="5"/>
  <c r="I214" i="5"/>
  <c r="I216" i="5"/>
  <c r="K89" i="8"/>
  <c r="AG89" i="8" s="1"/>
  <c r="AI89" i="8" s="1"/>
  <c r="K16" i="4"/>
  <c r="AG16" i="4" s="1"/>
  <c r="AI16" i="4" s="1"/>
  <c r="K41" i="8"/>
  <c r="AG41" i="8" s="1"/>
  <c r="AI41" i="8" s="1"/>
  <c r="K34" i="4"/>
  <c r="AG34" i="4" s="1"/>
  <c r="AI34" i="4" s="1"/>
  <c r="K30" i="6"/>
  <c r="AG30" i="6" s="1"/>
  <c r="AI30" i="6" s="1"/>
  <c r="H32" i="3"/>
  <c r="H34" i="3"/>
  <c r="I28" i="3"/>
  <c r="J21" i="10"/>
  <c r="I27" i="10"/>
  <c r="I25" i="10"/>
  <c r="K50" i="8"/>
  <c r="AG50" i="8" s="1"/>
  <c r="AI50" i="8" s="1"/>
  <c r="K47" i="6"/>
  <c r="AG47" i="6" s="1"/>
  <c r="AI47" i="6" s="1"/>
  <c r="K31" i="6"/>
  <c r="AG31" i="6" s="1"/>
  <c r="AI31" i="6" s="1"/>
  <c r="J84" i="5"/>
  <c r="I88" i="5"/>
  <c r="I90" i="5"/>
  <c r="K67" i="8"/>
  <c r="AG67" i="8" s="1"/>
  <c r="AI67" i="8" s="1"/>
  <c r="K37" i="4"/>
  <c r="AG37" i="4" s="1"/>
  <c r="AI37" i="4" s="1"/>
  <c r="K21" i="8"/>
  <c r="AG21" i="8" s="1"/>
  <c r="K86" i="6"/>
  <c r="AG86" i="6" s="1"/>
  <c r="AI86" i="6" s="1"/>
  <c r="K49" i="4"/>
  <c r="AG49" i="4" s="1"/>
  <c r="AI49" i="4" s="1"/>
  <c r="I217" i="5"/>
  <c r="H223" i="5"/>
  <c r="K34" i="6"/>
  <c r="AG34" i="6" s="1"/>
  <c r="AI34" i="6" s="1"/>
  <c r="K28" i="7"/>
  <c r="J34" i="7"/>
  <c r="I195" i="7"/>
  <c r="J189" i="7"/>
  <c r="I167" i="5"/>
  <c r="J161" i="5"/>
  <c r="K85" i="4"/>
  <c r="AG85" i="4" s="1"/>
  <c r="AI85" i="4" s="1"/>
  <c r="J77" i="7"/>
  <c r="I83" i="7"/>
  <c r="I81" i="7"/>
  <c r="I210" i="7"/>
  <c r="H216" i="7"/>
  <c r="K74" i="6"/>
  <c r="AG74" i="6" s="1"/>
  <c r="AI74" i="6" s="1"/>
  <c r="K66" i="8"/>
  <c r="AG66" i="8" s="1"/>
  <c r="AI66" i="8" s="1"/>
  <c r="K82" i="8"/>
  <c r="AG82" i="8" s="1"/>
  <c r="AI82" i="8" s="1"/>
  <c r="K12" i="8"/>
  <c r="I48" i="10"/>
  <c r="J42" i="10"/>
  <c r="I46" i="10"/>
  <c r="K78" i="8"/>
  <c r="AG78" i="8" s="1"/>
  <c r="K78" i="6"/>
  <c r="AG78" i="6" s="1"/>
  <c r="K40" i="4"/>
  <c r="AG40" i="4" s="1"/>
  <c r="AI40" i="4" s="1"/>
  <c r="K60" i="4"/>
  <c r="AG60" i="4" s="1"/>
  <c r="AI60" i="4" s="1"/>
  <c r="K79" i="8"/>
  <c r="AG79" i="8" s="1"/>
  <c r="AI79" i="8" s="1"/>
  <c r="K84" i="6"/>
  <c r="AG84" i="6" s="1"/>
  <c r="AI84" i="6" s="1"/>
  <c r="I125" i="7"/>
  <c r="J119" i="7"/>
  <c r="I123" i="7"/>
  <c r="H41" i="5"/>
  <c r="I35" i="5"/>
  <c r="I252" i="5"/>
  <c r="H258" i="5"/>
  <c r="I181" i="5"/>
  <c r="J175" i="5"/>
  <c r="K25" i="8"/>
  <c r="AG25" i="8" s="1"/>
  <c r="AI25" i="8" s="1"/>
  <c r="K37" i="6"/>
  <c r="AG37" i="6" s="1"/>
  <c r="AI37" i="6" s="1"/>
  <c r="L224" i="5"/>
  <c r="K230" i="5"/>
  <c r="H186" i="7"/>
  <c r="H188" i="7"/>
  <c r="I182" i="7"/>
  <c r="I140" i="7"/>
  <c r="H146" i="7"/>
  <c r="K68" i="4"/>
  <c r="AG68" i="4" s="1"/>
  <c r="AI68" i="4" s="1"/>
  <c r="K48" i="8"/>
  <c r="AG48" i="8" s="1"/>
  <c r="AI48" i="8" s="1"/>
  <c r="H160" i="7"/>
  <c r="I154" i="7"/>
  <c r="H158" i="7"/>
  <c r="K57" i="8"/>
  <c r="AG57" i="8" s="1"/>
  <c r="AI57" i="8" s="1"/>
  <c r="K70" i="4"/>
  <c r="AG70" i="4" s="1"/>
  <c r="AI70" i="4" s="1"/>
  <c r="K80" i="4"/>
  <c r="AG80" i="4" s="1"/>
  <c r="AI80" i="4" s="1"/>
  <c r="K28" i="4"/>
  <c r="AG28" i="4" s="1"/>
  <c r="AI28" i="4" s="1"/>
  <c r="K13" i="8"/>
  <c r="AG13" i="8" s="1"/>
  <c r="AI13" i="8" s="1"/>
  <c r="I55" i="7"/>
  <c r="J49" i="7"/>
  <c r="K35" i="8"/>
  <c r="AG35" i="8" s="1"/>
  <c r="AI35" i="8" s="1"/>
  <c r="K27" i="6"/>
  <c r="AG27" i="6" s="1"/>
  <c r="AI27" i="6" s="1"/>
  <c r="L32" i="10"/>
  <c r="K15" i="8"/>
  <c r="AG15" i="8" s="1"/>
  <c r="AI15" i="8" s="1"/>
  <c r="K55" i="6"/>
  <c r="AG55" i="6" s="1"/>
  <c r="AI55" i="6" s="1"/>
  <c r="I49" i="3"/>
  <c r="H55" i="3"/>
  <c r="H53" i="3"/>
  <c r="K75" i="4"/>
  <c r="AG75" i="4" s="1"/>
  <c r="AI75" i="4" s="1"/>
  <c r="K12" i="6"/>
  <c r="K87" i="4"/>
  <c r="AG87" i="4" s="1"/>
  <c r="AI87" i="4" s="1"/>
  <c r="J189" i="5"/>
  <c r="I195" i="5"/>
  <c r="K36" i="4"/>
  <c r="AG36" i="4" s="1"/>
  <c r="AI36" i="4" s="1"/>
  <c r="K54" i="4"/>
  <c r="AG54" i="4" s="1"/>
  <c r="AI54" i="4" s="1"/>
  <c r="K44" i="8"/>
  <c r="AG44" i="8" s="1"/>
  <c r="AI44" i="8" s="1"/>
  <c r="K63" i="8"/>
  <c r="AG63" i="8" s="1"/>
  <c r="AI63" i="8" s="1"/>
  <c r="K81" i="8"/>
  <c r="AG81" i="8" s="1"/>
  <c r="AI81" i="8" s="1"/>
  <c r="K43" i="8"/>
  <c r="AG43" i="8" s="1"/>
  <c r="AI43" i="8" s="1"/>
  <c r="K66" i="4"/>
  <c r="AG66" i="4" s="1"/>
  <c r="AI66" i="4" s="1"/>
  <c r="K23" i="8"/>
  <c r="AG23" i="8" s="1"/>
  <c r="AI23" i="8" s="1"/>
  <c r="I245" i="7"/>
  <c r="H251" i="7"/>
  <c r="K41" i="4"/>
  <c r="AG41" i="4" s="1"/>
  <c r="AI41" i="4" s="1"/>
  <c r="K72" i="8"/>
  <c r="AG72" i="8" s="1"/>
  <c r="AI72" i="8" s="1"/>
  <c r="K56" i="6"/>
  <c r="AG56" i="6" s="1"/>
  <c r="AI56" i="6" s="1"/>
  <c r="K30" i="8"/>
  <c r="AG30" i="8" s="1"/>
  <c r="AI30" i="8" s="1"/>
  <c r="K39" i="4"/>
  <c r="AG39" i="4" s="1"/>
  <c r="AI39" i="4" s="1"/>
  <c r="K85" i="6"/>
  <c r="AG85" i="6" s="1"/>
  <c r="AI85" i="6" s="1"/>
  <c r="K15" i="4"/>
  <c r="AG15" i="4" s="1"/>
  <c r="AI15" i="4" s="1"/>
  <c r="K51" i="4"/>
  <c r="AG51" i="4" s="1"/>
  <c r="AI51" i="4" s="1"/>
  <c r="I119" i="5"/>
  <c r="H125" i="5"/>
  <c r="H123" i="5"/>
  <c r="K40" i="6"/>
  <c r="AG40" i="6" s="1"/>
  <c r="AI40" i="6" s="1"/>
  <c r="K147" i="5"/>
  <c r="J153" i="5"/>
  <c r="J151" i="5"/>
  <c r="K17" i="4"/>
  <c r="AG17" i="4" s="1"/>
  <c r="AI17" i="4" s="1"/>
  <c r="J56" i="3"/>
  <c r="I60" i="3"/>
  <c r="I62" i="3"/>
  <c r="K46" i="6"/>
  <c r="AG46" i="6" s="1"/>
  <c r="AI46" i="6" s="1"/>
  <c r="K83" i="6"/>
  <c r="AG83" i="6" s="1"/>
  <c r="AI83" i="6" s="1"/>
  <c r="K81" i="4"/>
  <c r="AG81" i="4" s="1"/>
  <c r="AI81" i="4" s="1"/>
  <c r="K18" i="4"/>
  <c r="AG18" i="4" s="1"/>
  <c r="AI18" i="4" s="1"/>
  <c r="J16" i="4"/>
  <c r="K15" i="6"/>
  <c r="AG15" i="6" s="1"/>
  <c r="AI15" i="6" s="1"/>
  <c r="K32" i="4"/>
  <c r="AG32" i="4" s="1"/>
  <c r="AI32" i="4" s="1"/>
  <c r="K73" i="6"/>
  <c r="AG73" i="6" s="1"/>
  <c r="AI73" i="6" s="1"/>
  <c r="H109" i="7"/>
  <c r="H111" i="7"/>
  <c r="I105" i="7"/>
  <c r="K79" i="6"/>
  <c r="AG79" i="6" s="1"/>
  <c r="AI79" i="6" s="1"/>
  <c r="K44" i="6"/>
  <c r="AG44" i="6" s="1"/>
  <c r="AI44" i="6" s="1"/>
  <c r="I83" i="5"/>
  <c r="I81" i="5"/>
  <c r="J77" i="5"/>
  <c r="K18" i="8"/>
  <c r="AG18" i="8" s="1"/>
  <c r="AI18" i="8" s="1"/>
  <c r="I91" i="5"/>
  <c r="H97" i="5"/>
  <c r="H95" i="5"/>
  <c r="K50" i="6"/>
  <c r="AG50" i="6" s="1"/>
  <c r="AI50" i="6" s="1"/>
  <c r="K43" i="6"/>
  <c r="AG43" i="6" s="1"/>
  <c r="AI43" i="6" s="1"/>
  <c r="K74" i="4"/>
  <c r="AG74" i="4" s="1"/>
  <c r="AI74" i="4" s="1"/>
  <c r="K83" i="8"/>
  <c r="AG83" i="8" s="1"/>
  <c r="AI83" i="8" s="1"/>
  <c r="K33" i="4"/>
  <c r="AG33" i="4" s="1"/>
  <c r="AI33" i="4" s="1"/>
  <c r="K32" i="8"/>
  <c r="AG32" i="8" s="1"/>
  <c r="AI32" i="8" s="1"/>
  <c r="K77" i="8"/>
  <c r="AG77" i="8" s="1"/>
  <c r="K20" i="6"/>
  <c r="AG20" i="6" s="1"/>
  <c r="AI20" i="6" s="1"/>
  <c r="K63" i="4"/>
  <c r="AG63" i="4" s="1"/>
  <c r="AI63" i="4" s="1"/>
  <c r="K80" i="8"/>
  <c r="AG80" i="8" s="1"/>
  <c r="AI80" i="8" s="1"/>
  <c r="K12" i="4"/>
  <c r="H244" i="5"/>
  <c r="I238" i="5"/>
  <c r="K61" i="6"/>
  <c r="AG61" i="6" s="1"/>
  <c r="AI61" i="6" s="1"/>
  <c r="K85" i="8"/>
  <c r="AG85" i="8" s="1"/>
  <c r="AI85" i="8" s="1"/>
  <c r="K51" i="6"/>
  <c r="AG51" i="6" s="1"/>
  <c r="AI51" i="6" s="1"/>
  <c r="K76" i="5"/>
  <c r="L70" i="5"/>
  <c r="H46" i="3"/>
  <c r="I42" i="3"/>
  <c r="H48" i="3"/>
  <c r="K175" i="7"/>
  <c r="J181" i="7"/>
  <c r="I203" i="7"/>
  <c r="H209" i="7"/>
  <c r="I55" i="10"/>
  <c r="J49" i="10"/>
  <c r="I53" i="10"/>
  <c r="H172" i="7"/>
  <c r="I168" i="7"/>
  <c r="H174" i="7"/>
  <c r="L18" i="10"/>
  <c r="K62" i="4"/>
  <c r="AG62" i="4" s="1"/>
  <c r="AI62" i="4" s="1"/>
  <c r="K82" i="4"/>
  <c r="AG82" i="4" s="1"/>
  <c r="AI82" i="4" s="1"/>
  <c r="H137" i="7"/>
  <c r="I133" i="7"/>
  <c r="H139" i="7"/>
  <c r="K231" i="7"/>
  <c r="J237" i="7"/>
  <c r="K168" i="5"/>
  <c r="J174" i="5"/>
  <c r="H20" i="5"/>
  <c r="I14" i="5"/>
  <c r="H260" i="5"/>
  <c r="H266" i="5" s="1"/>
  <c r="H272" i="5"/>
  <c r="H281" i="5"/>
  <c r="K29" i="6"/>
  <c r="AG29" i="6" s="1"/>
  <c r="AI29" i="6" s="1"/>
  <c r="K29" i="8"/>
  <c r="AG29" i="8" s="1"/>
  <c r="AI29" i="8" s="1"/>
  <c r="K62" i="6"/>
  <c r="AG62" i="6" s="1"/>
  <c r="AI62" i="6" s="1"/>
  <c r="K54" i="8"/>
  <c r="AG54" i="8" s="1"/>
  <c r="AI54" i="8" s="1"/>
  <c r="J14" i="3"/>
  <c r="I18" i="3"/>
  <c r="I20" i="3"/>
  <c r="K45" i="4"/>
  <c r="AG45" i="4" s="1"/>
  <c r="K77" i="4"/>
  <c r="AG77" i="4" s="1"/>
  <c r="I224" i="7"/>
  <c r="H230" i="7"/>
  <c r="J126" i="5"/>
  <c r="I132" i="5"/>
  <c r="I41" i="7"/>
  <c r="J35" i="7"/>
  <c r="K67" i="4"/>
  <c r="AG67" i="4" s="1"/>
  <c r="AI67" i="4" s="1"/>
  <c r="K51" i="8"/>
  <c r="AG51" i="8" s="1"/>
  <c r="AI51" i="8" s="1"/>
  <c r="K52" i="6"/>
  <c r="AG52" i="6" s="1"/>
  <c r="AI52" i="6" s="1"/>
  <c r="K79" i="4"/>
  <c r="AG79" i="4" s="1"/>
  <c r="AI79" i="4" s="1"/>
  <c r="I112" i="5"/>
  <c r="H116" i="5"/>
  <c r="H118" i="5"/>
  <c r="K22" i="8"/>
  <c r="AG22" i="8" s="1"/>
  <c r="H237" i="5"/>
  <c r="H235" i="5"/>
  <c r="I231" i="5"/>
  <c r="K48" i="6"/>
  <c r="AG48" i="6" s="1"/>
  <c r="AI48" i="6" s="1"/>
  <c r="K27" i="4"/>
  <c r="AG27" i="4" s="1"/>
  <c r="AI27" i="4" s="1"/>
  <c r="K36" i="6"/>
  <c r="AG36" i="6" s="1"/>
  <c r="AI36" i="6" s="1"/>
  <c r="K58" i="4"/>
  <c r="AG58" i="4" s="1"/>
  <c r="AI58" i="4" s="1"/>
  <c r="K76" i="6"/>
  <c r="AG76" i="6" s="1"/>
  <c r="AI76" i="6" s="1"/>
  <c r="K38" i="6"/>
  <c r="AG38" i="6" s="1"/>
  <c r="AI38" i="6" s="1"/>
  <c r="K23" i="6"/>
  <c r="AG23" i="6" s="1"/>
  <c r="AI23" i="6" s="1"/>
  <c r="J140" i="5" l="1"/>
  <c r="J146" i="5" s="1"/>
  <c r="AF47" i="9"/>
  <c r="J46" i="9"/>
  <c r="AF46" i="9"/>
  <c r="R79" i="9"/>
  <c r="AF80" i="9"/>
  <c r="AF81" i="9"/>
  <c r="R80" i="9"/>
  <c r="J78" i="9"/>
  <c r="AF79" i="9"/>
  <c r="R57" i="9"/>
  <c r="AF58" i="9"/>
  <c r="R50" i="9"/>
  <c r="AF51" i="9"/>
  <c r="AF62" i="9"/>
  <c r="R61" i="9"/>
  <c r="R62" i="9"/>
  <c r="R74" i="9"/>
  <c r="J76" i="9"/>
  <c r="AF77" i="9"/>
  <c r="R76" i="9"/>
  <c r="AF78" i="9"/>
  <c r="J77" i="9"/>
  <c r="AF55" i="9"/>
  <c r="R54" i="9"/>
  <c r="J47" i="9"/>
  <c r="AF48" i="9"/>
  <c r="AF50" i="9"/>
  <c r="R49" i="9"/>
  <c r="AF49" i="9"/>
  <c r="R48" i="9"/>
  <c r="R70" i="9"/>
  <c r="AF71" i="9"/>
  <c r="R68" i="9"/>
  <c r="AF69" i="9"/>
  <c r="AF60" i="9"/>
  <c r="R59" i="9"/>
  <c r="AF65" i="9"/>
  <c r="R64" i="9"/>
  <c r="AF70" i="9"/>
  <c r="R69" i="9"/>
  <c r="AF88" i="9"/>
  <c r="R87" i="9"/>
  <c r="R89" i="9"/>
  <c r="AF75" i="9"/>
  <c r="J75" i="9"/>
  <c r="AF76" i="9"/>
  <c r="R75" i="9"/>
  <c r="AF74" i="9"/>
  <c r="R73" i="9"/>
  <c r="R82" i="9"/>
  <c r="AF83" i="9"/>
  <c r="R81" i="9"/>
  <c r="AF82" i="9"/>
  <c r="R56" i="9"/>
  <c r="AF57" i="9"/>
  <c r="R51" i="9"/>
  <c r="AF52" i="9"/>
  <c r="R85" i="9"/>
  <c r="AF86" i="9"/>
  <c r="AF63" i="9"/>
  <c r="AF64" i="9"/>
  <c r="R63" i="9"/>
  <c r="R86" i="9"/>
  <c r="AF87" i="9"/>
  <c r="AF73" i="9"/>
  <c r="R72" i="9"/>
  <c r="R71" i="9"/>
  <c r="AF72" i="9"/>
  <c r="AF67" i="9"/>
  <c r="R66" i="9"/>
  <c r="R83" i="9"/>
  <c r="AF84" i="9"/>
  <c r="R60" i="9"/>
  <c r="AF61" i="9"/>
  <c r="R65" i="9"/>
  <c r="AF66" i="9"/>
  <c r="R67" i="9"/>
  <c r="AF68" i="9"/>
  <c r="R58" i="9"/>
  <c r="AF59" i="9"/>
  <c r="R84" i="9"/>
  <c r="AF85" i="9"/>
  <c r="R55" i="9"/>
  <c r="AF56" i="9"/>
  <c r="R53" i="9"/>
  <c r="AF54" i="9"/>
  <c r="AF53" i="9"/>
  <c r="R52" i="9"/>
  <c r="R88" i="9"/>
  <c r="AF89" i="9"/>
  <c r="J45" i="9"/>
  <c r="R45" i="9"/>
  <c r="AF45" i="9"/>
  <c r="R81" i="4"/>
  <c r="AF82" i="4"/>
  <c r="R67" i="4"/>
  <c r="AF68" i="4"/>
  <c r="R54" i="4"/>
  <c r="AF55" i="4"/>
  <c r="AF60" i="4"/>
  <c r="R59" i="4"/>
  <c r="R49" i="4"/>
  <c r="AF50" i="4"/>
  <c r="R86" i="4"/>
  <c r="AF87" i="4"/>
  <c r="AF85" i="4"/>
  <c r="R84" i="4"/>
  <c r="R71" i="4"/>
  <c r="AF72" i="4"/>
  <c r="R87" i="4"/>
  <c r="AF88" i="4"/>
  <c r="R89" i="4"/>
  <c r="R68" i="4"/>
  <c r="AF69" i="4"/>
  <c r="R73" i="4"/>
  <c r="AF74" i="4"/>
  <c r="R50" i="4"/>
  <c r="AF51" i="4"/>
  <c r="R58" i="4"/>
  <c r="AF59" i="4"/>
  <c r="AF86" i="4"/>
  <c r="R85" i="4"/>
  <c r="J78" i="4"/>
  <c r="AF79" i="4"/>
  <c r="R63" i="4"/>
  <c r="AF64" i="4"/>
  <c r="R79" i="4"/>
  <c r="AF71" i="4"/>
  <c r="R70" i="4"/>
  <c r="R83" i="4"/>
  <c r="AF84" i="4"/>
  <c r="AF56" i="4"/>
  <c r="R55" i="4"/>
  <c r="AF57" i="4"/>
  <c r="R56" i="4"/>
  <c r="J75" i="4"/>
  <c r="AF76" i="4"/>
  <c r="R62" i="4"/>
  <c r="AF63" i="4"/>
  <c r="R61" i="4"/>
  <c r="AF62" i="4"/>
  <c r="AF80" i="4"/>
  <c r="AF81" i="4"/>
  <c r="R80" i="4"/>
  <c r="J47" i="4"/>
  <c r="AF48" i="4"/>
  <c r="R64" i="4"/>
  <c r="AF65" i="4"/>
  <c r="R52" i="4"/>
  <c r="AF53" i="4"/>
  <c r="AF83" i="4"/>
  <c r="R82" i="4"/>
  <c r="AF67" i="4"/>
  <c r="R66" i="4"/>
  <c r="AF49" i="4"/>
  <c r="R48" i="4"/>
  <c r="R88" i="4"/>
  <c r="AF89" i="4"/>
  <c r="R51" i="4"/>
  <c r="AF52" i="4"/>
  <c r="AF54" i="4"/>
  <c r="R53" i="4"/>
  <c r="AF70" i="4"/>
  <c r="R69" i="4"/>
  <c r="AF66" i="4"/>
  <c r="R65" i="4"/>
  <c r="AF73" i="4"/>
  <c r="R72" i="4"/>
  <c r="AF58" i="4"/>
  <c r="R57" i="4"/>
  <c r="AF77" i="4"/>
  <c r="J76" i="4"/>
  <c r="AF78" i="4"/>
  <c r="J77" i="4"/>
  <c r="AF61" i="4"/>
  <c r="R60" i="4"/>
  <c r="R74" i="4"/>
  <c r="AF75" i="4"/>
  <c r="J45" i="4"/>
  <c r="AF45" i="4"/>
  <c r="R87" i="6"/>
  <c r="AF88" i="6"/>
  <c r="R65" i="6"/>
  <c r="AF66" i="6"/>
  <c r="AF85" i="6"/>
  <c r="R84" i="6"/>
  <c r="AF64" i="6"/>
  <c r="R63" i="6"/>
  <c r="R58" i="6"/>
  <c r="AF59" i="6"/>
  <c r="AF86" i="6"/>
  <c r="R86" i="6"/>
  <c r="AF87" i="6"/>
  <c r="R72" i="6"/>
  <c r="AF73" i="6"/>
  <c r="R53" i="6"/>
  <c r="AF54" i="6"/>
  <c r="J77" i="6"/>
  <c r="AF78" i="6"/>
  <c r="R64" i="6"/>
  <c r="AF65" i="6"/>
  <c r="R83" i="6"/>
  <c r="AF84" i="6"/>
  <c r="J76" i="6"/>
  <c r="AF77" i="6"/>
  <c r="AF67" i="6"/>
  <c r="R66" i="6"/>
  <c r="J75" i="6"/>
  <c r="AF76" i="6"/>
  <c r="AF50" i="6"/>
  <c r="AF51" i="6"/>
  <c r="R50" i="6"/>
  <c r="AF70" i="6"/>
  <c r="R69" i="6"/>
  <c r="AF80" i="6"/>
  <c r="R79" i="6"/>
  <c r="R73" i="6"/>
  <c r="AF74" i="6"/>
  <c r="R88" i="6"/>
  <c r="AF89" i="6"/>
  <c r="AF61" i="6"/>
  <c r="R60" i="6"/>
  <c r="R89" i="6"/>
  <c r="AF49" i="6"/>
  <c r="R48" i="6"/>
  <c r="AF71" i="6"/>
  <c r="R70" i="6"/>
  <c r="AF48" i="6"/>
  <c r="J47" i="6"/>
  <c r="R55" i="6"/>
  <c r="AF56" i="6"/>
  <c r="AF75" i="6"/>
  <c r="R74" i="6"/>
  <c r="R67" i="6"/>
  <c r="AF68" i="6"/>
  <c r="R62" i="6"/>
  <c r="AF63" i="6"/>
  <c r="R56" i="6"/>
  <c r="AF57" i="6"/>
  <c r="R49" i="6"/>
  <c r="R68" i="6"/>
  <c r="AF69" i="6"/>
  <c r="R51" i="6"/>
  <c r="AF52" i="6"/>
  <c r="AF72" i="6"/>
  <c r="R71" i="6"/>
  <c r="R82" i="6"/>
  <c r="AF83" i="6"/>
  <c r="R85" i="6"/>
  <c r="R57" i="6"/>
  <c r="AF58" i="6"/>
  <c r="R54" i="6"/>
  <c r="AF55" i="6"/>
  <c r="AF82" i="6"/>
  <c r="R81" i="6"/>
  <c r="R52" i="6"/>
  <c r="AF53" i="6"/>
  <c r="J78" i="6"/>
  <c r="AF79" i="6"/>
  <c r="R61" i="6"/>
  <c r="AF62" i="6"/>
  <c r="AF81" i="6"/>
  <c r="R80" i="6"/>
  <c r="R59" i="6"/>
  <c r="AF60" i="6"/>
  <c r="J45" i="6"/>
  <c r="AF45" i="6"/>
  <c r="R80" i="8"/>
  <c r="AF81" i="8"/>
  <c r="R60" i="8"/>
  <c r="AF61" i="8"/>
  <c r="J47" i="8"/>
  <c r="AF48" i="8"/>
  <c r="R84" i="8"/>
  <c r="AF85" i="8"/>
  <c r="AF51" i="8"/>
  <c r="R50" i="8"/>
  <c r="R51" i="8"/>
  <c r="AF52" i="8"/>
  <c r="R65" i="8"/>
  <c r="R52" i="8"/>
  <c r="AF53" i="8"/>
  <c r="AF68" i="8"/>
  <c r="R67" i="8"/>
  <c r="AF65" i="8"/>
  <c r="R64" i="8"/>
  <c r="R49" i="8"/>
  <c r="AF50" i="8"/>
  <c r="R85" i="8"/>
  <c r="AF86" i="8"/>
  <c r="AF77" i="8"/>
  <c r="J77" i="8"/>
  <c r="AF78" i="8"/>
  <c r="R59" i="8"/>
  <c r="AF60" i="8"/>
  <c r="AF63" i="8"/>
  <c r="R63" i="8"/>
  <c r="AF64" i="8"/>
  <c r="R86" i="8"/>
  <c r="AF58" i="8"/>
  <c r="R57" i="8"/>
  <c r="AF87" i="8"/>
  <c r="AF88" i="8"/>
  <c r="R87" i="8"/>
  <c r="AF57" i="8"/>
  <c r="R56" i="8"/>
  <c r="R70" i="8"/>
  <c r="R61" i="8"/>
  <c r="AF89" i="8"/>
  <c r="R88" i="8"/>
  <c r="R83" i="8"/>
  <c r="AF84" i="8"/>
  <c r="AF70" i="8"/>
  <c r="R69" i="8"/>
  <c r="AF66" i="8"/>
  <c r="R66" i="8"/>
  <c r="AF67" i="8"/>
  <c r="AF71" i="8"/>
  <c r="AF72" i="8"/>
  <c r="R71" i="8"/>
  <c r="AF73" i="8"/>
  <c r="R72" i="8"/>
  <c r="AF62" i="8"/>
  <c r="R62" i="8"/>
  <c r="R89" i="8"/>
  <c r="R58" i="8"/>
  <c r="AF59" i="8"/>
  <c r="AF74" i="8"/>
  <c r="R73" i="8"/>
  <c r="R53" i="8"/>
  <c r="AF54" i="8"/>
  <c r="AF80" i="8"/>
  <c r="R79" i="8"/>
  <c r="R74" i="8"/>
  <c r="AF75" i="8"/>
  <c r="J78" i="8"/>
  <c r="AF79" i="8"/>
  <c r="J75" i="8"/>
  <c r="AF76" i="8"/>
  <c r="R68" i="8"/>
  <c r="AF69" i="8"/>
  <c r="AF49" i="8"/>
  <c r="R48" i="8"/>
  <c r="AF82" i="8"/>
  <c r="R81" i="8"/>
  <c r="R82" i="8"/>
  <c r="AF83" i="8"/>
  <c r="R54" i="8"/>
  <c r="AF55" i="8"/>
  <c r="AF56" i="8"/>
  <c r="R55" i="8"/>
  <c r="J45" i="8"/>
  <c r="AF45" i="8"/>
  <c r="AG12" i="9"/>
  <c r="AI12" i="9" s="1"/>
  <c r="D90" i="10" s="1" a="1"/>
  <c r="D90" i="10" s="1"/>
  <c r="J56" i="7"/>
  <c r="I62" i="7"/>
  <c r="J154" i="5"/>
  <c r="I160" i="5"/>
  <c r="I158" i="5"/>
  <c r="D72" i="10" a="1"/>
  <c r="R72" i="10" s="1"/>
  <c r="R73" i="10" s="1"/>
  <c r="K34" i="10"/>
  <c r="L28" i="10"/>
  <c r="I76" i="10"/>
  <c r="I64" i="10"/>
  <c r="I70" i="10" s="1"/>
  <c r="I85" i="10"/>
  <c r="J35" i="10"/>
  <c r="I41" i="10"/>
  <c r="I20" i="10"/>
  <c r="J14" i="10"/>
  <c r="J91" i="7"/>
  <c r="I97" i="7"/>
  <c r="I95" i="7"/>
  <c r="J56" i="5"/>
  <c r="I62" i="5"/>
  <c r="I32" i="5"/>
  <c r="I34" i="5"/>
  <c r="J28" i="5"/>
  <c r="I69" i="7"/>
  <c r="J63" i="7"/>
  <c r="I76" i="7"/>
  <c r="J70" i="7"/>
  <c r="I41" i="3"/>
  <c r="J35" i="3"/>
  <c r="I39" i="3"/>
  <c r="K69" i="5"/>
  <c r="L63" i="5"/>
  <c r="I27" i="3"/>
  <c r="J21" i="3"/>
  <c r="I25" i="3"/>
  <c r="J98" i="7"/>
  <c r="I104" i="7"/>
  <c r="J25" i="5"/>
  <c r="K21" i="5"/>
  <c r="J27" i="5"/>
  <c r="I55" i="5"/>
  <c r="J49" i="5"/>
  <c r="L230" i="5"/>
  <c r="M224" i="5"/>
  <c r="J105" i="7"/>
  <c r="I111" i="7"/>
  <c r="I109" i="7"/>
  <c r="I223" i="5"/>
  <c r="J217" i="5"/>
  <c r="J41" i="7"/>
  <c r="K35" i="7"/>
  <c r="L168" i="5"/>
  <c r="K174" i="5"/>
  <c r="AG12" i="8"/>
  <c r="AI12" i="8" s="1"/>
  <c r="D286" i="7" s="1" a="1"/>
  <c r="D268" i="7" a="1"/>
  <c r="G17" i="8"/>
  <c r="I244" i="7"/>
  <c r="J238" i="7"/>
  <c r="I242" i="7"/>
  <c r="J161" i="7"/>
  <c r="I165" i="7"/>
  <c r="I167" i="7"/>
  <c r="J48" i="5"/>
  <c r="K42" i="5"/>
  <c r="J46" i="5"/>
  <c r="J139" i="5"/>
  <c r="K133" i="5"/>
  <c r="J137" i="5"/>
  <c r="I221" i="7"/>
  <c r="J217" i="7"/>
  <c r="I223" i="7"/>
  <c r="K196" i="5"/>
  <c r="J202" i="5"/>
  <c r="I244" i="5"/>
  <c r="J238" i="5"/>
  <c r="I242" i="5"/>
  <c r="J49" i="3"/>
  <c r="I53" i="3"/>
  <c r="I55" i="3"/>
  <c r="J195" i="7"/>
  <c r="K189" i="7"/>
  <c r="I132" i="7"/>
  <c r="J126" i="7"/>
  <c r="J252" i="7"/>
  <c r="I258" i="7"/>
  <c r="I109" i="5"/>
  <c r="J105" i="5"/>
  <c r="I111" i="5"/>
  <c r="J112" i="7"/>
  <c r="I118" i="7"/>
  <c r="J60" i="10"/>
  <c r="J62" i="10"/>
  <c r="K119" i="7"/>
  <c r="J125" i="7"/>
  <c r="J123" i="7"/>
  <c r="I88" i="7"/>
  <c r="J84" i="7"/>
  <c r="I90" i="7"/>
  <c r="J48" i="7"/>
  <c r="K42" i="7"/>
  <c r="J245" i="5"/>
  <c r="I251" i="5"/>
  <c r="I48" i="3"/>
  <c r="J42" i="3"/>
  <c r="I46" i="3"/>
  <c r="J91" i="5"/>
  <c r="I95" i="5"/>
  <c r="I97" i="5"/>
  <c r="J224" i="7"/>
  <c r="I230" i="7"/>
  <c r="K153" i="5"/>
  <c r="L147" i="5"/>
  <c r="K151" i="5"/>
  <c r="I216" i="7"/>
  <c r="J210" i="7"/>
  <c r="M32" i="10"/>
  <c r="G18" i="9"/>
  <c r="J17" i="9"/>
  <c r="J181" i="5"/>
  <c r="K175" i="5"/>
  <c r="L28" i="7"/>
  <c r="K34" i="7"/>
  <c r="K32" i="7"/>
  <c r="J27" i="10"/>
  <c r="K21" i="10"/>
  <c r="J25" i="10"/>
  <c r="K182" i="5"/>
  <c r="J188" i="5"/>
  <c r="K237" i="7"/>
  <c r="L231" i="7"/>
  <c r="J168" i="7"/>
  <c r="I174" i="7"/>
  <c r="I146" i="7"/>
  <c r="J140" i="7"/>
  <c r="J53" i="10"/>
  <c r="J55" i="10"/>
  <c r="K49" i="10"/>
  <c r="J83" i="5"/>
  <c r="K77" i="5"/>
  <c r="J81" i="5"/>
  <c r="I116" i="5"/>
  <c r="J112" i="5"/>
  <c r="I118" i="5"/>
  <c r="J245" i="7"/>
  <c r="I251" i="7"/>
  <c r="K189" i="5"/>
  <c r="J195" i="5"/>
  <c r="I160" i="7"/>
  <c r="J154" i="7"/>
  <c r="I158" i="7"/>
  <c r="I32" i="3"/>
  <c r="I34" i="3"/>
  <c r="J28" i="3"/>
  <c r="K210" i="5"/>
  <c r="J216" i="5"/>
  <c r="L76" i="5"/>
  <c r="M70" i="5"/>
  <c r="J83" i="7"/>
  <c r="K77" i="7"/>
  <c r="J81" i="7"/>
  <c r="K21" i="7"/>
  <c r="J27" i="7"/>
  <c r="I202" i="7"/>
  <c r="J196" i="7"/>
  <c r="I235" i="5"/>
  <c r="I237" i="5"/>
  <c r="J231" i="5"/>
  <c r="K14" i="3"/>
  <c r="J18" i="3"/>
  <c r="J20" i="3"/>
  <c r="J62" i="3"/>
  <c r="K56" i="3"/>
  <c r="J60" i="3"/>
  <c r="K126" i="5"/>
  <c r="J132" i="5"/>
  <c r="AG12" i="4"/>
  <c r="AI12" i="4" s="1"/>
  <c r="D90" i="3" s="1" a="1"/>
  <c r="D72" i="3" a="1"/>
  <c r="G17" i="4"/>
  <c r="I85" i="3"/>
  <c r="I64" i="3"/>
  <c r="I70" i="3" s="1"/>
  <c r="I20" i="5"/>
  <c r="J14" i="5"/>
  <c r="I281" i="5"/>
  <c r="I260" i="5"/>
  <c r="I266" i="5" s="1"/>
  <c r="I272" i="5"/>
  <c r="I209" i="7"/>
  <c r="J203" i="7"/>
  <c r="J119" i="5"/>
  <c r="I125" i="5"/>
  <c r="I123" i="5"/>
  <c r="AG12" i="6"/>
  <c r="AI12" i="6" s="1"/>
  <c r="D286" i="5" s="1" a="1"/>
  <c r="D268" i="5" a="1"/>
  <c r="G17" i="6"/>
  <c r="J55" i="7"/>
  <c r="K49" i="7"/>
  <c r="J53" i="7"/>
  <c r="I188" i="7"/>
  <c r="J182" i="7"/>
  <c r="J252" i="5"/>
  <c r="I258" i="5"/>
  <c r="K84" i="5"/>
  <c r="J88" i="5"/>
  <c r="J90" i="5"/>
  <c r="J14" i="7"/>
  <c r="I20" i="7"/>
  <c r="I260" i="7"/>
  <c r="I266" i="7" s="1"/>
  <c r="I272" i="7"/>
  <c r="I281" i="7"/>
  <c r="I153" i="7"/>
  <c r="J147" i="7"/>
  <c r="I151" i="7"/>
  <c r="M18" i="10"/>
  <c r="K181" i="7"/>
  <c r="L175" i="7"/>
  <c r="I139" i="7"/>
  <c r="J133" i="7"/>
  <c r="I137" i="7"/>
  <c r="I76" i="3"/>
  <c r="I41" i="5"/>
  <c r="J35" i="5"/>
  <c r="I39" i="5"/>
  <c r="J46" i="10"/>
  <c r="J48" i="10"/>
  <c r="K42" i="10"/>
  <c r="J167" i="5"/>
  <c r="K161" i="5"/>
  <c r="M39" i="10"/>
  <c r="J98" i="5"/>
  <c r="I104" i="5"/>
  <c r="K203" i="5"/>
  <c r="J209" i="5"/>
  <c r="K140" i="5" l="1"/>
  <c r="L140" i="5" s="1"/>
  <c r="AT72" i="10"/>
  <c r="AT73" i="10" s="1"/>
  <c r="AV90" i="10"/>
  <c r="AV89" i="10" s="1"/>
  <c r="AV87" i="10" s="1"/>
  <c r="W90" i="10"/>
  <c r="W10" i="10" s="1"/>
  <c r="AJ90" i="10"/>
  <c r="AJ89" i="10" s="1"/>
  <c r="AJ87" i="10" s="1"/>
  <c r="AJ72" i="10"/>
  <c r="AJ73" i="10" s="1"/>
  <c r="BF72" i="10"/>
  <c r="BF73" i="10" s="1"/>
  <c r="J62" i="7"/>
  <c r="K56" i="7"/>
  <c r="K154" i="5"/>
  <c r="J160" i="5"/>
  <c r="BQ90" i="10"/>
  <c r="BQ89" i="10" s="1"/>
  <c r="V72" i="10"/>
  <c r="V73" i="10" s="1"/>
  <c r="T90" i="10"/>
  <c r="T10" i="10" s="1"/>
  <c r="BC72" i="10"/>
  <c r="BC73" i="10" s="1"/>
  <c r="BB90" i="10"/>
  <c r="BB10" i="10" s="1"/>
  <c r="D72" i="10"/>
  <c r="D73" i="10" s="1"/>
  <c r="AQ72" i="10"/>
  <c r="AQ73" i="10" s="1"/>
  <c r="BD72" i="10"/>
  <c r="BD73" i="10" s="1"/>
  <c r="P72" i="10"/>
  <c r="P73" i="10" s="1"/>
  <c r="BC90" i="10"/>
  <c r="BC89" i="10" s="1"/>
  <c r="BC87" i="10" s="1"/>
  <c r="BV72" i="10"/>
  <c r="BV73" i="10" s="1"/>
  <c r="S72" i="10"/>
  <c r="S73" i="10" s="1"/>
  <c r="AK90" i="10"/>
  <c r="AK10" i="10" s="1"/>
  <c r="Q90" i="10"/>
  <c r="Q89" i="10" s="1"/>
  <c r="Q87" i="10" s="1"/>
  <c r="AM72" i="10"/>
  <c r="AM73" i="10" s="1"/>
  <c r="G72" i="10"/>
  <c r="G73" i="10" s="1"/>
  <c r="BX90" i="10"/>
  <c r="BX10" i="10" s="1"/>
  <c r="Y72" i="10"/>
  <c r="Y73" i="10" s="1"/>
  <c r="M72" i="10"/>
  <c r="M73" i="10" s="1"/>
  <c r="BI90" i="10"/>
  <c r="BI10" i="10" s="1"/>
  <c r="O72" i="10"/>
  <c r="O73" i="10" s="1"/>
  <c r="Y90" i="10"/>
  <c r="Y10" i="10" s="1"/>
  <c r="V90" i="10"/>
  <c r="V89" i="10" s="1"/>
  <c r="V87" i="10" s="1"/>
  <c r="H90" i="10"/>
  <c r="H10" i="10" s="1"/>
  <c r="E90" i="10"/>
  <c r="E10" i="10" s="1"/>
  <c r="BU90" i="10"/>
  <c r="BU10" i="10" s="1"/>
  <c r="J90" i="10"/>
  <c r="J10" i="10" s="1"/>
  <c r="BO90" i="10"/>
  <c r="BO10" i="10" s="1"/>
  <c r="AA90" i="10"/>
  <c r="AA10" i="10" s="1"/>
  <c r="BW72" i="10"/>
  <c r="BW73" i="10" s="1"/>
  <c r="AA72" i="10"/>
  <c r="AA73" i="10" s="1"/>
  <c r="AH72" i="10"/>
  <c r="AH73" i="10" s="1"/>
  <c r="AE72" i="10"/>
  <c r="AE73" i="10" s="1"/>
  <c r="AM90" i="10"/>
  <c r="AM89" i="10" s="1"/>
  <c r="AM87" i="10" s="1"/>
  <c r="AS90" i="10"/>
  <c r="AS89" i="10" s="1"/>
  <c r="AS87" i="10" s="1"/>
  <c r="AD90" i="10"/>
  <c r="AD10" i="10" s="1"/>
  <c r="BL90" i="10"/>
  <c r="BL10" i="10" s="1"/>
  <c r="BJ72" i="10"/>
  <c r="BJ73" i="10" s="1"/>
  <c r="BT72" i="10"/>
  <c r="BT73" i="10" s="1"/>
  <c r="I72" i="10"/>
  <c r="I73" i="10" s="1"/>
  <c r="AW90" i="10"/>
  <c r="AW89" i="10" s="1"/>
  <c r="AW87" i="10" s="1"/>
  <c r="U90" i="10"/>
  <c r="U89" i="10" s="1"/>
  <c r="U87" i="10" s="1"/>
  <c r="F90" i="10"/>
  <c r="AX72" i="10"/>
  <c r="AX73" i="10" s="1"/>
  <c r="BH72" i="10"/>
  <c r="BH73" i="10" s="1"/>
  <c r="CB72" i="10"/>
  <c r="CB73" i="10" s="1"/>
  <c r="BZ72" i="10"/>
  <c r="BZ73" i="10" s="1"/>
  <c r="AI90" i="10"/>
  <c r="AI10" i="10" s="1"/>
  <c r="BW90" i="10"/>
  <c r="BW89" i="10" s="1"/>
  <c r="BW87" i="10" s="1"/>
  <c r="AY90" i="10"/>
  <c r="AY10" i="10" s="1"/>
  <c r="AL72" i="10"/>
  <c r="AL73" i="10" s="1"/>
  <c r="AV72" i="10"/>
  <c r="AV73" i="10" s="1"/>
  <c r="BP72" i="10"/>
  <c r="BP73" i="10" s="1"/>
  <c r="F72" i="10"/>
  <c r="K90" i="10"/>
  <c r="K10" i="10" s="1"/>
  <c r="BP90" i="10"/>
  <c r="BP89" i="10" s="1"/>
  <c r="BP87" i="10" s="1"/>
  <c r="S90" i="10"/>
  <c r="S10" i="10" s="1"/>
  <c r="BU72" i="10"/>
  <c r="BU73" i="10" s="1"/>
  <c r="X72" i="10"/>
  <c r="X73" i="10" s="1"/>
  <c r="AR72" i="10"/>
  <c r="AR73" i="10" s="1"/>
  <c r="O90" i="10"/>
  <c r="O10" i="10" s="1"/>
  <c r="BN90" i="10"/>
  <c r="BN10" i="10" s="1"/>
  <c r="BV90" i="10"/>
  <c r="BV89" i="10" s="1"/>
  <c r="BV87" i="10" s="1"/>
  <c r="M90" i="10"/>
  <c r="M10" i="10" s="1"/>
  <c r="AR90" i="10"/>
  <c r="AR89" i="10" s="1"/>
  <c r="AR87" i="10" s="1"/>
  <c r="AO90" i="10"/>
  <c r="AO89" i="10" s="1"/>
  <c r="AO87" i="10" s="1"/>
  <c r="AW72" i="10"/>
  <c r="AW73" i="10" s="1"/>
  <c r="K72" i="10"/>
  <c r="K73" i="10" s="1"/>
  <c r="T72" i="10"/>
  <c r="T73" i="10" s="1"/>
  <c r="BD90" i="10"/>
  <c r="BD10" i="10" s="1"/>
  <c r="BI72" i="10"/>
  <c r="BI73" i="10" s="1"/>
  <c r="W72" i="10"/>
  <c r="W73" i="10" s="1"/>
  <c r="AF72" i="10"/>
  <c r="AF73" i="10" s="1"/>
  <c r="BK90" i="10"/>
  <c r="BK10" i="10" s="1"/>
  <c r="BT90" i="10"/>
  <c r="BT89" i="10" s="1"/>
  <c r="BT87" i="10" s="1"/>
  <c r="AF90" i="10"/>
  <c r="AF89" i="10" s="1"/>
  <c r="AF87" i="10" s="1"/>
  <c r="AC90" i="10"/>
  <c r="AC89" i="10" s="1"/>
  <c r="AC87" i="10" s="1"/>
  <c r="AK72" i="10"/>
  <c r="AK73" i="10" s="1"/>
  <c r="BR72" i="10"/>
  <c r="BR73" i="10" s="1"/>
  <c r="BO72" i="10"/>
  <c r="BO73" i="10" s="1"/>
  <c r="BH90" i="10"/>
  <c r="BH89" i="10" s="1"/>
  <c r="BH87" i="10" s="1"/>
  <c r="CC90" i="10"/>
  <c r="CC10" i="10" s="1"/>
  <c r="AP90" i="10"/>
  <c r="AP10" i="10" s="1"/>
  <c r="BX72" i="10"/>
  <c r="BX73" i="10" s="1"/>
  <c r="BY72" i="10"/>
  <c r="BY73" i="10" s="1"/>
  <c r="L72" i="10"/>
  <c r="L73" i="10" s="1"/>
  <c r="J72" i="10"/>
  <c r="J73" i="10" s="1"/>
  <c r="BN72" i="10"/>
  <c r="BN73" i="10" s="1"/>
  <c r="AX90" i="10"/>
  <c r="AX89" i="10" s="1"/>
  <c r="AX87" i="10" s="1"/>
  <c r="X90" i="10"/>
  <c r="X10" i="10" s="1"/>
  <c r="BR90" i="10"/>
  <c r="BR10" i="10" s="1"/>
  <c r="BE90" i="10"/>
  <c r="BE10" i="10" s="1"/>
  <c r="G90" i="10"/>
  <c r="G89" i="10" s="1"/>
  <c r="G87" i="10" s="1"/>
  <c r="R90" i="10"/>
  <c r="R89" i="10" s="1"/>
  <c r="R87" i="10" s="1"/>
  <c r="AN90" i="10"/>
  <c r="AN89" i="10" s="1"/>
  <c r="AN87" i="10" s="1"/>
  <c r="BL72" i="10"/>
  <c r="BL73" i="10" s="1"/>
  <c r="N72" i="10"/>
  <c r="N73" i="10" s="1"/>
  <c r="AC72" i="10"/>
  <c r="AC73" i="10" s="1"/>
  <c r="BS72" i="10"/>
  <c r="BS73" i="10" s="1"/>
  <c r="U72" i="10"/>
  <c r="U73" i="10" s="1"/>
  <c r="AO72" i="10"/>
  <c r="AO73" i="10" s="1"/>
  <c r="BB72" i="10"/>
  <c r="BB73" i="10" s="1"/>
  <c r="AL90" i="10"/>
  <c r="AL10" i="10" s="1"/>
  <c r="BS90" i="10"/>
  <c r="BS10" i="10" s="1"/>
  <c r="BF90" i="10"/>
  <c r="BF10" i="10" s="1"/>
  <c r="AG90" i="10"/>
  <c r="AG89" i="10" s="1"/>
  <c r="AG87" i="10" s="1"/>
  <c r="CA90" i="10"/>
  <c r="CA10" i="10" s="1"/>
  <c r="BY90" i="10"/>
  <c r="BY89" i="10" s="1"/>
  <c r="BY87" i="10" s="1"/>
  <c r="AB90" i="10"/>
  <c r="AB10" i="10" s="1"/>
  <c r="AZ72" i="10"/>
  <c r="AZ73" i="10" s="1"/>
  <c r="BM72" i="10"/>
  <c r="BM73" i="10" s="1"/>
  <c r="E72" i="10"/>
  <c r="E73" i="10" s="1"/>
  <c r="BG72" i="10"/>
  <c r="BG73" i="10" s="1"/>
  <c r="BQ72" i="10"/>
  <c r="BQ73" i="10" s="1"/>
  <c r="CC72" i="10"/>
  <c r="CC73" i="10" s="1"/>
  <c r="AP72" i="10"/>
  <c r="AP73" i="10" s="1"/>
  <c r="BJ90" i="10"/>
  <c r="BJ10" i="10" s="1"/>
  <c r="L90" i="10"/>
  <c r="L89" i="10" s="1"/>
  <c r="L87" i="10" s="1"/>
  <c r="AQ90" i="10"/>
  <c r="AQ10" i="10" s="1"/>
  <c r="AZ90" i="10"/>
  <c r="AZ10" i="10" s="1"/>
  <c r="Z72" i="10"/>
  <c r="Z73" i="10" s="1"/>
  <c r="H72" i="10"/>
  <c r="H73" i="10" s="1"/>
  <c r="Z90" i="10"/>
  <c r="Z89" i="10" s="1"/>
  <c r="Z87" i="10" s="1"/>
  <c r="BG90" i="10"/>
  <c r="BG89" i="10" s="1"/>
  <c r="BG87" i="10" s="1"/>
  <c r="AT90" i="10"/>
  <c r="AT10" i="10" s="1"/>
  <c r="I90" i="10"/>
  <c r="I89" i="10" s="1"/>
  <c r="I87" i="10" s="1"/>
  <c r="AE90" i="10"/>
  <c r="AE10" i="10" s="1"/>
  <c r="BM90" i="10"/>
  <c r="BM89" i="10" s="1"/>
  <c r="BM87" i="10" s="1"/>
  <c r="P90" i="10"/>
  <c r="P10" i="10" s="1"/>
  <c r="AN72" i="10"/>
  <c r="AN73" i="10" s="1"/>
  <c r="BA72" i="10"/>
  <c r="BA73" i="10" s="1"/>
  <c r="BK72" i="10"/>
  <c r="BK73" i="10" s="1"/>
  <c r="AU72" i="10"/>
  <c r="AU73" i="10" s="1"/>
  <c r="BE72" i="10"/>
  <c r="BE73" i="10" s="1"/>
  <c r="AS72" i="10"/>
  <c r="AS73" i="10" s="1"/>
  <c r="AD72" i="10"/>
  <c r="AD73" i="10" s="1"/>
  <c r="N90" i="10"/>
  <c r="N89" i="10" s="1"/>
  <c r="AU90" i="10"/>
  <c r="AU10" i="10" s="1"/>
  <c r="AH90" i="10"/>
  <c r="AH10" i="10" s="1"/>
  <c r="CB90" i="10"/>
  <c r="CB10" i="10" s="1"/>
  <c r="BZ90" i="10"/>
  <c r="BZ89" i="10" s="1"/>
  <c r="BZ87" i="10" s="1"/>
  <c r="BA90" i="10"/>
  <c r="BA89" i="10" s="1"/>
  <c r="BA87" i="10" s="1"/>
  <c r="AB72" i="10"/>
  <c r="AB73" i="10" s="1"/>
  <c r="Q72" i="10"/>
  <c r="Q73" i="10" s="1"/>
  <c r="AY72" i="10"/>
  <c r="AY73" i="10" s="1"/>
  <c r="AI72" i="10"/>
  <c r="AI73" i="10" s="1"/>
  <c r="AG72" i="10"/>
  <c r="AG73" i="10" s="1"/>
  <c r="CA72" i="10"/>
  <c r="CA73" i="10" s="1"/>
  <c r="J76" i="10"/>
  <c r="M28" i="10"/>
  <c r="L34" i="10"/>
  <c r="J64" i="3"/>
  <c r="J70" i="3" s="1"/>
  <c r="J64" i="10"/>
  <c r="J70" i="10" s="1"/>
  <c r="J85" i="10"/>
  <c r="J20" i="10"/>
  <c r="K14" i="10"/>
  <c r="J85" i="3"/>
  <c r="J41" i="10"/>
  <c r="K35" i="10"/>
  <c r="L21" i="5"/>
  <c r="K25" i="5"/>
  <c r="K27" i="5"/>
  <c r="J76" i="7"/>
  <c r="K70" i="7"/>
  <c r="K63" i="7"/>
  <c r="J69" i="7"/>
  <c r="J104" i="7"/>
  <c r="K98" i="7"/>
  <c r="J34" i="5"/>
  <c r="K28" i="5"/>
  <c r="J25" i="3"/>
  <c r="K21" i="3"/>
  <c r="J27" i="3"/>
  <c r="M63" i="5"/>
  <c r="L69" i="5"/>
  <c r="J62" i="5"/>
  <c r="K56" i="5"/>
  <c r="K49" i="5"/>
  <c r="J55" i="5"/>
  <c r="J39" i="3"/>
  <c r="J41" i="3"/>
  <c r="K35" i="3"/>
  <c r="J97" i="7"/>
  <c r="K91" i="7"/>
  <c r="J95" i="7"/>
  <c r="L126" i="5"/>
  <c r="K132" i="5"/>
  <c r="K168" i="7"/>
  <c r="J174" i="7"/>
  <c r="J90" i="7"/>
  <c r="K84" i="7"/>
  <c r="J88" i="7"/>
  <c r="J55" i="3"/>
  <c r="K49" i="3"/>
  <c r="J53" i="3"/>
  <c r="K27" i="7"/>
  <c r="L21" i="7"/>
  <c r="J46" i="3"/>
  <c r="K42" i="3"/>
  <c r="J48" i="3"/>
  <c r="J188" i="7"/>
  <c r="K182" i="7"/>
  <c r="K133" i="7"/>
  <c r="J139" i="7"/>
  <c r="J137" i="7"/>
  <c r="J202" i="7"/>
  <c r="K196" i="7"/>
  <c r="K112" i="5"/>
  <c r="J116" i="5"/>
  <c r="J118" i="5"/>
  <c r="L235" i="7"/>
  <c r="L237" i="7"/>
  <c r="M231" i="7"/>
  <c r="K217" i="7"/>
  <c r="J223" i="7"/>
  <c r="J221" i="7"/>
  <c r="J244" i="7"/>
  <c r="K238" i="7"/>
  <c r="K210" i="7"/>
  <c r="J216" i="7"/>
  <c r="J153" i="7"/>
  <c r="K147" i="7"/>
  <c r="J151" i="7"/>
  <c r="K62" i="3"/>
  <c r="L56" i="3"/>
  <c r="K60" i="3"/>
  <c r="K252" i="7"/>
  <c r="J258" i="7"/>
  <c r="J244" i="5"/>
  <c r="K238" i="5"/>
  <c r="J20" i="5"/>
  <c r="K14" i="5"/>
  <c r="J281" i="5"/>
  <c r="J260" i="5"/>
  <c r="J266" i="5" s="1"/>
  <c r="J272" i="5"/>
  <c r="N70" i="5"/>
  <c r="M76" i="5"/>
  <c r="L203" i="5"/>
  <c r="K209" i="5"/>
  <c r="J41" i="5"/>
  <c r="K35" i="5"/>
  <c r="M175" i="7"/>
  <c r="L181" i="7"/>
  <c r="L49" i="7"/>
  <c r="K55" i="7"/>
  <c r="D10" i="10"/>
  <c r="D89" i="10"/>
  <c r="D87" i="10" s="1"/>
  <c r="M28" i="7"/>
  <c r="L34" i="7"/>
  <c r="K91" i="5"/>
  <c r="J95" i="5"/>
  <c r="J97" i="5"/>
  <c r="J132" i="7"/>
  <c r="K126" i="7"/>
  <c r="G18" i="8"/>
  <c r="J17" i="8"/>
  <c r="L175" i="5"/>
  <c r="K181" i="5"/>
  <c r="K125" i="7"/>
  <c r="L119" i="7"/>
  <c r="K123" i="7"/>
  <c r="K139" i="5"/>
  <c r="L133" i="5"/>
  <c r="K137" i="5"/>
  <c r="L268" i="7"/>
  <c r="L269" i="7" s="1"/>
  <c r="X268" i="7"/>
  <c r="X269" i="7" s="1"/>
  <c r="AJ268" i="7"/>
  <c r="AJ269" i="7" s="1"/>
  <c r="AV268" i="7"/>
  <c r="AV269" i="7" s="1"/>
  <c r="BH268" i="7"/>
  <c r="BH269" i="7" s="1"/>
  <c r="BT268" i="7"/>
  <c r="BT269" i="7" s="1"/>
  <c r="D268" i="7"/>
  <c r="D269" i="7" s="1"/>
  <c r="P268" i="7"/>
  <c r="P269" i="7" s="1"/>
  <c r="AB268" i="7"/>
  <c r="AB269" i="7" s="1"/>
  <c r="AN268" i="7"/>
  <c r="AN269" i="7" s="1"/>
  <c r="AZ268" i="7"/>
  <c r="AZ269" i="7" s="1"/>
  <c r="BL268" i="7"/>
  <c r="BL269" i="7" s="1"/>
  <c r="BX268" i="7"/>
  <c r="BX269" i="7" s="1"/>
  <c r="E268" i="7"/>
  <c r="E269" i="7" s="1"/>
  <c r="Q268" i="7"/>
  <c r="Q269" i="7" s="1"/>
  <c r="AC268" i="7"/>
  <c r="AC269" i="7" s="1"/>
  <c r="AO268" i="7"/>
  <c r="AO269" i="7" s="1"/>
  <c r="BA268" i="7"/>
  <c r="BA269" i="7" s="1"/>
  <c r="BM268" i="7"/>
  <c r="BM269" i="7" s="1"/>
  <c r="BY268" i="7"/>
  <c r="BY269" i="7" s="1"/>
  <c r="N268" i="7"/>
  <c r="N269" i="7" s="1"/>
  <c r="AE268" i="7"/>
  <c r="AE269" i="7" s="1"/>
  <c r="AT268" i="7"/>
  <c r="AT269" i="7" s="1"/>
  <c r="BJ268" i="7"/>
  <c r="BJ269" i="7" s="1"/>
  <c r="CA268" i="7"/>
  <c r="CA269" i="7" s="1"/>
  <c r="O268" i="7"/>
  <c r="O269" i="7" s="1"/>
  <c r="AF268" i="7"/>
  <c r="AF269" i="7" s="1"/>
  <c r="AU268" i="7"/>
  <c r="AU269" i="7" s="1"/>
  <c r="BK268" i="7"/>
  <c r="BK269" i="7" s="1"/>
  <c r="CB268" i="7"/>
  <c r="CB269" i="7" s="1"/>
  <c r="R268" i="7"/>
  <c r="R269" i="7" s="1"/>
  <c r="AG268" i="7"/>
  <c r="AG269" i="7" s="1"/>
  <c r="AW268" i="7"/>
  <c r="AW269" i="7" s="1"/>
  <c r="BN268" i="7"/>
  <c r="BN269" i="7" s="1"/>
  <c r="CC268" i="7"/>
  <c r="CC269" i="7" s="1"/>
  <c r="S268" i="7"/>
  <c r="S269" i="7" s="1"/>
  <c r="AH268" i="7"/>
  <c r="AH269" i="7" s="1"/>
  <c r="AX268" i="7"/>
  <c r="AX269" i="7" s="1"/>
  <c r="BO268" i="7"/>
  <c r="BO269" i="7" s="1"/>
  <c r="T268" i="7"/>
  <c r="T269" i="7" s="1"/>
  <c r="AI268" i="7"/>
  <c r="AI269" i="7" s="1"/>
  <c r="AY268" i="7"/>
  <c r="AY269" i="7" s="1"/>
  <c r="BP268" i="7"/>
  <c r="BP269" i="7" s="1"/>
  <c r="F268" i="7"/>
  <c r="F269" i="7" s="1"/>
  <c r="U268" i="7"/>
  <c r="U269" i="7" s="1"/>
  <c r="AK268" i="7"/>
  <c r="AK269" i="7" s="1"/>
  <c r="BB268" i="7"/>
  <c r="BB269" i="7" s="1"/>
  <c r="BQ268" i="7"/>
  <c r="BQ269" i="7" s="1"/>
  <c r="H268" i="7"/>
  <c r="H269" i="7" s="1"/>
  <c r="W268" i="7"/>
  <c r="W269" i="7" s="1"/>
  <c r="AM268" i="7"/>
  <c r="AM269" i="7" s="1"/>
  <c r="BD268" i="7"/>
  <c r="BD269" i="7" s="1"/>
  <c r="BS268" i="7"/>
  <c r="BS269" i="7" s="1"/>
  <c r="I268" i="7"/>
  <c r="I269" i="7" s="1"/>
  <c r="Y268" i="7"/>
  <c r="Y269" i="7" s="1"/>
  <c r="AP268" i="7"/>
  <c r="AP269" i="7" s="1"/>
  <c r="BE268" i="7"/>
  <c r="BE269" i="7" s="1"/>
  <c r="BU268" i="7"/>
  <c r="BU269" i="7" s="1"/>
  <c r="AD268" i="7"/>
  <c r="AD269" i="7" s="1"/>
  <c r="BZ268" i="7"/>
  <c r="BZ269" i="7" s="1"/>
  <c r="AL268" i="7"/>
  <c r="AL269" i="7" s="1"/>
  <c r="AQ268" i="7"/>
  <c r="AQ269" i="7" s="1"/>
  <c r="AR268" i="7"/>
  <c r="AR269" i="7" s="1"/>
  <c r="AS268" i="7"/>
  <c r="AS269" i="7" s="1"/>
  <c r="G268" i="7"/>
  <c r="G269" i="7" s="1"/>
  <c r="BC268" i="7"/>
  <c r="BC269" i="7" s="1"/>
  <c r="K268" i="7"/>
  <c r="K269" i="7" s="1"/>
  <c r="BG268" i="7"/>
  <c r="BG269" i="7" s="1"/>
  <c r="M268" i="7"/>
  <c r="M269" i="7" s="1"/>
  <c r="BI268" i="7"/>
  <c r="BI269" i="7" s="1"/>
  <c r="V268" i="7"/>
  <c r="V269" i="7" s="1"/>
  <c r="BR268" i="7"/>
  <c r="BR269" i="7" s="1"/>
  <c r="J268" i="7"/>
  <c r="J269" i="7" s="1"/>
  <c r="Z268" i="7"/>
  <c r="Z269" i="7" s="1"/>
  <c r="AA268" i="7"/>
  <c r="AA269" i="7" s="1"/>
  <c r="BF268" i="7"/>
  <c r="BF269" i="7" s="1"/>
  <c r="BV268" i="7"/>
  <c r="BV269" i="7" s="1"/>
  <c r="BW268" i="7"/>
  <c r="BW269" i="7" s="1"/>
  <c r="H286" i="7"/>
  <c r="T286" i="7"/>
  <c r="AF286" i="7"/>
  <c r="AR286" i="7"/>
  <c r="BD286" i="7"/>
  <c r="BP286" i="7"/>
  <c r="CB286" i="7"/>
  <c r="I286" i="7"/>
  <c r="U286" i="7"/>
  <c r="AG286" i="7"/>
  <c r="AS286" i="7"/>
  <c r="BE286" i="7"/>
  <c r="BQ286" i="7"/>
  <c r="CC286" i="7"/>
  <c r="O286" i="7"/>
  <c r="AC286" i="7"/>
  <c r="AQ286" i="7"/>
  <c r="BG286" i="7"/>
  <c r="BU286" i="7"/>
  <c r="P286" i="7"/>
  <c r="AD286" i="7"/>
  <c r="AT286" i="7"/>
  <c r="BH286" i="7"/>
  <c r="BV286" i="7"/>
  <c r="Q286" i="7"/>
  <c r="AE286" i="7"/>
  <c r="AU286" i="7"/>
  <c r="BI286" i="7"/>
  <c r="BW286" i="7"/>
  <c r="E286" i="7"/>
  <c r="S286" i="7"/>
  <c r="AI286" i="7"/>
  <c r="AW286" i="7"/>
  <c r="BK286" i="7"/>
  <c r="BY286" i="7"/>
  <c r="F286" i="7"/>
  <c r="V286" i="7"/>
  <c r="AJ286" i="7"/>
  <c r="AX286" i="7"/>
  <c r="BL286" i="7"/>
  <c r="BZ286" i="7"/>
  <c r="J286" i="7"/>
  <c r="X286" i="7"/>
  <c r="AL286" i="7"/>
  <c r="AZ286" i="7"/>
  <c r="BN286" i="7"/>
  <c r="K286" i="7"/>
  <c r="Y286" i="7"/>
  <c r="AM286" i="7"/>
  <c r="BA286" i="7"/>
  <c r="BO286" i="7"/>
  <c r="G286" i="7"/>
  <c r="AO286" i="7"/>
  <c r="BX286" i="7"/>
  <c r="L286" i="7"/>
  <c r="AP286" i="7"/>
  <c r="CA286" i="7"/>
  <c r="M286" i="7"/>
  <c r="AV286" i="7"/>
  <c r="N286" i="7"/>
  <c r="AY286" i="7"/>
  <c r="R286" i="7"/>
  <c r="BB286" i="7"/>
  <c r="W286" i="7"/>
  <c r="BC286" i="7"/>
  <c r="AA286" i="7"/>
  <c r="BJ286" i="7"/>
  <c r="AB286" i="7"/>
  <c r="BM286" i="7"/>
  <c r="BT286" i="7"/>
  <c r="D286" i="7"/>
  <c r="AK286" i="7"/>
  <c r="BF286" i="7"/>
  <c r="BS286" i="7"/>
  <c r="Z286" i="7"/>
  <c r="AH286" i="7"/>
  <c r="AN286" i="7"/>
  <c r="BR286" i="7"/>
  <c r="K217" i="5"/>
  <c r="J223" i="5"/>
  <c r="O268" i="5"/>
  <c r="O269" i="5" s="1"/>
  <c r="AA268" i="5"/>
  <c r="AA269" i="5" s="1"/>
  <c r="AM268" i="5"/>
  <c r="AM269" i="5" s="1"/>
  <c r="AY268" i="5"/>
  <c r="AY269" i="5" s="1"/>
  <c r="BK268" i="5"/>
  <c r="BK269" i="5" s="1"/>
  <c r="BW268" i="5"/>
  <c r="BW269" i="5" s="1"/>
  <c r="D268" i="5"/>
  <c r="D269" i="5" s="1"/>
  <c r="P268" i="5"/>
  <c r="P269" i="5" s="1"/>
  <c r="AB268" i="5"/>
  <c r="AB269" i="5" s="1"/>
  <c r="AN268" i="5"/>
  <c r="AN269" i="5" s="1"/>
  <c r="AZ268" i="5"/>
  <c r="AZ269" i="5" s="1"/>
  <c r="BL268" i="5"/>
  <c r="BL269" i="5" s="1"/>
  <c r="BX268" i="5"/>
  <c r="BX269" i="5" s="1"/>
  <c r="E268" i="5"/>
  <c r="E269" i="5" s="1"/>
  <c r="Q268" i="5"/>
  <c r="Q269" i="5" s="1"/>
  <c r="AC268" i="5"/>
  <c r="AC269" i="5" s="1"/>
  <c r="AO268" i="5"/>
  <c r="AO269" i="5" s="1"/>
  <c r="BA268" i="5"/>
  <c r="BA269" i="5" s="1"/>
  <c r="BM268" i="5"/>
  <c r="BM269" i="5" s="1"/>
  <c r="BY268" i="5"/>
  <c r="BY269" i="5" s="1"/>
  <c r="F268" i="5"/>
  <c r="F269" i="5" s="1"/>
  <c r="R268" i="5"/>
  <c r="R269" i="5" s="1"/>
  <c r="AD268" i="5"/>
  <c r="AD269" i="5" s="1"/>
  <c r="AP268" i="5"/>
  <c r="AP269" i="5" s="1"/>
  <c r="BB268" i="5"/>
  <c r="BB269" i="5" s="1"/>
  <c r="BN268" i="5"/>
  <c r="BN269" i="5" s="1"/>
  <c r="BZ268" i="5"/>
  <c r="BZ269" i="5" s="1"/>
  <c r="G268" i="5"/>
  <c r="G269" i="5" s="1"/>
  <c r="S268" i="5"/>
  <c r="S269" i="5" s="1"/>
  <c r="AE268" i="5"/>
  <c r="AE269" i="5" s="1"/>
  <c r="AQ268" i="5"/>
  <c r="AQ269" i="5" s="1"/>
  <c r="BC268" i="5"/>
  <c r="BC269" i="5" s="1"/>
  <c r="BO268" i="5"/>
  <c r="BO269" i="5" s="1"/>
  <c r="CA268" i="5"/>
  <c r="CA269" i="5" s="1"/>
  <c r="H268" i="5"/>
  <c r="H269" i="5" s="1"/>
  <c r="T268" i="5"/>
  <c r="T269" i="5" s="1"/>
  <c r="AF268" i="5"/>
  <c r="AF269" i="5" s="1"/>
  <c r="AR268" i="5"/>
  <c r="AR269" i="5" s="1"/>
  <c r="BD268" i="5"/>
  <c r="BD269" i="5" s="1"/>
  <c r="BP268" i="5"/>
  <c r="BP269" i="5" s="1"/>
  <c r="CB268" i="5"/>
  <c r="CB269" i="5" s="1"/>
  <c r="I268" i="5"/>
  <c r="I269" i="5" s="1"/>
  <c r="U268" i="5"/>
  <c r="U269" i="5" s="1"/>
  <c r="AG268" i="5"/>
  <c r="AG269" i="5" s="1"/>
  <c r="AS268" i="5"/>
  <c r="AS269" i="5" s="1"/>
  <c r="BE268" i="5"/>
  <c r="BE269" i="5" s="1"/>
  <c r="BQ268" i="5"/>
  <c r="BQ269" i="5" s="1"/>
  <c r="CC268" i="5"/>
  <c r="CC269" i="5" s="1"/>
  <c r="J268" i="5"/>
  <c r="J269" i="5" s="1"/>
  <c r="V268" i="5"/>
  <c r="V269" i="5" s="1"/>
  <c r="AH268" i="5"/>
  <c r="AH269" i="5" s="1"/>
  <c r="AT268" i="5"/>
  <c r="AT269" i="5" s="1"/>
  <c r="BF268" i="5"/>
  <c r="BF269" i="5" s="1"/>
  <c r="BR268" i="5"/>
  <c r="BR269" i="5" s="1"/>
  <c r="K268" i="5"/>
  <c r="K269" i="5" s="1"/>
  <c r="W268" i="5"/>
  <c r="W269" i="5" s="1"/>
  <c r="AI268" i="5"/>
  <c r="AI269" i="5" s="1"/>
  <c r="AU268" i="5"/>
  <c r="AU269" i="5" s="1"/>
  <c r="BG268" i="5"/>
  <c r="BG269" i="5" s="1"/>
  <c r="BS268" i="5"/>
  <c r="BS269" i="5" s="1"/>
  <c r="L268" i="5"/>
  <c r="L269" i="5" s="1"/>
  <c r="X268" i="5"/>
  <c r="X269" i="5" s="1"/>
  <c r="AJ268" i="5"/>
  <c r="AJ269" i="5" s="1"/>
  <c r="AV268" i="5"/>
  <c r="AV269" i="5" s="1"/>
  <c r="BH268" i="5"/>
  <c r="BH269" i="5" s="1"/>
  <c r="BT268" i="5"/>
  <c r="BT269" i="5" s="1"/>
  <c r="M268" i="5"/>
  <c r="M269" i="5" s="1"/>
  <c r="Y268" i="5"/>
  <c r="Y269" i="5" s="1"/>
  <c r="AK268" i="5"/>
  <c r="AK269" i="5" s="1"/>
  <c r="AW268" i="5"/>
  <c r="AW269" i="5" s="1"/>
  <c r="BI268" i="5"/>
  <c r="BI269" i="5" s="1"/>
  <c r="BU268" i="5"/>
  <c r="BU269" i="5" s="1"/>
  <c r="N268" i="5"/>
  <c r="N269" i="5" s="1"/>
  <c r="Z268" i="5"/>
  <c r="Z269" i="5" s="1"/>
  <c r="AL268" i="5"/>
  <c r="AL269" i="5" s="1"/>
  <c r="AX268" i="5"/>
  <c r="AX269" i="5" s="1"/>
  <c r="BJ268" i="5"/>
  <c r="BJ269" i="5" s="1"/>
  <c r="BV268" i="5"/>
  <c r="BV269" i="5" s="1"/>
  <c r="J160" i="7"/>
  <c r="J158" i="7"/>
  <c r="K154" i="7"/>
  <c r="K53" i="10"/>
  <c r="K55" i="10"/>
  <c r="L49" i="10"/>
  <c r="L182" i="5"/>
  <c r="K188" i="5"/>
  <c r="M286" i="5"/>
  <c r="Y286" i="5"/>
  <c r="AK286" i="5"/>
  <c r="AW286" i="5"/>
  <c r="BI286" i="5"/>
  <c r="BU286" i="5"/>
  <c r="O286" i="5"/>
  <c r="AA286" i="5"/>
  <c r="AM286" i="5"/>
  <c r="AY286" i="5"/>
  <c r="BK286" i="5"/>
  <c r="BW286" i="5"/>
  <c r="D286" i="5"/>
  <c r="P286" i="5"/>
  <c r="AB286" i="5"/>
  <c r="AN286" i="5"/>
  <c r="AZ286" i="5"/>
  <c r="BL286" i="5"/>
  <c r="BX286" i="5"/>
  <c r="E286" i="5"/>
  <c r="Q286" i="5"/>
  <c r="AC286" i="5"/>
  <c r="AO286" i="5"/>
  <c r="BA286" i="5"/>
  <c r="BM286" i="5"/>
  <c r="BY286" i="5"/>
  <c r="F286" i="5"/>
  <c r="R286" i="5"/>
  <c r="AD286" i="5"/>
  <c r="AP286" i="5"/>
  <c r="BB286" i="5"/>
  <c r="BN286" i="5"/>
  <c r="BZ286" i="5"/>
  <c r="G286" i="5"/>
  <c r="S286" i="5"/>
  <c r="AE286" i="5"/>
  <c r="AQ286" i="5"/>
  <c r="BC286" i="5"/>
  <c r="BO286" i="5"/>
  <c r="CA286" i="5"/>
  <c r="H286" i="5"/>
  <c r="T286" i="5"/>
  <c r="AF286" i="5"/>
  <c r="AR286" i="5"/>
  <c r="BD286" i="5"/>
  <c r="BP286" i="5"/>
  <c r="CB286" i="5"/>
  <c r="I286" i="5"/>
  <c r="U286" i="5"/>
  <c r="AG286" i="5"/>
  <c r="AS286" i="5"/>
  <c r="BE286" i="5"/>
  <c r="BQ286" i="5"/>
  <c r="CC286" i="5"/>
  <c r="J286" i="5"/>
  <c r="V286" i="5"/>
  <c r="AH286" i="5"/>
  <c r="AT286" i="5"/>
  <c r="BF286" i="5"/>
  <c r="BR286" i="5"/>
  <c r="K286" i="5"/>
  <c r="W286" i="5"/>
  <c r="AI286" i="5"/>
  <c r="AU286" i="5"/>
  <c r="BG286" i="5"/>
  <c r="BS286" i="5"/>
  <c r="L286" i="5"/>
  <c r="X286" i="5"/>
  <c r="AJ286" i="5"/>
  <c r="AV286" i="5"/>
  <c r="BH286" i="5"/>
  <c r="BT286" i="5"/>
  <c r="N286" i="5"/>
  <c r="Z286" i="5"/>
  <c r="AL286" i="5"/>
  <c r="AX286" i="5"/>
  <c r="BJ286" i="5"/>
  <c r="BV286" i="5"/>
  <c r="L210" i="5"/>
  <c r="K216" i="5"/>
  <c r="G19" i="9"/>
  <c r="J18" i="9"/>
  <c r="M147" i="5"/>
  <c r="L151" i="5"/>
  <c r="L153" i="5"/>
  <c r="L196" i="5"/>
  <c r="K200" i="5"/>
  <c r="K202" i="5"/>
  <c r="K48" i="5"/>
  <c r="L42" i="5"/>
  <c r="J76" i="3"/>
  <c r="G18" i="4"/>
  <c r="J17" i="4"/>
  <c r="K83" i="7"/>
  <c r="K81" i="7"/>
  <c r="L77" i="7"/>
  <c r="J32" i="3"/>
  <c r="J34" i="3"/>
  <c r="K28" i="3"/>
  <c r="K245" i="5"/>
  <c r="J251" i="5"/>
  <c r="K195" i="7"/>
  <c r="L189" i="7"/>
  <c r="G18" i="6"/>
  <c r="J17" i="6"/>
  <c r="L84" i="5"/>
  <c r="K90" i="5"/>
  <c r="K88" i="5"/>
  <c r="I72" i="3"/>
  <c r="I73" i="3" s="1"/>
  <c r="U72" i="3"/>
  <c r="U73" i="3" s="1"/>
  <c r="AG72" i="3"/>
  <c r="AG73" i="3" s="1"/>
  <c r="AS72" i="3"/>
  <c r="AS73" i="3" s="1"/>
  <c r="BE72" i="3"/>
  <c r="BE73" i="3" s="1"/>
  <c r="BQ72" i="3"/>
  <c r="BQ73" i="3" s="1"/>
  <c r="CC72" i="3"/>
  <c r="CC73" i="3" s="1"/>
  <c r="J72" i="3"/>
  <c r="J73" i="3" s="1"/>
  <c r="V72" i="3"/>
  <c r="V73" i="3" s="1"/>
  <c r="AH72" i="3"/>
  <c r="AH73" i="3" s="1"/>
  <c r="AT72" i="3"/>
  <c r="AT73" i="3" s="1"/>
  <c r="BF72" i="3"/>
  <c r="BF73" i="3" s="1"/>
  <c r="BR72" i="3"/>
  <c r="BR73" i="3" s="1"/>
  <c r="K72" i="3"/>
  <c r="K73" i="3" s="1"/>
  <c r="W72" i="3"/>
  <c r="W73" i="3" s="1"/>
  <c r="AI72" i="3"/>
  <c r="AI73" i="3" s="1"/>
  <c r="AU72" i="3"/>
  <c r="AU73" i="3" s="1"/>
  <c r="BG72" i="3"/>
  <c r="BG73" i="3" s="1"/>
  <c r="BS72" i="3"/>
  <c r="BS73" i="3" s="1"/>
  <c r="L72" i="3"/>
  <c r="L73" i="3" s="1"/>
  <c r="X72" i="3"/>
  <c r="X73" i="3" s="1"/>
  <c r="AJ72" i="3"/>
  <c r="AJ73" i="3" s="1"/>
  <c r="AV72" i="3"/>
  <c r="AV73" i="3" s="1"/>
  <c r="BH72" i="3"/>
  <c r="BH73" i="3" s="1"/>
  <c r="BT72" i="3"/>
  <c r="BT73" i="3" s="1"/>
  <c r="M72" i="3"/>
  <c r="M73" i="3" s="1"/>
  <c r="Y72" i="3"/>
  <c r="Y73" i="3" s="1"/>
  <c r="AK72" i="3"/>
  <c r="AK73" i="3" s="1"/>
  <c r="AW72" i="3"/>
  <c r="AW73" i="3" s="1"/>
  <c r="BI72" i="3"/>
  <c r="BI73" i="3" s="1"/>
  <c r="BU72" i="3"/>
  <c r="BU73" i="3" s="1"/>
  <c r="N72" i="3"/>
  <c r="N73" i="3" s="1"/>
  <c r="Z72" i="3"/>
  <c r="Z73" i="3" s="1"/>
  <c r="AL72" i="3"/>
  <c r="AL73" i="3" s="1"/>
  <c r="AX72" i="3"/>
  <c r="AX73" i="3" s="1"/>
  <c r="BJ72" i="3"/>
  <c r="BJ73" i="3" s="1"/>
  <c r="BV72" i="3"/>
  <c r="BV73" i="3" s="1"/>
  <c r="O72" i="3"/>
  <c r="O73" i="3" s="1"/>
  <c r="AA72" i="3"/>
  <c r="AA73" i="3" s="1"/>
  <c r="AM72" i="3"/>
  <c r="AM73" i="3" s="1"/>
  <c r="AY72" i="3"/>
  <c r="AY73" i="3" s="1"/>
  <c r="BK72" i="3"/>
  <c r="BK73" i="3" s="1"/>
  <c r="BW72" i="3"/>
  <c r="BW73" i="3" s="1"/>
  <c r="D72" i="3"/>
  <c r="D73" i="3" s="1"/>
  <c r="P72" i="3"/>
  <c r="P73" i="3" s="1"/>
  <c r="AB72" i="3"/>
  <c r="AB73" i="3" s="1"/>
  <c r="AN72" i="3"/>
  <c r="AN73" i="3" s="1"/>
  <c r="AZ72" i="3"/>
  <c r="AZ73" i="3" s="1"/>
  <c r="BL72" i="3"/>
  <c r="BL73" i="3" s="1"/>
  <c r="BX72" i="3"/>
  <c r="BX73" i="3" s="1"/>
  <c r="E72" i="3"/>
  <c r="E73" i="3" s="1"/>
  <c r="Q72" i="3"/>
  <c r="Q73" i="3" s="1"/>
  <c r="AC72" i="3"/>
  <c r="AC73" i="3" s="1"/>
  <c r="AO72" i="3"/>
  <c r="AO73" i="3" s="1"/>
  <c r="BA72" i="3"/>
  <c r="BA73" i="3" s="1"/>
  <c r="BM72" i="3"/>
  <c r="BM73" i="3" s="1"/>
  <c r="BY72" i="3"/>
  <c r="BY73" i="3" s="1"/>
  <c r="F72" i="3"/>
  <c r="F73" i="3" s="1"/>
  <c r="R72" i="3"/>
  <c r="R73" i="3" s="1"/>
  <c r="AD72" i="3"/>
  <c r="AD73" i="3" s="1"/>
  <c r="AP72" i="3"/>
  <c r="AP73" i="3" s="1"/>
  <c r="BB72" i="3"/>
  <c r="BB73" i="3" s="1"/>
  <c r="BN72" i="3"/>
  <c r="BN73" i="3" s="1"/>
  <c r="BZ72" i="3"/>
  <c r="BZ73" i="3" s="1"/>
  <c r="G72" i="3"/>
  <c r="G73" i="3" s="1"/>
  <c r="S72" i="3"/>
  <c r="S73" i="3" s="1"/>
  <c r="AE72" i="3"/>
  <c r="AE73" i="3" s="1"/>
  <c r="AQ72" i="3"/>
  <c r="AQ73" i="3" s="1"/>
  <c r="BC72" i="3"/>
  <c r="BC73" i="3" s="1"/>
  <c r="BO72" i="3"/>
  <c r="BO73" i="3" s="1"/>
  <c r="CA72" i="3"/>
  <c r="CA73" i="3" s="1"/>
  <c r="H72" i="3"/>
  <c r="H73" i="3" s="1"/>
  <c r="T72" i="3"/>
  <c r="T73" i="3" s="1"/>
  <c r="AF72" i="3"/>
  <c r="AF73" i="3" s="1"/>
  <c r="AR72" i="3"/>
  <c r="AR73" i="3" s="1"/>
  <c r="BD72" i="3"/>
  <c r="BD73" i="3" s="1"/>
  <c r="BP72" i="3"/>
  <c r="BP73" i="3" s="1"/>
  <c r="CB72" i="3"/>
  <c r="CB73" i="3" s="1"/>
  <c r="L14" i="3"/>
  <c r="K20" i="3"/>
  <c r="K18" i="3"/>
  <c r="L189" i="5"/>
  <c r="K195" i="5"/>
  <c r="K140" i="7"/>
  <c r="J146" i="7"/>
  <c r="J144" i="7"/>
  <c r="K48" i="7"/>
  <c r="L42" i="7"/>
  <c r="J118" i="7"/>
  <c r="K112" i="7"/>
  <c r="M168" i="5"/>
  <c r="L174" i="5"/>
  <c r="J111" i="7"/>
  <c r="K105" i="7"/>
  <c r="J109" i="7"/>
  <c r="K83" i="5"/>
  <c r="L77" i="5"/>
  <c r="K81" i="5"/>
  <c r="K98" i="5"/>
  <c r="J104" i="5"/>
  <c r="K14" i="7"/>
  <c r="J20" i="7"/>
  <c r="J260" i="7"/>
  <c r="J266" i="7" s="1"/>
  <c r="J281" i="7"/>
  <c r="J272" i="7"/>
  <c r="K167" i="5"/>
  <c r="L161" i="5"/>
  <c r="G90" i="3"/>
  <c r="S90" i="3"/>
  <c r="AE90" i="3"/>
  <c r="AQ90" i="3"/>
  <c r="BC90" i="3"/>
  <c r="BO90" i="3"/>
  <c r="CA90" i="3"/>
  <c r="H90" i="3"/>
  <c r="T90" i="3"/>
  <c r="AF90" i="3"/>
  <c r="AR90" i="3"/>
  <c r="BD90" i="3"/>
  <c r="BP90" i="3"/>
  <c r="CB90" i="3"/>
  <c r="I90" i="3"/>
  <c r="U90" i="3"/>
  <c r="AG90" i="3"/>
  <c r="AS90" i="3"/>
  <c r="BE90" i="3"/>
  <c r="BQ90" i="3"/>
  <c r="CC90" i="3"/>
  <c r="J90" i="3"/>
  <c r="V90" i="3"/>
  <c r="AH90" i="3"/>
  <c r="AT90" i="3"/>
  <c r="BF90" i="3"/>
  <c r="BR90" i="3"/>
  <c r="K90" i="3"/>
  <c r="W90" i="3"/>
  <c r="AI90" i="3"/>
  <c r="AU90" i="3"/>
  <c r="BG90" i="3"/>
  <c r="BS90" i="3"/>
  <c r="L90" i="3"/>
  <c r="X90" i="3"/>
  <c r="AJ90" i="3"/>
  <c r="AV90" i="3"/>
  <c r="BH90" i="3"/>
  <c r="BT90" i="3"/>
  <c r="M90" i="3"/>
  <c r="Y90" i="3"/>
  <c r="AK90" i="3"/>
  <c r="AW90" i="3"/>
  <c r="BI90" i="3"/>
  <c r="BU90" i="3"/>
  <c r="N90" i="3"/>
  <c r="Z90" i="3"/>
  <c r="AL90" i="3"/>
  <c r="AX90" i="3"/>
  <c r="BJ90" i="3"/>
  <c r="BV90" i="3"/>
  <c r="O90" i="3"/>
  <c r="AA90" i="3"/>
  <c r="AM90" i="3"/>
  <c r="AY90" i="3"/>
  <c r="BK90" i="3"/>
  <c r="BW90" i="3"/>
  <c r="D90" i="3"/>
  <c r="P90" i="3"/>
  <c r="AB90" i="3"/>
  <c r="AN90" i="3"/>
  <c r="AZ90" i="3"/>
  <c r="BL90" i="3"/>
  <c r="BX90" i="3"/>
  <c r="E90" i="3"/>
  <c r="Q90" i="3"/>
  <c r="AC90" i="3"/>
  <c r="AO90" i="3"/>
  <c r="BA90" i="3"/>
  <c r="BM90" i="3"/>
  <c r="BY90" i="3"/>
  <c r="F90" i="3"/>
  <c r="R90" i="3"/>
  <c r="AD90" i="3"/>
  <c r="AP90" i="3"/>
  <c r="BB90" i="3"/>
  <c r="BN90" i="3"/>
  <c r="BZ90" i="3"/>
  <c r="J237" i="5"/>
  <c r="J235" i="5"/>
  <c r="K231" i="5"/>
  <c r="J230" i="7"/>
  <c r="K224" i="7"/>
  <c r="K41" i="7"/>
  <c r="L35" i="7"/>
  <c r="N224" i="5"/>
  <c r="M230" i="5"/>
  <c r="K119" i="5"/>
  <c r="J125" i="5"/>
  <c r="J123" i="5"/>
  <c r="K46" i="10"/>
  <c r="K48" i="10"/>
  <c r="L42" i="10"/>
  <c r="J258" i="5"/>
  <c r="K252" i="5"/>
  <c r="J209" i="7"/>
  <c r="K203" i="7"/>
  <c r="K245" i="7"/>
  <c r="J251" i="7"/>
  <c r="K27" i="10"/>
  <c r="K25" i="10"/>
  <c r="L21" i="10"/>
  <c r="K105" i="5"/>
  <c r="J111" i="5"/>
  <c r="J109" i="5"/>
  <c r="J167" i="7"/>
  <c r="K161" i="7"/>
  <c r="K146" i="5" l="1"/>
  <c r="AA89" i="10"/>
  <c r="AA87" i="10" s="1"/>
  <c r="AZ89" i="10"/>
  <c r="AZ87" i="10" s="1"/>
  <c r="W89" i="10"/>
  <c r="W87" i="10" s="1"/>
  <c r="AC10" i="10"/>
  <c r="AW10" i="10"/>
  <c r="BC10" i="10"/>
  <c r="BX89" i="10"/>
  <c r="BX87" i="10" s="1"/>
  <c r="AP89" i="10"/>
  <c r="AP87" i="10" s="1"/>
  <c r="AO10" i="10"/>
  <c r="AM10" i="10"/>
  <c r="AT89" i="10"/>
  <c r="AT87" i="10" s="1"/>
  <c r="AR10" i="10"/>
  <c r="Y89" i="10"/>
  <c r="Y87" i="10" s="1"/>
  <c r="S89" i="10"/>
  <c r="S87" i="10" s="1"/>
  <c r="U10" i="10"/>
  <c r="BO89" i="10"/>
  <c r="BO87" i="10" s="1"/>
  <c r="BI89" i="10"/>
  <c r="BI87" i="10" s="1"/>
  <c r="BT10" i="10"/>
  <c r="BV10" i="10"/>
  <c r="BL89" i="10"/>
  <c r="BL87" i="10" s="1"/>
  <c r="BN89" i="10"/>
  <c r="BN87" i="10" s="1"/>
  <c r="J89" i="10"/>
  <c r="J87" i="10" s="1"/>
  <c r="BH10" i="10"/>
  <c r="AV10" i="10"/>
  <c r="E89" i="10"/>
  <c r="E87" i="10" s="1"/>
  <c r="AF10" i="10"/>
  <c r="AJ10" i="10"/>
  <c r="BQ10" i="10"/>
  <c r="AS10" i="10"/>
  <c r="BK89" i="10"/>
  <c r="BK87" i="10" s="1"/>
  <c r="BJ89" i="10"/>
  <c r="BJ87" i="10" s="1"/>
  <c r="O89" i="10"/>
  <c r="O87" i="10" s="1"/>
  <c r="I10" i="10"/>
  <c r="M89" i="10"/>
  <c r="AU89" i="10"/>
  <c r="AU87" i="10" s="1"/>
  <c r="G10" i="10"/>
  <c r="AD89" i="10"/>
  <c r="AD87" i="10" s="1"/>
  <c r="BW10" i="10"/>
  <c r="BZ10" i="10"/>
  <c r="BD89" i="10"/>
  <c r="BD87" i="10" s="1"/>
  <c r="BB89" i="10"/>
  <c r="BB87" i="10" s="1"/>
  <c r="P89" i="10"/>
  <c r="P87" i="10" s="1"/>
  <c r="BA10" i="10"/>
  <c r="K62" i="7"/>
  <c r="L56" i="7"/>
  <c r="BY10" i="10"/>
  <c r="K158" i="5"/>
  <c r="L154" i="5"/>
  <c r="K160" i="5"/>
  <c r="BG10" i="10"/>
  <c r="AK89" i="10"/>
  <c r="Z10" i="10"/>
  <c r="V10" i="10"/>
  <c r="Q10" i="10"/>
  <c r="AI89" i="10"/>
  <c r="AI87" i="10" s="1"/>
  <c r="BR89" i="10"/>
  <c r="T89" i="10"/>
  <c r="T87" i="10" s="1"/>
  <c r="H89" i="10"/>
  <c r="H87" i="10" s="1"/>
  <c r="AY89" i="10"/>
  <c r="AY87" i="10" s="1"/>
  <c r="BU89" i="10"/>
  <c r="BU87" i="10" s="1"/>
  <c r="K89" i="10"/>
  <c r="K87" i="10" s="1"/>
  <c r="CA89" i="10"/>
  <c r="CA87" i="10" s="1"/>
  <c r="AH89" i="10"/>
  <c r="AH87" i="10" s="1"/>
  <c r="AL89" i="10"/>
  <c r="AL87" i="10" s="1"/>
  <c r="BM10" i="10"/>
  <c r="BP10" i="10"/>
  <c r="AE89" i="10"/>
  <c r="AE87" i="10" s="1"/>
  <c r="AQ89" i="10"/>
  <c r="AQ87" i="10" s="1"/>
  <c r="AN10" i="10"/>
  <c r="AX10" i="10"/>
  <c r="AB89" i="10"/>
  <c r="AB87" i="10" s="1"/>
  <c r="X89" i="10"/>
  <c r="X87" i="10" s="1"/>
  <c r="N10" i="10"/>
  <c r="CB89" i="10"/>
  <c r="CB87" i="10" s="1"/>
  <c r="BF89" i="10"/>
  <c r="BF87" i="10" s="1"/>
  <c r="R10" i="10"/>
  <c r="AG10" i="10"/>
  <c r="CC89" i="10"/>
  <c r="CC87" i="10" s="1"/>
  <c r="BS89" i="10"/>
  <c r="BS87" i="10" s="1"/>
  <c r="L10" i="10"/>
  <c r="BE89" i="10"/>
  <c r="BE87" i="10" s="1"/>
  <c r="N28" i="10"/>
  <c r="M34" i="10"/>
  <c r="K64" i="3"/>
  <c r="K70" i="3" s="1"/>
  <c r="L35" i="10"/>
  <c r="K41" i="10"/>
  <c r="L14" i="10"/>
  <c r="K20" i="10"/>
  <c r="K41" i="3"/>
  <c r="K39" i="3"/>
  <c r="L35" i="3"/>
  <c r="K34" i="5"/>
  <c r="L28" i="5"/>
  <c r="K32" i="5"/>
  <c r="K104" i="7"/>
  <c r="L98" i="7"/>
  <c r="L49" i="5"/>
  <c r="K55" i="5"/>
  <c r="K62" i="5"/>
  <c r="L56" i="5"/>
  <c r="L63" i="7"/>
  <c r="K69" i="7"/>
  <c r="L70" i="7"/>
  <c r="K76" i="7"/>
  <c r="N63" i="5"/>
  <c r="M69" i="5"/>
  <c r="L91" i="7"/>
  <c r="K97" i="7"/>
  <c r="K95" i="7"/>
  <c r="L21" i="3"/>
  <c r="K27" i="3"/>
  <c r="K25" i="3"/>
  <c r="M21" i="5"/>
  <c r="L27" i="5"/>
  <c r="L25" i="5"/>
  <c r="Z10" i="7"/>
  <c r="Z285" i="7"/>
  <c r="Z283" i="7" s="1"/>
  <c r="BB10" i="7"/>
  <c r="BB285" i="7"/>
  <c r="BB283" i="7" s="1"/>
  <c r="BO10" i="7"/>
  <c r="BO285" i="7"/>
  <c r="BO283" i="7" s="1"/>
  <c r="AX10" i="7"/>
  <c r="AX285" i="7"/>
  <c r="AX283" i="7" s="1"/>
  <c r="AU10" i="7"/>
  <c r="AU285" i="7"/>
  <c r="AU283" i="7" s="1"/>
  <c r="O10" i="7"/>
  <c r="O285" i="7"/>
  <c r="O283" i="7" s="1"/>
  <c r="AF10" i="7"/>
  <c r="AF285" i="7"/>
  <c r="AF283" i="7" s="1"/>
  <c r="M133" i="5"/>
  <c r="L137" i="5"/>
  <c r="L139" i="5"/>
  <c r="G19" i="8"/>
  <c r="J18" i="8"/>
  <c r="K244" i="7"/>
  <c r="L238" i="7"/>
  <c r="K242" i="7"/>
  <c r="L42" i="3"/>
  <c r="K46" i="3"/>
  <c r="K48" i="3"/>
  <c r="L10" i="3"/>
  <c r="L89" i="3"/>
  <c r="L87" i="3" s="1"/>
  <c r="M42" i="10"/>
  <c r="L46" i="10"/>
  <c r="L48" i="10"/>
  <c r="K235" i="5"/>
  <c r="K237" i="5"/>
  <c r="L231" i="5"/>
  <c r="BA10" i="3"/>
  <c r="BA89" i="3"/>
  <c r="BA87" i="3" s="1"/>
  <c r="BW10" i="3"/>
  <c r="BW89" i="3"/>
  <c r="BW87" i="3" s="1"/>
  <c r="BU10" i="3"/>
  <c r="BU89" i="3"/>
  <c r="BU87" i="3" s="1"/>
  <c r="BS10" i="3"/>
  <c r="BS89" i="3"/>
  <c r="BS87" i="3" s="1"/>
  <c r="CC10" i="3"/>
  <c r="CC89" i="3"/>
  <c r="CC87" i="3" s="1"/>
  <c r="T10" i="3"/>
  <c r="T89" i="3"/>
  <c r="T87" i="3" s="1"/>
  <c r="L83" i="5"/>
  <c r="M77" i="5"/>
  <c r="L81" i="5"/>
  <c r="M42" i="7"/>
  <c r="L46" i="7"/>
  <c r="L48" i="7"/>
  <c r="M14" i="3"/>
  <c r="L20" i="3"/>
  <c r="L18" i="3"/>
  <c r="M153" i="5"/>
  <c r="N147" i="5"/>
  <c r="M151" i="5"/>
  <c r="BH10" i="5"/>
  <c r="BH285" i="5"/>
  <c r="BH283" i="5" s="1"/>
  <c r="BF10" i="5"/>
  <c r="BF285" i="5"/>
  <c r="BF283" i="5" s="1"/>
  <c r="CB10" i="5"/>
  <c r="CB285" i="5"/>
  <c r="CB283" i="5" s="1"/>
  <c r="S10" i="5"/>
  <c r="S285" i="5"/>
  <c r="S283" i="5" s="1"/>
  <c r="AO10" i="5"/>
  <c r="AO285" i="5"/>
  <c r="AO283" i="5" s="1"/>
  <c r="BK10" i="5"/>
  <c r="BK285" i="5"/>
  <c r="BK283" i="5" s="1"/>
  <c r="BS10" i="7"/>
  <c r="BS285" i="7"/>
  <c r="BS283" i="7" s="1"/>
  <c r="R10" i="7"/>
  <c r="R285" i="7"/>
  <c r="R283" i="7" s="1"/>
  <c r="BA10" i="7"/>
  <c r="BA285" i="7"/>
  <c r="BA283" i="7" s="1"/>
  <c r="AJ10" i="7"/>
  <c r="AJ285" i="7"/>
  <c r="AJ283" i="7" s="1"/>
  <c r="AE10" i="7"/>
  <c r="AE285" i="7"/>
  <c r="AE283" i="7" s="1"/>
  <c r="CC10" i="7"/>
  <c r="CC285" i="7"/>
  <c r="CC283" i="7" s="1"/>
  <c r="T10" i="7"/>
  <c r="T285" i="7"/>
  <c r="T283" i="7" s="1"/>
  <c r="K132" i="7"/>
  <c r="L126" i="7"/>
  <c r="N175" i="7"/>
  <c r="M181" i="7"/>
  <c r="K20" i="5"/>
  <c r="L14" i="5"/>
  <c r="K281" i="5"/>
  <c r="K260" i="5"/>
  <c r="K266" i="5" s="1"/>
  <c r="K272" i="5"/>
  <c r="K118" i="5"/>
  <c r="L112" i="5"/>
  <c r="K116" i="5"/>
  <c r="L49" i="3"/>
  <c r="K53" i="3"/>
  <c r="K55" i="3"/>
  <c r="L161" i="7"/>
  <c r="K167" i="7"/>
  <c r="M21" i="10"/>
  <c r="L27" i="10"/>
  <c r="L25" i="10"/>
  <c r="AO10" i="3"/>
  <c r="AO89" i="3"/>
  <c r="AO87" i="3" s="1"/>
  <c r="BK10" i="3"/>
  <c r="BK89" i="3"/>
  <c r="BK87" i="3" s="1"/>
  <c r="BI10" i="3"/>
  <c r="BI89" i="3"/>
  <c r="BI87" i="3" s="1"/>
  <c r="BG10" i="3"/>
  <c r="BG89" i="3"/>
  <c r="BG87" i="3" s="1"/>
  <c r="BQ10" i="3"/>
  <c r="BQ89" i="3"/>
  <c r="H10" i="3"/>
  <c r="H89" i="3"/>
  <c r="H87" i="3" s="1"/>
  <c r="G19" i="6"/>
  <c r="J18" i="6"/>
  <c r="G19" i="4"/>
  <c r="J18" i="4"/>
  <c r="AV10" i="5"/>
  <c r="AV285" i="5"/>
  <c r="AV283" i="5" s="1"/>
  <c r="AT10" i="5"/>
  <c r="AT285" i="5"/>
  <c r="AT283" i="5" s="1"/>
  <c r="BP10" i="5"/>
  <c r="BP285" i="5"/>
  <c r="BP283" i="5" s="1"/>
  <c r="G10" i="5"/>
  <c r="G285" i="5"/>
  <c r="G283" i="5" s="1"/>
  <c r="AC10" i="5"/>
  <c r="AC285" i="5"/>
  <c r="AC283" i="5" s="1"/>
  <c r="AY10" i="5"/>
  <c r="AY285" i="5"/>
  <c r="AY283" i="5" s="1"/>
  <c r="BF10" i="7"/>
  <c r="BF285" i="7"/>
  <c r="BF283" i="7" s="1"/>
  <c r="AY10" i="7"/>
  <c r="AY285" i="7"/>
  <c r="AY283" i="7" s="1"/>
  <c r="AM10" i="7"/>
  <c r="AM285" i="7"/>
  <c r="AM283" i="7" s="1"/>
  <c r="V10" i="7"/>
  <c r="V285" i="7"/>
  <c r="V283" i="7" s="1"/>
  <c r="Q10" i="7"/>
  <c r="Q285" i="7"/>
  <c r="Q283" i="7" s="1"/>
  <c r="BQ10" i="7"/>
  <c r="BQ285" i="7"/>
  <c r="H10" i="7"/>
  <c r="H285" i="7"/>
  <c r="H283" i="7" s="1"/>
  <c r="M140" i="5"/>
  <c r="L146" i="5"/>
  <c r="K41" i="5"/>
  <c r="L35" i="5"/>
  <c r="N10" i="3"/>
  <c r="N89" i="3"/>
  <c r="BW10" i="5"/>
  <c r="BW285" i="5"/>
  <c r="BW283" i="5" s="1"/>
  <c r="AC10" i="3"/>
  <c r="AC89" i="3"/>
  <c r="AC87" i="3" s="1"/>
  <c r="AY10" i="3"/>
  <c r="AY89" i="3"/>
  <c r="AY87" i="3" s="1"/>
  <c r="AW10" i="3"/>
  <c r="AW89" i="3"/>
  <c r="AW87" i="3" s="1"/>
  <c r="AU10" i="3"/>
  <c r="AU89" i="3"/>
  <c r="AU87" i="3" s="1"/>
  <c r="BE10" i="3"/>
  <c r="BE89" i="3"/>
  <c r="BE87" i="3" s="1"/>
  <c r="CA10" i="3"/>
  <c r="CA89" i="3"/>
  <c r="CA87" i="3" s="1"/>
  <c r="L195" i="7"/>
  <c r="M189" i="7"/>
  <c r="G20" i="9"/>
  <c r="J19" i="9"/>
  <c r="AJ10" i="5"/>
  <c r="AJ285" i="5"/>
  <c r="AJ283" i="5" s="1"/>
  <c r="AH10" i="5"/>
  <c r="AH285" i="5"/>
  <c r="AH283" i="5" s="1"/>
  <c r="BD10" i="5"/>
  <c r="BD285" i="5"/>
  <c r="BD283" i="5" s="1"/>
  <c r="BZ10" i="5"/>
  <c r="BZ285" i="5"/>
  <c r="BZ283" i="5" s="1"/>
  <c r="Q10" i="5"/>
  <c r="Q285" i="5"/>
  <c r="Q283" i="5" s="1"/>
  <c r="AM10" i="5"/>
  <c r="AM285" i="5"/>
  <c r="AM283" i="5" s="1"/>
  <c r="AK10" i="7"/>
  <c r="AK285" i="7"/>
  <c r="N10" i="7"/>
  <c r="N285" i="7"/>
  <c r="Y10" i="7"/>
  <c r="Y285" i="7"/>
  <c r="Y283" i="7" s="1"/>
  <c r="F10" i="7"/>
  <c r="F285" i="7"/>
  <c r="F283" i="7" s="1"/>
  <c r="BV10" i="7"/>
  <c r="BV285" i="7"/>
  <c r="BV283" i="7" s="1"/>
  <c r="BE10" i="7"/>
  <c r="BE285" i="7"/>
  <c r="BE283" i="7" s="1"/>
  <c r="L62" i="3"/>
  <c r="M56" i="3"/>
  <c r="L60" i="3"/>
  <c r="BO10" i="3"/>
  <c r="BO89" i="3"/>
  <c r="BO87" i="3" s="1"/>
  <c r="L14" i="7"/>
  <c r="K20" i="7"/>
  <c r="K260" i="7"/>
  <c r="K266" i="7" s="1"/>
  <c r="K272" i="7"/>
  <c r="K281" i="7"/>
  <c r="L105" i="7"/>
  <c r="K111" i="7"/>
  <c r="K109" i="7"/>
  <c r="X10" i="5"/>
  <c r="X285" i="5"/>
  <c r="X283" i="5" s="1"/>
  <c r="V10" i="5"/>
  <c r="V285" i="5"/>
  <c r="V283" i="5" s="1"/>
  <c r="AR10" i="5"/>
  <c r="AR285" i="5"/>
  <c r="AR283" i="5" s="1"/>
  <c r="BN10" i="5"/>
  <c r="BN285" i="5"/>
  <c r="BN283" i="5" s="1"/>
  <c r="E10" i="5"/>
  <c r="E285" i="5"/>
  <c r="E283" i="5" s="1"/>
  <c r="AA10" i="5"/>
  <c r="AA285" i="5"/>
  <c r="AA283" i="5" s="1"/>
  <c r="L188" i="5"/>
  <c r="M182" i="5"/>
  <c r="D10" i="7"/>
  <c r="D285" i="7"/>
  <c r="D283" i="7" s="1"/>
  <c r="AV10" i="7"/>
  <c r="AV285" i="7"/>
  <c r="AV283" i="7" s="1"/>
  <c r="K10" i="7"/>
  <c r="K285" i="7"/>
  <c r="K283" i="7" s="1"/>
  <c r="BY10" i="7"/>
  <c r="BY285" i="7"/>
  <c r="BY283" i="7" s="1"/>
  <c r="BH10" i="7"/>
  <c r="BH285" i="7"/>
  <c r="BH283" i="7" s="1"/>
  <c r="AS10" i="7"/>
  <c r="AS285" i="7"/>
  <c r="AS283" i="7" s="1"/>
  <c r="K223" i="7"/>
  <c r="L217" i="7"/>
  <c r="K221" i="7"/>
  <c r="K202" i="7"/>
  <c r="L196" i="7"/>
  <c r="L84" i="7"/>
  <c r="K90" i="7"/>
  <c r="K88" i="7"/>
  <c r="BM10" i="3"/>
  <c r="BM89" i="3"/>
  <c r="BM87" i="3" s="1"/>
  <c r="BT10" i="5"/>
  <c r="BT285" i="5"/>
  <c r="BT283" i="5" s="1"/>
  <c r="BR10" i="5"/>
  <c r="BR285" i="5"/>
  <c r="I10" i="5"/>
  <c r="I285" i="5"/>
  <c r="I283" i="5" s="1"/>
  <c r="AE10" i="5"/>
  <c r="AE285" i="5"/>
  <c r="AE283" i="5" s="1"/>
  <c r="AI10" i="3"/>
  <c r="AI89" i="3"/>
  <c r="AI87" i="3" s="1"/>
  <c r="AG10" i="3"/>
  <c r="AG89" i="3"/>
  <c r="AG87" i="3" s="1"/>
  <c r="L216" i="5"/>
  <c r="M210" i="5"/>
  <c r="BX10" i="5"/>
  <c r="BX285" i="5"/>
  <c r="BX283" i="5" s="1"/>
  <c r="BT10" i="7"/>
  <c r="BT285" i="7"/>
  <c r="BT283" i="7" s="1"/>
  <c r="M10" i="7"/>
  <c r="M285" i="7"/>
  <c r="BN10" i="7"/>
  <c r="BN285" i="7"/>
  <c r="BN283" i="7" s="1"/>
  <c r="BK10" i="7"/>
  <c r="BK285" i="7"/>
  <c r="BK283" i="7" s="1"/>
  <c r="AT10" i="7"/>
  <c r="AT285" i="7"/>
  <c r="AT283" i="7" s="1"/>
  <c r="AG10" i="7"/>
  <c r="AG285" i="7"/>
  <c r="AG283" i="7" s="1"/>
  <c r="M119" i="7"/>
  <c r="L125" i="7"/>
  <c r="L123" i="7"/>
  <c r="K97" i="5"/>
  <c r="L91" i="5"/>
  <c r="L209" i="5"/>
  <c r="M203" i="5"/>
  <c r="W10" i="3"/>
  <c r="W89" i="3"/>
  <c r="W87" i="3" s="1"/>
  <c r="M49" i="10"/>
  <c r="L53" i="10"/>
  <c r="L55" i="10"/>
  <c r="K125" i="5"/>
  <c r="L119" i="5"/>
  <c r="K123" i="5"/>
  <c r="BB10" i="3"/>
  <c r="BB89" i="3"/>
  <c r="BB87" i="3" s="1"/>
  <c r="BX10" i="3"/>
  <c r="BX89" i="3"/>
  <c r="BX87" i="3" s="1"/>
  <c r="O10" i="3"/>
  <c r="O89" i="3"/>
  <c r="O87" i="3" s="1"/>
  <c r="M10" i="3"/>
  <c r="M89" i="3"/>
  <c r="K10" i="3"/>
  <c r="K89" i="3"/>
  <c r="K87" i="3" s="1"/>
  <c r="AQ10" i="3"/>
  <c r="AQ89" i="3"/>
  <c r="AQ87" i="3" s="1"/>
  <c r="K251" i="5"/>
  <c r="L245" i="5"/>
  <c r="M42" i="5"/>
  <c r="L48" i="5"/>
  <c r="L46" i="5"/>
  <c r="BV10" i="5"/>
  <c r="BV285" i="5"/>
  <c r="BV283" i="5" s="1"/>
  <c r="BS10" i="5"/>
  <c r="BS285" i="5"/>
  <c r="BS283" i="5" s="1"/>
  <c r="CC10" i="5"/>
  <c r="CC285" i="5"/>
  <c r="CC283" i="5" s="1"/>
  <c r="T10" i="5"/>
  <c r="T285" i="5"/>
  <c r="T283" i="5" s="1"/>
  <c r="AP10" i="5"/>
  <c r="AP285" i="5"/>
  <c r="AP283" i="5" s="1"/>
  <c r="BL10" i="5"/>
  <c r="BL285" i="5"/>
  <c r="BL283" i="5" s="1"/>
  <c r="BU10" i="5"/>
  <c r="BU285" i="5"/>
  <c r="BU283" i="5" s="1"/>
  <c r="BM10" i="7"/>
  <c r="BM285" i="7"/>
  <c r="BM283" i="7" s="1"/>
  <c r="CA10" i="7"/>
  <c r="CA285" i="7"/>
  <c r="CA283" i="7" s="1"/>
  <c r="AZ10" i="7"/>
  <c r="AZ285" i="7"/>
  <c r="AZ283" i="7" s="1"/>
  <c r="AW10" i="7"/>
  <c r="AW285" i="7"/>
  <c r="AW283" i="7" s="1"/>
  <c r="AD10" i="7"/>
  <c r="AD285" i="7"/>
  <c r="AD283" i="7" s="1"/>
  <c r="U10" i="7"/>
  <c r="U285" i="7"/>
  <c r="U283" i="7" s="1"/>
  <c r="K244" i="5"/>
  <c r="L238" i="5"/>
  <c r="K153" i="7"/>
  <c r="L147" i="7"/>
  <c r="K151" i="7"/>
  <c r="J10" i="3"/>
  <c r="J89" i="3"/>
  <c r="J87" i="3" s="1"/>
  <c r="N230" i="5"/>
  <c r="O224" i="5"/>
  <c r="BZ10" i="3"/>
  <c r="BZ89" i="3"/>
  <c r="BZ87" i="3" s="1"/>
  <c r="Q10" i="3"/>
  <c r="Q89" i="3"/>
  <c r="Q87" i="3" s="1"/>
  <c r="AM10" i="3"/>
  <c r="AM89" i="3"/>
  <c r="AM87" i="3" s="1"/>
  <c r="AS10" i="3"/>
  <c r="AS89" i="3"/>
  <c r="AS87" i="3" s="1"/>
  <c r="M35" i="7"/>
  <c r="L41" i="7"/>
  <c r="BN10" i="3"/>
  <c r="BN89" i="3"/>
  <c r="BN87" i="3" s="1"/>
  <c r="E10" i="3"/>
  <c r="E89" i="3"/>
  <c r="E87" i="3" s="1"/>
  <c r="AA10" i="3"/>
  <c r="AA89" i="3"/>
  <c r="AA87" i="3" s="1"/>
  <c r="Y10" i="3"/>
  <c r="Y89" i="3"/>
  <c r="Y87" i="3" s="1"/>
  <c r="BC10" i="3"/>
  <c r="BC89" i="3"/>
  <c r="BC87" i="3" s="1"/>
  <c r="K146" i="7"/>
  <c r="L140" i="7"/>
  <c r="K144" i="7"/>
  <c r="L10" i="5"/>
  <c r="L285" i="5"/>
  <c r="L283" i="5" s="1"/>
  <c r="J10" i="5"/>
  <c r="J285" i="5"/>
  <c r="J283" i="5" s="1"/>
  <c r="AF10" i="5"/>
  <c r="AF285" i="5"/>
  <c r="AF283" i="5" s="1"/>
  <c r="BB10" i="5"/>
  <c r="BB285" i="5"/>
  <c r="BB283" i="5" s="1"/>
  <c r="O10" i="5"/>
  <c r="O285" i="5"/>
  <c r="O283" i="5" s="1"/>
  <c r="K251" i="7"/>
  <c r="L245" i="7"/>
  <c r="U10" i="3"/>
  <c r="U89" i="3"/>
  <c r="U87" i="3" s="1"/>
  <c r="K230" i="7"/>
  <c r="L224" i="7"/>
  <c r="K228" i="7"/>
  <c r="AP10" i="3"/>
  <c r="AP89" i="3"/>
  <c r="AP87" i="3" s="1"/>
  <c r="BL10" i="3"/>
  <c r="BL89" i="3"/>
  <c r="BL87" i="3" s="1"/>
  <c r="BV10" i="3"/>
  <c r="BV89" i="3"/>
  <c r="BV87" i="3" s="1"/>
  <c r="BT10" i="3"/>
  <c r="BT89" i="3"/>
  <c r="BT87" i="3" s="1"/>
  <c r="BR10" i="3"/>
  <c r="BR89" i="3"/>
  <c r="I10" i="3"/>
  <c r="I89" i="3"/>
  <c r="I87" i="3" s="1"/>
  <c r="AE10" i="3"/>
  <c r="AE89" i="3"/>
  <c r="AE87" i="3" s="1"/>
  <c r="M174" i="5"/>
  <c r="N168" i="5"/>
  <c r="L195" i="5"/>
  <c r="M189" i="5"/>
  <c r="L28" i="3"/>
  <c r="K34" i="3"/>
  <c r="K32" i="3"/>
  <c r="BJ10" i="5"/>
  <c r="BJ285" i="5"/>
  <c r="BJ283" i="5" s="1"/>
  <c r="BG10" i="5"/>
  <c r="BG285" i="5"/>
  <c r="BG283" i="5" s="1"/>
  <c r="BQ10" i="5"/>
  <c r="BQ285" i="5"/>
  <c r="H10" i="5"/>
  <c r="H285" i="5"/>
  <c r="H283" i="5" s="1"/>
  <c r="AD10" i="5"/>
  <c r="AD285" i="5"/>
  <c r="AD283" i="5" s="1"/>
  <c r="AZ10" i="5"/>
  <c r="AZ285" i="5"/>
  <c r="AZ283" i="5" s="1"/>
  <c r="BI10" i="5"/>
  <c r="BI285" i="5"/>
  <c r="BI283" i="5" s="1"/>
  <c r="AB10" i="7"/>
  <c r="AB285" i="7"/>
  <c r="AB283" i="7" s="1"/>
  <c r="AP10" i="7"/>
  <c r="AP285" i="7"/>
  <c r="AP283" i="7" s="1"/>
  <c r="AL10" i="7"/>
  <c r="AL285" i="7"/>
  <c r="AL283" i="7" s="1"/>
  <c r="AI10" i="7"/>
  <c r="AI285" i="7"/>
  <c r="AI283" i="7" s="1"/>
  <c r="P10" i="7"/>
  <c r="P285" i="7"/>
  <c r="P283" i="7" s="1"/>
  <c r="I10" i="7"/>
  <c r="I285" i="7"/>
  <c r="I283" i="7" s="1"/>
  <c r="N28" i="7"/>
  <c r="M34" i="7"/>
  <c r="L168" i="7"/>
  <c r="K174" i="7"/>
  <c r="D10" i="3"/>
  <c r="D89" i="3"/>
  <c r="D87" i="3" s="1"/>
  <c r="AF10" i="3"/>
  <c r="AF89" i="3"/>
  <c r="AF87" i="3" s="1"/>
  <c r="BA10" i="5"/>
  <c r="BA285" i="5"/>
  <c r="BA283" i="5" s="1"/>
  <c r="AK10" i="3"/>
  <c r="AK89" i="3"/>
  <c r="K111" i="5"/>
  <c r="L105" i="5"/>
  <c r="K109" i="5"/>
  <c r="AD10" i="3"/>
  <c r="AD89" i="3"/>
  <c r="AD87" i="3" s="1"/>
  <c r="AZ10" i="3"/>
  <c r="AZ89" i="3"/>
  <c r="AZ87" i="3" s="1"/>
  <c r="BJ10" i="3"/>
  <c r="BJ89" i="3"/>
  <c r="BJ87" i="3" s="1"/>
  <c r="BH10" i="3"/>
  <c r="BH89" i="3"/>
  <c r="BH87" i="3" s="1"/>
  <c r="BF10" i="3"/>
  <c r="BF89" i="3"/>
  <c r="BF87" i="3" s="1"/>
  <c r="CB10" i="3"/>
  <c r="CB89" i="3"/>
  <c r="CB87" i="3" s="1"/>
  <c r="S10" i="3"/>
  <c r="S89" i="3"/>
  <c r="S87" i="3" s="1"/>
  <c r="AX10" i="5"/>
  <c r="AX285" i="5"/>
  <c r="AX283" i="5" s="1"/>
  <c r="AU10" i="5"/>
  <c r="AU285" i="5"/>
  <c r="AU283" i="5" s="1"/>
  <c r="BE10" i="5"/>
  <c r="BE285" i="5"/>
  <c r="BE283" i="5" s="1"/>
  <c r="CA10" i="5"/>
  <c r="CA285" i="5"/>
  <c r="CA283" i="5" s="1"/>
  <c r="R10" i="5"/>
  <c r="R285" i="5"/>
  <c r="R283" i="5" s="1"/>
  <c r="AN10" i="5"/>
  <c r="AN285" i="5"/>
  <c r="AN283" i="5" s="1"/>
  <c r="AW10" i="5"/>
  <c r="AW285" i="5"/>
  <c r="AW283" i="5" s="1"/>
  <c r="K160" i="7"/>
  <c r="L154" i="7"/>
  <c r="K158" i="7"/>
  <c r="L217" i="5"/>
  <c r="K223" i="5"/>
  <c r="BJ10" i="7"/>
  <c r="BJ285" i="7"/>
  <c r="BJ283" i="7" s="1"/>
  <c r="L10" i="7"/>
  <c r="L285" i="7"/>
  <c r="L283" i="7" s="1"/>
  <c r="X10" i="7"/>
  <c r="X285" i="7"/>
  <c r="X283" i="7" s="1"/>
  <c r="S10" i="7"/>
  <c r="S285" i="7"/>
  <c r="S283" i="7" s="1"/>
  <c r="BU10" i="7"/>
  <c r="BU285" i="7"/>
  <c r="BU283" i="7" s="1"/>
  <c r="CB10" i="7"/>
  <c r="CB285" i="7"/>
  <c r="CB283" i="7" s="1"/>
  <c r="M175" i="5"/>
  <c r="L181" i="5"/>
  <c r="M237" i="7"/>
  <c r="N231" i="7"/>
  <c r="K139" i="7"/>
  <c r="L133" i="7"/>
  <c r="K137" i="7"/>
  <c r="K209" i="7"/>
  <c r="L203" i="7"/>
  <c r="R10" i="3"/>
  <c r="R89" i="3"/>
  <c r="R87" i="3" s="1"/>
  <c r="AN10" i="3"/>
  <c r="AN89" i="3"/>
  <c r="AN87" i="3" s="1"/>
  <c r="AX10" i="3"/>
  <c r="AX89" i="3"/>
  <c r="AX87" i="3" s="1"/>
  <c r="AV10" i="3"/>
  <c r="AV89" i="3"/>
  <c r="AV87" i="3" s="1"/>
  <c r="AT10" i="3"/>
  <c r="AT89" i="3"/>
  <c r="AT87" i="3" s="1"/>
  <c r="BP10" i="3"/>
  <c r="BP89" i="3"/>
  <c r="BP87" i="3" s="1"/>
  <c r="G10" i="3"/>
  <c r="G89" i="3"/>
  <c r="G87" i="3" s="1"/>
  <c r="K85" i="3"/>
  <c r="AL10" i="5"/>
  <c r="AL285" i="5"/>
  <c r="AL283" i="5" s="1"/>
  <c r="AI10" i="5"/>
  <c r="AI285" i="5"/>
  <c r="AI283" i="5" s="1"/>
  <c r="AS10" i="5"/>
  <c r="AS285" i="5"/>
  <c r="AS283" i="5" s="1"/>
  <c r="BO10" i="5"/>
  <c r="BO285" i="5"/>
  <c r="BO283" i="5" s="1"/>
  <c r="F10" i="5"/>
  <c r="F285" i="5"/>
  <c r="F283" i="5" s="1"/>
  <c r="AB10" i="5"/>
  <c r="AB285" i="5"/>
  <c r="AB283" i="5" s="1"/>
  <c r="AK10" i="5"/>
  <c r="AK285" i="5"/>
  <c r="BR10" i="7"/>
  <c r="BR285" i="7"/>
  <c r="AA10" i="7"/>
  <c r="AA285" i="7"/>
  <c r="AA283" i="7" s="1"/>
  <c r="BX10" i="7"/>
  <c r="BX285" i="7"/>
  <c r="BX283" i="7" s="1"/>
  <c r="J10" i="7"/>
  <c r="J285" i="7"/>
  <c r="J283" i="7" s="1"/>
  <c r="E10" i="7"/>
  <c r="E285" i="7"/>
  <c r="E283" i="7" s="1"/>
  <c r="BG10" i="7"/>
  <c r="BG285" i="7"/>
  <c r="BG283" i="7" s="1"/>
  <c r="BP10" i="7"/>
  <c r="BP285" i="7"/>
  <c r="BP283" i="7" s="1"/>
  <c r="N76" i="5"/>
  <c r="O70" i="5"/>
  <c r="L252" i="7"/>
  <c r="K258" i="7"/>
  <c r="L210" i="7"/>
  <c r="K216" i="7"/>
  <c r="K188" i="7"/>
  <c r="L182" i="7"/>
  <c r="L27" i="7"/>
  <c r="M21" i="7"/>
  <c r="F10" i="3"/>
  <c r="F89" i="3"/>
  <c r="F87" i="3" s="1"/>
  <c r="AB10" i="3"/>
  <c r="AB89" i="3"/>
  <c r="AB87" i="3" s="1"/>
  <c r="AL10" i="3"/>
  <c r="AL89" i="3"/>
  <c r="AL87" i="3" s="1"/>
  <c r="AJ10" i="3"/>
  <c r="AJ89" i="3"/>
  <c r="AJ87" i="3" s="1"/>
  <c r="AH10" i="3"/>
  <c r="AH89" i="3"/>
  <c r="AH87" i="3" s="1"/>
  <c r="BD10" i="3"/>
  <c r="BD89" i="3"/>
  <c r="BD87" i="3" s="1"/>
  <c r="M161" i="5"/>
  <c r="L167" i="5"/>
  <c r="L88" i="5"/>
  <c r="L90" i="5"/>
  <c r="M84" i="5"/>
  <c r="L83" i="7"/>
  <c r="M77" i="7"/>
  <c r="L81" i="7"/>
  <c r="L202" i="5"/>
  <c r="M196" i="5"/>
  <c r="Z10" i="5"/>
  <c r="Z285" i="5"/>
  <c r="Z283" i="5" s="1"/>
  <c r="W10" i="5"/>
  <c r="W285" i="5"/>
  <c r="W283" i="5" s="1"/>
  <c r="AG10" i="5"/>
  <c r="AG285" i="5"/>
  <c r="AG283" i="5" s="1"/>
  <c r="BC10" i="5"/>
  <c r="BC285" i="5"/>
  <c r="BC283" i="5" s="1"/>
  <c r="BY10" i="5"/>
  <c r="BY285" i="5"/>
  <c r="BY283" i="5" s="1"/>
  <c r="P10" i="5"/>
  <c r="P285" i="5"/>
  <c r="P283" i="5" s="1"/>
  <c r="Y10" i="5"/>
  <c r="Y285" i="5"/>
  <c r="Y283" i="5" s="1"/>
  <c r="AN10" i="7"/>
  <c r="AN285" i="7"/>
  <c r="AN283" i="7" s="1"/>
  <c r="BC10" i="7"/>
  <c r="BC285" i="7"/>
  <c r="BC283" i="7" s="1"/>
  <c r="AO10" i="7"/>
  <c r="AO285" i="7"/>
  <c r="AO283" i="7" s="1"/>
  <c r="BZ10" i="7"/>
  <c r="BZ285" i="7"/>
  <c r="BZ283" i="7" s="1"/>
  <c r="BW10" i="7"/>
  <c r="BW285" i="7"/>
  <c r="BW283" i="7" s="1"/>
  <c r="AQ10" i="7"/>
  <c r="AQ285" i="7"/>
  <c r="AQ283" i="7" s="1"/>
  <c r="BD10" i="7"/>
  <c r="BD285" i="7"/>
  <c r="BD283" i="7" s="1"/>
  <c r="K258" i="5"/>
  <c r="L252" i="5"/>
  <c r="BY10" i="3"/>
  <c r="BY89" i="3"/>
  <c r="BY87" i="3" s="1"/>
  <c r="P10" i="3"/>
  <c r="P89" i="3"/>
  <c r="P87" i="3" s="1"/>
  <c r="Z10" i="3"/>
  <c r="Z89" i="3"/>
  <c r="Z87" i="3" s="1"/>
  <c r="X10" i="3"/>
  <c r="X89" i="3"/>
  <c r="X87" i="3" s="1"/>
  <c r="V10" i="3"/>
  <c r="V89" i="3"/>
  <c r="V87" i="3" s="1"/>
  <c r="AR10" i="3"/>
  <c r="AR89" i="3"/>
  <c r="AR87" i="3" s="1"/>
  <c r="K104" i="5"/>
  <c r="L98" i="5"/>
  <c r="L112" i="7"/>
  <c r="K118" i="7"/>
  <c r="K76" i="3"/>
  <c r="N10" i="5"/>
  <c r="N285" i="5"/>
  <c r="K10" i="5"/>
  <c r="K285" i="5"/>
  <c r="K283" i="5" s="1"/>
  <c r="U10" i="5"/>
  <c r="U285" i="5"/>
  <c r="U283" i="5" s="1"/>
  <c r="AQ10" i="5"/>
  <c r="AQ285" i="5"/>
  <c r="AQ283" i="5" s="1"/>
  <c r="BM10" i="5"/>
  <c r="BM285" i="5"/>
  <c r="BM283" i="5" s="1"/>
  <c r="D10" i="5"/>
  <c r="D285" i="5"/>
  <c r="D283" i="5" s="1"/>
  <c r="M10" i="5"/>
  <c r="M285" i="5"/>
  <c r="AH10" i="7"/>
  <c r="AH285" i="7"/>
  <c r="AH283" i="7" s="1"/>
  <c r="W10" i="7"/>
  <c r="W285" i="7"/>
  <c r="W283" i="7" s="1"/>
  <c r="G10" i="7"/>
  <c r="G285" i="7"/>
  <c r="G283" i="7" s="1"/>
  <c r="BL10" i="7"/>
  <c r="BL285" i="7"/>
  <c r="BL283" i="7" s="1"/>
  <c r="BI10" i="7"/>
  <c r="BI285" i="7"/>
  <c r="BI283" i="7" s="1"/>
  <c r="AC10" i="7"/>
  <c r="AC285" i="7"/>
  <c r="AC283" i="7" s="1"/>
  <c r="AR10" i="7"/>
  <c r="AR285" i="7"/>
  <c r="AR283" i="7" s="1"/>
  <c r="M49" i="7"/>
  <c r="L53" i="7"/>
  <c r="L55" i="7"/>
  <c r="M126" i="5"/>
  <c r="L132" i="5"/>
  <c r="F61" i="10" l="1"/>
  <c r="F91" i="10" s="1"/>
  <c r="F68" i="10"/>
  <c r="F80" i="10"/>
  <c r="F86" i="10"/>
  <c r="F81" i="10"/>
  <c r="F66" i="10"/>
  <c r="F78" i="10"/>
  <c r="F82" i="10"/>
  <c r="K56" i="10"/>
  <c r="M56" i="7"/>
  <c r="L62" i="7"/>
  <c r="M154" i="5"/>
  <c r="L160" i="5"/>
  <c r="N34" i="10"/>
  <c r="O28" i="10"/>
  <c r="L76" i="3"/>
  <c r="L20" i="10"/>
  <c r="M14" i="10"/>
  <c r="M35" i="10"/>
  <c r="L41" i="10"/>
  <c r="L62" i="5"/>
  <c r="M56" i="5"/>
  <c r="M21" i="3"/>
  <c r="L25" i="3"/>
  <c r="L27" i="3"/>
  <c r="M49" i="5"/>
  <c r="L55" i="5"/>
  <c r="L104" i="7"/>
  <c r="M98" i="7"/>
  <c r="M91" i="7"/>
  <c r="L97" i="7"/>
  <c r="L95" i="7"/>
  <c r="O63" i="5"/>
  <c r="N69" i="5"/>
  <c r="M28" i="5"/>
  <c r="L32" i="5"/>
  <c r="L34" i="5"/>
  <c r="M70" i="7"/>
  <c r="L76" i="7"/>
  <c r="L74" i="7"/>
  <c r="L41" i="3"/>
  <c r="L39" i="3"/>
  <c r="M35" i="3"/>
  <c r="M25" i="5"/>
  <c r="N21" i="5"/>
  <c r="M27" i="5"/>
  <c r="M63" i="7"/>
  <c r="L69" i="7"/>
  <c r="L223" i="7"/>
  <c r="M217" i="7"/>
  <c r="L221" i="7"/>
  <c r="N21" i="7"/>
  <c r="M27" i="7"/>
  <c r="L209" i="7"/>
  <c r="M203" i="7"/>
  <c r="L160" i="7"/>
  <c r="L158" i="7"/>
  <c r="M154" i="7"/>
  <c r="M245" i="5"/>
  <c r="L251" i="5"/>
  <c r="M14" i="7"/>
  <c r="L20" i="7"/>
  <c r="L272" i="7"/>
  <c r="L260" i="7"/>
  <c r="L266" i="7" s="1"/>
  <c r="L281" i="7"/>
  <c r="N189" i="7"/>
  <c r="M195" i="7"/>
  <c r="N21" i="10"/>
  <c r="M27" i="10"/>
  <c r="M25" i="10"/>
  <c r="M14" i="5"/>
  <c r="L20" i="5"/>
  <c r="L281" i="5"/>
  <c r="L260" i="5"/>
  <c r="L266" i="5" s="1"/>
  <c r="L272" i="5"/>
  <c r="O147" i="5"/>
  <c r="N153" i="5"/>
  <c r="N77" i="5"/>
  <c r="M83" i="5"/>
  <c r="M81" i="5"/>
  <c r="M42" i="3"/>
  <c r="L46" i="3"/>
  <c r="L48" i="3"/>
  <c r="O28" i="7"/>
  <c r="N34" i="7"/>
  <c r="G20" i="4"/>
  <c r="J19" i="4"/>
  <c r="M161" i="7"/>
  <c r="L167" i="7"/>
  <c r="L165" i="7"/>
  <c r="L237" i="5"/>
  <c r="M231" i="5"/>
  <c r="L235" i="5"/>
  <c r="L242" i="7"/>
  <c r="L244" i="7"/>
  <c r="M238" i="7"/>
  <c r="M209" i="5"/>
  <c r="N203" i="5"/>
  <c r="N84" i="5"/>
  <c r="M88" i="5"/>
  <c r="M90" i="5"/>
  <c r="M133" i="7"/>
  <c r="L139" i="7"/>
  <c r="L137" i="7"/>
  <c r="L153" i="7"/>
  <c r="M147" i="7"/>
  <c r="L151" i="7"/>
  <c r="M119" i="5"/>
  <c r="L123" i="5"/>
  <c r="L125" i="5"/>
  <c r="M188" i="5"/>
  <c r="N182" i="5"/>
  <c r="G20" i="6"/>
  <c r="J19" i="6"/>
  <c r="N181" i="7"/>
  <c r="O175" i="7"/>
  <c r="L85" i="3"/>
  <c r="M112" i="7"/>
  <c r="L118" i="7"/>
  <c r="L188" i="7"/>
  <c r="M182" i="7"/>
  <c r="L186" i="7"/>
  <c r="L230" i="7"/>
  <c r="M224" i="7"/>
  <c r="L95" i="5"/>
  <c r="L97" i="5"/>
  <c r="M91" i="5"/>
  <c r="L132" i="7"/>
  <c r="M126" i="7"/>
  <c r="L64" i="3"/>
  <c r="L70" i="3" s="1"/>
  <c r="M252" i="5"/>
  <c r="L258" i="5"/>
  <c r="L216" i="7"/>
  <c r="M210" i="7"/>
  <c r="N237" i="7"/>
  <c r="O231" i="7"/>
  <c r="M238" i="5"/>
  <c r="L244" i="5"/>
  <c r="L55" i="3"/>
  <c r="M49" i="3"/>
  <c r="L53" i="3"/>
  <c r="G20" i="8"/>
  <c r="J19" i="8"/>
  <c r="N126" i="5"/>
  <c r="M132" i="5"/>
  <c r="L104" i="5"/>
  <c r="M98" i="5"/>
  <c r="N49" i="7"/>
  <c r="M53" i="7"/>
  <c r="M55" i="7"/>
  <c r="M168" i="7"/>
  <c r="L174" i="7"/>
  <c r="M28" i="3"/>
  <c r="L32" i="3"/>
  <c r="L34" i="3"/>
  <c r="L251" i="7"/>
  <c r="M245" i="7"/>
  <c r="M62" i="3"/>
  <c r="N56" i="3"/>
  <c r="M60" i="3"/>
  <c r="L41" i="5"/>
  <c r="M35" i="5"/>
  <c r="L109" i="5"/>
  <c r="L111" i="5"/>
  <c r="M105" i="5"/>
  <c r="M195" i="5"/>
  <c r="N189" i="5"/>
  <c r="M140" i="7"/>
  <c r="L146" i="7"/>
  <c r="L144" i="7"/>
  <c r="N49" i="10"/>
  <c r="M55" i="10"/>
  <c r="M53" i="10"/>
  <c r="M84" i="7"/>
  <c r="L88" i="7"/>
  <c r="L90" i="7"/>
  <c r="M105" i="7"/>
  <c r="L111" i="7"/>
  <c r="L109" i="7"/>
  <c r="L116" i="5"/>
  <c r="L118" i="5"/>
  <c r="M112" i="5"/>
  <c r="N14" i="3"/>
  <c r="M20" i="3"/>
  <c r="M18" i="3"/>
  <c r="N42" i="10"/>
  <c r="M48" i="10"/>
  <c r="M46" i="10"/>
  <c r="P70" i="5"/>
  <c r="O76" i="5"/>
  <c r="M181" i="5"/>
  <c r="N175" i="5"/>
  <c r="N119" i="7"/>
  <c r="M125" i="7"/>
  <c r="M123" i="7"/>
  <c r="L202" i="7"/>
  <c r="M196" i="7"/>
  <c r="N133" i="5"/>
  <c r="M139" i="5"/>
  <c r="M137" i="5"/>
  <c r="N35" i="7"/>
  <c r="M41" i="7"/>
  <c r="N42" i="5"/>
  <c r="M48" i="5"/>
  <c r="M46" i="5"/>
  <c r="M83" i="7"/>
  <c r="N77" i="7"/>
  <c r="M81" i="7"/>
  <c r="M252" i="7"/>
  <c r="L258" i="7"/>
  <c r="M167" i="5"/>
  <c r="N161" i="5"/>
  <c r="O168" i="5"/>
  <c r="N174" i="5"/>
  <c r="G21" i="9"/>
  <c r="J20" i="9"/>
  <c r="N140" i="5"/>
  <c r="M146" i="5"/>
  <c r="M216" i="5"/>
  <c r="N210" i="5"/>
  <c r="M214" i="5"/>
  <c r="M202" i="5"/>
  <c r="N196" i="5"/>
  <c r="M200" i="5"/>
  <c r="L223" i="5"/>
  <c r="M217" i="5"/>
  <c r="O230" i="5"/>
  <c r="P224" i="5"/>
  <c r="N42" i="7"/>
  <c r="M48" i="7"/>
  <c r="K62" i="10" l="1"/>
  <c r="K60" i="10"/>
  <c r="L56" i="10"/>
  <c r="K85" i="10"/>
  <c r="K64" i="10"/>
  <c r="K70" i="10" s="1"/>
  <c r="K76" i="10"/>
  <c r="D100" i="10"/>
  <c r="F69" i="10"/>
  <c r="F10" i="10" s="1"/>
  <c r="F89" i="10"/>
  <c r="F87" i="10" s="1"/>
  <c r="L12" i="9" a="1"/>
  <c r="F73" i="10"/>
  <c r="D102" i="10"/>
  <c r="D104" i="10"/>
  <c r="M62" i="7"/>
  <c r="N56" i="7"/>
  <c r="M160" i="5"/>
  <c r="N154" i="5"/>
  <c r="O34" i="10"/>
  <c r="P28" i="10"/>
  <c r="N35" i="10"/>
  <c r="M41" i="10"/>
  <c r="M20" i="10"/>
  <c r="N14" i="10"/>
  <c r="N35" i="3"/>
  <c r="M41" i="3"/>
  <c r="M39" i="3"/>
  <c r="N91" i="7"/>
  <c r="M97" i="7"/>
  <c r="M95" i="7"/>
  <c r="M104" i="7"/>
  <c r="N98" i="7"/>
  <c r="M76" i="7"/>
  <c r="N70" i="7"/>
  <c r="N49" i="5"/>
  <c r="M55" i="5"/>
  <c r="N21" i="3"/>
  <c r="M27" i="3"/>
  <c r="M25" i="3"/>
  <c r="N63" i="7"/>
  <c r="M69" i="7"/>
  <c r="M32" i="5"/>
  <c r="N28" i="5"/>
  <c r="M34" i="5"/>
  <c r="N56" i="5"/>
  <c r="M62" i="5"/>
  <c r="M76" i="3"/>
  <c r="O21" i="5"/>
  <c r="N27" i="5"/>
  <c r="P63" i="5"/>
  <c r="O69" i="5"/>
  <c r="N168" i="7"/>
  <c r="M174" i="7"/>
  <c r="N209" i="5"/>
  <c r="O203" i="5"/>
  <c r="N161" i="7"/>
  <c r="M167" i="7"/>
  <c r="N27" i="10"/>
  <c r="O21" i="10"/>
  <c r="P168" i="5"/>
  <c r="O174" i="5"/>
  <c r="O119" i="7"/>
  <c r="N125" i="7"/>
  <c r="M41" i="5"/>
  <c r="N35" i="5"/>
  <c r="M55" i="3"/>
  <c r="N49" i="3"/>
  <c r="M53" i="3"/>
  <c r="N182" i="7"/>
  <c r="M188" i="7"/>
  <c r="O153" i="5"/>
  <c r="P147" i="5"/>
  <c r="N203" i="7"/>
  <c r="M209" i="7"/>
  <c r="O14" i="3"/>
  <c r="N20" i="3"/>
  <c r="O49" i="10"/>
  <c r="N55" i="10"/>
  <c r="N119" i="5"/>
  <c r="M125" i="5"/>
  <c r="M123" i="5"/>
  <c r="O189" i="7"/>
  <c r="N195" i="7"/>
  <c r="N62" i="3"/>
  <c r="O56" i="3"/>
  <c r="M244" i="5"/>
  <c r="N238" i="5"/>
  <c r="M242" i="5"/>
  <c r="N112" i="7"/>
  <c r="M118" i="7"/>
  <c r="M153" i="7"/>
  <c r="M151" i="7"/>
  <c r="N147" i="7"/>
  <c r="M244" i="7"/>
  <c r="N238" i="7"/>
  <c r="M242" i="7"/>
  <c r="O21" i="7"/>
  <c r="N27" i="7"/>
  <c r="M118" i="5"/>
  <c r="N112" i="5"/>
  <c r="M116" i="5"/>
  <c r="P76" i="5"/>
  <c r="Q70" i="5"/>
  <c r="N140" i="7"/>
  <c r="M146" i="7"/>
  <c r="M144" i="7"/>
  <c r="O49" i="7"/>
  <c r="N55" i="7"/>
  <c r="O237" i="7"/>
  <c r="P231" i="7"/>
  <c r="P28" i="7"/>
  <c r="O34" i="7"/>
  <c r="N126" i="7"/>
  <c r="M132" i="7"/>
  <c r="Q224" i="5"/>
  <c r="P230" i="5"/>
  <c r="O161" i="5"/>
  <c r="N167" i="5"/>
  <c r="O35" i="7"/>
  <c r="N41" i="7"/>
  <c r="M223" i="5"/>
  <c r="N217" i="5"/>
  <c r="N195" i="5"/>
  <c r="O189" i="5"/>
  <c r="M251" i="7"/>
  <c r="N245" i="7"/>
  <c r="N98" i="5"/>
  <c r="M104" i="5"/>
  <c r="O181" i="7"/>
  <c r="P175" i="7"/>
  <c r="N14" i="5"/>
  <c r="M20" i="5"/>
  <c r="M260" i="5"/>
  <c r="M266" i="5" s="1"/>
  <c r="M281" i="5"/>
  <c r="M272" i="5"/>
  <c r="O42" i="7"/>
  <c r="N48" i="7"/>
  <c r="O42" i="5"/>
  <c r="N48" i="5"/>
  <c r="N146" i="5"/>
  <c r="O140" i="5"/>
  <c r="M258" i="7"/>
  <c r="N252" i="7"/>
  <c r="N210" i="7"/>
  <c r="M216" i="7"/>
  <c r="M97" i="5"/>
  <c r="N91" i="5"/>
  <c r="M95" i="5"/>
  <c r="N14" i="7"/>
  <c r="M20" i="7"/>
  <c r="M260" i="7"/>
  <c r="M266" i="7" s="1"/>
  <c r="M272" i="7"/>
  <c r="M281" i="7"/>
  <c r="O133" i="5"/>
  <c r="N139" i="5"/>
  <c r="O42" i="10"/>
  <c r="N48" i="10"/>
  <c r="N105" i="7"/>
  <c r="M109" i="7"/>
  <c r="M111" i="7"/>
  <c r="M111" i="5"/>
  <c r="M109" i="5"/>
  <c r="N105" i="5"/>
  <c r="N133" i="7"/>
  <c r="M139" i="7"/>
  <c r="M137" i="7"/>
  <c r="M237" i="5"/>
  <c r="N231" i="5"/>
  <c r="M235" i="5"/>
  <c r="N42" i="3"/>
  <c r="M48" i="3"/>
  <c r="M46" i="3"/>
  <c r="N216" i="5"/>
  <c r="O210" i="5"/>
  <c r="G22" i="9"/>
  <c r="G23" i="9" s="1"/>
  <c r="G24" i="9" s="1"/>
  <c r="G25" i="9" s="1"/>
  <c r="G26" i="9" s="1"/>
  <c r="J21" i="9"/>
  <c r="N196" i="7"/>
  <c r="M202" i="7"/>
  <c r="N132" i="5"/>
  <c r="O126" i="5"/>
  <c r="G21" i="6"/>
  <c r="J20" i="6"/>
  <c r="G21" i="4"/>
  <c r="J20" i="4"/>
  <c r="N245" i="5"/>
  <c r="M251" i="5"/>
  <c r="N28" i="3"/>
  <c r="M34" i="3"/>
  <c r="M32" i="3"/>
  <c r="M258" i="5"/>
  <c r="N252" i="5"/>
  <c r="M256" i="5"/>
  <c r="M230" i="7"/>
  <c r="N224" i="7"/>
  <c r="N188" i="5"/>
  <c r="O182" i="5"/>
  <c r="M160" i="7"/>
  <c r="N154" i="7"/>
  <c r="M158" i="7"/>
  <c r="N217" i="7"/>
  <c r="M223" i="7"/>
  <c r="M221" i="7"/>
  <c r="N181" i="5"/>
  <c r="O175" i="5"/>
  <c r="M85" i="3"/>
  <c r="N202" i="5"/>
  <c r="O196" i="5"/>
  <c r="N83" i="7"/>
  <c r="O77" i="7"/>
  <c r="M64" i="3"/>
  <c r="M70" i="3" s="1"/>
  <c r="N84" i="7"/>
  <c r="M90" i="7"/>
  <c r="M88" i="7"/>
  <c r="G21" i="8"/>
  <c r="J20" i="8"/>
  <c r="O84" i="5"/>
  <c r="N90" i="5"/>
  <c r="N83" i="5"/>
  <c r="O77" i="5"/>
  <c r="L73" i="9" l="1"/>
  <c r="L59" i="9"/>
  <c r="L41" i="9"/>
  <c r="L64" i="9"/>
  <c r="L50" i="9"/>
  <c r="L27" i="9"/>
  <c r="L35" i="9"/>
  <c r="L89" i="9"/>
  <c r="L43" i="9"/>
  <c r="L22" i="9"/>
  <c r="L74" i="9"/>
  <c r="L47" i="9"/>
  <c r="L84" i="9"/>
  <c r="L17" i="9"/>
  <c r="L21" i="9"/>
  <c r="L24" i="9"/>
  <c r="L46" i="9"/>
  <c r="L40" i="9"/>
  <c r="L60" i="9"/>
  <c r="L54" i="9"/>
  <c r="L45" i="9"/>
  <c r="L58" i="9"/>
  <c r="L78" i="9"/>
  <c r="L34" i="9"/>
  <c r="L42" i="9"/>
  <c r="L71" i="9"/>
  <c r="L49" i="9"/>
  <c r="L23" i="9"/>
  <c r="L66" i="9"/>
  <c r="L85" i="9"/>
  <c r="L76" i="9"/>
  <c r="L79" i="9"/>
  <c r="L87" i="9"/>
  <c r="L32" i="9"/>
  <c r="L69" i="9"/>
  <c r="L57" i="9"/>
  <c r="L77" i="9"/>
  <c r="L37" i="9"/>
  <c r="L52" i="9"/>
  <c r="L14" i="9"/>
  <c r="L30" i="9"/>
  <c r="L61" i="9"/>
  <c r="L15" i="9"/>
  <c r="L18" i="9"/>
  <c r="L26" i="9"/>
  <c r="L33" i="9"/>
  <c r="L12" i="9"/>
  <c r="L65" i="9"/>
  <c r="L38" i="9"/>
  <c r="L72" i="9"/>
  <c r="L51" i="9"/>
  <c r="L36" i="9"/>
  <c r="L29" i="9"/>
  <c r="L88" i="9"/>
  <c r="L80" i="9"/>
  <c r="L75" i="9"/>
  <c r="L68" i="9"/>
  <c r="L82" i="9"/>
  <c r="L48" i="9"/>
  <c r="L70" i="9"/>
  <c r="L86" i="9"/>
  <c r="L25" i="9"/>
  <c r="L83" i="9"/>
  <c r="L28" i="9"/>
  <c r="L55" i="9"/>
  <c r="L81" i="9"/>
  <c r="L56" i="9"/>
  <c r="L44" i="9"/>
  <c r="L67" i="9"/>
  <c r="L63" i="9"/>
  <c r="L20" i="9"/>
  <c r="L13" i="9"/>
  <c r="L62" i="9"/>
  <c r="L53" i="9"/>
  <c r="L16" i="9"/>
  <c r="L39" i="9"/>
  <c r="L19" i="9"/>
  <c r="L31" i="9"/>
  <c r="M56" i="10"/>
  <c r="L60" i="10"/>
  <c r="L62" i="10"/>
  <c r="L85" i="10"/>
  <c r="L64" i="10"/>
  <c r="L70" i="10" s="1"/>
  <c r="L76" i="10"/>
  <c r="O56" i="7"/>
  <c r="N62" i="7"/>
  <c r="O154" i="5"/>
  <c r="N160" i="5"/>
  <c r="P34" i="10"/>
  <c r="Q28" i="10"/>
  <c r="O14" i="10"/>
  <c r="N20" i="10"/>
  <c r="N41" i="10"/>
  <c r="O35" i="10"/>
  <c r="O98" i="7"/>
  <c r="N104" i="7"/>
  <c r="O49" i="5"/>
  <c r="N55" i="5"/>
  <c r="O56" i="5"/>
  <c r="N62" i="5"/>
  <c r="N34" i="5"/>
  <c r="O28" i="5"/>
  <c r="N76" i="7"/>
  <c r="O70" i="7"/>
  <c r="N69" i="7"/>
  <c r="O63" i="7"/>
  <c r="O91" i="7"/>
  <c r="N97" i="7"/>
  <c r="P21" i="5"/>
  <c r="O27" i="5"/>
  <c r="P69" i="5"/>
  <c r="Q63" i="5"/>
  <c r="O21" i="3"/>
  <c r="N27" i="3"/>
  <c r="O35" i="3"/>
  <c r="N41" i="3"/>
  <c r="O14" i="7"/>
  <c r="N20" i="7"/>
  <c r="N260" i="7"/>
  <c r="N281" i="7"/>
  <c r="N272" i="7"/>
  <c r="O126" i="7"/>
  <c r="N132" i="7"/>
  <c r="O147" i="7"/>
  <c r="N153" i="7"/>
  <c r="R18" i="10"/>
  <c r="P140" i="5"/>
  <c r="O146" i="5"/>
  <c r="N223" i="5"/>
  <c r="O217" i="5"/>
  <c r="P189" i="7"/>
  <c r="O195" i="7"/>
  <c r="P14" i="3"/>
  <c r="O20" i="3"/>
  <c r="O49" i="3"/>
  <c r="N55" i="3"/>
  <c r="O42" i="3"/>
  <c r="N48" i="3"/>
  <c r="G22" i="6"/>
  <c r="G23" i="6" s="1"/>
  <c r="G24" i="6" s="1"/>
  <c r="G25" i="6" s="1"/>
  <c r="G26" i="6" s="1"/>
  <c r="J21" i="6"/>
  <c r="O14" i="5"/>
  <c r="N20" i="5"/>
  <c r="N281" i="5"/>
  <c r="N260" i="5"/>
  <c r="N272" i="5"/>
  <c r="Q28" i="7"/>
  <c r="P34" i="7"/>
  <c r="P21" i="10"/>
  <c r="O27" i="10"/>
  <c r="P42" i="10"/>
  <c r="O48" i="10"/>
  <c r="Q231" i="7"/>
  <c r="P237" i="7"/>
  <c r="O203" i="7"/>
  <c r="N209" i="7"/>
  <c r="R32" i="10"/>
  <c r="O84" i="7"/>
  <c r="N90" i="7"/>
  <c r="N237" i="5"/>
  <c r="O231" i="5"/>
  <c r="P42" i="5"/>
  <c r="O48" i="5"/>
  <c r="P35" i="7"/>
  <c r="O41" i="7"/>
  <c r="O112" i="7"/>
  <c r="N118" i="7"/>
  <c r="P153" i="5"/>
  <c r="Q147" i="5"/>
  <c r="G22" i="4"/>
  <c r="G23" i="4" s="1"/>
  <c r="G24" i="4" s="1"/>
  <c r="G25" i="4" s="1"/>
  <c r="G26" i="4" s="1"/>
  <c r="J21" i="4"/>
  <c r="N230" i="7"/>
  <c r="O224" i="7"/>
  <c r="O105" i="7"/>
  <c r="N111" i="7"/>
  <c r="P77" i="5"/>
  <c r="O83" i="5"/>
  <c r="P77" i="7"/>
  <c r="O83" i="7"/>
  <c r="N258" i="5"/>
  <c r="O252" i="5"/>
  <c r="P133" i="5"/>
  <c r="O139" i="5"/>
  <c r="O35" i="5"/>
  <c r="N41" i="5"/>
  <c r="N167" i="7"/>
  <c r="O161" i="7"/>
  <c r="N244" i="5"/>
  <c r="O238" i="5"/>
  <c r="O119" i="5"/>
  <c r="N125" i="5"/>
  <c r="O209" i="5"/>
  <c r="P203" i="5"/>
  <c r="O133" i="7"/>
  <c r="N139" i="7"/>
  <c r="R39" i="10"/>
  <c r="N97" i="5"/>
  <c r="O91" i="5"/>
  <c r="P49" i="7"/>
  <c r="O55" i="7"/>
  <c r="O217" i="7"/>
  <c r="N223" i="7"/>
  <c r="O28" i="3"/>
  <c r="N34" i="3"/>
  <c r="G27" i="9"/>
  <c r="J26" i="9"/>
  <c r="O105" i="5"/>
  <c r="N111" i="5"/>
  <c r="N104" i="5"/>
  <c r="O98" i="5"/>
  <c r="R224" i="5"/>
  <c r="Q230" i="5"/>
  <c r="O27" i="7"/>
  <c r="P21" i="7"/>
  <c r="P56" i="3"/>
  <c r="O62" i="3"/>
  <c r="P49" i="10"/>
  <c r="O55" i="10"/>
  <c r="P119" i="7"/>
  <c r="O125" i="7"/>
  <c r="O196" i="7"/>
  <c r="N202" i="7"/>
  <c r="P42" i="7"/>
  <c r="O48" i="7"/>
  <c r="O167" i="5"/>
  <c r="P161" i="5"/>
  <c r="O202" i="5"/>
  <c r="P196" i="5"/>
  <c r="P84" i="5"/>
  <c r="O90" i="5"/>
  <c r="O154" i="7"/>
  <c r="N160" i="7"/>
  <c r="O216" i="5"/>
  <c r="P210" i="5"/>
  <c r="O245" i="7"/>
  <c r="N251" i="7"/>
  <c r="O140" i="7"/>
  <c r="N146" i="7"/>
  <c r="N85" i="3"/>
  <c r="O182" i="7"/>
  <c r="N188" i="7"/>
  <c r="O168" i="7"/>
  <c r="N174" i="7"/>
  <c r="O181" i="5"/>
  <c r="P175" i="5"/>
  <c r="O132" i="5"/>
  <c r="P126" i="5"/>
  <c r="Q175" i="7"/>
  <c r="P181" i="7"/>
  <c r="O112" i="5"/>
  <c r="N118" i="5"/>
  <c r="O210" i="7"/>
  <c r="N216" i="7"/>
  <c r="Q76" i="5"/>
  <c r="R70" i="5"/>
  <c r="N244" i="7"/>
  <c r="O238" i="7"/>
  <c r="N64" i="3"/>
  <c r="Q168" i="5"/>
  <c r="P174" i="5"/>
  <c r="N251" i="5"/>
  <c r="O245" i="5"/>
  <c r="G22" i="8"/>
  <c r="G23" i="8" s="1"/>
  <c r="G24" i="8" s="1"/>
  <c r="G25" i="8" s="1"/>
  <c r="G26" i="8" s="1"/>
  <c r="J21" i="8"/>
  <c r="O188" i="5"/>
  <c r="P182" i="5"/>
  <c r="N258" i="7"/>
  <c r="O252" i="7"/>
  <c r="O195" i="5"/>
  <c r="P189" i="5"/>
  <c r="N76" i="3"/>
  <c r="N56" i="10" l="1"/>
  <c r="M62" i="10"/>
  <c r="M60" i="10"/>
  <c r="M64" i="10"/>
  <c r="M70" i="10" s="1"/>
  <c r="M76" i="10"/>
  <c r="M85" i="10"/>
  <c r="O62" i="7"/>
  <c r="P56" i="7"/>
  <c r="O160" i="5"/>
  <c r="P154" i="5"/>
  <c r="Q34" i="10"/>
  <c r="R28" i="10"/>
  <c r="P35" i="10"/>
  <c r="O41" i="10"/>
  <c r="P14" i="10"/>
  <c r="O20" i="10"/>
  <c r="P63" i="7"/>
  <c r="O69" i="7"/>
  <c r="O76" i="7"/>
  <c r="P70" i="7"/>
  <c r="P35" i="3"/>
  <c r="O41" i="3"/>
  <c r="O34" i="5"/>
  <c r="P28" i="5"/>
  <c r="P21" i="3"/>
  <c r="O27" i="3"/>
  <c r="R63" i="5"/>
  <c r="Q69" i="5"/>
  <c r="P56" i="5"/>
  <c r="O62" i="5"/>
  <c r="O76" i="3"/>
  <c r="P27" i="5"/>
  <c r="Q21" i="5"/>
  <c r="O55" i="5"/>
  <c r="P49" i="5"/>
  <c r="P91" i="7"/>
  <c r="O97" i="7"/>
  <c r="O104" i="7"/>
  <c r="P98" i="7"/>
  <c r="P35" i="5"/>
  <c r="O41" i="5"/>
  <c r="P105" i="7"/>
  <c r="O111" i="7"/>
  <c r="Q42" i="5"/>
  <c r="P48" i="5"/>
  <c r="Q14" i="3"/>
  <c r="P20" i="3"/>
  <c r="R168" i="5"/>
  <c r="Q174" i="5"/>
  <c r="Q210" i="5"/>
  <c r="P216" i="5"/>
  <c r="P195" i="5"/>
  <c r="Q189" i="5"/>
  <c r="O118" i="5"/>
  <c r="P112" i="5"/>
  <c r="P168" i="7"/>
  <c r="O174" i="7"/>
  <c r="Q42" i="7"/>
  <c r="P48" i="7"/>
  <c r="S224" i="5"/>
  <c r="R230" i="5"/>
  <c r="Q49" i="7"/>
  <c r="P55" i="7"/>
  <c r="P209" i="5"/>
  <c r="Q203" i="5"/>
  <c r="O230" i="7"/>
  <c r="P224" i="7"/>
  <c r="O237" i="5"/>
  <c r="P231" i="5"/>
  <c r="Q42" i="10"/>
  <c r="P48" i="10"/>
  <c r="P14" i="5"/>
  <c r="O20" i="5"/>
  <c r="O272" i="5"/>
  <c r="O281" i="5"/>
  <c r="O260" i="5"/>
  <c r="O244" i="7"/>
  <c r="P238" i="7"/>
  <c r="O104" i="5"/>
  <c r="P98" i="5"/>
  <c r="P139" i="5"/>
  <c r="Q133" i="5"/>
  <c r="Q189" i="7"/>
  <c r="P195" i="7"/>
  <c r="S18" i="10"/>
  <c r="P182" i="7"/>
  <c r="O188" i="7"/>
  <c r="O258" i="5"/>
  <c r="P252" i="5"/>
  <c r="G27" i="6"/>
  <c r="J26" i="6"/>
  <c r="O97" i="5"/>
  <c r="P91" i="5"/>
  <c r="P119" i="5"/>
  <c r="O125" i="5"/>
  <c r="G27" i="4"/>
  <c r="J26" i="4"/>
  <c r="P84" i="7"/>
  <c r="O90" i="7"/>
  <c r="O153" i="7"/>
  <c r="P147" i="7"/>
  <c r="Q126" i="5"/>
  <c r="P132" i="5"/>
  <c r="P188" i="5"/>
  <c r="Q182" i="5"/>
  <c r="Q84" i="5"/>
  <c r="P90" i="5"/>
  <c r="O244" i="5"/>
  <c r="P238" i="5"/>
  <c r="R147" i="5"/>
  <c r="Q153" i="5"/>
  <c r="P42" i="3"/>
  <c r="O48" i="3"/>
  <c r="O223" i="5"/>
  <c r="P217" i="5"/>
  <c r="P27" i="10"/>
  <c r="Q21" i="10"/>
  <c r="P126" i="7"/>
  <c r="O132" i="7"/>
  <c r="O258" i="7"/>
  <c r="P252" i="7"/>
  <c r="O160" i="7"/>
  <c r="P154" i="7"/>
  <c r="P202" i="5"/>
  <c r="Q196" i="5"/>
  <c r="S32" i="10"/>
  <c r="P49" i="3"/>
  <c r="O55" i="3"/>
  <c r="Q49" i="10"/>
  <c r="P55" i="10"/>
  <c r="G27" i="8"/>
  <c r="J26" i="8"/>
  <c r="O251" i="7"/>
  <c r="P245" i="7"/>
  <c r="S39" i="10"/>
  <c r="Q77" i="5"/>
  <c r="P83" i="5"/>
  <c r="P112" i="7"/>
  <c r="O118" i="7"/>
  <c r="R28" i="7"/>
  <c r="Q34" i="7"/>
  <c r="O64" i="3"/>
  <c r="P146" i="5"/>
  <c r="Q140" i="5"/>
  <c r="P196" i="7"/>
  <c r="O202" i="7"/>
  <c r="O111" i="5"/>
  <c r="P105" i="5"/>
  <c r="P140" i="7"/>
  <c r="O146" i="7"/>
  <c r="Q77" i="7"/>
  <c r="P83" i="7"/>
  <c r="P245" i="5"/>
  <c r="O251" i="5"/>
  <c r="P203" i="7"/>
  <c r="O209" i="7"/>
  <c r="G28" i="9"/>
  <c r="J27" i="9"/>
  <c r="O216" i="7"/>
  <c r="P210" i="7"/>
  <c r="Q56" i="3"/>
  <c r="P62" i="3"/>
  <c r="P28" i="3"/>
  <c r="O34" i="3"/>
  <c r="O167" i="7"/>
  <c r="P161" i="7"/>
  <c r="Q161" i="5"/>
  <c r="P167" i="5"/>
  <c r="P27" i="7"/>
  <c r="Q21" i="7"/>
  <c r="P133" i="7"/>
  <c r="O139" i="7"/>
  <c r="Q35" i="7"/>
  <c r="P41" i="7"/>
  <c r="O85" i="3"/>
  <c r="R175" i="7"/>
  <c r="Q181" i="7"/>
  <c r="R76" i="5"/>
  <c r="S70" i="5"/>
  <c r="Q119" i="7"/>
  <c r="P125" i="7"/>
  <c r="P181" i="5"/>
  <c r="Q175" i="5"/>
  <c r="P217" i="7"/>
  <c r="O223" i="7"/>
  <c r="R231" i="7"/>
  <c r="Q237" i="7"/>
  <c r="O20" i="7"/>
  <c r="P14" i="7"/>
  <c r="O260" i="7"/>
  <c r="O281" i="7"/>
  <c r="O272" i="7"/>
  <c r="O56" i="10" l="1"/>
  <c r="N62" i="10"/>
  <c r="N64" i="10"/>
  <c r="N76" i="10"/>
  <c r="N85" i="10"/>
  <c r="P62" i="7"/>
  <c r="Q56" i="7"/>
  <c r="P160" i="5"/>
  <c r="Q154" i="5"/>
  <c r="S28" i="10"/>
  <c r="R34" i="10"/>
  <c r="P64" i="3"/>
  <c r="P20" i="10"/>
  <c r="Q14" i="10"/>
  <c r="P41" i="10"/>
  <c r="Q35" i="10"/>
  <c r="Q21" i="3"/>
  <c r="P27" i="3"/>
  <c r="P97" i="7"/>
  <c r="Q91" i="7"/>
  <c r="Q28" i="5"/>
  <c r="P34" i="5"/>
  <c r="R69" i="5"/>
  <c r="S63" i="5"/>
  <c r="Q49" i="5"/>
  <c r="P55" i="5"/>
  <c r="Q98" i="7"/>
  <c r="P104" i="7"/>
  <c r="R21" i="5"/>
  <c r="Q27" i="5"/>
  <c r="Q35" i="3"/>
  <c r="P41" i="3"/>
  <c r="Q70" i="7"/>
  <c r="P76" i="7"/>
  <c r="Q56" i="5"/>
  <c r="P62" i="5"/>
  <c r="Q63" i="7"/>
  <c r="P69" i="7"/>
  <c r="R77" i="7"/>
  <c r="Q83" i="7"/>
  <c r="S231" i="7"/>
  <c r="R237" i="7"/>
  <c r="Q181" i="5"/>
  <c r="R175" i="5"/>
  <c r="Q133" i="7"/>
  <c r="P139" i="7"/>
  <c r="Q245" i="5"/>
  <c r="P251" i="5"/>
  <c r="Q49" i="3"/>
  <c r="P55" i="3"/>
  <c r="Q252" i="5"/>
  <c r="P258" i="5"/>
  <c r="R133" i="5"/>
  <c r="Q139" i="5"/>
  <c r="R42" i="10"/>
  <c r="Q48" i="10"/>
  <c r="R42" i="7"/>
  <c r="Q48" i="7"/>
  <c r="S28" i="7"/>
  <c r="R34" i="7"/>
  <c r="Q245" i="7"/>
  <c r="P251" i="7"/>
  <c r="T32" i="10"/>
  <c r="Q231" i="5"/>
  <c r="P237" i="5"/>
  <c r="P85" i="3"/>
  <c r="R84" i="5"/>
  <c r="Q90" i="5"/>
  <c r="Q98" i="5"/>
  <c r="P104" i="5"/>
  <c r="P174" i="7"/>
  <c r="Q168" i="7"/>
  <c r="Q20" i="3"/>
  <c r="R14" i="3"/>
  <c r="R119" i="7"/>
  <c r="Q125" i="7"/>
  <c r="Q112" i="7"/>
  <c r="P118" i="7"/>
  <c r="Q182" i="7"/>
  <c r="P188" i="7"/>
  <c r="S76" i="5"/>
  <c r="T70" i="5"/>
  <c r="G29" i="9"/>
  <c r="J28" i="9"/>
  <c r="Q140" i="7"/>
  <c r="P146" i="7"/>
  <c r="G28" i="8"/>
  <c r="J27" i="8"/>
  <c r="R196" i="5"/>
  <c r="Q202" i="5"/>
  <c r="T18" i="10"/>
  <c r="Q238" i="7"/>
  <c r="P244" i="7"/>
  <c r="Q217" i="7"/>
  <c r="P223" i="7"/>
  <c r="R21" i="10"/>
  <c r="Q27" i="10"/>
  <c r="P167" i="7"/>
  <c r="Q161" i="7"/>
  <c r="Q105" i="5"/>
  <c r="P111" i="5"/>
  <c r="R77" i="5"/>
  <c r="Q83" i="5"/>
  <c r="Q217" i="5"/>
  <c r="P223" i="5"/>
  <c r="G28" i="4"/>
  <c r="J27" i="4"/>
  <c r="R203" i="5"/>
  <c r="Q209" i="5"/>
  <c r="R189" i="5"/>
  <c r="Q195" i="5"/>
  <c r="R42" i="5"/>
  <c r="Q48" i="5"/>
  <c r="R49" i="10"/>
  <c r="Q55" i="10"/>
  <c r="Q154" i="7"/>
  <c r="P160" i="7"/>
  <c r="R126" i="5"/>
  <c r="Q132" i="5"/>
  <c r="Q27" i="7"/>
  <c r="R21" i="7"/>
  <c r="Q224" i="7"/>
  <c r="P230" i="7"/>
  <c r="S175" i="7"/>
  <c r="R181" i="7"/>
  <c r="Q119" i="5"/>
  <c r="P125" i="5"/>
  <c r="Q105" i="7"/>
  <c r="P111" i="7"/>
  <c r="Q112" i="5"/>
  <c r="P118" i="5"/>
  <c r="P209" i="7"/>
  <c r="Q203" i="7"/>
  <c r="Q28" i="3"/>
  <c r="P34" i="3"/>
  <c r="Q196" i="7"/>
  <c r="P202" i="7"/>
  <c r="Q252" i="7"/>
  <c r="P258" i="7"/>
  <c r="Q42" i="3"/>
  <c r="P48" i="3"/>
  <c r="P97" i="5"/>
  <c r="Q91" i="5"/>
  <c r="Q55" i="7"/>
  <c r="R49" i="7"/>
  <c r="R210" i="5"/>
  <c r="Q216" i="5"/>
  <c r="Q35" i="5"/>
  <c r="P41" i="5"/>
  <c r="Q84" i="7"/>
  <c r="P90" i="7"/>
  <c r="R140" i="5"/>
  <c r="Q146" i="5"/>
  <c r="R35" i="7"/>
  <c r="Q41" i="7"/>
  <c r="R56" i="3"/>
  <c r="Q62" i="3"/>
  <c r="S147" i="5"/>
  <c r="R151" i="5"/>
  <c r="R153" i="5"/>
  <c r="Q147" i="7"/>
  <c r="P153" i="7"/>
  <c r="Q14" i="5"/>
  <c r="P20" i="5"/>
  <c r="P272" i="5"/>
  <c r="P281" i="5"/>
  <c r="P260" i="5"/>
  <c r="T224" i="5"/>
  <c r="S230" i="5"/>
  <c r="S168" i="5"/>
  <c r="R174" i="5"/>
  <c r="R182" i="5"/>
  <c r="Q188" i="5"/>
  <c r="R161" i="5"/>
  <c r="Q167" i="5"/>
  <c r="T39" i="10"/>
  <c r="P20" i="7"/>
  <c r="Q14" i="7"/>
  <c r="P272" i="7"/>
  <c r="P281" i="7"/>
  <c r="P260" i="7"/>
  <c r="P216" i="7"/>
  <c r="Q210" i="7"/>
  <c r="Q126" i="7"/>
  <c r="P132" i="7"/>
  <c r="Q238" i="5"/>
  <c r="P244" i="5"/>
  <c r="G28" i="6"/>
  <c r="J27" i="6"/>
  <c r="R189" i="7"/>
  <c r="Q195" i="7"/>
  <c r="P76" i="3"/>
  <c r="O62" i="10" l="1"/>
  <c r="P56" i="10"/>
  <c r="O64" i="10"/>
  <c r="O76" i="10"/>
  <c r="O85" i="10"/>
  <c r="R56" i="7"/>
  <c r="Q62" i="7"/>
  <c r="R154" i="5"/>
  <c r="Q160" i="5"/>
  <c r="T28" i="10"/>
  <c r="S34" i="10"/>
  <c r="R35" i="10"/>
  <c r="Q41" i="10"/>
  <c r="Q20" i="10"/>
  <c r="R14" i="10"/>
  <c r="R98" i="7"/>
  <c r="Q104" i="7"/>
  <c r="Q69" i="7"/>
  <c r="R63" i="7"/>
  <c r="Q55" i="5"/>
  <c r="R49" i="5"/>
  <c r="S69" i="5"/>
  <c r="T63" i="5"/>
  <c r="R56" i="5"/>
  <c r="Q62" i="5"/>
  <c r="R70" i="7"/>
  <c r="Q76" i="7"/>
  <c r="Q34" i="5"/>
  <c r="R28" i="5"/>
  <c r="R91" i="7"/>
  <c r="Q97" i="7"/>
  <c r="Q41" i="3"/>
  <c r="R35" i="3"/>
  <c r="S21" i="5"/>
  <c r="R27" i="5"/>
  <c r="R25" i="5"/>
  <c r="Q27" i="3"/>
  <c r="R21" i="3"/>
  <c r="R98" i="5"/>
  <c r="Q104" i="5"/>
  <c r="S34" i="7"/>
  <c r="T28" i="7"/>
  <c r="U39" i="10"/>
  <c r="R91" i="5"/>
  <c r="Q97" i="5"/>
  <c r="R28" i="3"/>
  <c r="Q34" i="3"/>
  <c r="R203" i="7"/>
  <c r="Q209" i="7"/>
  <c r="S49" i="10"/>
  <c r="R55" i="10"/>
  <c r="R53" i="10"/>
  <c r="S77" i="5"/>
  <c r="R83" i="5"/>
  <c r="R81" i="5"/>
  <c r="S21" i="10"/>
  <c r="R25" i="10"/>
  <c r="R27" i="10"/>
  <c r="S196" i="5"/>
  <c r="R202" i="5"/>
  <c r="R112" i="7"/>
  <c r="Q118" i="7"/>
  <c r="R49" i="3"/>
  <c r="Q55" i="3"/>
  <c r="S84" i="5"/>
  <c r="R90" i="5"/>
  <c r="R88" i="5"/>
  <c r="S42" i="7"/>
  <c r="R48" i="7"/>
  <c r="S181" i="7"/>
  <c r="T175" i="7"/>
  <c r="R48" i="5"/>
  <c r="S42" i="5"/>
  <c r="R105" i="5"/>
  <c r="Q111" i="5"/>
  <c r="R217" i="7"/>
  <c r="Q223" i="7"/>
  <c r="G29" i="8"/>
  <c r="J28" i="8"/>
  <c r="R125" i="7"/>
  <c r="S119" i="7"/>
  <c r="R123" i="7"/>
  <c r="Q251" i="5"/>
  <c r="R245" i="5"/>
  <c r="R84" i="7"/>
  <c r="Q90" i="7"/>
  <c r="R14" i="5"/>
  <c r="Q20" i="5"/>
  <c r="Q272" i="5"/>
  <c r="Q281" i="5"/>
  <c r="Q260" i="5"/>
  <c r="S56" i="3"/>
  <c r="R60" i="3"/>
  <c r="R62" i="3"/>
  <c r="R112" i="5"/>
  <c r="Q118" i="5"/>
  <c r="R161" i="7"/>
  <c r="Q167" i="7"/>
  <c r="Q76" i="3"/>
  <c r="S42" i="10"/>
  <c r="R46" i="10"/>
  <c r="R48" i="10"/>
  <c r="Q146" i="7"/>
  <c r="R140" i="7"/>
  <c r="Q85" i="3"/>
  <c r="R231" i="5"/>
  <c r="Q237" i="5"/>
  <c r="Q139" i="7"/>
  <c r="R133" i="7"/>
  <c r="S133" i="5"/>
  <c r="R139" i="5"/>
  <c r="R137" i="5"/>
  <c r="S175" i="5"/>
  <c r="R181" i="5"/>
  <c r="R210" i="7"/>
  <c r="Q216" i="7"/>
  <c r="R238" i="7"/>
  <c r="Q244" i="7"/>
  <c r="S203" i="5"/>
  <c r="R209" i="5"/>
  <c r="G30" i="9"/>
  <c r="J29" i="9"/>
  <c r="R18" i="3"/>
  <c r="R20" i="3"/>
  <c r="S14" i="3"/>
  <c r="U32" i="10"/>
  <c r="S189" i="5"/>
  <c r="R195" i="5"/>
  <c r="R105" i="7"/>
  <c r="Q111" i="7"/>
  <c r="G29" i="6"/>
  <c r="J28" i="6"/>
  <c r="S182" i="5"/>
  <c r="R188" i="5"/>
  <c r="R35" i="5"/>
  <c r="Q41" i="5"/>
  <c r="Q258" i="7"/>
  <c r="R252" i="7"/>
  <c r="R119" i="5"/>
  <c r="Q125" i="5"/>
  <c r="T76" i="5"/>
  <c r="U70" i="5"/>
  <c r="R252" i="5"/>
  <c r="Q258" i="5"/>
  <c r="S35" i="7"/>
  <c r="R41" i="7"/>
  <c r="R42" i="3"/>
  <c r="Q48" i="3"/>
  <c r="R238" i="5"/>
  <c r="Q244" i="5"/>
  <c r="S174" i="5"/>
  <c r="T168" i="5"/>
  <c r="S153" i="5"/>
  <c r="T147" i="5"/>
  <c r="S151" i="5"/>
  <c r="S210" i="5"/>
  <c r="R216" i="5"/>
  <c r="S126" i="5"/>
  <c r="R132" i="5"/>
  <c r="G29" i="4"/>
  <c r="J28" i="4"/>
  <c r="R168" i="7"/>
  <c r="Q174" i="7"/>
  <c r="T231" i="7"/>
  <c r="S237" i="7"/>
  <c r="S161" i="5"/>
  <c r="R167" i="5"/>
  <c r="R224" i="7"/>
  <c r="Q230" i="7"/>
  <c r="S21" i="7"/>
  <c r="R27" i="7"/>
  <c r="Q64" i="3"/>
  <c r="Q20" i="7"/>
  <c r="R14" i="7"/>
  <c r="Q272" i="7"/>
  <c r="Q281" i="7"/>
  <c r="Q260" i="7"/>
  <c r="R146" i="5"/>
  <c r="S140" i="5"/>
  <c r="S49" i="7"/>
  <c r="R53" i="7"/>
  <c r="R55" i="7"/>
  <c r="R196" i="7"/>
  <c r="Q202" i="7"/>
  <c r="U18" i="10"/>
  <c r="Q251" i="7"/>
  <c r="R245" i="7"/>
  <c r="S189" i="7"/>
  <c r="R195" i="7"/>
  <c r="Q153" i="7"/>
  <c r="R147" i="7"/>
  <c r="R126" i="7"/>
  <c r="Q132" i="7"/>
  <c r="U224" i="5"/>
  <c r="T230" i="5"/>
  <c r="R154" i="7"/>
  <c r="Q160" i="7"/>
  <c r="R217" i="5"/>
  <c r="Q223" i="5"/>
  <c r="R182" i="7"/>
  <c r="Q188" i="7"/>
  <c r="R81" i="7"/>
  <c r="S77" i="7"/>
  <c r="R83" i="7"/>
  <c r="Q56" i="10" l="1"/>
  <c r="P62" i="10"/>
  <c r="P64" i="10"/>
  <c r="P85" i="10"/>
  <c r="P76" i="10"/>
  <c r="R62" i="7"/>
  <c r="S56" i="7"/>
  <c r="S154" i="5"/>
  <c r="R160" i="5"/>
  <c r="R158" i="5"/>
  <c r="T34" i="10"/>
  <c r="U28" i="10"/>
  <c r="R20" i="10"/>
  <c r="S14" i="10"/>
  <c r="S35" i="10"/>
  <c r="R41" i="10"/>
  <c r="R27" i="3"/>
  <c r="S21" i="3"/>
  <c r="R25" i="3"/>
  <c r="R76" i="7"/>
  <c r="S70" i="7"/>
  <c r="S56" i="5"/>
  <c r="R62" i="5"/>
  <c r="U63" i="5"/>
  <c r="T69" i="5"/>
  <c r="S25" i="5"/>
  <c r="T21" i="5"/>
  <c r="S27" i="5"/>
  <c r="R39" i="3"/>
  <c r="R41" i="3"/>
  <c r="S35" i="3"/>
  <c r="R55" i="5"/>
  <c r="S49" i="5"/>
  <c r="R69" i="7"/>
  <c r="S63" i="7"/>
  <c r="R97" i="7"/>
  <c r="S91" i="7"/>
  <c r="R95" i="7"/>
  <c r="R32" i="5"/>
  <c r="S28" i="5"/>
  <c r="R34" i="5"/>
  <c r="R104" i="7"/>
  <c r="S98" i="7"/>
  <c r="U168" i="5"/>
  <c r="T174" i="5"/>
  <c r="G30" i="6"/>
  <c r="J29" i="6"/>
  <c r="S231" i="5"/>
  <c r="R237" i="5"/>
  <c r="R235" i="5"/>
  <c r="R90" i="7"/>
  <c r="S84" i="7"/>
  <c r="R88" i="7"/>
  <c r="T42" i="5"/>
  <c r="S48" i="5"/>
  <c r="R118" i="7"/>
  <c r="S112" i="7"/>
  <c r="S126" i="7"/>
  <c r="R132" i="7"/>
  <c r="T21" i="7"/>
  <c r="S27" i="7"/>
  <c r="G30" i="4"/>
  <c r="J29" i="4"/>
  <c r="R125" i="5"/>
  <c r="S119" i="5"/>
  <c r="R123" i="5"/>
  <c r="R251" i="5"/>
  <c r="S245" i="5"/>
  <c r="R146" i="7"/>
  <c r="S140" i="7"/>
  <c r="R144" i="7"/>
  <c r="U175" i="7"/>
  <c r="T181" i="7"/>
  <c r="T196" i="5"/>
  <c r="S202" i="5"/>
  <c r="S55" i="10"/>
  <c r="T49" i="10"/>
  <c r="S53" i="10"/>
  <c r="R32" i="3"/>
  <c r="R34" i="3"/>
  <c r="S28" i="3"/>
  <c r="S224" i="7"/>
  <c r="R230" i="7"/>
  <c r="R228" i="7"/>
  <c r="S132" i="5"/>
  <c r="T126" i="5"/>
  <c r="S238" i="5"/>
  <c r="R244" i="5"/>
  <c r="G31" i="9"/>
  <c r="J30" i="9"/>
  <c r="S210" i="7"/>
  <c r="R216" i="7"/>
  <c r="S252" i="7"/>
  <c r="R258" i="7"/>
  <c r="R111" i="7"/>
  <c r="S105" i="7"/>
  <c r="R109" i="7"/>
  <c r="T189" i="5"/>
  <c r="S195" i="5"/>
  <c r="S125" i="7"/>
  <c r="S123" i="7"/>
  <c r="T119" i="7"/>
  <c r="S91" i="5"/>
  <c r="R97" i="5"/>
  <c r="R95" i="5"/>
  <c r="S48" i="7"/>
  <c r="T42" i="7"/>
  <c r="R151" i="7"/>
  <c r="S147" i="7"/>
  <c r="R153" i="7"/>
  <c r="T56" i="3"/>
  <c r="S60" i="3"/>
  <c r="S62" i="3"/>
  <c r="S48" i="10"/>
  <c r="T42" i="10"/>
  <c r="S46" i="10"/>
  <c r="S203" i="7"/>
  <c r="R209" i="7"/>
  <c r="G30" i="8"/>
  <c r="J29" i="8"/>
  <c r="V39" i="10"/>
  <c r="R46" i="3"/>
  <c r="R48" i="3"/>
  <c r="S42" i="3"/>
  <c r="T84" i="5"/>
  <c r="S90" i="5"/>
  <c r="S88" i="5"/>
  <c r="S25" i="10"/>
  <c r="S27" i="10"/>
  <c r="T21" i="10"/>
  <c r="U28" i="7"/>
  <c r="T34" i="7"/>
  <c r="S217" i="5"/>
  <c r="R223" i="5"/>
  <c r="S196" i="7"/>
  <c r="R202" i="7"/>
  <c r="U231" i="7"/>
  <c r="T237" i="7"/>
  <c r="R85" i="3"/>
  <c r="R139" i="7"/>
  <c r="S133" i="7"/>
  <c r="R137" i="7"/>
  <c r="R167" i="7"/>
  <c r="S161" i="7"/>
  <c r="R165" i="7"/>
  <c r="S217" i="7"/>
  <c r="R221" i="7"/>
  <c r="R223" i="7"/>
  <c r="S182" i="7"/>
  <c r="R188" i="7"/>
  <c r="T189" i="7"/>
  <c r="S195" i="7"/>
  <c r="S167" i="5"/>
  <c r="T161" i="5"/>
  <c r="S181" i="5"/>
  <c r="T175" i="5"/>
  <c r="T210" i="5"/>
  <c r="S216" i="5"/>
  <c r="S35" i="5"/>
  <c r="R39" i="5"/>
  <c r="R41" i="5"/>
  <c r="R76" i="3"/>
  <c r="T203" i="5"/>
  <c r="S209" i="5"/>
  <c r="S139" i="5"/>
  <c r="T133" i="5"/>
  <c r="S137" i="5"/>
  <c r="S154" i="7"/>
  <c r="R160" i="7"/>
  <c r="R158" i="7"/>
  <c r="S14" i="7"/>
  <c r="R20" i="7"/>
  <c r="R281" i="7"/>
  <c r="R272" i="7"/>
  <c r="R260" i="7"/>
  <c r="R266" i="7" s="1"/>
  <c r="S252" i="5"/>
  <c r="R258" i="5"/>
  <c r="S245" i="7"/>
  <c r="R251" i="7"/>
  <c r="T49" i="7"/>
  <c r="S55" i="7"/>
  <c r="U147" i="5"/>
  <c r="T151" i="5"/>
  <c r="T153" i="5"/>
  <c r="V70" i="5"/>
  <c r="U76" i="5"/>
  <c r="T182" i="5"/>
  <c r="S188" i="5"/>
  <c r="R64" i="3"/>
  <c r="R70" i="3" s="1"/>
  <c r="S238" i="7"/>
  <c r="R244" i="7"/>
  <c r="R20" i="5"/>
  <c r="S14" i="5"/>
  <c r="R260" i="5"/>
  <c r="R266" i="5" s="1"/>
  <c r="R272" i="5"/>
  <c r="R281" i="5"/>
  <c r="S49" i="3"/>
  <c r="R53" i="3"/>
  <c r="R55" i="3"/>
  <c r="S81" i="7"/>
  <c r="T77" i="7"/>
  <c r="S83" i="7"/>
  <c r="V18" i="10"/>
  <c r="S41" i="7"/>
  <c r="T35" i="7"/>
  <c r="V32" i="10"/>
  <c r="U230" i="5"/>
  <c r="V224" i="5"/>
  <c r="T140" i="5"/>
  <c r="S146" i="5"/>
  <c r="R174" i="7"/>
  <c r="S168" i="7"/>
  <c r="S18" i="3"/>
  <c r="S20" i="3"/>
  <c r="T14" i="3"/>
  <c r="S112" i="5"/>
  <c r="R118" i="5"/>
  <c r="R116" i="5"/>
  <c r="S105" i="5"/>
  <c r="R111" i="5"/>
  <c r="R109" i="5"/>
  <c r="S83" i="5"/>
  <c r="T77" i="5"/>
  <c r="S81" i="5"/>
  <c r="S98" i="5"/>
  <c r="R104" i="5"/>
  <c r="Q62" i="10" l="1"/>
  <c r="R56" i="10"/>
  <c r="Q85" i="10"/>
  <c r="Q76" i="10"/>
  <c r="Q64" i="10"/>
  <c r="S62" i="7"/>
  <c r="T56" i="7"/>
  <c r="S160" i="5"/>
  <c r="T154" i="5"/>
  <c r="S85" i="3"/>
  <c r="V28" i="10"/>
  <c r="U34" i="10"/>
  <c r="S64" i="3"/>
  <c r="S70" i="3" s="1"/>
  <c r="S76" i="3"/>
  <c r="S41" i="10"/>
  <c r="T35" i="10"/>
  <c r="S20" i="10"/>
  <c r="T14" i="10"/>
  <c r="T25" i="5"/>
  <c r="T27" i="5"/>
  <c r="U21" i="5"/>
  <c r="S95" i="7"/>
  <c r="S97" i="7"/>
  <c r="T91" i="7"/>
  <c r="U69" i="5"/>
  <c r="V63" i="5"/>
  <c r="S69" i="7"/>
  <c r="T63" i="7"/>
  <c r="S62" i="5"/>
  <c r="T56" i="5"/>
  <c r="S34" i="5"/>
  <c r="T28" i="5"/>
  <c r="T49" i="5"/>
  <c r="S55" i="5"/>
  <c r="T70" i="7"/>
  <c r="S76" i="7"/>
  <c r="S104" i="7"/>
  <c r="T98" i="7"/>
  <c r="T35" i="3"/>
  <c r="S41" i="3"/>
  <c r="S39" i="3"/>
  <c r="S25" i="3"/>
  <c r="T21" i="3"/>
  <c r="S27" i="3"/>
  <c r="T98" i="5"/>
  <c r="S104" i="5"/>
  <c r="T196" i="7"/>
  <c r="S202" i="7"/>
  <c r="W18" i="10"/>
  <c r="U203" i="5"/>
  <c r="T209" i="5"/>
  <c r="S167" i="7"/>
  <c r="T161" i="7"/>
  <c r="U84" i="5"/>
  <c r="T88" i="5"/>
  <c r="T90" i="5"/>
  <c r="T203" i="7"/>
  <c r="S209" i="7"/>
  <c r="T48" i="7"/>
  <c r="U42" i="7"/>
  <c r="T210" i="7"/>
  <c r="S216" i="7"/>
  <c r="T217" i="5"/>
  <c r="S223" i="5"/>
  <c r="T42" i="3"/>
  <c r="S48" i="3"/>
  <c r="S46" i="3"/>
  <c r="T238" i="5"/>
  <c r="S244" i="5"/>
  <c r="T48" i="5"/>
  <c r="T46" i="5"/>
  <c r="U42" i="5"/>
  <c r="W224" i="5"/>
  <c r="V230" i="5"/>
  <c r="W32" i="10"/>
  <c r="V147" i="5"/>
  <c r="U153" i="5"/>
  <c r="U151" i="5"/>
  <c r="T195" i="7"/>
  <c r="U189" i="7"/>
  <c r="U42" i="10"/>
  <c r="T48" i="10"/>
  <c r="T46" i="10"/>
  <c r="S111" i="7"/>
  <c r="S109" i="7"/>
  <c r="T105" i="7"/>
  <c r="U126" i="5"/>
  <c r="T132" i="5"/>
  <c r="U196" i="5"/>
  <c r="T202" i="5"/>
  <c r="S125" i="5"/>
  <c r="T119" i="5"/>
  <c r="S123" i="5"/>
  <c r="U140" i="5"/>
  <c r="T146" i="5"/>
  <c r="T139" i="5"/>
  <c r="U133" i="5"/>
  <c r="T137" i="5"/>
  <c r="V28" i="7"/>
  <c r="U32" i="7"/>
  <c r="U34" i="7"/>
  <c r="T84" i="7"/>
  <c r="S88" i="7"/>
  <c r="S90" i="7"/>
  <c r="U161" i="5"/>
  <c r="T167" i="5"/>
  <c r="U189" i="5"/>
  <c r="T195" i="5"/>
  <c r="T41" i="7"/>
  <c r="U35" i="7"/>
  <c r="S139" i="7"/>
  <c r="T133" i="7"/>
  <c r="S137" i="7"/>
  <c r="U49" i="7"/>
  <c r="T53" i="7"/>
  <c r="T55" i="7"/>
  <c r="T35" i="5"/>
  <c r="S41" i="5"/>
  <c r="S188" i="7"/>
  <c r="S186" i="7"/>
  <c r="T182" i="7"/>
  <c r="T91" i="5"/>
  <c r="S97" i="5"/>
  <c r="V175" i="7"/>
  <c r="U181" i="7"/>
  <c r="T83" i="5"/>
  <c r="U77" i="5"/>
  <c r="T81" i="5"/>
  <c r="T18" i="3"/>
  <c r="T20" i="3"/>
  <c r="U14" i="3"/>
  <c r="S20" i="5"/>
  <c r="T14" i="5"/>
  <c r="S260" i="5"/>
  <c r="S266" i="5" s="1"/>
  <c r="S272" i="5"/>
  <c r="S281" i="5"/>
  <c r="T105" i="5"/>
  <c r="S111" i="5"/>
  <c r="S109" i="5"/>
  <c r="U77" i="7"/>
  <c r="T83" i="7"/>
  <c r="T81" i="7"/>
  <c r="W39" i="10"/>
  <c r="T123" i="7"/>
  <c r="T125" i="7"/>
  <c r="U119" i="7"/>
  <c r="T252" i="7"/>
  <c r="S258" i="7"/>
  <c r="G31" i="4"/>
  <c r="J30" i="4"/>
  <c r="U182" i="5"/>
  <c r="T188" i="5"/>
  <c r="S174" i="7"/>
  <c r="T168" i="7"/>
  <c r="T238" i="7"/>
  <c r="S244" i="7"/>
  <c r="S242" i="7"/>
  <c r="T245" i="7"/>
  <c r="S251" i="7"/>
  <c r="U210" i="5"/>
  <c r="T216" i="5"/>
  <c r="T224" i="7"/>
  <c r="S230" i="7"/>
  <c r="T140" i="7"/>
  <c r="S146" i="7"/>
  <c r="S144" i="7"/>
  <c r="T181" i="5"/>
  <c r="U175" i="5"/>
  <c r="V231" i="7"/>
  <c r="U237" i="7"/>
  <c r="S32" i="3"/>
  <c r="S34" i="3"/>
  <c r="T28" i="3"/>
  <c r="U21" i="7"/>
  <c r="T27" i="7"/>
  <c r="T231" i="5"/>
  <c r="S237" i="5"/>
  <c r="S235" i="5"/>
  <c r="T14" i="7"/>
  <c r="S20" i="7"/>
  <c r="S260" i="7"/>
  <c r="S266" i="7" s="1"/>
  <c r="S272" i="7"/>
  <c r="S281" i="7"/>
  <c r="T154" i="7"/>
  <c r="S160" i="7"/>
  <c r="S158" i="7"/>
  <c r="T27" i="10"/>
  <c r="U21" i="10"/>
  <c r="T25" i="10"/>
  <c r="S118" i="5"/>
  <c r="T112" i="5"/>
  <c r="S116" i="5"/>
  <c r="T252" i="5"/>
  <c r="S258" i="5"/>
  <c r="U56" i="3"/>
  <c r="T60" i="3"/>
  <c r="T62" i="3"/>
  <c r="T245" i="5"/>
  <c r="S251" i="5"/>
  <c r="T126" i="7"/>
  <c r="S132" i="7"/>
  <c r="G31" i="6"/>
  <c r="J30" i="6"/>
  <c r="T217" i="7"/>
  <c r="S221" i="7"/>
  <c r="S223" i="7"/>
  <c r="G31" i="8"/>
  <c r="J30" i="8"/>
  <c r="T147" i="7"/>
  <c r="S153" i="7"/>
  <c r="S151" i="7"/>
  <c r="S118" i="7"/>
  <c r="T112" i="7"/>
  <c r="T49" i="3"/>
  <c r="S53" i="3"/>
  <c r="S55" i="3"/>
  <c r="V76" i="5"/>
  <c r="W70" i="5"/>
  <c r="G32" i="9"/>
  <c r="J31" i="9"/>
  <c r="T55" i="10"/>
  <c r="U49" i="10"/>
  <c r="T53" i="10"/>
  <c r="U174" i="5"/>
  <c r="V168" i="5"/>
  <c r="U172" i="5"/>
  <c r="R62" i="10" l="1"/>
  <c r="S56" i="10"/>
  <c r="R60" i="10"/>
  <c r="R85" i="10"/>
  <c r="R64" i="10"/>
  <c r="R70" i="10" s="1"/>
  <c r="R76" i="10"/>
  <c r="U56" i="7"/>
  <c r="T62" i="7"/>
  <c r="T160" i="5"/>
  <c r="U154" i="5"/>
  <c r="W28" i="10"/>
  <c r="V34" i="10"/>
  <c r="T85" i="3"/>
  <c r="T20" i="10"/>
  <c r="U14" i="10"/>
  <c r="T41" i="10"/>
  <c r="U35" i="10"/>
  <c r="T67" i="7"/>
  <c r="T69" i="7"/>
  <c r="U63" i="7"/>
  <c r="U56" i="5"/>
  <c r="T62" i="5"/>
  <c r="T39" i="3"/>
  <c r="T41" i="3"/>
  <c r="U35" i="3"/>
  <c r="T104" i="7"/>
  <c r="U98" i="7"/>
  <c r="V69" i="5"/>
  <c r="W63" i="5"/>
  <c r="T97" i="7"/>
  <c r="U91" i="7"/>
  <c r="T95" i="7"/>
  <c r="T76" i="7"/>
  <c r="U70" i="7"/>
  <c r="T55" i="5"/>
  <c r="U49" i="5"/>
  <c r="U25" i="5"/>
  <c r="U27" i="5"/>
  <c r="V21" i="5"/>
  <c r="T32" i="5"/>
  <c r="U28" i="5"/>
  <c r="T34" i="5"/>
  <c r="T25" i="3"/>
  <c r="T27" i="3"/>
  <c r="U21" i="3"/>
  <c r="U55" i="10"/>
  <c r="V49" i="10"/>
  <c r="U53" i="10"/>
  <c r="T32" i="3"/>
  <c r="T34" i="3"/>
  <c r="U28" i="3"/>
  <c r="U105" i="5"/>
  <c r="T111" i="5"/>
  <c r="T109" i="5"/>
  <c r="V14" i="3"/>
  <c r="U18" i="3"/>
  <c r="U20" i="3"/>
  <c r="U91" i="5"/>
  <c r="T95" i="5"/>
  <c r="T97" i="5"/>
  <c r="T139" i="7"/>
  <c r="U133" i="7"/>
  <c r="T137" i="7"/>
  <c r="V153" i="5"/>
  <c r="V151" i="5"/>
  <c r="W147" i="5"/>
  <c r="T244" i="5"/>
  <c r="U238" i="5"/>
  <c r="U252" i="5"/>
  <c r="T258" i="5"/>
  <c r="T160" i="7"/>
  <c r="U154" i="7"/>
  <c r="T158" i="7"/>
  <c r="U224" i="7"/>
  <c r="T230" i="7"/>
  <c r="W28" i="7"/>
  <c r="V34" i="7"/>
  <c r="V32" i="7"/>
  <c r="U132" i="5"/>
  <c r="V126" i="5"/>
  <c r="U41" i="7"/>
  <c r="V35" i="7"/>
  <c r="T109" i="7"/>
  <c r="T111" i="7"/>
  <c r="U105" i="7"/>
  <c r="U203" i="7"/>
  <c r="T209" i="7"/>
  <c r="U139" i="5"/>
  <c r="V133" i="5"/>
  <c r="U137" i="5"/>
  <c r="X32" i="10"/>
  <c r="T46" i="3"/>
  <c r="U42" i="3"/>
  <c r="T48" i="3"/>
  <c r="T174" i="7"/>
  <c r="U168" i="7"/>
  <c r="U112" i="5"/>
  <c r="T118" i="5"/>
  <c r="T116" i="5"/>
  <c r="X39" i="10"/>
  <c r="G33" i="9"/>
  <c r="J32" i="9"/>
  <c r="T132" i="7"/>
  <c r="U126" i="7"/>
  <c r="T188" i="7"/>
  <c r="U182" i="7"/>
  <c r="T151" i="7"/>
  <c r="U147" i="7"/>
  <c r="T153" i="7"/>
  <c r="V237" i="7"/>
  <c r="W231" i="7"/>
  <c r="U83" i="5"/>
  <c r="V77" i="5"/>
  <c r="U81" i="5"/>
  <c r="T251" i="5"/>
  <c r="U245" i="5"/>
  <c r="U181" i="5"/>
  <c r="V175" i="5"/>
  <c r="V210" i="5"/>
  <c r="U214" i="5"/>
  <c r="U216" i="5"/>
  <c r="V182" i="5"/>
  <c r="U188" i="5"/>
  <c r="V189" i="5"/>
  <c r="U195" i="5"/>
  <c r="X224" i="5"/>
  <c r="W230" i="5"/>
  <c r="U217" i="5"/>
  <c r="T223" i="5"/>
  <c r="V84" i="5"/>
  <c r="U90" i="5"/>
  <c r="U88" i="5"/>
  <c r="X18" i="10"/>
  <c r="X70" i="5"/>
  <c r="W76" i="5"/>
  <c r="G32" i="8"/>
  <c r="J31" i="8"/>
  <c r="T20" i="7"/>
  <c r="U14" i="7"/>
  <c r="T260" i="7"/>
  <c r="T266" i="7" s="1"/>
  <c r="T272" i="7"/>
  <c r="T281" i="7"/>
  <c r="V140" i="5"/>
  <c r="U146" i="5"/>
  <c r="U161" i="7"/>
  <c r="T167" i="7"/>
  <c r="T20" i="5"/>
  <c r="U14" i="5"/>
  <c r="T260" i="5"/>
  <c r="T266" i="5" s="1"/>
  <c r="T272" i="5"/>
  <c r="T281" i="5"/>
  <c r="U35" i="5"/>
  <c r="T41" i="5"/>
  <c r="V161" i="5"/>
  <c r="U167" i="5"/>
  <c r="V42" i="10"/>
  <c r="U48" i="10"/>
  <c r="U46" i="10"/>
  <c r="T216" i="7"/>
  <c r="U210" i="7"/>
  <c r="U196" i="7"/>
  <c r="T202" i="7"/>
  <c r="G32" i="6"/>
  <c r="J31" i="6"/>
  <c r="T251" i="7"/>
  <c r="U245" i="7"/>
  <c r="U49" i="3"/>
  <c r="T55" i="3"/>
  <c r="T53" i="3"/>
  <c r="V56" i="3"/>
  <c r="U60" i="3"/>
  <c r="U62" i="3"/>
  <c r="U119" i="5"/>
  <c r="T125" i="5"/>
  <c r="T123" i="5"/>
  <c r="U195" i="7"/>
  <c r="V189" i="7"/>
  <c r="V42" i="5"/>
  <c r="U48" i="5"/>
  <c r="U46" i="5"/>
  <c r="V21" i="10"/>
  <c r="U27" i="10"/>
  <c r="U25" i="10"/>
  <c r="U231" i="5"/>
  <c r="T237" i="5"/>
  <c r="T235" i="5"/>
  <c r="T258" i="7"/>
  <c r="U252" i="7"/>
  <c r="V77" i="7"/>
  <c r="U83" i="7"/>
  <c r="U81" i="7"/>
  <c r="T76" i="3"/>
  <c r="W175" i="7"/>
  <c r="V181" i="7"/>
  <c r="U55" i="7"/>
  <c r="V49" i="7"/>
  <c r="U53" i="7"/>
  <c r="T88" i="7"/>
  <c r="U84" i="7"/>
  <c r="T90" i="7"/>
  <c r="G32" i="4"/>
  <c r="J31" i="4"/>
  <c r="V174" i="5"/>
  <c r="V172" i="5"/>
  <c r="W168" i="5"/>
  <c r="T118" i="7"/>
  <c r="U112" i="7"/>
  <c r="U238" i="7"/>
  <c r="T244" i="7"/>
  <c r="U125" i="7"/>
  <c r="U123" i="7"/>
  <c r="V119" i="7"/>
  <c r="U217" i="7"/>
  <c r="T221" i="7"/>
  <c r="T223" i="7"/>
  <c r="V21" i="7"/>
  <c r="U27" i="7"/>
  <c r="U140" i="7"/>
  <c r="T146" i="7"/>
  <c r="T64" i="3"/>
  <c r="T70" i="3" s="1"/>
  <c r="V196" i="5"/>
  <c r="U200" i="5"/>
  <c r="U202" i="5"/>
  <c r="U48" i="7"/>
  <c r="V42" i="7"/>
  <c r="V203" i="5"/>
  <c r="U209" i="5"/>
  <c r="U98" i="5"/>
  <c r="T104" i="5"/>
  <c r="T56" i="10" l="1"/>
  <c r="S62" i="10"/>
  <c r="S60" i="10"/>
  <c r="S76" i="10"/>
  <c r="S85" i="10"/>
  <c r="S64" i="10"/>
  <c r="S70" i="10" s="1"/>
  <c r="V56" i="7"/>
  <c r="U62" i="7"/>
  <c r="V154" i="5"/>
  <c r="U160" i="5"/>
  <c r="U158" i="5"/>
  <c r="X28" i="10"/>
  <c r="W34" i="10"/>
  <c r="V35" i="10"/>
  <c r="U41" i="10"/>
  <c r="V14" i="10"/>
  <c r="U20" i="10"/>
  <c r="X63" i="5"/>
  <c r="W69" i="5"/>
  <c r="V27" i="5"/>
  <c r="W21" i="5"/>
  <c r="V25" i="5"/>
  <c r="V98" i="7"/>
  <c r="U104" i="7"/>
  <c r="U41" i="3"/>
  <c r="V35" i="3"/>
  <c r="U39" i="3"/>
  <c r="U55" i="5"/>
  <c r="V49" i="5"/>
  <c r="U76" i="7"/>
  <c r="V70" i="7"/>
  <c r="U25" i="3"/>
  <c r="U27" i="3"/>
  <c r="V21" i="3"/>
  <c r="V56" i="5"/>
  <c r="U62" i="5"/>
  <c r="U69" i="7"/>
  <c r="V63" i="7"/>
  <c r="U34" i="5"/>
  <c r="V28" i="5"/>
  <c r="U32" i="5"/>
  <c r="V91" i="7"/>
  <c r="U97" i="7"/>
  <c r="U95" i="7"/>
  <c r="V245" i="5"/>
  <c r="U251" i="5"/>
  <c r="U132" i="7"/>
  <c r="V126" i="7"/>
  <c r="V112" i="5"/>
  <c r="U118" i="5"/>
  <c r="U116" i="5"/>
  <c r="V14" i="7"/>
  <c r="U20" i="7"/>
  <c r="U260" i="7"/>
  <c r="U266" i="7" s="1"/>
  <c r="U272" i="7"/>
  <c r="U281" i="7"/>
  <c r="W189" i="5"/>
  <c r="V195" i="5"/>
  <c r="V168" i="7"/>
  <c r="U172" i="7"/>
  <c r="U174" i="7"/>
  <c r="U209" i="7"/>
  <c r="V203" i="7"/>
  <c r="V224" i="7"/>
  <c r="U230" i="7"/>
  <c r="U139" i="7"/>
  <c r="V133" i="7"/>
  <c r="U137" i="7"/>
  <c r="U20" i="5"/>
  <c r="V14" i="5"/>
  <c r="U281" i="5"/>
  <c r="U260" i="5"/>
  <c r="U266" i="5" s="1"/>
  <c r="U272" i="5"/>
  <c r="V105" i="7"/>
  <c r="U109" i="7"/>
  <c r="U111" i="7"/>
  <c r="U111" i="5"/>
  <c r="V105" i="5"/>
  <c r="U109" i="5"/>
  <c r="V48" i="5"/>
  <c r="W42" i="5"/>
  <c r="V46" i="5"/>
  <c r="W42" i="10"/>
  <c r="V46" i="10"/>
  <c r="V48" i="10"/>
  <c r="V83" i="5"/>
  <c r="W77" i="5"/>
  <c r="V81" i="5"/>
  <c r="G34" i="9"/>
  <c r="J33" i="9"/>
  <c r="U160" i="7"/>
  <c r="V154" i="7"/>
  <c r="U158" i="7"/>
  <c r="U221" i="7"/>
  <c r="U223" i="7"/>
  <c r="V217" i="7"/>
  <c r="V195" i="7"/>
  <c r="W189" i="7"/>
  <c r="V49" i="3"/>
  <c r="U53" i="3"/>
  <c r="U55" i="3"/>
  <c r="G33" i="8"/>
  <c r="J32" i="8"/>
  <c r="Y18" i="10"/>
  <c r="U48" i="3"/>
  <c r="V42" i="3"/>
  <c r="U46" i="3"/>
  <c r="U146" i="7"/>
  <c r="V140" i="7"/>
  <c r="U144" i="7"/>
  <c r="V125" i="7"/>
  <c r="W119" i="7"/>
  <c r="V123" i="7"/>
  <c r="V245" i="7"/>
  <c r="U251" i="7"/>
  <c r="W161" i="5"/>
  <c r="V167" i="5"/>
  <c r="V161" i="7"/>
  <c r="U167" i="7"/>
  <c r="U165" i="7"/>
  <c r="W237" i="7"/>
  <c r="X231" i="7"/>
  <c r="V41" i="7"/>
  <c r="W35" i="7"/>
  <c r="V91" i="5"/>
  <c r="U95" i="5"/>
  <c r="U97" i="5"/>
  <c r="V55" i="7"/>
  <c r="W49" i="7"/>
  <c r="V53" i="7"/>
  <c r="G33" i="4"/>
  <c r="J32" i="4"/>
  <c r="Y70" i="5"/>
  <c r="X76" i="5"/>
  <c r="W182" i="5"/>
  <c r="V188" i="5"/>
  <c r="V252" i="5"/>
  <c r="U258" i="5"/>
  <c r="U85" i="3"/>
  <c r="U32" i="3"/>
  <c r="U34" i="3"/>
  <c r="V28" i="3"/>
  <c r="W174" i="5"/>
  <c r="X168" i="5"/>
  <c r="W172" i="5"/>
  <c r="V98" i="5"/>
  <c r="U104" i="5"/>
  <c r="W21" i="7"/>
  <c r="V27" i="7"/>
  <c r="U41" i="5"/>
  <c r="V35" i="5"/>
  <c r="V90" i="5"/>
  <c r="W84" i="5"/>
  <c r="V88" i="5"/>
  <c r="W126" i="5"/>
  <c r="V132" i="5"/>
  <c r="U244" i="5"/>
  <c r="V238" i="5"/>
  <c r="U64" i="3"/>
  <c r="U70" i="3" s="1"/>
  <c r="V27" i="10"/>
  <c r="W21" i="10"/>
  <c r="V25" i="10"/>
  <c r="V119" i="5"/>
  <c r="U125" i="5"/>
  <c r="U123" i="5"/>
  <c r="G33" i="6"/>
  <c r="J32" i="6"/>
  <c r="U153" i="7"/>
  <c r="V147" i="7"/>
  <c r="U151" i="7"/>
  <c r="Y32" i="10"/>
  <c r="U76" i="3"/>
  <c r="U235" i="5"/>
  <c r="V231" i="5"/>
  <c r="U237" i="5"/>
  <c r="U90" i="7"/>
  <c r="V84" i="7"/>
  <c r="U88" i="7"/>
  <c r="W203" i="5"/>
  <c r="V209" i="5"/>
  <c r="V83" i="7"/>
  <c r="W77" i="7"/>
  <c r="V81" i="7"/>
  <c r="V146" i="5"/>
  <c r="W140" i="5"/>
  <c r="U221" i="5"/>
  <c r="U223" i="5"/>
  <c r="V217" i="5"/>
  <c r="W210" i="5"/>
  <c r="V216" i="5"/>
  <c r="V214" i="5"/>
  <c r="Y39" i="10"/>
  <c r="W153" i="5"/>
  <c r="X147" i="5"/>
  <c r="W151" i="5"/>
  <c r="W196" i="5"/>
  <c r="V200" i="5"/>
  <c r="V202" i="5"/>
  <c r="W181" i="7"/>
  <c r="X175" i="7"/>
  <c r="V238" i="7"/>
  <c r="U244" i="7"/>
  <c r="U242" i="7"/>
  <c r="V48" i="7"/>
  <c r="W42" i="7"/>
  <c r="V112" i="7"/>
  <c r="U118" i="7"/>
  <c r="U258" i="7"/>
  <c r="V252" i="7"/>
  <c r="U202" i="7"/>
  <c r="V196" i="7"/>
  <c r="V181" i="5"/>
  <c r="W175" i="5"/>
  <c r="U186" i="7"/>
  <c r="U188" i="7"/>
  <c r="V182" i="7"/>
  <c r="V139" i="5"/>
  <c r="W133" i="5"/>
  <c r="V137" i="5"/>
  <c r="V53" i="10"/>
  <c r="V55" i="10"/>
  <c r="W49" i="10"/>
  <c r="V62" i="3"/>
  <c r="W56" i="3"/>
  <c r="V60" i="3"/>
  <c r="U216" i="7"/>
  <c r="V210" i="7"/>
  <c r="X230" i="5"/>
  <c r="Y224" i="5"/>
  <c r="X28" i="7"/>
  <c r="W34" i="7"/>
  <c r="W32" i="7"/>
  <c r="W14" i="3"/>
  <c r="V18" i="3"/>
  <c r="V20" i="3"/>
  <c r="T60" i="10" l="1"/>
  <c r="T62" i="10"/>
  <c r="U56" i="10"/>
  <c r="T76" i="10"/>
  <c r="T85" i="10"/>
  <c r="T64" i="10"/>
  <c r="T70" i="10" s="1"/>
  <c r="V62" i="7"/>
  <c r="W56" i="7"/>
  <c r="W154" i="5"/>
  <c r="V158" i="5"/>
  <c r="V160" i="5"/>
  <c r="V85" i="3"/>
  <c r="Y28" i="10"/>
  <c r="X34" i="10"/>
  <c r="V76" i="3"/>
  <c r="V64" i="3"/>
  <c r="V70" i="3" s="1"/>
  <c r="V20" i="10"/>
  <c r="W14" i="10"/>
  <c r="V41" i="10"/>
  <c r="W35" i="10"/>
  <c r="V34" i="5"/>
  <c r="V32" i="5"/>
  <c r="W28" i="5"/>
  <c r="V69" i="7"/>
  <c r="W63" i="7"/>
  <c r="V39" i="3"/>
  <c r="V41" i="3"/>
  <c r="W35" i="3"/>
  <c r="V62" i="5"/>
  <c r="W56" i="5"/>
  <c r="V104" i="7"/>
  <c r="W98" i="7"/>
  <c r="V55" i="5"/>
  <c r="W49" i="5"/>
  <c r="W21" i="3"/>
  <c r="V25" i="3"/>
  <c r="V27" i="3"/>
  <c r="W27" i="5"/>
  <c r="X21" i="5"/>
  <c r="W25" i="5"/>
  <c r="V76" i="7"/>
  <c r="W70" i="7"/>
  <c r="V97" i="7"/>
  <c r="W91" i="7"/>
  <c r="V95" i="7"/>
  <c r="Y63" i="5"/>
  <c r="X69" i="5"/>
  <c r="Y147" i="5"/>
  <c r="X153" i="5"/>
  <c r="X151" i="5"/>
  <c r="W62" i="3"/>
  <c r="X56" i="3"/>
  <c r="W60" i="3"/>
  <c r="W252" i="5"/>
  <c r="V258" i="5"/>
  <c r="V139" i="7"/>
  <c r="W133" i="7"/>
  <c r="V137" i="7"/>
  <c r="W48" i="7"/>
  <c r="X42" i="7"/>
  <c r="X140" i="5"/>
  <c r="W146" i="5"/>
  <c r="W27" i="10"/>
  <c r="X21" i="10"/>
  <c r="W25" i="10"/>
  <c r="W181" i="5"/>
  <c r="X175" i="5"/>
  <c r="V90" i="7"/>
  <c r="W84" i="7"/>
  <c r="V88" i="7"/>
  <c r="X21" i="7"/>
  <c r="W27" i="7"/>
  <c r="W83" i="5"/>
  <c r="X77" i="5"/>
  <c r="W81" i="5"/>
  <c r="X237" i="7"/>
  <c r="Y231" i="7"/>
  <c r="W125" i="7"/>
  <c r="X119" i="7"/>
  <c r="W123" i="7"/>
  <c r="V111" i="7"/>
  <c r="W105" i="7"/>
  <c r="V109" i="7"/>
  <c r="Z18" i="10"/>
  <c r="W224" i="7"/>
  <c r="V230" i="7"/>
  <c r="W14" i="7"/>
  <c r="V20" i="7"/>
  <c r="V260" i="7"/>
  <c r="V266" i="7" s="1"/>
  <c r="V272" i="7"/>
  <c r="V281" i="7"/>
  <c r="Z39" i="10"/>
  <c r="W53" i="10"/>
  <c r="W55" i="10"/>
  <c r="X49" i="10"/>
  <c r="W238" i="7"/>
  <c r="V242" i="7"/>
  <c r="V244" i="7"/>
  <c r="V235" i="5"/>
  <c r="W231" i="5"/>
  <c r="V237" i="5"/>
  <c r="G34" i="6"/>
  <c r="J33" i="6"/>
  <c r="Z70" i="5"/>
  <c r="Y76" i="5"/>
  <c r="X49" i="7"/>
  <c r="W55" i="7"/>
  <c r="W53" i="7"/>
  <c r="W203" i="7"/>
  <c r="V209" i="7"/>
  <c r="W147" i="7"/>
  <c r="V153" i="7"/>
  <c r="V151" i="7"/>
  <c r="W140" i="7"/>
  <c r="V146" i="7"/>
  <c r="V144" i="7"/>
  <c r="G34" i="8"/>
  <c r="J33" i="8"/>
  <c r="X42" i="10"/>
  <c r="W46" i="10"/>
  <c r="W48" i="10"/>
  <c r="V188" i="7"/>
  <c r="W182" i="7"/>
  <c r="V186" i="7"/>
  <c r="G34" i="4"/>
  <c r="J33" i="4"/>
  <c r="G35" i="9"/>
  <c r="J34" i="9"/>
  <c r="X182" i="5"/>
  <c r="W188" i="5"/>
  <c r="Y28" i="7"/>
  <c r="X34" i="7"/>
  <c r="X32" i="7"/>
  <c r="X210" i="5"/>
  <c r="W214" i="5"/>
  <c r="W216" i="5"/>
  <c r="X126" i="5"/>
  <c r="W132" i="5"/>
  <c r="W161" i="7"/>
  <c r="V167" i="7"/>
  <c r="V165" i="7"/>
  <c r="W112" i="5"/>
  <c r="V118" i="5"/>
  <c r="V116" i="5"/>
  <c r="X203" i="5"/>
  <c r="W209" i="5"/>
  <c r="X14" i="3"/>
  <c r="W20" i="3"/>
  <c r="W18" i="3"/>
  <c r="V258" i="7"/>
  <c r="W252" i="7"/>
  <c r="W217" i="5"/>
  <c r="V221" i="5"/>
  <c r="V223" i="5"/>
  <c r="V123" i="5"/>
  <c r="W119" i="5"/>
  <c r="V125" i="5"/>
  <c r="V32" i="3"/>
  <c r="V34" i="3"/>
  <c r="W28" i="3"/>
  <c r="W48" i="5"/>
  <c r="X42" i="5"/>
  <c r="W46" i="5"/>
  <c r="V132" i="7"/>
  <c r="W126" i="7"/>
  <c r="V244" i="5"/>
  <c r="W238" i="5"/>
  <c r="Y175" i="7"/>
  <c r="X181" i="7"/>
  <c r="Z224" i="5"/>
  <c r="Y230" i="5"/>
  <c r="W83" i="7"/>
  <c r="X77" i="7"/>
  <c r="W81" i="7"/>
  <c r="W91" i="5"/>
  <c r="V97" i="5"/>
  <c r="V95" i="5"/>
  <c r="X161" i="5"/>
  <c r="W167" i="5"/>
  <c r="V46" i="3"/>
  <c r="V48" i="3"/>
  <c r="W42" i="3"/>
  <c r="V55" i="3"/>
  <c r="W49" i="3"/>
  <c r="V53" i="3"/>
  <c r="W154" i="7"/>
  <c r="V160" i="7"/>
  <c r="V158" i="7"/>
  <c r="V172" i="7"/>
  <c r="V174" i="7"/>
  <c r="W168" i="7"/>
  <c r="V221" i="7"/>
  <c r="V223" i="7"/>
  <c r="W217" i="7"/>
  <c r="V202" i="7"/>
  <c r="W196" i="7"/>
  <c r="W98" i="5"/>
  <c r="V104" i="5"/>
  <c r="Y168" i="5"/>
  <c r="X174" i="5"/>
  <c r="X172" i="5"/>
  <c r="W139" i="5"/>
  <c r="X133" i="5"/>
  <c r="W137" i="5"/>
  <c r="V118" i="7"/>
  <c r="W112" i="7"/>
  <c r="X84" i="5"/>
  <c r="W90" i="5"/>
  <c r="W88" i="5"/>
  <c r="W210" i="7"/>
  <c r="V216" i="7"/>
  <c r="X196" i="5"/>
  <c r="W200" i="5"/>
  <c r="W202" i="5"/>
  <c r="Z32" i="10"/>
  <c r="W41" i="7"/>
  <c r="X35" i="7"/>
  <c r="W195" i="7"/>
  <c r="X189" i="7"/>
  <c r="V20" i="5"/>
  <c r="W14" i="5"/>
  <c r="V281" i="5"/>
  <c r="V260" i="5"/>
  <c r="V266" i="5" s="1"/>
  <c r="V272" i="5"/>
  <c r="V41" i="5"/>
  <c r="W35" i="5"/>
  <c r="W245" i="7"/>
  <c r="V251" i="7"/>
  <c r="W105" i="5"/>
  <c r="V109" i="5"/>
  <c r="V111" i="5"/>
  <c r="X189" i="5"/>
  <c r="W195" i="5"/>
  <c r="W245" i="5"/>
  <c r="V251" i="5"/>
  <c r="U60" i="10" l="1"/>
  <c r="V56" i="10"/>
  <c r="U62" i="10"/>
  <c r="U64" i="10"/>
  <c r="U70" i="10" s="1"/>
  <c r="U76" i="10"/>
  <c r="U85" i="10"/>
  <c r="X56" i="7"/>
  <c r="W62" i="7"/>
  <c r="W160" i="5"/>
  <c r="W158" i="5"/>
  <c r="X154" i="5"/>
  <c r="Y34" i="10"/>
  <c r="Z28" i="10"/>
  <c r="W64" i="3"/>
  <c r="W70" i="3" s="1"/>
  <c r="X35" i="10"/>
  <c r="W41" i="10"/>
  <c r="X14" i="10"/>
  <c r="W20" i="10"/>
  <c r="X98" i="7"/>
  <c r="W104" i="7"/>
  <c r="X70" i="7"/>
  <c r="W76" i="7"/>
  <c r="W62" i="5"/>
  <c r="X56" i="5"/>
  <c r="W97" i="7"/>
  <c r="X91" i="7"/>
  <c r="W95" i="7"/>
  <c r="X35" i="3"/>
  <c r="W41" i="3"/>
  <c r="W39" i="3"/>
  <c r="Y21" i="5"/>
  <c r="X27" i="5"/>
  <c r="X25" i="5"/>
  <c r="X63" i="7"/>
  <c r="W69" i="7"/>
  <c r="X21" i="3"/>
  <c r="W27" i="3"/>
  <c r="W25" i="3"/>
  <c r="W32" i="5"/>
  <c r="W34" i="5"/>
  <c r="X28" i="5"/>
  <c r="Z63" i="5"/>
  <c r="Y69" i="5"/>
  <c r="X49" i="5"/>
  <c r="W55" i="5"/>
  <c r="W41" i="5"/>
  <c r="X35" i="5"/>
  <c r="X168" i="7"/>
  <c r="W174" i="7"/>
  <c r="W172" i="7"/>
  <c r="Z230" i="5"/>
  <c r="AA224" i="5"/>
  <c r="X252" i="7"/>
  <c r="W258" i="7"/>
  <c r="W118" i="5"/>
  <c r="X112" i="5"/>
  <c r="W116" i="5"/>
  <c r="G36" i="9"/>
  <c r="J35" i="9"/>
  <c r="AA18" i="10"/>
  <c r="W235" i="5"/>
  <c r="W237" i="5"/>
  <c r="X231" i="5"/>
  <c r="X105" i="7"/>
  <c r="W111" i="7"/>
  <c r="W109" i="7"/>
  <c r="W251" i="5"/>
  <c r="X245" i="5"/>
  <c r="X202" i="5"/>
  <c r="Y196" i="5"/>
  <c r="X200" i="5"/>
  <c r="W244" i="5"/>
  <c r="X238" i="5"/>
  <c r="X28" i="3"/>
  <c r="W34" i="3"/>
  <c r="W32" i="3"/>
  <c r="W85" i="3"/>
  <c r="X216" i="5"/>
  <c r="Y210" i="5"/>
  <c r="X214" i="5"/>
  <c r="X83" i="5"/>
  <c r="Y77" i="5"/>
  <c r="X81" i="5"/>
  <c r="W188" i="7"/>
  <c r="X182" i="7"/>
  <c r="W186" i="7"/>
  <c r="W146" i="7"/>
  <c r="X140" i="7"/>
  <c r="W144" i="7"/>
  <c r="X203" i="7"/>
  <c r="W209" i="7"/>
  <c r="X14" i="7"/>
  <c r="W20" i="7"/>
  <c r="W260" i="7"/>
  <c r="W266" i="7" s="1"/>
  <c r="W272" i="7"/>
  <c r="W281" i="7"/>
  <c r="Y21" i="10"/>
  <c r="X27" i="10"/>
  <c r="X25" i="10"/>
  <c r="G35" i="8"/>
  <c r="J34" i="8"/>
  <c r="G35" i="4"/>
  <c r="J34" i="4"/>
  <c r="W153" i="7"/>
  <c r="X147" i="7"/>
  <c r="W151" i="7"/>
  <c r="W20" i="5"/>
  <c r="X14" i="5"/>
  <c r="W281" i="5"/>
  <c r="W260" i="5"/>
  <c r="W266" i="5" s="1"/>
  <c r="W272" i="5"/>
  <c r="Y174" i="5"/>
  <c r="Z168" i="5"/>
  <c r="W97" i="5"/>
  <c r="X91" i="5"/>
  <c r="W95" i="5"/>
  <c r="X195" i="5"/>
  <c r="Y189" i="5"/>
  <c r="X210" i="7"/>
  <c r="W216" i="7"/>
  <c r="W160" i="7"/>
  <c r="X154" i="7"/>
  <c r="W158" i="7"/>
  <c r="W76" i="3"/>
  <c r="W244" i="7"/>
  <c r="X238" i="7"/>
  <c r="W242" i="7"/>
  <c r="X252" i="5"/>
  <c r="W258" i="5"/>
  <c r="X161" i="7"/>
  <c r="W165" i="7"/>
  <c r="W167" i="7"/>
  <c r="Y49" i="10"/>
  <c r="X53" i="10"/>
  <c r="X55" i="10"/>
  <c r="W230" i="7"/>
  <c r="X224" i="7"/>
  <c r="Y21" i="7"/>
  <c r="X27" i="7"/>
  <c r="X217" i="5"/>
  <c r="W221" i="5"/>
  <c r="W223" i="5"/>
  <c r="Y133" i="5"/>
  <c r="X137" i="5"/>
  <c r="X139" i="5"/>
  <c r="X195" i="7"/>
  <c r="Y189" i="7"/>
  <c r="Z28" i="7"/>
  <c r="Y34" i="7"/>
  <c r="X196" i="7"/>
  <c r="W202" i="7"/>
  <c r="W55" i="3"/>
  <c r="X49" i="3"/>
  <c r="W53" i="3"/>
  <c r="W125" i="5"/>
  <c r="X119" i="5"/>
  <c r="W123" i="5"/>
  <c r="Y14" i="3"/>
  <c r="X20" i="3"/>
  <c r="X18" i="3"/>
  <c r="Y49" i="7"/>
  <c r="X53" i="7"/>
  <c r="X55" i="7"/>
  <c r="Y119" i="7"/>
  <c r="X125" i="7"/>
  <c r="X123" i="7"/>
  <c r="Y140" i="5"/>
  <c r="X146" i="5"/>
  <c r="X62" i="3"/>
  <c r="Y56" i="3"/>
  <c r="X60" i="3"/>
  <c r="Y161" i="5"/>
  <c r="X167" i="5"/>
  <c r="X48" i="5"/>
  <c r="Y42" i="5"/>
  <c r="X46" i="5"/>
  <c r="Y35" i="7"/>
  <c r="X41" i="7"/>
  <c r="W90" i="7"/>
  <c r="X84" i="7"/>
  <c r="W88" i="7"/>
  <c r="Y42" i="7"/>
  <c r="X48" i="7"/>
  <c r="Y181" i="7"/>
  <c r="Z175" i="7"/>
  <c r="W104" i="5"/>
  <c r="X98" i="5"/>
  <c r="X112" i="7"/>
  <c r="W118" i="7"/>
  <c r="Y77" i="7"/>
  <c r="X81" i="7"/>
  <c r="X83" i="7"/>
  <c r="Z76" i="5"/>
  <c r="AA70" i="5"/>
  <c r="Y237" i="7"/>
  <c r="Z231" i="7"/>
  <c r="W111" i="5"/>
  <c r="X105" i="5"/>
  <c r="W109" i="5"/>
  <c r="Y84" i="5"/>
  <c r="X88" i="5"/>
  <c r="X90" i="5"/>
  <c r="W223" i="7"/>
  <c r="X217" i="7"/>
  <c r="W221" i="7"/>
  <c r="X42" i="3"/>
  <c r="W48" i="3"/>
  <c r="W46" i="3"/>
  <c r="X209" i="5"/>
  <c r="Y203" i="5"/>
  <c r="W251" i="7"/>
  <c r="X245" i="7"/>
  <c r="AA32" i="10"/>
  <c r="W132" i="7"/>
  <c r="X126" i="7"/>
  <c r="Y126" i="5"/>
  <c r="X132" i="5"/>
  <c r="X188" i="5"/>
  <c r="Y182" i="5"/>
  <c r="Y175" i="5"/>
  <c r="X181" i="5"/>
  <c r="Y42" i="10"/>
  <c r="X46" i="10"/>
  <c r="X48" i="10"/>
  <c r="G35" i="6"/>
  <c r="J34" i="6"/>
  <c r="AA39" i="10"/>
  <c r="W139" i="7"/>
  <c r="X133" i="7"/>
  <c r="W137" i="7"/>
  <c r="Y153" i="5"/>
  <c r="Z147" i="5"/>
  <c r="Y151" i="5"/>
  <c r="V62" i="10" l="1"/>
  <c r="W56" i="10"/>
  <c r="V60" i="10"/>
  <c r="V85" i="10"/>
  <c r="V64" i="10"/>
  <c r="V70" i="10" s="1"/>
  <c r="V76" i="10"/>
  <c r="Y56" i="7"/>
  <c r="X62" i="7"/>
  <c r="X158" i="5"/>
  <c r="X160" i="5"/>
  <c r="Y154" i="5"/>
  <c r="Z34" i="10"/>
  <c r="AA28" i="10"/>
  <c r="X64" i="3"/>
  <c r="X70" i="3" s="1"/>
  <c r="Y14" i="10"/>
  <c r="X20" i="10"/>
  <c r="Y35" i="10"/>
  <c r="X41" i="10"/>
  <c r="X32" i="5"/>
  <c r="X34" i="5"/>
  <c r="Y28" i="5"/>
  <c r="X39" i="3"/>
  <c r="Y35" i="3"/>
  <c r="X41" i="3"/>
  <c r="X95" i="7"/>
  <c r="Y91" i="7"/>
  <c r="X97" i="7"/>
  <c r="Y21" i="3"/>
  <c r="X25" i="3"/>
  <c r="X27" i="3"/>
  <c r="X62" i="5"/>
  <c r="Y56" i="5"/>
  <c r="AA63" i="5"/>
  <c r="Z69" i="5"/>
  <c r="Y63" i="7"/>
  <c r="X69" i="7"/>
  <c r="X76" i="7"/>
  <c r="Y70" i="7"/>
  <c r="X55" i="5"/>
  <c r="Y49" i="5"/>
  <c r="Z21" i="5"/>
  <c r="Y27" i="5"/>
  <c r="Y25" i="5"/>
  <c r="X104" i="7"/>
  <c r="Y98" i="7"/>
  <c r="X20" i="5"/>
  <c r="Y14" i="5"/>
  <c r="X281" i="5"/>
  <c r="X260" i="5"/>
  <c r="X266" i="5" s="1"/>
  <c r="X272" i="5"/>
  <c r="Z84" i="5"/>
  <c r="Y88" i="5"/>
  <c r="Y90" i="5"/>
  <c r="AA168" i="5"/>
  <c r="Z174" i="5"/>
  <c r="Z181" i="7"/>
  <c r="AA175" i="7"/>
  <c r="Y42" i="3"/>
  <c r="X46" i="3"/>
  <c r="X48" i="3"/>
  <c r="AB70" i="5"/>
  <c r="AA76" i="5"/>
  <c r="Z35" i="7"/>
  <c r="Y41" i="7"/>
  <c r="Y39" i="7"/>
  <c r="Z140" i="5"/>
  <c r="Y146" i="5"/>
  <c r="Z133" i="5"/>
  <c r="Y139" i="5"/>
  <c r="Y137" i="5"/>
  <c r="X216" i="7"/>
  <c r="Y210" i="7"/>
  <c r="Y140" i="7"/>
  <c r="X146" i="7"/>
  <c r="X144" i="7"/>
  <c r="Y216" i="5"/>
  <c r="Z210" i="5"/>
  <c r="Y202" i="5"/>
  <c r="Z196" i="5"/>
  <c r="Y200" i="5"/>
  <c r="X116" i="5"/>
  <c r="X118" i="5"/>
  <c r="Y112" i="5"/>
  <c r="Y195" i="5"/>
  <c r="Z189" i="5"/>
  <c r="X223" i="7"/>
  <c r="Y217" i="7"/>
  <c r="X221" i="7"/>
  <c r="Z42" i="7"/>
  <c r="Y48" i="7"/>
  <c r="X85" i="3"/>
  <c r="X55" i="3"/>
  <c r="Y49" i="3"/>
  <c r="X53" i="3"/>
  <c r="Y147" i="7"/>
  <c r="X153" i="7"/>
  <c r="X151" i="7"/>
  <c r="Y245" i="5"/>
  <c r="X251" i="5"/>
  <c r="Z42" i="10"/>
  <c r="Y48" i="10"/>
  <c r="Y46" i="10"/>
  <c r="AB32" i="10"/>
  <c r="Z119" i="7"/>
  <c r="Y125" i="7"/>
  <c r="Y123" i="7"/>
  <c r="X223" i="5"/>
  <c r="Y217" i="5"/>
  <c r="X221" i="5"/>
  <c r="Y252" i="5"/>
  <c r="X258" i="5"/>
  <c r="X188" i="7"/>
  <c r="Y182" i="7"/>
  <c r="X186" i="7"/>
  <c r="Y252" i="7"/>
  <c r="X258" i="7"/>
  <c r="AA147" i="5"/>
  <c r="Z153" i="5"/>
  <c r="Z151" i="5"/>
  <c r="Y161" i="7"/>
  <c r="X167" i="7"/>
  <c r="X165" i="7"/>
  <c r="Y181" i="5"/>
  <c r="Z175" i="5"/>
  <c r="Y83" i="7"/>
  <c r="Z77" i="7"/>
  <c r="Y81" i="7"/>
  <c r="Y84" i="7"/>
  <c r="X88" i="7"/>
  <c r="X90" i="7"/>
  <c r="Z42" i="5"/>
  <c r="Y48" i="5"/>
  <c r="Y46" i="5"/>
  <c r="X76" i="3"/>
  <c r="X95" i="5"/>
  <c r="X97" i="5"/>
  <c r="Y91" i="5"/>
  <c r="AA230" i="5"/>
  <c r="AB224" i="5"/>
  <c r="Z21" i="10"/>
  <c r="Y27" i="10"/>
  <c r="Y25" i="10"/>
  <c r="Y245" i="7"/>
  <c r="X251" i="7"/>
  <c r="X139" i="7"/>
  <c r="Y133" i="7"/>
  <c r="X137" i="7"/>
  <c r="Y209" i="5"/>
  <c r="Z203" i="5"/>
  <c r="X202" i="7"/>
  <c r="Y196" i="7"/>
  <c r="Z21" i="7"/>
  <c r="Y27" i="7"/>
  <c r="Y238" i="7"/>
  <c r="X242" i="7"/>
  <c r="X244" i="7"/>
  <c r="G36" i="4"/>
  <c r="J35" i="4"/>
  <c r="Y188" i="5"/>
  <c r="Z182" i="5"/>
  <c r="Z49" i="7"/>
  <c r="Y55" i="7"/>
  <c r="Y53" i="7"/>
  <c r="X230" i="7"/>
  <c r="Y224" i="7"/>
  <c r="Y105" i="7"/>
  <c r="X111" i="7"/>
  <c r="X109" i="7"/>
  <c r="AB18" i="10"/>
  <c r="AA28" i="7"/>
  <c r="Z34" i="7"/>
  <c r="G36" i="8"/>
  <c r="J35" i="8"/>
  <c r="X118" i="7"/>
  <c r="Y112" i="7"/>
  <c r="Z14" i="3"/>
  <c r="Y20" i="3"/>
  <c r="Y18" i="3"/>
  <c r="AB39" i="10"/>
  <c r="X109" i="5"/>
  <c r="X111" i="5"/>
  <c r="Y105" i="5"/>
  <c r="Y119" i="5"/>
  <c r="X125" i="5"/>
  <c r="X123" i="5"/>
  <c r="Z189" i="7"/>
  <c r="Y195" i="7"/>
  <c r="Y14" i="7"/>
  <c r="X20" i="7"/>
  <c r="X272" i="7"/>
  <c r="X260" i="7"/>
  <c r="X266" i="7" s="1"/>
  <c r="X281" i="7"/>
  <c r="Y28" i="3"/>
  <c r="X32" i="3"/>
  <c r="X34" i="3"/>
  <c r="G37" i="9"/>
  <c r="J36" i="9"/>
  <c r="Y168" i="7"/>
  <c r="X174" i="7"/>
  <c r="X172" i="7"/>
  <c r="Y167" i="5"/>
  <c r="Z161" i="5"/>
  <c r="Y132" i="5"/>
  <c r="Z126" i="5"/>
  <c r="X104" i="5"/>
  <c r="Y98" i="5"/>
  <c r="Y62" i="3"/>
  <c r="Z56" i="3"/>
  <c r="Y60" i="3"/>
  <c r="X160" i="7"/>
  <c r="Y154" i="7"/>
  <c r="X158" i="7"/>
  <c r="Z77" i="5"/>
  <c r="Y83" i="5"/>
  <c r="Y81" i="5"/>
  <c r="Y238" i="5"/>
  <c r="X244" i="5"/>
  <c r="X41" i="5"/>
  <c r="Y35" i="5"/>
  <c r="G36" i="6"/>
  <c r="J35" i="6"/>
  <c r="X132" i="7"/>
  <c r="Y126" i="7"/>
  <c r="Z237" i="7"/>
  <c r="AA231" i="7"/>
  <c r="Z49" i="10"/>
  <c r="Y55" i="10"/>
  <c r="Y53" i="10"/>
  <c r="X209" i="7"/>
  <c r="Y203" i="7"/>
  <c r="X237" i="5"/>
  <c r="Y231" i="5"/>
  <c r="X235" i="5"/>
  <c r="X56" i="10" l="1"/>
  <c r="W62" i="10"/>
  <c r="W60" i="10"/>
  <c r="W64" i="10"/>
  <c r="W70" i="10" s="1"/>
  <c r="W85" i="10"/>
  <c r="W76" i="10"/>
  <c r="Y62" i="7"/>
  <c r="Z56" i="7"/>
  <c r="Y60" i="7"/>
  <c r="Y160" i="5"/>
  <c r="Z154" i="5"/>
  <c r="Y158" i="5"/>
  <c r="AA34" i="10"/>
  <c r="AB28" i="10"/>
  <c r="Y85" i="3"/>
  <c r="Z35" i="10"/>
  <c r="Y41" i="10"/>
  <c r="Z14" i="10"/>
  <c r="Y20" i="10"/>
  <c r="AA21" i="5"/>
  <c r="Z27" i="5"/>
  <c r="Z25" i="5"/>
  <c r="Z49" i="5"/>
  <c r="Y55" i="5"/>
  <c r="Z21" i="3"/>
  <c r="Y27" i="3"/>
  <c r="Y25" i="3"/>
  <c r="Y76" i="7"/>
  <c r="Z70" i="7"/>
  <c r="Z91" i="7"/>
  <c r="Y97" i="7"/>
  <c r="Y95" i="7"/>
  <c r="Y76" i="3"/>
  <c r="Y69" i="7"/>
  <c r="Z63" i="7"/>
  <c r="Z35" i="3"/>
  <c r="Y41" i="3"/>
  <c r="Y39" i="3"/>
  <c r="Y64" i="3"/>
  <c r="Y70" i="3" s="1"/>
  <c r="Y104" i="7"/>
  <c r="Z98" i="7"/>
  <c r="AB63" i="5"/>
  <c r="AA69" i="5"/>
  <c r="Z28" i="5"/>
  <c r="Y34" i="5"/>
  <c r="Y32" i="5"/>
  <c r="Y62" i="5"/>
  <c r="Z56" i="5"/>
  <c r="AA153" i="5"/>
  <c r="AB147" i="5"/>
  <c r="AA151" i="5"/>
  <c r="Y223" i="7"/>
  <c r="Z217" i="7"/>
  <c r="Y221" i="7"/>
  <c r="AA140" i="5"/>
  <c r="Z146" i="5"/>
  <c r="AA181" i="7"/>
  <c r="AB175" i="7"/>
  <c r="AC18" i="10"/>
  <c r="G37" i="4"/>
  <c r="J36" i="4"/>
  <c r="Y132" i="7"/>
  <c r="Z126" i="7"/>
  <c r="Y139" i="7"/>
  <c r="Z133" i="7"/>
  <c r="Y137" i="7"/>
  <c r="Z84" i="7"/>
  <c r="Y88" i="7"/>
  <c r="Y90" i="7"/>
  <c r="AA119" i="7"/>
  <c r="Z125" i="7"/>
  <c r="Z123" i="7"/>
  <c r="Y237" i="5"/>
  <c r="Y235" i="5"/>
  <c r="Z231" i="5"/>
  <c r="Z60" i="3"/>
  <c r="Z62" i="3"/>
  <c r="AA56" i="3"/>
  <c r="Z167" i="5"/>
  <c r="AA161" i="5"/>
  <c r="Y258" i="7"/>
  <c r="Z252" i="7"/>
  <c r="Y153" i="7"/>
  <c r="Z147" i="7"/>
  <c r="Y151" i="7"/>
  <c r="Z195" i="5"/>
  <c r="AA189" i="5"/>
  <c r="Z140" i="7"/>
  <c r="Y146" i="7"/>
  <c r="Y144" i="7"/>
  <c r="Z210" i="7"/>
  <c r="Y216" i="7"/>
  <c r="AA35" i="7"/>
  <c r="Z41" i="7"/>
  <c r="Z39" i="7"/>
  <c r="AB168" i="5"/>
  <c r="AA174" i="5"/>
  <c r="Y244" i="5"/>
  <c r="Z238" i="5"/>
  <c r="Z105" i="7"/>
  <c r="Y111" i="7"/>
  <c r="Y109" i="7"/>
  <c r="Z83" i="7"/>
  <c r="AA77" i="7"/>
  <c r="Z81" i="7"/>
  <c r="AC32" i="10"/>
  <c r="Y55" i="3"/>
  <c r="Z49" i="3"/>
  <c r="Y53" i="3"/>
  <c r="Z112" i="5"/>
  <c r="Y118" i="5"/>
  <c r="Y116" i="5"/>
  <c r="AC39" i="10"/>
  <c r="Y244" i="7"/>
  <c r="Z238" i="7"/>
  <c r="Y242" i="7"/>
  <c r="Z203" i="7"/>
  <c r="Y209" i="7"/>
  <c r="G37" i="6"/>
  <c r="J36" i="6"/>
  <c r="Z98" i="5"/>
  <c r="Y104" i="5"/>
  <c r="Y102" i="5"/>
  <c r="Z14" i="7"/>
  <c r="Y20" i="7"/>
  <c r="Y272" i="7"/>
  <c r="Y260" i="7"/>
  <c r="Y266" i="7" s="1"/>
  <c r="Y281" i="7"/>
  <c r="G37" i="8"/>
  <c r="J36" i="8"/>
  <c r="Y230" i="7"/>
  <c r="Z224" i="7"/>
  <c r="Y251" i="7"/>
  <c r="Z245" i="7"/>
  <c r="Y97" i="5"/>
  <c r="Z91" i="5"/>
  <c r="Y95" i="5"/>
  <c r="Z182" i="7"/>
  <c r="Y188" i="7"/>
  <c r="AA21" i="7"/>
  <c r="Z27" i="7"/>
  <c r="AA175" i="5"/>
  <c r="Z181" i="5"/>
  <c r="AB76" i="5"/>
  <c r="AC70" i="5"/>
  <c r="Z132" i="5"/>
  <c r="AA126" i="5"/>
  <c r="Y174" i="7"/>
  <c r="Z168" i="7"/>
  <c r="AA189" i="7"/>
  <c r="Z195" i="7"/>
  <c r="AB28" i="7"/>
  <c r="AA34" i="7"/>
  <c r="Z196" i="7"/>
  <c r="Y202" i="7"/>
  <c r="AA84" i="5"/>
  <c r="Z88" i="5"/>
  <c r="Z90" i="5"/>
  <c r="Y258" i="5"/>
  <c r="Z252" i="5"/>
  <c r="AA42" i="10"/>
  <c r="Z46" i="10"/>
  <c r="Z48" i="10"/>
  <c r="AA133" i="5"/>
  <c r="Z139" i="5"/>
  <c r="Z137" i="5"/>
  <c r="Z83" i="5"/>
  <c r="AA77" i="5"/>
  <c r="Z81" i="5"/>
  <c r="Y39" i="5"/>
  <c r="Y41" i="5"/>
  <c r="Z35" i="5"/>
  <c r="AA49" i="10"/>
  <c r="Z53" i="10"/>
  <c r="Z55" i="10"/>
  <c r="Y160" i="7"/>
  <c r="Z154" i="7"/>
  <c r="Y158" i="7"/>
  <c r="G38" i="9"/>
  <c r="J37" i="9"/>
  <c r="AA49" i="7"/>
  <c r="Z55" i="7"/>
  <c r="Z53" i="7"/>
  <c r="Z209" i="5"/>
  <c r="AA203" i="5"/>
  <c r="Z202" i="5"/>
  <c r="AA196" i="5"/>
  <c r="Z200" i="5"/>
  <c r="Z42" i="3"/>
  <c r="Y48" i="3"/>
  <c r="Y46" i="3"/>
  <c r="Y125" i="5"/>
  <c r="Z119" i="5"/>
  <c r="Y123" i="5"/>
  <c r="Z188" i="5"/>
  <c r="AA182" i="5"/>
  <c r="Z161" i="7"/>
  <c r="Y167" i="7"/>
  <c r="Y165" i="7"/>
  <c r="Y223" i="5"/>
  <c r="Z217" i="5"/>
  <c r="Z245" i="5"/>
  <c r="Y251" i="5"/>
  <c r="Z105" i="5"/>
  <c r="Y109" i="5"/>
  <c r="Y111" i="5"/>
  <c r="Z112" i="7"/>
  <c r="Y118" i="7"/>
  <c r="Z27" i="10"/>
  <c r="Z25" i="10"/>
  <c r="AA21" i="10"/>
  <c r="AA42" i="5"/>
  <c r="Z48" i="5"/>
  <c r="Z46" i="5"/>
  <c r="AA42" i="7"/>
  <c r="Z48" i="7"/>
  <c r="Z216" i="5"/>
  <c r="AA210" i="5"/>
  <c r="Z14" i="5"/>
  <c r="Y20" i="5"/>
  <c r="Y260" i="5"/>
  <c r="Y266" i="5" s="1"/>
  <c r="Y281" i="5"/>
  <c r="Y272" i="5"/>
  <c r="AA14" i="3"/>
  <c r="Z18" i="3"/>
  <c r="Z20" i="3"/>
  <c r="AA237" i="7"/>
  <c r="AB231" i="7"/>
  <c r="Z28" i="3"/>
  <c r="Y34" i="3"/>
  <c r="Y32" i="3"/>
  <c r="AC224" i="5"/>
  <c r="AB230" i="5"/>
  <c r="X62" i="10" l="1"/>
  <c r="X60" i="10"/>
  <c r="Y56" i="10"/>
  <c r="X76" i="10"/>
  <c r="X85" i="10"/>
  <c r="X64" i="10"/>
  <c r="X70" i="10" s="1"/>
  <c r="AA56" i="7"/>
  <c r="Z62" i="7"/>
  <c r="Z60" i="7"/>
  <c r="AA154" i="5"/>
  <c r="Z158" i="5"/>
  <c r="Z160" i="5"/>
  <c r="AB34" i="10"/>
  <c r="AC28" i="10"/>
  <c r="Z76" i="3"/>
  <c r="Z85" i="3"/>
  <c r="Z64" i="3"/>
  <c r="Z70" i="3" s="1"/>
  <c r="Z20" i="10"/>
  <c r="AA14" i="10"/>
  <c r="AA35" i="10"/>
  <c r="Z41" i="10"/>
  <c r="AC63" i="5"/>
  <c r="AB69" i="5"/>
  <c r="Z104" i="7"/>
  <c r="AA98" i="7"/>
  <c r="Z76" i="7"/>
  <c r="AA70" i="7"/>
  <c r="Z97" i="7"/>
  <c r="Z95" i="7"/>
  <c r="AA91" i="7"/>
  <c r="Z25" i="3"/>
  <c r="AA21" i="3"/>
  <c r="Z27" i="3"/>
  <c r="AA56" i="5"/>
  <c r="Z62" i="5"/>
  <c r="AA35" i="3"/>
  <c r="Z41" i="3"/>
  <c r="Z39" i="3"/>
  <c r="Z69" i="7"/>
  <c r="AA63" i="7"/>
  <c r="Z55" i="5"/>
  <c r="AA49" i="5"/>
  <c r="AA28" i="5"/>
  <c r="Z34" i="5"/>
  <c r="Z32" i="5"/>
  <c r="AB21" i="5"/>
  <c r="AA27" i="5"/>
  <c r="AA25" i="5"/>
  <c r="Z258" i="5"/>
  <c r="AA252" i="5"/>
  <c r="AC231" i="7"/>
  <c r="AB237" i="7"/>
  <c r="AA14" i="5"/>
  <c r="Z20" i="5"/>
  <c r="Z281" i="5"/>
  <c r="Z260" i="5"/>
  <c r="Z266" i="5" s="1"/>
  <c r="Z272" i="5"/>
  <c r="AB42" i="5"/>
  <c r="AA46" i="5"/>
  <c r="AA48" i="5"/>
  <c r="AA196" i="7"/>
  <c r="Z202" i="7"/>
  <c r="Z230" i="7"/>
  <c r="AA224" i="7"/>
  <c r="AA112" i="5"/>
  <c r="Z118" i="5"/>
  <c r="Z116" i="5"/>
  <c r="AA210" i="7"/>
  <c r="Z216" i="7"/>
  <c r="AB119" i="7"/>
  <c r="AA125" i="7"/>
  <c r="AA123" i="7"/>
  <c r="G38" i="6"/>
  <c r="J37" i="6"/>
  <c r="AA126" i="7"/>
  <c r="Z132" i="7"/>
  <c r="AA105" i="5"/>
  <c r="Z109" i="5"/>
  <c r="Z111" i="5"/>
  <c r="AA200" i="5"/>
  <c r="AA202" i="5"/>
  <c r="AB196" i="5"/>
  <c r="AA154" i="7"/>
  <c r="Z160" i="7"/>
  <c r="Z158" i="7"/>
  <c r="AB133" i="5"/>
  <c r="AA139" i="5"/>
  <c r="AA137" i="5"/>
  <c r="AC28" i="7"/>
  <c r="AB34" i="7"/>
  <c r="AA181" i="5"/>
  <c r="AB175" i="5"/>
  <c r="Z53" i="3"/>
  <c r="Z55" i="3"/>
  <c r="AA49" i="3"/>
  <c r="AA167" i="5"/>
  <c r="AB161" i="5"/>
  <c r="AB181" i="7"/>
  <c r="AC175" i="7"/>
  <c r="Z167" i="7"/>
  <c r="AA161" i="7"/>
  <c r="Z165" i="7"/>
  <c r="G38" i="8"/>
  <c r="J37" i="8"/>
  <c r="AA203" i="7"/>
  <c r="Z209" i="7"/>
  <c r="Z111" i="7"/>
  <c r="Z109" i="7"/>
  <c r="AA105" i="7"/>
  <c r="AA140" i="7"/>
  <c r="Z144" i="7"/>
  <c r="Z146" i="7"/>
  <c r="Z88" i="7"/>
  <c r="AA84" i="7"/>
  <c r="Z90" i="7"/>
  <c r="Z244" i="5"/>
  <c r="AA238" i="5"/>
  <c r="AA195" i="5"/>
  <c r="AB189" i="5"/>
  <c r="AB56" i="3"/>
  <c r="AA62" i="3"/>
  <c r="AA60" i="3"/>
  <c r="G38" i="4"/>
  <c r="J37" i="4"/>
  <c r="AA216" i="5"/>
  <c r="AB210" i="5"/>
  <c r="AB21" i="10"/>
  <c r="AA27" i="10"/>
  <c r="AA25" i="10"/>
  <c r="AA188" i="5"/>
  <c r="AB182" i="5"/>
  <c r="AB189" i="7"/>
  <c r="AA195" i="7"/>
  <c r="AA27" i="7"/>
  <c r="AB21" i="7"/>
  <c r="AA209" i="5"/>
  <c r="AB203" i="5"/>
  <c r="AB49" i="10"/>
  <c r="AA55" i="10"/>
  <c r="AA53" i="10"/>
  <c r="AB42" i="10"/>
  <c r="AA48" i="10"/>
  <c r="AA46" i="10"/>
  <c r="Z174" i="7"/>
  <c r="AA168" i="7"/>
  <c r="Z244" i="7"/>
  <c r="AA238" i="7"/>
  <c r="Z242" i="7"/>
  <c r="AA133" i="7"/>
  <c r="Z139" i="7"/>
  <c r="Z137" i="7"/>
  <c r="AB140" i="5"/>
  <c r="AA146" i="5"/>
  <c r="AD32" i="10"/>
  <c r="AA132" i="5"/>
  <c r="AB126" i="5"/>
  <c r="AD39" i="10"/>
  <c r="AC168" i="5"/>
  <c r="AB174" i="5"/>
  <c r="Z237" i="5"/>
  <c r="AA231" i="5"/>
  <c r="Z235" i="5"/>
  <c r="AA217" i="7"/>
  <c r="Z223" i="7"/>
  <c r="Z221" i="7"/>
  <c r="Z125" i="5"/>
  <c r="AA119" i="5"/>
  <c r="Z123" i="5"/>
  <c r="AD224" i="5"/>
  <c r="AC230" i="5"/>
  <c r="Z95" i="5"/>
  <c r="Z97" i="5"/>
  <c r="AA91" i="5"/>
  <c r="AA14" i="7"/>
  <c r="Z20" i="7"/>
  <c r="Z260" i="7"/>
  <c r="Z266" i="7" s="1"/>
  <c r="Z272" i="7"/>
  <c r="Z281" i="7"/>
  <c r="AB77" i="7"/>
  <c r="AA83" i="7"/>
  <c r="AA81" i="7"/>
  <c r="AB49" i="7"/>
  <c r="AA55" i="7"/>
  <c r="AA53" i="7"/>
  <c r="Z258" i="7"/>
  <c r="AA252" i="7"/>
  <c r="AD18" i="10"/>
  <c r="Z118" i="7"/>
  <c r="AA112" i="7"/>
  <c r="Z251" i="5"/>
  <c r="AA245" i="5"/>
  <c r="AB77" i="5"/>
  <c r="AA83" i="5"/>
  <c r="AA81" i="5"/>
  <c r="AB84" i="5"/>
  <c r="AA90" i="5"/>
  <c r="AA88" i="5"/>
  <c r="AA245" i="7"/>
  <c r="Z251" i="7"/>
  <c r="AB35" i="7"/>
  <c r="AA41" i="7"/>
  <c r="AA39" i="7"/>
  <c r="AB151" i="5"/>
  <c r="AB153" i="5"/>
  <c r="AC147" i="5"/>
  <c r="AA35" i="5"/>
  <c r="Z41" i="5"/>
  <c r="Z39" i="5"/>
  <c r="AA182" i="7"/>
  <c r="Z188" i="7"/>
  <c r="AB14" i="3"/>
  <c r="AA18" i="3"/>
  <c r="AA20" i="3"/>
  <c r="AB42" i="7"/>
  <c r="AA48" i="7"/>
  <c r="AA147" i="7"/>
  <c r="Z151" i="7"/>
  <c r="Z153" i="7"/>
  <c r="AA28" i="3"/>
  <c r="Z34" i="3"/>
  <c r="Z32" i="3"/>
  <c r="Z223" i="5"/>
  <c r="AA217" i="5"/>
  <c r="AA42" i="3"/>
  <c r="Z48" i="3"/>
  <c r="Z46" i="3"/>
  <c r="G39" i="9"/>
  <c r="J38" i="9"/>
  <c r="AC76" i="5"/>
  <c r="AD70" i="5"/>
  <c r="Z102" i="5"/>
  <c r="Z104" i="5"/>
  <c r="AA98" i="5"/>
  <c r="Y60" i="10" l="1"/>
  <c r="Z56" i="10"/>
  <c r="Y62" i="10"/>
  <c r="Y64" i="10"/>
  <c r="Y70" i="10" s="1"/>
  <c r="Y85" i="10"/>
  <c r="Y76" i="10"/>
  <c r="AB56" i="7"/>
  <c r="AA60" i="7"/>
  <c r="AA62" i="7"/>
  <c r="AA160" i="5"/>
  <c r="AB154" i="5"/>
  <c r="AA158" i="5"/>
  <c r="AD28" i="10"/>
  <c r="AC34" i="10"/>
  <c r="AB35" i="10"/>
  <c r="AA41" i="10"/>
  <c r="AB14" i="10"/>
  <c r="AA20" i="10"/>
  <c r="AB21" i="3"/>
  <c r="AA25" i="3"/>
  <c r="AA27" i="3"/>
  <c r="AB28" i="5"/>
  <c r="AA32" i="5"/>
  <c r="AA34" i="5"/>
  <c r="AB49" i="5"/>
  <c r="AA55" i="5"/>
  <c r="AB91" i="7"/>
  <c r="AA97" i="7"/>
  <c r="AA95" i="7"/>
  <c r="AB63" i="7"/>
  <c r="AA69" i="7"/>
  <c r="AB70" i="7"/>
  <c r="AA76" i="7"/>
  <c r="AA104" i="7"/>
  <c r="AB98" i="7"/>
  <c r="AB35" i="3"/>
  <c r="AA39" i="3"/>
  <c r="AA41" i="3"/>
  <c r="AC21" i="5"/>
  <c r="AB27" i="5"/>
  <c r="AB25" i="5"/>
  <c r="AA62" i="5"/>
  <c r="AB56" i="5"/>
  <c r="AD63" i="5"/>
  <c r="AC69" i="5"/>
  <c r="AB245" i="7"/>
  <c r="AA251" i="7"/>
  <c r="AB126" i="7"/>
  <c r="AA132" i="7"/>
  <c r="AA223" i="7"/>
  <c r="AB217" i="7"/>
  <c r="AA221" i="7"/>
  <c r="AA244" i="5"/>
  <c r="AB238" i="5"/>
  <c r="AB203" i="7"/>
  <c r="AA209" i="7"/>
  <c r="AB49" i="3"/>
  <c r="AA55" i="3"/>
  <c r="AA53" i="3"/>
  <c r="AB154" i="7"/>
  <c r="AA160" i="7"/>
  <c r="AA158" i="7"/>
  <c r="AB210" i="7"/>
  <c r="AA216" i="7"/>
  <c r="AE32" i="10"/>
  <c r="AC189" i="7"/>
  <c r="AB195" i="7"/>
  <c r="AB200" i="5"/>
  <c r="AB202" i="5"/>
  <c r="AC196" i="5"/>
  <c r="AC42" i="5"/>
  <c r="AB46" i="5"/>
  <c r="AB48" i="5"/>
  <c r="AA97" i="5"/>
  <c r="AB91" i="5"/>
  <c r="AA95" i="5"/>
  <c r="AA237" i="5"/>
  <c r="AB231" i="5"/>
  <c r="AA235" i="5"/>
  <c r="AC42" i="10"/>
  <c r="AB46" i="10"/>
  <c r="AB48" i="10"/>
  <c r="AB25" i="10"/>
  <c r="AB27" i="10"/>
  <c r="AC21" i="10"/>
  <c r="G39" i="8"/>
  <c r="J38" i="8"/>
  <c r="AB42" i="3"/>
  <c r="AA46" i="3"/>
  <c r="AA48" i="3"/>
  <c r="AA76" i="3"/>
  <c r="AC140" i="5"/>
  <c r="AB146" i="5"/>
  <c r="AC210" i="5"/>
  <c r="AB216" i="5"/>
  <c r="AB84" i="7"/>
  <c r="AA90" i="7"/>
  <c r="AA88" i="7"/>
  <c r="AB181" i="5"/>
  <c r="AC175" i="5"/>
  <c r="AA153" i="7"/>
  <c r="AA151" i="7"/>
  <c r="AB147" i="7"/>
  <c r="AC42" i="7"/>
  <c r="AB48" i="7"/>
  <c r="AA223" i="5"/>
  <c r="AB217" i="5"/>
  <c r="AA104" i="5"/>
  <c r="AB98" i="5"/>
  <c r="AA102" i="5"/>
  <c r="AC153" i="5"/>
  <c r="AD147" i="5"/>
  <c r="AC151" i="5"/>
  <c r="AB188" i="5"/>
  <c r="AC182" i="5"/>
  <c r="AA165" i="7"/>
  <c r="AA167" i="7"/>
  <c r="AB161" i="7"/>
  <c r="G39" i="6"/>
  <c r="J38" i="6"/>
  <c r="AC49" i="7"/>
  <c r="AB53" i="7"/>
  <c r="AB55" i="7"/>
  <c r="AC84" i="5"/>
  <c r="AB88" i="5"/>
  <c r="AB90" i="5"/>
  <c r="AD168" i="5"/>
  <c r="AC174" i="5"/>
  <c r="AC49" i="10"/>
  <c r="AB55" i="10"/>
  <c r="AB53" i="10"/>
  <c r="AA20" i="7"/>
  <c r="AB14" i="7"/>
  <c r="AA272" i="7"/>
  <c r="AA260" i="7"/>
  <c r="AA266" i="7" s="1"/>
  <c r="AA281" i="7"/>
  <c r="G39" i="4"/>
  <c r="J38" i="4"/>
  <c r="AD28" i="7"/>
  <c r="AC32" i="7"/>
  <c r="AC34" i="7"/>
  <c r="AA111" i="5"/>
  <c r="AB105" i="5"/>
  <c r="AA109" i="5"/>
  <c r="AA118" i="5"/>
  <c r="AB112" i="5"/>
  <c r="AA116" i="5"/>
  <c r="AB14" i="5"/>
  <c r="AA20" i="5"/>
  <c r="AA272" i="5"/>
  <c r="AA281" i="5"/>
  <c r="AA260" i="5"/>
  <c r="AA266" i="5" s="1"/>
  <c r="AB28" i="3"/>
  <c r="AA34" i="3"/>
  <c r="AA32" i="3"/>
  <c r="AC14" i="3"/>
  <c r="AB20" i="3"/>
  <c r="AB18" i="3"/>
  <c r="AB83" i="5"/>
  <c r="AC77" i="5"/>
  <c r="AB81" i="5"/>
  <c r="AB140" i="7"/>
  <c r="AA144" i="7"/>
  <c r="AA146" i="7"/>
  <c r="AA230" i="7"/>
  <c r="AB224" i="7"/>
  <c r="AA139" i="7"/>
  <c r="AB133" i="7"/>
  <c r="AA137" i="7"/>
  <c r="AC77" i="7"/>
  <c r="AB83" i="7"/>
  <c r="AB81" i="7"/>
  <c r="AE39" i="10"/>
  <c r="AA244" i="7"/>
  <c r="AB238" i="7"/>
  <c r="AA242" i="7"/>
  <c r="AB105" i="7"/>
  <c r="AA111" i="7"/>
  <c r="AA109" i="7"/>
  <c r="AC181" i="7"/>
  <c r="AD175" i="7"/>
  <c r="AD231" i="7"/>
  <c r="AC235" i="7"/>
  <c r="AC237" i="7"/>
  <c r="AB35" i="5"/>
  <c r="AA41" i="5"/>
  <c r="AA39" i="5"/>
  <c r="AA85" i="3"/>
  <c r="AE224" i="5"/>
  <c r="AD230" i="5"/>
  <c r="AB209" i="5"/>
  <c r="AC203" i="5"/>
  <c r="AD76" i="5"/>
  <c r="AE70" i="5"/>
  <c r="AB245" i="5"/>
  <c r="AA251" i="5"/>
  <c r="AB182" i="7"/>
  <c r="AA188" i="7"/>
  <c r="AC35" i="7"/>
  <c r="AB39" i="7"/>
  <c r="AB41" i="7"/>
  <c r="AE18" i="10"/>
  <c r="AB132" i="5"/>
  <c r="AC126" i="5"/>
  <c r="AC56" i="3"/>
  <c r="AB60" i="3"/>
  <c r="AB62" i="3"/>
  <c r="AC133" i="5"/>
  <c r="AB137" i="5"/>
  <c r="AB139" i="5"/>
  <c r="AA258" i="5"/>
  <c r="AB252" i="5"/>
  <c r="AA64" i="3"/>
  <c r="AA70" i="3" s="1"/>
  <c r="AA125" i="5"/>
  <c r="AB119" i="5"/>
  <c r="AA123" i="5"/>
  <c r="G40" i="9"/>
  <c r="J39" i="9"/>
  <c r="AB112" i="7"/>
  <c r="AA118" i="7"/>
  <c r="AA258" i="7"/>
  <c r="AB252" i="7"/>
  <c r="AB168" i="7"/>
  <c r="AA174" i="7"/>
  <c r="AB27" i="7"/>
  <c r="AC21" i="7"/>
  <c r="AB195" i="5"/>
  <c r="AC189" i="5"/>
  <c r="AC161" i="5"/>
  <c r="AB167" i="5"/>
  <c r="AC119" i="7"/>
  <c r="AB123" i="7"/>
  <c r="AB125" i="7"/>
  <c r="AB196" i="7"/>
  <c r="AA202" i="7"/>
  <c r="AA56" i="10" l="1"/>
  <c r="Z60" i="10"/>
  <c r="Z62" i="10"/>
  <c r="Z76" i="10"/>
  <c r="Z85" i="10"/>
  <c r="Z64" i="10"/>
  <c r="Z70" i="10" s="1"/>
  <c r="AB60" i="7"/>
  <c r="AB62" i="7"/>
  <c r="AC56" i="7"/>
  <c r="AB160" i="5"/>
  <c r="AB158" i="5"/>
  <c r="AC154" i="5"/>
  <c r="AE28" i="10"/>
  <c r="AD34" i="10"/>
  <c r="AB64" i="3"/>
  <c r="AB70" i="3" s="1"/>
  <c r="AB76" i="3"/>
  <c r="AC14" i="10"/>
  <c r="AB20" i="10"/>
  <c r="AB41" i="10"/>
  <c r="AC35" i="10"/>
  <c r="AC63" i="7"/>
  <c r="AB69" i="7"/>
  <c r="AC27" i="5"/>
  <c r="AC25" i="5"/>
  <c r="AD21" i="5"/>
  <c r="AB95" i="7"/>
  <c r="AC91" i="7"/>
  <c r="AB97" i="7"/>
  <c r="AB55" i="5"/>
  <c r="AC49" i="5"/>
  <c r="AC35" i="3"/>
  <c r="AB39" i="3"/>
  <c r="AB41" i="3"/>
  <c r="AB104" i="7"/>
  <c r="AC98" i="7"/>
  <c r="AB34" i="5"/>
  <c r="AB32" i="5"/>
  <c r="AC28" i="5"/>
  <c r="AD69" i="5"/>
  <c r="AE63" i="5"/>
  <c r="AB76" i="7"/>
  <c r="AC70" i="7"/>
  <c r="AC56" i="5"/>
  <c r="AB62" i="5"/>
  <c r="AC21" i="3"/>
  <c r="AB27" i="3"/>
  <c r="AB25" i="3"/>
  <c r="AD35" i="7"/>
  <c r="AC41" i="7"/>
  <c r="AC105" i="5"/>
  <c r="AB111" i="5"/>
  <c r="AB109" i="5"/>
  <c r="AB20" i="7"/>
  <c r="AC14" i="7"/>
  <c r="AB272" i="7"/>
  <c r="AB281" i="7"/>
  <c r="AB260" i="7"/>
  <c r="AB266" i="7" s="1"/>
  <c r="AD49" i="7"/>
  <c r="AC55" i="7"/>
  <c r="AC49" i="3"/>
  <c r="AB53" i="3"/>
  <c r="AB55" i="3"/>
  <c r="AC98" i="5"/>
  <c r="AB102" i="5"/>
  <c r="AB104" i="5"/>
  <c r="AD203" i="5"/>
  <c r="AC209" i="5"/>
  <c r="AB174" i="7"/>
  <c r="AC168" i="7"/>
  <c r="AC196" i="7"/>
  <c r="AB202" i="7"/>
  <c r="AC252" i="7"/>
  <c r="AB258" i="7"/>
  <c r="AC252" i="5"/>
  <c r="AB258" i="5"/>
  <c r="AF224" i="5"/>
  <c r="AE230" i="5"/>
  <c r="AE147" i="5"/>
  <c r="AD153" i="5"/>
  <c r="AD151" i="5"/>
  <c r="AB95" i="5"/>
  <c r="AB97" i="5"/>
  <c r="AC91" i="5"/>
  <c r="AD189" i="7"/>
  <c r="AC195" i="7"/>
  <c r="AC130" i="5"/>
  <c r="AD126" i="5"/>
  <c r="AC132" i="5"/>
  <c r="AC182" i="7"/>
  <c r="AB188" i="7"/>
  <c r="AC140" i="7"/>
  <c r="AB146" i="7"/>
  <c r="AB144" i="7"/>
  <c r="AC28" i="3"/>
  <c r="AB34" i="3"/>
  <c r="AB32" i="3"/>
  <c r="AD140" i="5"/>
  <c r="AC146" i="5"/>
  <c r="AC144" i="5"/>
  <c r="AF32" i="10"/>
  <c r="AC203" i="7"/>
  <c r="AB209" i="7"/>
  <c r="AC105" i="7"/>
  <c r="AB111" i="7"/>
  <c r="AB109" i="7"/>
  <c r="AD77" i="7"/>
  <c r="AC81" i="7"/>
  <c r="AC83" i="7"/>
  <c r="AC27" i="10"/>
  <c r="AC25" i="10"/>
  <c r="AD21" i="10"/>
  <c r="AC238" i="5"/>
  <c r="AB244" i="5"/>
  <c r="AD49" i="10"/>
  <c r="AC53" i="10"/>
  <c r="AC55" i="10"/>
  <c r="AD119" i="7"/>
  <c r="AC123" i="7"/>
  <c r="AC125" i="7"/>
  <c r="AC133" i="7"/>
  <c r="AB139" i="7"/>
  <c r="AB137" i="7"/>
  <c r="AB167" i="7"/>
  <c r="AC161" i="7"/>
  <c r="AB165" i="7"/>
  <c r="AC245" i="5"/>
  <c r="AB251" i="5"/>
  <c r="G41" i="9"/>
  <c r="J40" i="9"/>
  <c r="AE168" i="5"/>
  <c r="AD174" i="5"/>
  <c r="AC217" i="5"/>
  <c r="AB223" i="5"/>
  <c r="AC42" i="3"/>
  <c r="AB46" i="3"/>
  <c r="AB48" i="3"/>
  <c r="AC210" i="7"/>
  <c r="AB216" i="7"/>
  <c r="AC217" i="7"/>
  <c r="AB223" i="7"/>
  <c r="AB221" i="7"/>
  <c r="AC81" i="5"/>
  <c r="AC83" i="5"/>
  <c r="AD77" i="5"/>
  <c r="AF18" i="10"/>
  <c r="AD189" i="5"/>
  <c r="AC195" i="5"/>
  <c r="AC35" i="5"/>
  <c r="AB41" i="5"/>
  <c r="AB39" i="5"/>
  <c r="AC224" i="7"/>
  <c r="AB230" i="7"/>
  <c r="AC14" i="5"/>
  <c r="AB20" i="5"/>
  <c r="AB272" i="5"/>
  <c r="AB281" i="5"/>
  <c r="AB260" i="5"/>
  <c r="AB266" i="5" s="1"/>
  <c r="AC181" i="5"/>
  <c r="AD175" i="5"/>
  <c r="AD161" i="5"/>
  <c r="AC167" i="5"/>
  <c r="AC119" i="5"/>
  <c r="AB123" i="5"/>
  <c r="AB125" i="5"/>
  <c r="AD133" i="5"/>
  <c r="AC139" i="5"/>
  <c r="AC137" i="5"/>
  <c r="AF70" i="5"/>
  <c r="AE76" i="5"/>
  <c r="AC238" i="7"/>
  <c r="AB242" i="7"/>
  <c r="AB244" i="7"/>
  <c r="G40" i="4"/>
  <c r="J39" i="4"/>
  <c r="AD182" i="5"/>
  <c r="AC188" i="5"/>
  <c r="AC84" i="7"/>
  <c r="AB90" i="7"/>
  <c r="AB88" i="7"/>
  <c r="AD42" i="10"/>
  <c r="AC46" i="10"/>
  <c r="AC48" i="10"/>
  <c r="AC48" i="5"/>
  <c r="AD42" i="5"/>
  <c r="AC46" i="5"/>
  <c r="AC112" i="7"/>
  <c r="AB118" i="7"/>
  <c r="AE28" i="7"/>
  <c r="AD34" i="7"/>
  <c r="AD32" i="7"/>
  <c r="AC27" i="7"/>
  <c r="AD21" i="7"/>
  <c r="AB85" i="3"/>
  <c r="AC112" i="5"/>
  <c r="AB118" i="5"/>
  <c r="AB116" i="5"/>
  <c r="AD84" i="5"/>
  <c r="AC88" i="5"/>
  <c r="AC90" i="5"/>
  <c r="AD42" i="7"/>
  <c r="AC48" i="7"/>
  <c r="AD196" i="5"/>
  <c r="AC200" i="5"/>
  <c r="AC202" i="5"/>
  <c r="AC154" i="7"/>
  <c r="AB158" i="7"/>
  <c r="AB160" i="7"/>
  <c r="AC126" i="7"/>
  <c r="AB132" i="7"/>
  <c r="G40" i="6"/>
  <c r="J39" i="6"/>
  <c r="AE231" i="7"/>
  <c r="AD237" i="7"/>
  <c r="AD235" i="7"/>
  <c r="AC147" i="7"/>
  <c r="AB153" i="7"/>
  <c r="AB151" i="7"/>
  <c r="AD210" i="5"/>
  <c r="AC214" i="5"/>
  <c r="AC216" i="5"/>
  <c r="AC231" i="5"/>
  <c r="AB237" i="5"/>
  <c r="AB235" i="5"/>
  <c r="AF39" i="10"/>
  <c r="AD56" i="3"/>
  <c r="AC62" i="3"/>
  <c r="AC60" i="3"/>
  <c r="AE175" i="7"/>
  <c r="AD181" i="7"/>
  <c r="AC18" i="3"/>
  <c r="AC20" i="3"/>
  <c r="AD14" i="3"/>
  <c r="G40" i="8"/>
  <c r="J39" i="8"/>
  <c r="AC245" i="7"/>
  <c r="AB251" i="7"/>
  <c r="AB56" i="10" l="1"/>
  <c r="AA62" i="10"/>
  <c r="AA60" i="10"/>
  <c r="AA85" i="10"/>
  <c r="AA64" i="10"/>
  <c r="AA70" i="10" s="1"/>
  <c r="AA76" i="10"/>
  <c r="AC60" i="7"/>
  <c r="AC62" i="7"/>
  <c r="AD56" i="7"/>
  <c r="AC160" i="5"/>
  <c r="AD154" i="5"/>
  <c r="AE34" i="10"/>
  <c r="AF28" i="10"/>
  <c r="AC76" i="3"/>
  <c r="AC41" i="10"/>
  <c r="AD35" i="10"/>
  <c r="AC64" i="3"/>
  <c r="AC70" i="3" s="1"/>
  <c r="AC20" i="10"/>
  <c r="AD14" i="10"/>
  <c r="AD56" i="5"/>
  <c r="AC62" i="5"/>
  <c r="AC39" i="3"/>
  <c r="AD35" i="3"/>
  <c r="AC41" i="3"/>
  <c r="AD70" i="7"/>
  <c r="AC76" i="7"/>
  <c r="AD49" i="5"/>
  <c r="AC55" i="5"/>
  <c r="AE69" i="5"/>
  <c r="AF63" i="5"/>
  <c r="AC97" i="7"/>
  <c r="AD91" i="7"/>
  <c r="AC32" i="5"/>
  <c r="AD28" i="5"/>
  <c r="AC34" i="5"/>
  <c r="AE21" i="5"/>
  <c r="AD25" i="5"/>
  <c r="AD27" i="5"/>
  <c r="AD98" i="7"/>
  <c r="AC104" i="7"/>
  <c r="AC102" i="7"/>
  <c r="AD21" i="3"/>
  <c r="AC27" i="3"/>
  <c r="AC25" i="3"/>
  <c r="AD63" i="7"/>
  <c r="AC69" i="7"/>
  <c r="AG39" i="10"/>
  <c r="AC244" i="7"/>
  <c r="AD238" i="7"/>
  <c r="AC242" i="7"/>
  <c r="AD217" i="7"/>
  <c r="AC223" i="7"/>
  <c r="AC221" i="7"/>
  <c r="AE119" i="7"/>
  <c r="AD125" i="7"/>
  <c r="AD123" i="7"/>
  <c r="AD168" i="7"/>
  <c r="AC174" i="7"/>
  <c r="AC172" i="7"/>
  <c r="G41" i="6"/>
  <c r="J40" i="6"/>
  <c r="G41" i="4"/>
  <c r="J40" i="4"/>
  <c r="AF231" i="7"/>
  <c r="AE235" i="7"/>
  <c r="AE237" i="7"/>
  <c r="AE42" i="7"/>
  <c r="AD48" i="7"/>
  <c r="AE32" i="7"/>
  <c r="AE34" i="7"/>
  <c r="AF28" i="7"/>
  <c r="AE161" i="5"/>
  <c r="AD167" i="5"/>
  <c r="AC41" i="5"/>
  <c r="AD35" i="5"/>
  <c r="G42" i="9"/>
  <c r="J41" i="9"/>
  <c r="AE140" i="5"/>
  <c r="AD146" i="5"/>
  <c r="AD144" i="5"/>
  <c r="AE49" i="7"/>
  <c r="AD55" i="7"/>
  <c r="AF76" i="5"/>
  <c r="AG70" i="5"/>
  <c r="AE175" i="5"/>
  <c r="AD181" i="5"/>
  <c r="AD210" i="7"/>
  <c r="AC216" i="7"/>
  <c r="AD83" i="7"/>
  <c r="AE77" i="7"/>
  <c r="AD81" i="7"/>
  <c r="AE189" i="7"/>
  <c r="AD195" i="7"/>
  <c r="AD245" i="5"/>
  <c r="AC251" i="5"/>
  <c r="AD53" i="10"/>
  <c r="AD55" i="10"/>
  <c r="AE49" i="10"/>
  <c r="AD91" i="5"/>
  <c r="AC97" i="5"/>
  <c r="AC95" i="5"/>
  <c r="AG224" i="5"/>
  <c r="AF230" i="5"/>
  <c r="AE203" i="5"/>
  <c r="AD209" i="5"/>
  <c r="AD28" i="3"/>
  <c r="AC32" i="3"/>
  <c r="AC34" i="3"/>
  <c r="AC165" i="7"/>
  <c r="AC167" i="7"/>
  <c r="AD161" i="7"/>
  <c r="AD238" i="5"/>
  <c r="AC244" i="5"/>
  <c r="AD105" i="7"/>
  <c r="AC111" i="7"/>
  <c r="AC109" i="7"/>
  <c r="AC258" i="5"/>
  <c r="AD252" i="5"/>
  <c r="AC256" i="5"/>
  <c r="AC20" i="7"/>
  <c r="AD14" i="7"/>
  <c r="AC272" i="7"/>
  <c r="AC281" i="7"/>
  <c r="AC260" i="7"/>
  <c r="AC266" i="7" s="1"/>
  <c r="AE210" i="5"/>
  <c r="AD214" i="5"/>
  <c r="AD216" i="5"/>
  <c r="AD84" i="7"/>
  <c r="AC90" i="7"/>
  <c r="AC88" i="7"/>
  <c r="AD98" i="5"/>
  <c r="AC104" i="5"/>
  <c r="AD112" i="7"/>
  <c r="AC116" i="7"/>
  <c r="AC118" i="7"/>
  <c r="AD139" i="5"/>
  <c r="AD137" i="5"/>
  <c r="AE133" i="5"/>
  <c r="AE189" i="5"/>
  <c r="AD195" i="5"/>
  <c r="AD112" i="5"/>
  <c r="AC118" i="5"/>
  <c r="AC116" i="5"/>
  <c r="AE42" i="5"/>
  <c r="AD48" i="5"/>
  <c r="AD46" i="5"/>
  <c r="AE182" i="5"/>
  <c r="AD188" i="5"/>
  <c r="AD81" i="5"/>
  <c r="AE77" i="5"/>
  <c r="AD83" i="5"/>
  <c r="AD217" i="5"/>
  <c r="AC223" i="5"/>
  <c r="AD203" i="7"/>
  <c r="AC209" i="7"/>
  <c r="AD140" i="7"/>
  <c r="AC144" i="7"/>
  <c r="AC146" i="7"/>
  <c r="AC258" i="7"/>
  <c r="AD252" i="7"/>
  <c r="G41" i="8"/>
  <c r="J40" i="8"/>
  <c r="AE84" i="5"/>
  <c r="AD90" i="5"/>
  <c r="AD88" i="5"/>
  <c r="AD126" i="7"/>
  <c r="AC132" i="7"/>
  <c r="AC130" i="7"/>
  <c r="AD42" i="3"/>
  <c r="AC46" i="3"/>
  <c r="AC48" i="3"/>
  <c r="AC85" i="3"/>
  <c r="AE56" i="3"/>
  <c r="AD60" i="3"/>
  <c r="AD62" i="3"/>
  <c r="AD18" i="3"/>
  <c r="AD20" i="3"/>
  <c r="AE14" i="3"/>
  <c r="AC153" i="7"/>
  <c r="AC151" i="7"/>
  <c r="AD147" i="7"/>
  <c r="AC160" i="7"/>
  <c r="AD154" i="7"/>
  <c r="AC158" i="7"/>
  <c r="AD119" i="5"/>
  <c r="AC125" i="5"/>
  <c r="AC123" i="5"/>
  <c r="AD14" i="5"/>
  <c r="AC20" i="5"/>
  <c r="AC272" i="5"/>
  <c r="AC281" i="5"/>
  <c r="AC260" i="5"/>
  <c r="AC266" i="5" s="1"/>
  <c r="AE174" i="5"/>
  <c r="AF168" i="5"/>
  <c r="AD133" i="7"/>
  <c r="AC139" i="7"/>
  <c r="AC137" i="7"/>
  <c r="AE21" i="10"/>
  <c r="AD27" i="10"/>
  <c r="AD25" i="10"/>
  <c r="AG32" i="10"/>
  <c r="AD182" i="7"/>
  <c r="AC188" i="7"/>
  <c r="AC186" i="7"/>
  <c r="AD196" i="7"/>
  <c r="AC202" i="7"/>
  <c r="AD49" i="3"/>
  <c r="AC55" i="3"/>
  <c r="AC53" i="3"/>
  <c r="AD105" i="5"/>
  <c r="AC111" i="5"/>
  <c r="AC109" i="5"/>
  <c r="AD245" i="7"/>
  <c r="AC251" i="7"/>
  <c r="AD231" i="5"/>
  <c r="AC237" i="5"/>
  <c r="AC235" i="5"/>
  <c r="AE181" i="7"/>
  <c r="AF175" i="7"/>
  <c r="AD224" i="7"/>
  <c r="AC230" i="7"/>
  <c r="AC228" i="7"/>
  <c r="AE21" i="7"/>
  <c r="AD27" i="7"/>
  <c r="AE196" i="5"/>
  <c r="AD200" i="5"/>
  <c r="AD202" i="5"/>
  <c r="AE42" i="10"/>
  <c r="AD46" i="10"/>
  <c r="AD48" i="10"/>
  <c r="AG18" i="10"/>
  <c r="AE126" i="5"/>
  <c r="AD132" i="5"/>
  <c r="AD130" i="5"/>
  <c r="AE153" i="5"/>
  <c r="AF147" i="5"/>
  <c r="AE151" i="5"/>
  <c r="AE35" i="7"/>
  <c r="AD41" i="7"/>
  <c r="AB62" i="10" l="1"/>
  <c r="AB60" i="10"/>
  <c r="AC56" i="10"/>
  <c r="AB64" i="10"/>
  <c r="AB70" i="10" s="1"/>
  <c r="AB76" i="10"/>
  <c r="AB85" i="10"/>
  <c r="AD60" i="7"/>
  <c r="AE56" i="7"/>
  <c r="AD62" i="7"/>
  <c r="AE154" i="5"/>
  <c r="AD160" i="5"/>
  <c r="AF34" i="10"/>
  <c r="AG28" i="10"/>
  <c r="AE14" i="10"/>
  <c r="AD20" i="10"/>
  <c r="AD76" i="3"/>
  <c r="AE35" i="10"/>
  <c r="AD41" i="10"/>
  <c r="AE21" i="3"/>
  <c r="AD27" i="3"/>
  <c r="AD25" i="3"/>
  <c r="AF69" i="5"/>
  <c r="AG63" i="5"/>
  <c r="AD104" i="7"/>
  <c r="AD102" i="7"/>
  <c r="AE98" i="7"/>
  <c r="AE49" i="5"/>
  <c r="AD55" i="5"/>
  <c r="AE70" i="7"/>
  <c r="AD76" i="7"/>
  <c r="AE27" i="5"/>
  <c r="AF21" i="5"/>
  <c r="AE25" i="5"/>
  <c r="AD39" i="3"/>
  <c r="AD41" i="3"/>
  <c r="AE35" i="3"/>
  <c r="AD32" i="5"/>
  <c r="AE28" i="5"/>
  <c r="AD34" i="5"/>
  <c r="AD69" i="7"/>
  <c r="AE63" i="7"/>
  <c r="AE91" i="7"/>
  <c r="AD97" i="7"/>
  <c r="AD62" i="5"/>
  <c r="AE56" i="5"/>
  <c r="AE181" i="5"/>
  <c r="AF175" i="5"/>
  <c r="AG231" i="7"/>
  <c r="AF235" i="7"/>
  <c r="AF237" i="7"/>
  <c r="AG147" i="5"/>
  <c r="AF153" i="5"/>
  <c r="AF151" i="5"/>
  <c r="AE196" i="7"/>
  <c r="AD202" i="7"/>
  <c r="AE48" i="10"/>
  <c r="AF42" i="10"/>
  <c r="AE46" i="10"/>
  <c r="AD111" i="7"/>
  <c r="AE105" i="7"/>
  <c r="AD109" i="7"/>
  <c r="AG230" i="5"/>
  <c r="AH224" i="5"/>
  <c r="AG76" i="5"/>
  <c r="AH70" i="5"/>
  <c r="AE167" i="5"/>
  <c r="AF161" i="5"/>
  <c r="AE25" i="10"/>
  <c r="AE27" i="10"/>
  <c r="AF21" i="10"/>
  <c r="AD123" i="5"/>
  <c r="AD125" i="5"/>
  <c r="AE119" i="5"/>
  <c r="AD237" i="5"/>
  <c r="AD235" i="5"/>
  <c r="AE231" i="5"/>
  <c r="AE90" i="5"/>
  <c r="AF84" i="5"/>
  <c r="AE88" i="5"/>
  <c r="AD146" i="7"/>
  <c r="AE140" i="7"/>
  <c r="AD144" i="7"/>
  <c r="AF42" i="5"/>
  <c r="AE46" i="5"/>
  <c r="AE48" i="5"/>
  <c r="AF210" i="5"/>
  <c r="AE216" i="5"/>
  <c r="AE214" i="5"/>
  <c r="AE195" i="7"/>
  <c r="AF189" i="7"/>
  <c r="AE123" i="7"/>
  <c r="AF119" i="7"/>
  <c r="AE125" i="7"/>
  <c r="AF21" i="7"/>
  <c r="AE27" i="7"/>
  <c r="AE182" i="7"/>
  <c r="AD188" i="7"/>
  <c r="AD186" i="7"/>
  <c r="AE133" i="7"/>
  <c r="AD137" i="7"/>
  <c r="AD139" i="7"/>
  <c r="AD158" i="7"/>
  <c r="AE154" i="7"/>
  <c r="AD160" i="7"/>
  <c r="AE112" i="7"/>
  <c r="AD116" i="7"/>
  <c r="AD118" i="7"/>
  <c r="AE238" i="5"/>
  <c r="AD244" i="5"/>
  <c r="AF196" i="5"/>
  <c r="AE202" i="5"/>
  <c r="AE200" i="5"/>
  <c r="AE245" i="7"/>
  <c r="AD251" i="7"/>
  <c r="AG168" i="5"/>
  <c r="AF174" i="5"/>
  <c r="AF56" i="3"/>
  <c r="AE60" i="3"/>
  <c r="AE62" i="3"/>
  <c r="G42" i="8"/>
  <c r="J41" i="8"/>
  <c r="AE203" i="7"/>
  <c r="AD209" i="7"/>
  <c r="AD167" i="7"/>
  <c r="AE161" i="7"/>
  <c r="AD165" i="7"/>
  <c r="AE91" i="5"/>
  <c r="AD97" i="5"/>
  <c r="AD95" i="5"/>
  <c r="AF77" i="7"/>
  <c r="AE83" i="7"/>
  <c r="AE81" i="7"/>
  <c r="AF49" i="7"/>
  <c r="AE55" i="7"/>
  <c r="G42" i="4"/>
  <c r="J41" i="4"/>
  <c r="AE217" i="7"/>
  <c r="AD223" i="7"/>
  <c r="AD221" i="7"/>
  <c r="AE224" i="7"/>
  <c r="AD230" i="7"/>
  <c r="AD228" i="7"/>
  <c r="AE98" i="5"/>
  <c r="AD104" i="5"/>
  <c r="AE55" i="10"/>
  <c r="AF49" i="10"/>
  <c r="AE53" i="10"/>
  <c r="AH32" i="10"/>
  <c r="AE217" i="5"/>
  <c r="AD223" i="5"/>
  <c r="AE14" i="7"/>
  <c r="AD20" i="7"/>
  <c r="AD260" i="7"/>
  <c r="AD266" i="7" s="1"/>
  <c r="AD281" i="7"/>
  <c r="AD272" i="7"/>
  <c r="G42" i="6"/>
  <c r="J41" i="6"/>
  <c r="AD85" i="3"/>
  <c r="AE132" i="5"/>
  <c r="AF126" i="5"/>
  <c r="AE130" i="5"/>
  <c r="AG28" i="7"/>
  <c r="AF32" i="7"/>
  <c r="AF34" i="7"/>
  <c r="AE105" i="5"/>
  <c r="AD111" i="5"/>
  <c r="AD109" i="5"/>
  <c r="AE252" i="7"/>
  <c r="AD258" i="7"/>
  <c r="AD216" i="7"/>
  <c r="AE210" i="7"/>
  <c r="AF140" i="5"/>
  <c r="AE146" i="5"/>
  <c r="AE144" i="5"/>
  <c r="AE238" i="7"/>
  <c r="AD244" i="7"/>
  <c r="AD242" i="7"/>
  <c r="AD151" i="7"/>
  <c r="AE147" i="7"/>
  <c r="AD153" i="7"/>
  <c r="AD118" i="5"/>
  <c r="AD116" i="5"/>
  <c r="AE112" i="5"/>
  <c r="AD46" i="3"/>
  <c r="AD48" i="3"/>
  <c r="AE42" i="3"/>
  <c r="AF77" i="5"/>
  <c r="AE81" i="5"/>
  <c r="AE83" i="5"/>
  <c r="AD32" i="3"/>
  <c r="AD34" i="3"/>
  <c r="AE28" i="3"/>
  <c r="AE245" i="5"/>
  <c r="AD251" i="5"/>
  <c r="G43" i="9"/>
  <c r="J42" i="9"/>
  <c r="AE48" i="7"/>
  <c r="AF42" i="7"/>
  <c r="AE168" i="7"/>
  <c r="AD174" i="7"/>
  <c r="AD172" i="7"/>
  <c r="AF189" i="5"/>
  <c r="AE195" i="5"/>
  <c r="AD258" i="5"/>
  <c r="AE252" i="5"/>
  <c r="AD256" i="5"/>
  <c r="AE41" i="7"/>
  <c r="AF35" i="7"/>
  <c r="AH18" i="10"/>
  <c r="AG175" i="7"/>
  <c r="AF181" i="7"/>
  <c r="AE49" i="3"/>
  <c r="AD53" i="3"/>
  <c r="AD55" i="3"/>
  <c r="AE14" i="5"/>
  <c r="AD20" i="5"/>
  <c r="AD272" i="5"/>
  <c r="AD281" i="5"/>
  <c r="AD260" i="5"/>
  <c r="AD266" i="5" s="1"/>
  <c r="AD64" i="3"/>
  <c r="AD70" i="3" s="1"/>
  <c r="AE139" i="5"/>
  <c r="AF133" i="5"/>
  <c r="AE137" i="5"/>
  <c r="AD41" i="5"/>
  <c r="AE35" i="5"/>
  <c r="AH39" i="10"/>
  <c r="AE18" i="3"/>
  <c r="AE20" i="3"/>
  <c r="AF14" i="3"/>
  <c r="AD130" i="7"/>
  <c r="AD132" i="7"/>
  <c r="AE126" i="7"/>
  <c r="AF182" i="5"/>
  <c r="AE188" i="5"/>
  <c r="AE84" i="7"/>
  <c r="AD90" i="7"/>
  <c r="AD88" i="7"/>
  <c r="AF203" i="5"/>
  <c r="AE209" i="5"/>
  <c r="AD56" i="10" l="1"/>
  <c r="AC60" i="10"/>
  <c r="AC62" i="10"/>
  <c r="AC64" i="10"/>
  <c r="AC70" i="10" s="1"/>
  <c r="AC76" i="10"/>
  <c r="AC85" i="10"/>
  <c r="AE60" i="7"/>
  <c r="AF56" i="7"/>
  <c r="AE62" i="7"/>
  <c r="AE160" i="5"/>
  <c r="AF154" i="5"/>
  <c r="AG34" i="10"/>
  <c r="AH28" i="10"/>
  <c r="AE41" i="10"/>
  <c r="AF35" i="10"/>
  <c r="AE20" i="10"/>
  <c r="AF14" i="10"/>
  <c r="AE97" i="7"/>
  <c r="AF91" i="7"/>
  <c r="AE69" i="7"/>
  <c r="AF63" i="7"/>
  <c r="AF70" i="7"/>
  <c r="AE76" i="7"/>
  <c r="AE55" i="5"/>
  <c r="AF49" i="5"/>
  <c r="AE34" i="5"/>
  <c r="AF28" i="5"/>
  <c r="AE32" i="5"/>
  <c r="AF98" i="7"/>
  <c r="AE102" i="7"/>
  <c r="AE104" i="7"/>
  <c r="AE41" i="3"/>
  <c r="AE39" i="3"/>
  <c r="AF35" i="3"/>
  <c r="AG69" i="5"/>
  <c r="AH63" i="5"/>
  <c r="AE62" i="5"/>
  <c r="AF56" i="5"/>
  <c r="AF25" i="5"/>
  <c r="AG21" i="5"/>
  <c r="AF27" i="5"/>
  <c r="AE25" i="3"/>
  <c r="AE27" i="3"/>
  <c r="AF21" i="3"/>
  <c r="AE20" i="5"/>
  <c r="AF14" i="5"/>
  <c r="AE272" i="5"/>
  <c r="AE281" i="5"/>
  <c r="AE260" i="5"/>
  <c r="AE266" i="5" s="1"/>
  <c r="AF238" i="7"/>
  <c r="AE244" i="7"/>
  <c r="AE242" i="7"/>
  <c r="AG56" i="3"/>
  <c r="AF60" i="3"/>
  <c r="AF62" i="3"/>
  <c r="AF48" i="5"/>
  <c r="AG42" i="5"/>
  <c r="AF46" i="5"/>
  <c r="AG161" i="5"/>
  <c r="AF167" i="5"/>
  <c r="AF48" i="10"/>
  <c r="AG42" i="10"/>
  <c r="AF46" i="10"/>
  <c r="AG203" i="5"/>
  <c r="AF209" i="5"/>
  <c r="AF41" i="7"/>
  <c r="AG35" i="7"/>
  <c r="G44" i="9"/>
  <c r="G45" i="9" s="1"/>
  <c r="G46" i="9" s="1"/>
  <c r="G47" i="9" s="1"/>
  <c r="G48" i="9" s="1"/>
  <c r="J43" i="9"/>
  <c r="AE118" i="5"/>
  <c r="AF112" i="5"/>
  <c r="AE116" i="5"/>
  <c r="AF105" i="5"/>
  <c r="AE111" i="5"/>
  <c r="AE109" i="5"/>
  <c r="AF217" i="7"/>
  <c r="AE223" i="7"/>
  <c r="AE221" i="7"/>
  <c r="AG21" i="7"/>
  <c r="AF27" i="7"/>
  <c r="AH76" i="5"/>
  <c r="AI70" i="5"/>
  <c r="G43" i="4"/>
  <c r="J42" i="4"/>
  <c r="AF123" i="7"/>
  <c r="AF125" i="7"/>
  <c r="AG119" i="7"/>
  <c r="AE202" i="7"/>
  <c r="AF196" i="7"/>
  <c r="AE146" i="7"/>
  <c r="AE144" i="7"/>
  <c r="AF140" i="7"/>
  <c r="AI39" i="10"/>
  <c r="AE32" i="3"/>
  <c r="AE34" i="3"/>
  <c r="AF28" i="3"/>
  <c r="AE216" i="7"/>
  <c r="AF210" i="7"/>
  <c r="AH28" i="7"/>
  <c r="AG32" i="7"/>
  <c r="AG34" i="7"/>
  <c r="AE167" i="7"/>
  <c r="AF161" i="7"/>
  <c r="AE165" i="7"/>
  <c r="AF245" i="7"/>
  <c r="AE251" i="7"/>
  <c r="AF154" i="7"/>
  <c r="AE160" i="7"/>
  <c r="AE158" i="7"/>
  <c r="AF27" i="10"/>
  <c r="AG21" i="10"/>
  <c r="AF25" i="10"/>
  <c r="AI224" i="5"/>
  <c r="AH230" i="5"/>
  <c r="AF91" i="5"/>
  <c r="AE97" i="5"/>
  <c r="AE95" i="5"/>
  <c r="AE90" i="7"/>
  <c r="AE88" i="7"/>
  <c r="AF84" i="7"/>
  <c r="AF49" i="3"/>
  <c r="AE53" i="3"/>
  <c r="AE55" i="3"/>
  <c r="AF252" i="5"/>
  <c r="AE258" i="5"/>
  <c r="AE256" i="5"/>
  <c r="AF245" i="5"/>
  <c r="AE251" i="5"/>
  <c r="AG140" i="5"/>
  <c r="AF146" i="5"/>
  <c r="AF144" i="5"/>
  <c r="AF14" i="7"/>
  <c r="AE20" i="7"/>
  <c r="AE260" i="7"/>
  <c r="AE266" i="7" s="1"/>
  <c r="AE281" i="7"/>
  <c r="AE272" i="7"/>
  <c r="AG182" i="5"/>
  <c r="AF188" i="5"/>
  <c r="AH175" i="7"/>
  <c r="AG181" i="7"/>
  <c r="AF147" i="7"/>
  <c r="AE153" i="7"/>
  <c r="AE151" i="7"/>
  <c r="AF98" i="5"/>
  <c r="AE104" i="5"/>
  <c r="AF195" i="7"/>
  <c r="AG189" i="7"/>
  <c r="AG84" i="5"/>
  <c r="AF90" i="5"/>
  <c r="AF88" i="5"/>
  <c r="AF18" i="3"/>
  <c r="AF20" i="3"/>
  <c r="AG14" i="3"/>
  <c r="AF112" i="7"/>
  <c r="AE118" i="7"/>
  <c r="AG189" i="5"/>
  <c r="AF195" i="5"/>
  <c r="AF130" i="5"/>
  <c r="AG126" i="5"/>
  <c r="AF132" i="5"/>
  <c r="AH147" i="5"/>
  <c r="AG153" i="5"/>
  <c r="AG151" i="5"/>
  <c r="AF217" i="5"/>
  <c r="AE223" i="5"/>
  <c r="AE209" i="7"/>
  <c r="AF203" i="7"/>
  <c r="AF231" i="5"/>
  <c r="AE237" i="5"/>
  <c r="AE235" i="5"/>
  <c r="AF105" i="7"/>
  <c r="AE109" i="7"/>
  <c r="AE111" i="7"/>
  <c r="AG174" i="5"/>
  <c r="AH168" i="5"/>
  <c r="AF126" i="7"/>
  <c r="AE132" i="7"/>
  <c r="AE130" i="7"/>
  <c r="AG49" i="7"/>
  <c r="AF55" i="7"/>
  <c r="AE139" i="7"/>
  <c r="AF133" i="7"/>
  <c r="AE137" i="7"/>
  <c r="AF35" i="5"/>
  <c r="AE41" i="5"/>
  <c r="AE174" i="7"/>
  <c r="AF168" i="7"/>
  <c r="AE172" i="7"/>
  <c r="AF83" i="5"/>
  <c r="AG77" i="5"/>
  <c r="AF81" i="5"/>
  <c r="G43" i="8"/>
  <c r="J42" i="8"/>
  <c r="AG196" i="5"/>
  <c r="AF202" i="5"/>
  <c r="AF200" i="5"/>
  <c r="AG210" i="5"/>
  <c r="AF214" i="5"/>
  <c r="AF216" i="5"/>
  <c r="AH231" i="7"/>
  <c r="AG235" i="7"/>
  <c r="AG237" i="7"/>
  <c r="AF55" i="10"/>
  <c r="AG49" i="10"/>
  <c r="AF53" i="10"/>
  <c r="AE76" i="3"/>
  <c r="AE85" i="3"/>
  <c r="AI18" i="10"/>
  <c r="AF48" i="7"/>
  <c r="AG42" i="7"/>
  <c r="AF42" i="3"/>
  <c r="AE48" i="3"/>
  <c r="AE46" i="3"/>
  <c r="AE258" i="7"/>
  <c r="AF252" i="7"/>
  <c r="G43" i="6"/>
  <c r="J42" i="6"/>
  <c r="AF224" i="7"/>
  <c r="AE230" i="7"/>
  <c r="AE228" i="7"/>
  <c r="AE125" i="5"/>
  <c r="AF119" i="5"/>
  <c r="AE123" i="5"/>
  <c r="AF181" i="5"/>
  <c r="AG175" i="5"/>
  <c r="AG133" i="5"/>
  <c r="AF139" i="5"/>
  <c r="AF137" i="5"/>
  <c r="AE64" i="3"/>
  <c r="AE70" i="3" s="1"/>
  <c r="AI32" i="10"/>
  <c r="AG77" i="7"/>
  <c r="AF83" i="7"/>
  <c r="AF81" i="7"/>
  <c r="AF238" i="5"/>
  <c r="AE244" i="5"/>
  <c r="AE186" i="7"/>
  <c r="AF182" i="7"/>
  <c r="AE188" i="7"/>
  <c r="AD62" i="10" l="1"/>
  <c r="AD60" i="10"/>
  <c r="AE56" i="10"/>
  <c r="AD64" i="10"/>
  <c r="AD70" i="10" s="1"/>
  <c r="AD85" i="10"/>
  <c r="AD76" i="10"/>
  <c r="G49" i="9"/>
  <c r="J48" i="9"/>
  <c r="AF60" i="7"/>
  <c r="AG56" i="7"/>
  <c r="AF62" i="7"/>
  <c r="AG154" i="5"/>
  <c r="AF160" i="5"/>
  <c r="AH34" i="10"/>
  <c r="AI28" i="10"/>
  <c r="AF76" i="3"/>
  <c r="AF20" i="10"/>
  <c r="AG14" i="10"/>
  <c r="AF41" i="10"/>
  <c r="AG35" i="10"/>
  <c r="AF104" i="7"/>
  <c r="AG98" i="7"/>
  <c r="AF102" i="7"/>
  <c r="AG27" i="5"/>
  <c r="AG25" i="5"/>
  <c r="AH21" i="5"/>
  <c r="AF32" i="5"/>
  <c r="AF34" i="5"/>
  <c r="AG28" i="5"/>
  <c r="AF62" i="5"/>
  <c r="AG56" i="5"/>
  <c r="AF55" i="5"/>
  <c r="AG49" i="5"/>
  <c r="AH69" i="5"/>
  <c r="AI63" i="5"/>
  <c r="AF39" i="3"/>
  <c r="AF41" i="3"/>
  <c r="AG35" i="3"/>
  <c r="AF76" i="7"/>
  <c r="AG70" i="7"/>
  <c r="AF69" i="7"/>
  <c r="AG63" i="7"/>
  <c r="AF25" i="3"/>
  <c r="AF27" i="3"/>
  <c r="AG21" i="3"/>
  <c r="AF97" i="7"/>
  <c r="AG91" i="7"/>
  <c r="AF146" i="7"/>
  <c r="AF144" i="7"/>
  <c r="AG140" i="7"/>
  <c r="AG217" i="5"/>
  <c r="AF223" i="5"/>
  <c r="AG55" i="7"/>
  <c r="AH49" i="7"/>
  <c r="AI175" i="7"/>
  <c r="AH181" i="7"/>
  <c r="AH140" i="5"/>
  <c r="AG146" i="5"/>
  <c r="AH21" i="7"/>
  <c r="AG27" i="7"/>
  <c r="AG41" i="7"/>
  <c r="AH35" i="7"/>
  <c r="AF186" i="7"/>
  <c r="AF188" i="7"/>
  <c r="AG182" i="7"/>
  <c r="AG252" i="7"/>
  <c r="AF258" i="7"/>
  <c r="G44" i="8"/>
  <c r="G45" i="8" s="1"/>
  <c r="G46" i="8" s="1"/>
  <c r="G47" i="8" s="1"/>
  <c r="G48" i="8" s="1"/>
  <c r="J43" i="8"/>
  <c r="AH126" i="5"/>
  <c r="AG132" i="5"/>
  <c r="AG139" i="5"/>
  <c r="AH133" i="5"/>
  <c r="AG137" i="5"/>
  <c r="AG181" i="5"/>
  <c r="AH175" i="5"/>
  <c r="AI231" i="7"/>
  <c r="AH237" i="7"/>
  <c r="AH77" i="5"/>
  <c r="AG83" i="5"/>
  <c r="AG81" i="5"/>
  <c r="AF109" i="7"/>
  <c r="AF111" i="7"/>
  <c r="AG105" i="7"/>
  <c r="AG154" i="7"/>
  <c r="AF158" i="7"/>
  <c r="AF160" i="7"/>
  <c r="AH56" i="3"/>
  <c r="AG60" i="3"/>
  <c r="AG62" i="3"/>
  <c r="AG238" i="5"/>
  <c r="AF244" i="5"/>
  <c r="AH84" i="5"/>
  <c r="AG88" i="5"/>
  <c r="AG90" i="5"/>
  <c r="AF251" i="7"/>
  <c r="AG245" i="7"/>
  <c r="AF216" i="7"/>
  <c r="AG210" i="7"/>
  <c r="AG217" i="7"/>
  <c r="AF223" i="7"/>
  <c r="AF221" i="7"/>
  <c r="AH203" i="5"/>
  <c r="AG209" i="5"/>
  <c r="AF251" i="5"/>
  <c r="AG245" i="5"/>
  <c r="AH34" i="7"/>
  <c r="AI28" i="7"/>
  <c r="AH32" i="7"/>
  <c r="AF46" i="3"/>
  <c r="AG42" i="3"/>
  <c r="AF48" i="3"/>
  <c r="AG119" i="5"/>
  <c r="AF123" i="5"/>
  <c r="AF125" i="5"/>
  <c r="AG48" i="7"/>
  <c r="AH42" i="7"/>
  <c r="AF172" i="7"/>
  <c r="AG168" i="7"/>
  <c r="AF174" i="7"/>
  <c r="AG195" i="7"/>
  <c r="AH189" i="7"/>
  <c r="AH182" i="5"/>
  <c r="AG188" i="5"/>
  <c r="AJ224" i="5"/>
  <c r="AI230" i="5"/>
  <c r="AG125" i="7"/>
  <c r="AH119" i="7"/>
  <c r="AG123" i="7"/>
  <c r="AH153" i="5"/>
  <c r="AH151" i="5"/>
  <c r="AI147" i="5"/>
  <c r="AF258" i="5"/>
  <c r="AG252" i="5"/>
  <c r="AF256" i="5"/>
  <c r="AG161" i="7"/>
  <c r="AF167" i="7"/>
  <c r="AF165" i="7"/>
  <c r="AF32" i="3"/>
  <c r="AF34" i="3"/>
  <c r="AG28" i="3"/>
  <c r="AG48" i="10"/>
  <c r="AH42" i="10"/>
  <c r="AG46" i="10"/>
  <c r="AG238" i="7"/>
  <c r="AF242" i="7"/>
  <c r="AF244" i="7"/>
  <c r="AH189" i="5"/>
  <c r="AG195" i="5"/>
  <c r="AG91" i="5"/>
  <c r="AF97" i="5"/>
  <c r="AF95" i="5"/>
  <c r="AF202" i="7"/>
  <c r="AG196" i="7"/>
  <c r="AH77" i="7"/>
  <c r="AG83" i="7"/>
  <c r="AG81" i="7"/>
  <c r="AH210" i="5"/>
  <c r="AG214" i="5"/>
  <c r="AG216" i="5"/>
  <c r="AF118" i="7"/>
  <c r="AG112" i="7"/>
  <c r="AG105" i="5"/>
  <c r="AF109" i="5"/>
  <c r="AF111" i="5"/>
  <c r="AG224" i="7"/>
  <c r="AF228" i="7"/>
  <c r="AF230" i="7"/>
  <c r="AG126" i="7"/>
  <c r="AF130" i="7"/>
  <c r="AF132" i="7"/>
  <c r="AF209" i="7"/>
  <c r="AG203" i="7"/>
  <c r="AF85" i="3"/>
  <c r="AG49" i="3"/>
  <c r="AF55" i="3"/>
  <c r="AF53" i="3"/>
  <c r="G44" i="4"/>
  <c r="G45" i="4" s="1"/>
  <c r="G46" i="4" s="1"/>
  <c r="G47" i="4" s="1"/>
  <c r="G48" i="4" s="1"/>
  <c r="J43" i="4"/>
  <c r="AG112" i="5"/>
  <c r="AF116" i="5"/>
  <c r="AF118" i="5"/>
  <c r="AH161" i="5"/>
  <c r="AG167" i="5"/>
  <c r="AF41" i="5"/>
  <c r="AG35" i="5"/>
  <c r="AF237" i="5"/>
  <c r="AF235" i="5"/>
  <c r="AG231" i="5"/>
  <c r="AG98" i="5"/>
  <c r="AF104" i="5"/>
  <c r="AH196" i="5"/>
  <c r="AG202" i="5"/>
  <c r="AF139" i="7"/>
  <c r="AG133" i="7"/>
  <c r="AF137" i="7"/>
  <c r="AH174" i="5"/>
  <c r="AI168" i="5"/>
  <c r="AF64" i="3"/>
  <c r="AF70" i="3" s="1"/>
  <c r="AF20" i="7"/>
  <c r="AG14" i="7"/>
  <c r="AF260" i="7"/>
  <c r="AF266" i="7" s="1"/>
  <c r="AF281" i="7"/>
  <c r="AF272" i="7"/>
  <c r="AF90" i="7"/>
  <c r="AF88" i="7"/>
  <c r="AG84" i="7"/>
  <c r="AH21" i="10"/>
  <c r="AG27" i="10"/>
  <c r="AG25" i="10"/>
  <c r="AJ70" i="5"/>
  <c r="AI76" i="5"/>
  <c r="AF20" i="5"/>
  <c r="AG14" i="5"/>
  <c r="AF260" i="5"/>
  <c r="AF266" i="5" s="1"/>
  <c r="AF272" i="5"/>
  <c r="AF281" i="5"/>
  <c r="AG55" i="10"/>
  <c r="AH49" i="10"/>
  <c r="AG53" i="10"/>
  <c r="G44" i="6"/>
  <c r="G45" i="6" s="1"/>
  <c r="G46" i="6" s="1"/>
  <c r="G47" i="6" s="1"/>
  <c r="G48" i="6" s="1"/>
  <c r="J43" i="6"/>
  <c r="AH14" i="3"/>
  <c r="AG18" i="3"/>
  <c r="AG20" i="3"/>
  <c r="AF151" i="7"/>
  <c r="AG147" i="7"/>
  <c r="AF153" i="7"/>
  <c r="AG48" i="5"/>
  <c r="AH42" i="5"/>
  <c r="AG46" i="5"/>
  <c r="AF56" i="10" l="1"/>
  <c r="AE62" i="10"/>
  <c r="AE60" i="10"/>
  <c r="AE76" i="10"/>
  <c r="AE85" i="10"/>
  <c r="AE64" i="10"/>
  <c r="AE70" i="10" s="1"/>
  <c r="G50" i="9"/>
  <c r="J49" i="9"/>
  <c r="G49" i="4"/>
  <c r="J48" i="4"/>
  <c r="G49" i="6"/>
  <c r="J48" i="6"/>
  <c r="G49" i="8"/>
  <c r="J48" i="8"/>
  <c r="AH56" i="7"/>
  <c r="AG62" i="7"/>
  <c r="AG60" i="7"/>
  <c r="AG160" i="5"/>
  <c r="AH154" i="5"/>
  <c r="AI34" i="10"/>
  <c r="AJ28" i="10"/>
  <c r="AG41" i="10"/>
  <c r="AH35" i="10"/>
  <c r="AH14" i="10"/>
  <c r="AG20" i="10"/>
  <c r="AG62" i="5"/>
  <c r="AH56" i="5"/>
  <c r="AH63" i="7"/>
  <c r="AG69" i="7"/>
  <c r="AG85" i="3"/>
  <c r="AG34" i="5"/>
  <c r="AH28" i="5"/>
  <c r="AG32" i="5"/>
  <c r="AG76" i="7"/>
  <c r="AH70" i="7"/>
  <c r="AG39" i="3"/>
  <c r="AG41" i="3"/>
  <c r="AH35" i="3"/>
  <c r="AH27" i="5"/>
  <c r="AH25" i="5"/>
  <c r="AI21" i="5"/>
  <c r="AG97" i="7"/>
  <c r="AH91" i="7"/>
  <c r="AI69" i="5"/>
  <c r="AJ63" i="5"/>
  <c r="AH98" i="7"/>
  <c r="AG104" i="7"/>
  <c r="AG102" i="7"/>
  <c r="AG25" i="3"/>
  <c r="AH21" i="3"/>
  <c r="AG27" i="3"/>
  <c r="AG55" i="5"/>
  <c r="AH49" i="5"/>
  <c r="AK70" i="5"/>
  <c r="AJ76" i="5"/>
  <c r="AH98" i="5"/>
  <c r="AG104" i="5"/>
  <c r="AH112" i="7"/>
  <c r="AG118" i="7"/>
  <c r="AG160" i="7"/>
  <c r="AH154" i="7"/>
  <c r="AG158" i="7"/>
  <c r="AH55" i="7"/>
  <c r="AI49" i="7"/>
  <c r="AH14" i="7"/>
  <c r="AG20" i="7"/>
  <c r="AG260" i="7"/>
  <c r="AG266" i="7" s="1"/>
  <c r="AG281" i="7"/>
  <c r="AG272" i="7"/>
  <c r="AG235" i="5"/>
  <c r="AG237" i="5"/>
  <c r="AH231" i="5"/>
  <c r="AH252" i="5"/>
  <c r="AG258" i="5"/>
  <c r="AJ230" i="5"/>
  <c r="AK224" i="5"/>
  <c r="AG125" i="5"/>
  <c r="AH119" i="5"/>
  <c r="AG123" i="5"/>
  <c r="AI203" i="5"/>
  <c r="AH209" i="5"/>
  <c r="AG109" i="7"/>
  <c r="AH105" i="7"/>
  <c r="AG111" i="7"/>
  <c r="AH41" i="7"/>
  <c r="AI35" i="7"/>
  <c r="AG153" i="7"/>
  <c r="AH147" i="7"/>
  <c r="AG151" i="7"/>
  <c r="AG132" i="7"/>
  <c r="AH126" i="7"/>
  <c r="AH83" i="7"/>
  <c r="AI77" i="7"/>
  <c r="AH81" i="7"/>
  <c r="AG244" i="7"/>
  <c r="AH238" i="7"/>
  <c r="AG242" i="7"/>
  <c r="AH139" i="5"/>
  <c r="AI133" i="5"/>
  <c r="AH137" i="5"/>
  <c r="AG223" i="5"/>
  <c r="AH217" i="5"/>
  <c r="AH195" i="7"/>
  <c r="AI189" i="7"/>
  <c r="AH217" i="7"/>
  <c r="AG223" i="7"/>
  <c r="AG221" i="7"/>
  <c r="AI21" i="7"/>
  <c r="AH27" i="7"/>
  <c r="AG202" i="7"/>
  <c r="AH196" i="7"/>
  <c r="AH46" i="10"/>
  <c r="AH48" i="10"/>
  <c r="AI42" i="10"/>
  <c r="AG64" i="3"/>
  <c r="AG70" i="3" s="1"/>
  <c r="AH224" i="7"/>
  <c r="AG230" i="7"/>
  <c r="AG216" i="7"/>
  <c r="AH210" i="7"/>
  <c r="AI126" i="5"/>
  <c r="AH132" i="5"/>
  <c r="AI153" i="5"/>
  <c r="AJ147" i="5"/>
  <c r="AI151" i="5"/>
  <c r="AH27" i="10"/>
  <c r="AI21" i="10"/>
  <c r="AH25" i="10"/>
  <c r="AH49" i="3"/>
  <c r="AG53" i="3"/>
  <c r="AG55" i="3"/>
  <c r="AI210" i="5"/>
  <c r="AH216" i="5"/>
  <c r="AG32" i="3"/>
  <c r="AG34" i="3"/>
  <c r="AH28" i="3"/>
  <c r="AI34" i="7"/>
  <c r="AJ28" i="7"/>
  <c r="AI32" i="7"/>
  <c r="AH238" i="5"/>
  <c r="AG244" i="5"/>
  <c r="AH146" i="5"/>
  <c r="AI140" i="5"/>
  <c r="AH53" i="10"/>
  <c r="AH55" i="10"/>
  <c r="AI49" i="10"/>
  <c r="AI182" i="5"/>
  <c r="AH188" i="5"/>
  <c r="AI174" i="5"/>
  <c r="AJ168" i="5"/>
  <c r="AG139" i="7"/>
  <c r="AH133" i="7"/>
  <c r="AG137" i="7"/>
  <c r="AI161" i="5"/>
  <c r="AH167" i="5"/>
  <c r="AH91" i="5"/>
  <c r="AG97" i="5"/>
  <c r="AG95" i="5"/>
  <c r="AH168" i="7"/>
  <c r="AG172" i="7"/>
  <c r="AG174" i="7"/>
  <c r="AG251" i="7"/>
  <c r="AH245" i="7"/>
  <c r="AG251" i="5"/>
  <c r="AH245" i="5"/>
  <c r="AH83" i="5"/>
  <c r="AI77" i="5"/>
  <c r="AH81" i="5"/>
  <c r="AJ175" i="7"/>
  <c r="AI181" i="7"/>
  <c r="AG48" i="3"/>
  <c r="AH42" i="3"/>
  <c r="AG46" i="3"/>
  <c r="AI14" i="3"/>
  <c r="AH18" i="3"/>
  <c r="AH20" i="3"/>
  <c r="AG20" i="5"/>
  <c r="AH14" i="5"/>
  <c r="AG260" i="5"/>
  <c r="AG266" i="5" s="1"/>
  <c r="AG281" i="5"/>
  <c r="AG272" i="5"/>
  <c r="AI189" i="5"/>
  <c r="AH195" i="5"/>
  <c r="AH48" i="7"/>
  <c r="AI42" i="7"/>
  <c r="AH62" i="3"/>
  <c r="AI56" i="3"/>
  <c r="AH60" i="3"/>
  <c r="AH252" i="7"/>
  <c r="AG258" i="7"/>
  <c r="AG146" i="7"/>
  <c r="AH140" i="7"/>
  <c r="AG76" i="3"/>
  <c r="AH48" i="5"/>
  <c r="AI42" i="5"/>
  <c r="AH46" i="5"/>
  <c r="AI196" i="5"/>
  <c r="AH200" i="5"/>
  <c r="AH202" i="5"/>
  <c r="AG116" i="5"/>
  <c r="AH112" i="5"/>
  <c r="AG118" i="5"/>
  <c r="AG209" i="7"/>
  <c r="AH203" i="7"/>
  <c r="AH125" i="7"/>
  <c r="AI119" i="7"/>
  <c r="AH123" i="7"/>
  <c r="AI237" i="7"/>
  <c r="AJ231" i="7"/>
  <c r="AG188" i="7"/>
  <c r="AH182" i="7"/>
  <c r="AG41" i="5"/>
  <c r="AH35" i="5"/>
  <c r="AG88" i="7"/>
  <c r="AH84" i="7"/>
  <c r="AG90" i="7"/>
  <c r="AG111" i="5"/>
  <c r="AH105" i="5"/>
  <c r="AG109" i="5"/>
  <c r="AH161" i="7"/>
  <c r="AG167" i="7"/>
  <c r="AG165" i="7"/>
  <c r="AH88" i="5"/>
  <c r="AH90" i="5"/>
  <c r="AI84" i="5"/>
  <c r="AH181" i="5"/>
  <c r="AI175" i="5"/>
  <c r="AF62" i="10" l="1"/>
  <c r="AF60" i="10"/>
  <c r="AG56" i="10"/>
  <c r="AF64" i="10"/>
  <c r="AF70" i="10" s="1"/>
  <c r="AF85" i="10"/>
  <c r="AF76" i="10"/>
  <c r="G51" i="9"/>
  <c r="J50" i="9"/>
  <c r="G50" i="4"/>
  <c r="J49" i="4"/>
  <c r="G50" i="6"/>
  <c r="J49" i="6"/>
  <c r="G50" i="8"/>
  <c r="J49" i="8"/>
  <c r="AH62" i="7"/>
  <c r="AI56" i="7"/>
  <c r="AH60" i="7"/>
  <c r="AH160" i="5"/>
  <c r="AI154" i="5"/>
  <c r="AH158" i="5"/>
  <c r="AH76" i="3"/>
  <c r="AK28" i="10"/>
  <c r="AJ34" i="10"/>
  <c r="AH85" i="3"/>
  <c r="AH20" i="10"/>
  <c r="AI14" i="10"/>
  <c r="AH64" i="3"/>
  <c r="AH70" i="3" s="1"/>
  <c r="AH41" i="10"/>
  <c r="AI35" i="10"/>
  <c r="AH76" i="7"/>
  <c r="AI70" i="7"/>
  <c r="AI98" i="7"/>
  <c r="AH104" i="7"/>
  <c r="AH102" i="7"/>
  <c r="AJ69" i="5"/>
  <c r="AK63" i="5"/>
  <c r="AH34" i="5"/>
  <c r="AI28" i="5"/>
  <c r="AH32" i="5"/>
  <c r="AH97" i="7"/>
  <c r="AI91" i="7"/>
  <c r="AI49" i="5"/>
  <c r="AH55" i="5"/>
  <c r="AJ21" i="5"/>
  <c r="AI25" i="5"/>
  <c r="AI27" i="5"/>
  <c r="AH69" i="7"/>
  <c r="AI63" i="7"/>
  <c r="AI56" i="5"/>
  <c r="AH62" i="5"/>
  <c r="AI21" i="3"/>
  <c r="AH25" i="3"/>
  <c r="AH27" i="3"/>
  <c r="AI35" i="3"/>
  <c r="AH39" i="3"/>
  <c r="AH41" i="3"/>
  <c r="AI217" i="7"/>
  <c r="AH223" i="7"/>
  <c r="AH221" i="7"/>
  <c r="AH244" i="7"/>
  <c r="AI238" i="7"/>
  <c r="AH34" i="3"/>
  <c r="AI28" i="3"/>
  <c r="AH32" i="3"/>
  <c r="AI27" i="10"/>
  <c r="AJ21" i="10"/>
  <c r="AI25" i="10"/>
  <c r="AJ42" i="10"/>
  <c r="AI46" i="10"/>
  <c r="AI48" i="10"/>
  <c r="AI195" i="7"/>
  <c r="AJ189" i="7"/>
  <c r="AI41" i="7"/>
  <c r="AJ35" i="7"/>
  <c r="AI48" i="7"/>
  <c r="AJ42" i="7"/>
  <c r="AI252" i="5"/>
  <c r="AH258" i="5"/>
  <c r="AI154" i="7"/>
  <c r="AH160" i="7"/>
  <c r="AH158" i="7"/>
  <c r="AI217" i="5"/>
  <c r="AH223" i="5"/>
  <c r="AJ77" i="7"/>
  <c r="AI83" i="7"/>
  <c r="AI81" i="7"/>
  <c r="AH235" i="5"/>
  <c r="AH237" i="5"/>
  <c r="AI231" i="5"/>
  <c r="AJ196" i="5"/>
  <c r="AI200" i="5"/>
  <c r="AI202" i="5"/>
  <c r="AH41" i="5"/>
  <c r="AI35" i="5"/>
  <c r="AI48" i="5"/>
  <c r="AJ42" i="5"/>
  <c r="AI46" i="5"/>
  <c r="AJ161" i="5"/>
  <c r="AI167" i="5"/>
  <c r="AK147" i="5"/>
  <c r="AJ153" i="5"/>
  <c r="AH202" i="7"/>
  <c r="AI196" i="7"/>
  <c r="AH111" i="7"/>
  <c r="AI105" i="7"/>
  <c r="AH109" i="7"/>
  <c r="AI62" i="3"/>
  <c r="AJ56" i="3"/>
  <c r="AI60" i="3"/>
  <c r="AI53" i="10"/>
  <c r="AI55" i="10"/>
  <c r="AJ49" i="10"/>
  <c r="AI161" i="7"/>
  <c r="AH167" i="7"/>
  <c r="AH165" i="7"/>
  <c r="AH209" i="7"/>
  <c r="AI203" i="7"/>
  <c r="AJ189" i="5"/>
  <c r="AI195" i="5"/>
  <c r="AH172" i="7"/>
  <c r="AI168" i="7"/>
  <c r="AH174" i="7"/>
  <c r="AJ210" i="5"/>
  <c r="AI216" i="5"/>
  <c r="AI126" i="7"/>
  <c r="AH130" i="7"/>
  <c r="AH132" i="7"/>
  <c r="AH90" i="7"/>
  <c r="AI84" i="7"/>
  <c r="AH88" i="7"/>
  <c r="AJ14" i="3"/>
  <c r="AI20" i="3"/>
  <c r="AI18" i="3"/>
  <c r="AH139" i="7"/>
  <c r="AI133" i="7"/>
  <c r="AH137" i="7"/>
  <c r="AJ140" i="5"/>
  <c r="AI146" i="5"/>
  <c r="AI139" i="5"/>
  <c r="AJ133" i="5"/>
  <c r="AI137" i="5"/>
  <c r="AJ126" i="5"/>
  <c r="AI132" i="5"/>
  <c r="AI27" i="7"/>
  <c r="AJ21" i="7"/>
  <c r="AJ203" i="5"/>
  <c r="AI209" i="5"/>
  <c r="AH118" i="7"/>
  <c r="AI112" i="7"/>
  <c r="AI125" i="7"/>
  <c r="AJ119" i="7"/>
  <c r="AI123" i="7"/>
  <c r="AH251" i="7"/>
  <c r="AI245" i="7"/>
  <c r="AK175" i="7"/>
  <c r="AJ181" i="7"/>
  <c r="AK168" i="5"/>
  <c r="AJ174" i="5"/>
  <c r="AH55" i="3"/>
  <c r="AI49" i="3"/>
  <c r="AH53" i="3"/>
  <c r="AH216" i="7"/>
  <c r="AI210" i="7"/>
  <c r="AI83" i="5"/>
  <c r="AJ77" i="5"/>
  <c r="AI81" i="5"/>
  <c r="AI238" i="5"/>
  <c r="AH244" i="5"/>
  <c r="AI119" i="5"/>
  <c r="AH125" i="5"/>
  <c r="AH123" i="5"/>
  <c r="AI98" i="5"/>
  <c r="AH104" i="5"/>
  <c r="AI181" i="5"/>
  <c r="AJ175" i="5"/>
  <c r="AH188" i="7"/>
  <c r="AI182" i="7"/>
  <c r="AH186" i="7"/>
  <c r="AI112" i="5"/>
  <c r="AH118" i="5"/>
  <c r="AH116" i="5"/>
  <c r="AI105" i="5"/>
  <c r="AH109" i="5"/>
  <c r="AH111" i="5"/>
  <c r="AI252" i="7"/>
  <c r="AH258" i="7"/>
  <c r="AI14" i="7"/>
  <c r="AH20" i="7"/>
  <c r="AH260" i="7"/>
  <c r="AH266" i="7" s="1"/>
  <c r="AH272" i="7"/>
  <c r="AH281" i="7"/>
  <c r="AH146" i="7"/>
  <c r="AI140" i="7"/>
  <c r="AH144" i="7"/>
  <c r="AI90" i="5"/>
  <c r="AJ84" i="5"/>
  <c r="AI88" i="5"/>
  <c r="AJ237" i="7"/>
  <c r="AK231" i="7"/>
  <c r="AH20" i="5"/>
  <c r="AI14" i="5"/>
  <c r="AH260" i="5"/>
  <c r="AH266" i="5" s="1"/>
  <c r="AH281" i="5"/>
  <c r="AH272" i="5"/>
  <c r="AH46" i="3"/>
  <c r="AI42" i="3"/>
  <c r="AH48" i="3"/>
  <c r="AH251" i="5"/>
  <c r="AI245" i="5"/>
  <c r="AI91" i="5"/>
  <c r="AH97" i="5"/>
  <c r="AH95" i="5"/>
  <c r="AJ182" i="5"/>
  <c r="AI188" i="5"/>
  <c r="AK28" i="7"/>
  <c r="AJ34" i="7"/>
  <c r="AH230" i="7"/>
  <c r="AH228" i="7"/>
  <c r="AI224" i="7"/>
  <c r="AH153" i="7"/>
  <c r="AI147" i="7"/>
  <c r="AH151" i="7"/>
  <c r="AL224" i="5"/>
  <c r="AK230" i="5"/>
  <c r="AJ49" i="7"/>
  <c r="AI55" i="7"/>
  <c r="AL70" i="5"/>
  <c r="AK76" i="5"/>
  <c r="AG60" i="10" l="1"/>
  <c r="AG62" i="10"/>
  <c r="AH56" i="10"/>
  <c r="AG76" i="10"/>
  <c r="AG85" i="10"/>
  <c r="AG64" i="10"/>
  <c r="AG70" i="10" s="1"/>
  <c r="G52" i="9"/>
  <c r="J51" i="9"/>
  <c r="G51" i="4"/>
  <c r="J50" i="4"/>
  <c r="G51" i="6"/>
  <c r="J50" i="6"/>
  <c r="G51" i="8"/>
  <c r="J50" i="8"/>
  <c r="AI62" i="7"/>
  <c r="AI60" i="7"/>
  <c r="AJ56" i="7"/>
  <c r="AI160" i="5"/>
  <c r="AJ154" i="5"/>
  <c r="AI158" i="5"/>
  <c r="AL28" i="10"/>
  <c r="AK34" i="10"/>
  <c r="AI76" i="3"/>
  <c r="AJ35" i="10"/>
  <c r="AI41" i="10"/>
  <c r="AJ14" i="10"/>
  <c r="AI20" i="10"/>
  <c r="AI97" i="7"/>
  <c r="AJ91" i="7"/>
  <c r="AJ21" i="3"/>
  <c r="AI27" i="3"/>
  <c r="AI25" i="3"/>
  <c r="AI34" i="5"/>
  <c r="AJ28" i="5"/>
  <c r="AI32" i="5"/>
  <c r="AI62" i="5"/>
  <c r="AJ56" i="5"/>
  <c r="AJ63" i="7"/>
  <c r="AI69" i="7"/>
  <c r="AK69" i="5"/>
  <c r="AL63" i="5"/>
  <c r="AJ27" i="5"/>
  <c r="AK21" i="5"/>
  <c r="AI104" i="7"/>
  <c r="AJ98" i="7"/>
  <c r="AI102" i="7"/>
  <c r="AI76" i="7"/>
  <c r="AJ70" i="7"/>
  <c r="AJ35" i="3"/>
  <c r="AI41" i="3"/>
  <c r="AI39" i="3"/>
  <c r="AI55" i="5"/>
  <c r="AJ49" i="5"/>
  <c r="AI118" i="5"/>
  <c r="AJ112" i="5"/>
  <c r="AI116" i="5"/>
  <c r="AI125" i="5"/>
  <c r="AJ119" i="5"/>
  <c r="AI123" i="5"/>
  <c r="AI64" i="3"/>
  <c r="AI70" i="3" s="1"/>
  <c r="AI55" i="3"/>
  <c r="AJ49" i="3"/>
  <c r="AI53" i="3"/>
  <c r="AI132" i="7"/>
  <c r="AJ126" i="7"/>
  <c r="AI130" i="7"/>
  <c r="AJ195" i="5"/>
  <c r="AK189" i="5"/>
  <c r="AI41" i="5"/>
  <c r="AJ35" i="5"/>
  <c r="AJ217" i="5"/>
  <c r="AI223" i="5"/>
  <c r="AJ14" i="7"/>
  <c r="AI20" i="7"/>
  <c r="AI260" i="7"/>
  <c r="AI266" i="7" s="1"/>
  <c r="AI272" i="7"/>
  <c r="AI281" i="7"/>
  <c r="AI244" i="5"/>
  <c r="AJ238" i="5"/>
  <c r="AK133" i="5"/>
  <c r="AJ139" i="5"/>
  <c r="AK14" i="3"/>
  <c r="AJ20" i="3"/>
  <c r="AJ216" i="5"/>
  <c r="AK210" i="5"/>
  <c r="AK42" i="10"/>
  <c r="AJ48" i="10"/>
  <c r="AK175" i="5"/>
  <c r="AJ181" i="5"/>
  <c r="AJ83" i="5"/>
  <c r="AK77" i="5"/>
  <c r="AK174" i="5"/>
  <c r="AL168" i="5"/>
  <c r="AJ112" i="7"/>
  <c r="AI118" i="7"/>
  <c r="AI202" i="7"/>
  <c r="AJ196" i="7"/>
  <c r="AI160" i="7"/>
  <c r="AJ154" i="7"/>
  <c r="AI158" i="7"/>
  <c r="AJ125" i="7"/>
  <c r="AK119" i="7"/>
  <c r="AJ188" i="5"/>
  <c r="AK182" i="5"/>
  <c r="AL230" i="5"/>
  <c r="AM224" i="5"/>
  <c r="AK237" i="7"/>
  <c r="AL231" i="7"/>
  <c r="AJ168" i="7"/>
  <c r="AI172" i="7"/>
  <c r="AI174" i="7"/>
  <c r="AJ202" i="5"/>
  <c r="AK196" i="5"/>
  <c r="AI244" i="7"/>
  <c r="AJ238" i="7"/>
  <c r="AJ252" i="7"/>
  <c r="AI258" i="7"/>
  <c r="AK140" i="5"/>
  <c r="AJ146" i="5"/>
  <c r="AJ161" i="7"/>
  <c r="AI167" i="7"/>
  <c r="AI165" i="7"/>
  <c r="AI235" i="5"/>
  <c r="AI237" i="5"/>
  <c r="AJ231" i="5"/>
  <c r="AJ252" i="5"/>
  <c r="AI258" i="5"/>
  <c r="AL28" i="7"/>
  <c r="AK34" i="7"/>
  <c r="AI146" i="7"/>
  <c r="AJ140" i="7"/>
  <c r="AI144" i="7"/>
  <c r="AI188" i="7"/>
  <c r="AJ182" i="7"/>
  <c r="AI186" i="7"/>
  <c r="AI97" i="5"/>
  <c r="AJ91" i="5"/>
  <c r="AI95" i="5"/>
  <c r="AI153" i="7"/>
  <c r="AJ147" i="7"/>
  <c r="AI151" i="7"/>
  <c r="AJ209" i="5"/>
  <c r="AK203" i="5"/>
  <c r="AI90" i="7"/>
  <c r="AJ84" i="7"/>
  <c r="AI88" i="7"/>
  <c r="AK49" i="10"/>
  <c r="AJ55" i="10"/>
  <c r="AK153" i="5"/>
  <c r="AL147" i="5"/>
  <c r="AK42" i="7"/>
  <c r="AJ48" i="7"/>
  <c r="AJ90" i="5"/>
  <c r="AK84" i="5"/>
  <c r="AL175" i="7"/>
  <c r="AK181" i="7"/>
  <c r="AJ27" i="7"/>
  <c r="AK21" i="7"/>
  <c r="AI139" i="7"/>
  <c r="AJ133" i="7"/>
  <c r="AI137" i="7"/>
  <c r="AK21" i="10"/>
  <c r="AJ27" i="10"/>
  <c r="AJ203" i="7"/>
  <c r="AI209" i="7"/>
  <c r="AK161" i="5"/>
  <c r="AJ167" i="5"/>
  <c r="AK35" i="7"/>
  <c r="AJ41" i="7"/>
  <c r="AI223" i="7"/>
  <c r="AJ217" i="7"/>
  <c r="AI221" i="7"/>
  <c r="AI251" i="5"/>
  <c r="AJ245" i="5"/>
  <c r="AI230" i="7"/>
  <c r="AJ224" i="7"/>
  <c r="AI228" i="7"/>
  <c r="AI111" i="5"/>
  <c r="AJ105" i="5"/>
  <c r="AI109" i="5"/>
  <c r="AI104" i="5"/>
  <c r="AJ98" i="5"/>
  <c r="AM70" i="5"/>
  <c r="AL76" i="5"/>
  <c r="AJ105" i="7"/>
  <c r="AI111" i="7"/>
  <c r="AI109" i="7"/>
  <c r="AK49" i="7"/>
  <c r="AJ55" i="7"/>
  <c r="AI20" i="5"/>
  <c r="AJ14" i="5"/>
  <c r="AI260" i="5"/>
  <c r="AI266" i="5" s="1"/>
  <c r="AI281" i="5"/>
  <c r="AI272" i="5"/>
  <c r="AJ42" i="3"/>
  <c r="AI48" i="3"/>
  <c r="AI46" i="3"/>
  <c r="AI216" i="7"/>
  <c r="AJ210" i="7"/>
  <c r="AI251" i="7"/>
  <c r="AJ245" i="7"/>
  <c r="AK126" i="5"/>
  <c r="AJ132" i="5"/>
  <c r="AI85" i="3"/>
  <c r="AJ62" i="3"/>
  <c r="AK56" i="3"/>
  <c r="AJ48" i="5"/>
  <c r="AK42" i="5"/>
  <c r="AJ83" i="7"/>
  <c r="AK77" i="7"/>
  <c r="AJ195" i="7"/>
  <c r="AK189" i="7"/>
  <c r="AJ28" i="3"/>
  <c r="AI34" i="3"/>
  <c r="AI32" i="3"/>
  <c r="AH60" i="10" l="1"/>
  <c r="AH62" i="10"/>
  <c r="AI56" i="10"/>
  <c r="AH85" i="10"/>
  <c r="AH76" i="10"/>
  <c r="AH64" i="10"/>
  <c r="AH70" i="10" s="1"/>
  <c r="G53" i="9"/>
  <c r="J52" i="9"/>
  <c r="G52" i="4"/>
  <c r="J51" i="4"/>
  <c r="G52" i="6"/>
  <c r="J51" i="6"/>
  <c r="G52" i="8"/>
  <c r="J51" i="8"/>
  <c r="AK56" i="7"/>
  <c r="AJ62" i="7"/>
  <c r="AJ160" i="5"/>
  <c r="AK154" i="5"/>
  <c r="AM28" i="10"/>
  <c r="AL34" i="10"/>
  <c r="AJ76" i="3"/>
  <c r="AK14" i="10"/>
  <c r="AJ20" i="10"/>
  <c r="AJ41" i="10"/>
  <c r="AK35" i="10"/>
  <c r="AJ69" i="7"/>
  <c r="AK63" i="7"/>
  <c r="AK35" i="3"/>
  <c r="AJ41" i="3"/>
  <c r="AJ62" i="5"/>
  <c r="AK56" i="5"/>
  <c r="AK70" i="7"/>
  <c r="AJ76" i="7"/>
  <c r="AJ34" i="5"/>
  <c r="AK28" i="5"/>
  <c r="AJ104" i="7"/>
  <c r="AK98" i="7"/>
  <c r="AL21" i="5"/>
  <c r="AK27" i="5"/>
  <c r="AK21" i="3"/>
  <c r="AJ27" i="3"/>
  <c r="AJ55" i="5"/>
  <c r="AK49" i="5"/>
  <c r="AM63" i="5"/>
  <c r="AL69" i="5"/>
  <c r="AK91" i="7"/>
  <c r="AJ97" i="7"/>
  <c r="AK146" i="5"/>
  <c r="AL140" i="5"/>
  <c r="AK125" i="7"/>
  <c r="AL119" i="7"/>
  <c r="AJ64" i="3"/>
  <c r="AK14" i="7"/>
  <c r="AJ20" i="7"/>
  <c r="AJ272" i="7"/>
  <c r="AJ260" i="7"/>
  <c r="AJ281" i="7"/>
  <c r="AJ230" i="7"/>
  <c r="AK224" i="7"/>
  <c r="AK167" i="5"/>
  <c r="AL161" i="5"/>
  <c r="AL42" i="7"/>
  <c r="AK48" i="7"/>
  <c r="AK168" i="7"/>
  <c r="AJ174" i="7"/>
  <c r="AL77" i="5"/>
  <c r="AK83" i="5"/>
  <c r="AM147" i="5"/>
  <c r="AL153" i="5"/>
  <c r="AJ153" i="7"/>
  <c r="AK147" i="7"/>
  <c r="AM28" i="7"/>
  <c r="AL34" i="7"/>
  <c r="AL126" i="5"/>
  <c r="AK132" i="5"/>
  <c r="AJ209" i="7"/>
  <c r="AK203" i="7"/>
  <c r="AL14" i="3"/>
  <c r="AK20" i="3"/>
  <c r="AJ55" i="3"/>
  <c r="AK49" i="3"/>
  <c r="AK181" i="5"/>
  <c r="AL175" i="5"/>
  <c r="AJ223" i="5"/>
  <c r="AK217" i="5"/>
  <c r="AK245" i="7"/>
  <c r="AJ251" i="7"/>
  <c r="AL49" i="10"/>
  <c r="AK55" i="10"/>
  <c r="AJ160" i="7"/>
  <c r="AK154" i="7"/>
  <c r="AL133" i="5"/>
  <c r="AK139" i="5"/>
  <c r="AK35" i="5"/>
  <c r="AJ41" i="5"/>
  <c r="AJ20" i="5"/>
  <c r="AK14" i="5"/>
  <c r="AJ260" i="5"/>
  <c r="AJ281" i="5"/>
  <c r="AJ272" i="5"/>
  <c r="AL189" i="7"/>
  <c r="AK195" i="7"/>
  <c r="AJ97" i="5"/>
  <c r="AK91" i="5"/>
  <c r="AK83" i="7"/>
  <c r="AL77" i="7"/>
  <c r="AL49" i="7"/>
  <c r="AK55" i="7"/>
  <c r="AJ258" i="7"/>
  <c r="AK252" i="7"/>
  <c r="AL237" i="7"/>
  <c r="AM231" i="7"/>
  <c r="AK238" i="5"/>
  <c r="AJ244" i="5"/>
  <c r="AK28" i="3"/>
  <c r="AJ34" i="3"/>
  <c r="AK245" i="5"/>
  <c r="AJ251" i="5"/>
  <c r="AJ111" i="5"/>
  <c r="AK105" i="5"/>
  <c r="AJ223" i="7"/>
  <c r="AK217" i="7"/>
  <c r="AL21" i="10"/>
  <c r="AK27" i="10"/>
  <c r="AL181" i="7"/>
  <c r="AM175" i="7"/>
  <c r="AJ90" i="7"/>
  <c r="AK84" i="7"/>
  <c r="AK238" i="7"/>
  <c r="AJ244" i="7"/>
  <c r="AJ202" i="7"/>
  <c r="AK196" i="7"/>
  <c r="AK195" i="5"/>
  <c r="AL189" i="5"/>
  <c r="AK119" i="5"/>
  <c r="AJ125" i="5"/>
  <c r="AJ139" i="7"/>
  <c r="AK133" i="7"/>
  <c r="AJ104" i="5"/>
  <c r="AK98" i="5"/>
  <c r="AL21" i="7"/>
  <c r="AK27" i="7"/>
  <c r="AJ188" i="7"/>
  <c r="AK182" i="7"/>
  <c r="AM230" i="5"/>
  <c r="AN224" i="5"/>
  <c r="AL42" i="10"/>
  <c r="AK48" i="10"/>
  <c r="AK48" i="5"/>
  <c r="AL42" i="5"/>
  <c r="AK202" i="5"/>
  <c r="AL196" i="5"/>
  <c r="AK216" i="5"/>
  <c r="AL210" i="5"/>
  <c r="AK252" i="5"/>
  <c r="AJ258" i="5"/>
  <c r="AJ216" i="7"/>
  <c r="AK210" i="7"/>
  <c r="AK105" i="7"/>
  <c r="AJ111" i="7"/>
  <c r="AK62" i="3"/>
  <c r="AL56" i="3"/>
  <c r="AL35" i="7"/>
  <c r="AK41" i="7"/>
  <c r="AL84" i="5"/>
  <c r="AK90" i="5"/>
  <c r="AK161" i="7"/>
  <c r="AJ167" i="7"/>
  <c r="AK188" i="5"/>
  <c r="AL182" i="5"/>
  <c r="AJ118" i="7"/>
  <c r="AK112" i="7"/>
  <c r="AJ132" i="7"/>
  <c r="AK126" i="7"/>
  <c r="AJ118" i="5"/>
  <c r="AK112" i="5"/>
  <c r="AJ237" i="5"/>
  <c r="AK231" i="5"/>
  <c r="AK209" i="5"/>
  <c r="AL203" i="5"/>
  <c r="AK42" i="3"/>
  <c r="AJ48" i="3"/>
  <c r="AN70" i="5"/>
  <c r="AM76" i="5"/>
  <c r="AK140" i="7"/>
  <c r="AJ146" i="7"/>
  <c r="AL174" i="5"/>
  <c r="AM168" i="5"/>
  <c r="AJ85" i="3"/>
  <c r="AI60" i="10" l="1"/>
  <c r="AI62" i="10"/>
  <c r="AJ56" i="10"/>
  <c r="AI85" i="10"/>
  <c r="AI64" i="10"/>
  <c r="AI70" i="10" s="1"/>
  <c r="AI76" i="10"/>
  <c r="G54" i="9"/>
  <c r="J53" i="9"/>
  <c r="G53" i="4"/>
  <c r="J52" i="4"/>
  <c r="G53" i="6"/>
  <c r="J52" i="6"/>
  <c r="G53" i="8"/>
  <c r="J52" i="8"/>
  <c r="AK62" i="7"/>
  <c r="AL56" i="7"/>
  <c r="AL154" i="5"/>
  <c r="AK160" i="5"/>
  <c r="AN28" i="10"/>
  <c r="AM34" i="10"/>
  <c r="AK41" i="10"/>
  <c r="AL35" i="10"/>
  <c r="AL14" i="10"/>
  <c r="AK20" i="10"/>
  <c r="AL98" i="7"/>
  <c r="AK104" i="7"/>
  <c r="AK34" i="5"/>
  <c r="AL28" i="5"/>
  <c r="AL91" i="7"/>
  <c r="AK97" i="7"/>
  <c r="AN63" i="5"/>
  <c r="AM69" i="5"/>
  <c r="AL70" i="7"/>
  <c r="AK76" i="7"/>
  <c r="AL49" i="5"/>
  <c r="AK55" i="5"/>
  <c r="AL56" i="5"/>
  <c r="AK62" i="5"/>
  <c r="AL21" i="3"/>
  <c r="AK27" i="3"/>
  <c r="AL35" i="3"/>
  <c r="AK41" i="3"/>
  <c r="AL63" i="7"/>
  <c r="AK69" i="7"/>
  <c r="AK85" i="3"/>
  <c r="AM21" i="5"/>
  <c r="AL27" i="5"/>
  <c r="AL182" i="7"/>
  <c r="AK188" i="7"/>
  <c r="AL105" i="7"/>
  <c r="AK111" i="7"/>
  <c r="AK111" i="5"/>
  <c r="AL105" i="5"/>
  <c r="AK118" i="7"/>
  <c r="AL112" i="7"/>
  <c r="AL62" i="3"/>
  <c r="AM56" i="3"/>
  <c r="AO224" i="5"/>
  <c r="AN230" i="5"/>
  <c r="AL195" i="5"/>
  <c r="AM189" i="5"/>
  <c r="AL238" i="5"/>
  <c r="AK244" i="5"/>
  <c r="AK55" i="3"/>
  <c r="AL49" i="3"/>
  <c r="AM153" i="5"/>
  <c r="AN147" i="5"/>
  <c r="AN151" i="5" s="1"/>
  <c r="AM42" i="7"/>
  <c r="AL48" i="7"/>
  <c r="AN76" i="5"/>
  <c r="AO70" i="5"/>
  <c r="AL252" i="5"/>
  <c r="AK258" i="5"/>
  <c r="AM133" i="5"/>
  <c r="AL139" i="5"/>
  <c r="AM119" i="7"/>
  <c r="AL125" i="7"/>
  <c r="AK160" i="7"/>
  <c r="AL154" i="7"/>
  <c r="AL196" i="7"/>
  <c r="AK202" i="7"/>
  <c r="AM21" i="10"/>
  <c r="AL27" i="10"/>
  <c r="AM189" i="7"/>
  <c r="AL195" i="7"/>
  <c r="AL42" i="3"/>
  <c r="AK48" i="3"/>
  <c r="AK223" i="7"/>
  <c r="AL217" i="7"/>
  <c r="AM237" i="7"/>
  <c r="AN231" i="7"/>
  <c r="AN235" i="7" s="1"/>
  <c r="AK64" i="3"/>
  <c r="AL203" i="7"/>
  <c r="AK209" i="7"/>
  <c r="AM161" i="5"/>
  <c r="AL167" i="5"/>
  <c r="AM140" i="5"/>
  <c r="AL146" i="5"/>
  <c r="AK76" i="3"/>
  <c r="AK230" i="7"/>
  <c r="AL224" i="7"/>
  <c r="AL252" i="7"/>
  <c r="AK258" i="7"/>
  <c r="AM49" i="10"/>
  <c r="AL55" i="10"/>
  <c r="AL231" i="5"/>
  <c r="AK237" i="5"/>
  <c r="AL98" i="5"/>
  <c r="AK104" i="5"/>
  <c r="AL84" i="7"/>
  <c r="AK90" i="7"/>
  <c r="AK20" i="5"/>
  <c r="AL14" i="5"/>
  <c r="AK260" i="5"/>
  <c r="AK281" i="5"/>
  <c r="AK272" i="5"/>
  <c r="AM14" i="3"/>
  <c r="AL20" i="3"/>
  <c r="AL132" i="5"/>
  <c r="AM126" i="5"/>
  <c r="AL83" i="5"/>
  <c r="AM77" i="5"/>
  <c r="AK251" i="7"/>
  <c r="AL245" i="7"/>
  <c r="AM21" i="7"/>
  <c r="AL27" i="7"/>
  <c r="AM42" i="5"/>
  <c r="AL48" i="5"/>
  <c r="AK139" i="7"/>
  <c r="AL133" i="7"/>
  <c r="AM181" i="7"/>
  <c r="AN175" i="7"/>
  <c r="AN179" i="7" s="1"/>
  <c r="AL245" i="5"/>
  <c r="AK251" i="5"/>
  <c r="AM49" i="7"/>
  <c r="AL55" i="7"/>
  <c r="AK223" i="5"/>
  <c r="AL217" i="5"/>
  <c r="AN28" i="7"/>
  <c r="AN32" i="7" s="1"/>
  <c r="AM34" i="7"/>
  <c r="AK174" i="7"/>
  <c r="AL168" i="7"/>
  <c r="AM84" i="5"/>
  <c r="AL90" i="5"/>
  <c r="AL83" i="7"/>
  <c r="AM77" i="7"/>
  <c r="AL147" i="7"/>
  <c r="AK153" i="7"/>
  <c r="AL216" i="5"/>
  <c r="AM210" i="5"/>
  <c r="AL161" i="7"/>
  <c r="AK167" i="7"/>
  <c r="AK244" i="7"/>
  <c r="AL238" i="7"/>
  <c r="AK132" i="7"/>
  <c r="AL126" i="7"/>
  <c r="AL210" i="7"/>
  <c r="AK216" i="7"/>
  <c r="AL28" i="3"/>
  <c r="AK34" i="3"/>
  <c r="AL181" i="5"/>
  <c r="AM175" i="5"/>
  <c r="AL188" i="5"/>
  <c r="AM182" i="5"/>
  <c r="AL209" i="5"/>
  <c r="AM203" i="5"/>
  <c r="AL202" i="5"/>
  <c r="AM196" i="5"/>
  <c r="AM174" i="5"/>
  <c r="AN168" i="5"/>
  <c r="AN172" i="5" s="1"/>
  <c r="AL112" i="5"/>
  <c r="AK118" i="5"/>
  <c r="AM35" i="7"/>
  <c r="AL41" i="7"/>
  <c r="AL140" i="7"/>
  <c r="AK146" i="7"/>
  <c r="AM42" i="10"/>
  <c r="AL48" i="10"/>
  <c r="AL119" i="5"/>
  <c r="AK125" i="5"/>
  <c r="AK97" i="5"/>
  <c r="AL91" i="5"/>
  <c r="AL35" i="5"/>
  <c r="AK41" i="5"/>
  <c r="AL14" i="7"/>
  <c r="AK20" i="7"/>
  <c r="AK260" i="7"/>
  <c r="AK272" i="7"/>
  <c r="AK281" i="7"/>
  <c r="AK56" i="10" l="1"/>
  <c r="AJ62" i="10"/>
  <c r="AJ76" i="10"/>
  <c r="AJ64" i="10"/>
  <c r="AJ85" i="10"/>
  <c r="G55" i="9"/>
  <c r="J54" i="9"/>
  <c r="G54" i="4"/>
  <c r="J53" i="4"/>
  <c r="G54" i="6"/>
  <c r="J53" i="6"/>
  <c r="G54" i="8"/>
  <c r="J53" i="8"/>
  <c r="AM56" i="7"/>
  <c r="AL62" i="7"/>
  <c r="AM154" i="5"/>
  <c r="AL160" i="5"/>
  <c r="AN34" i="10"/>
  <c r="AO28" i="10"/>
  <c r="AL20" i="10"/>
  <c r="AM14" i="10"/>
  <c r="AM35" i="10"/>
  <c r="AL41" i="10"/>
  <c r="AM49" i="5"/>
  <c r="AL55" i="5"/>
  <c r="AM27" i="5"/>
  <c r="AN21" i="5"/>
  <c r="AN25" i="5" s="1"/>
  <c r="AM70" i="7"/>
  <c r="AL76" i="7"/>
  <c r="AM63" i="7"/>
  <c r="AL69" i="7"/>
  <c r="AO63" i="5"/>
  <c r="AN69" i="5"/>
  <c r="AM35" i="3"/>
  <c r="AL41" i="3"/>
  <c r="AM91" i="7"/>
  <c r="AL97" i="7"/>
  <c r="AM28" i="5"/>
  <c r="AL34" i="5"/>
  <c r="AM21" i="3"/>
  <c r="AL27" i="3"/>
  <c r="AM56" i="5"/>
  <c r="AL62" i="5"/>
  <c r="AM98" i="7"/>
  <c r="AL104" i="7"/>
  <c r="AM28" i="3"/>
  <c r="AL34" i="3"/>
  <c r="AO28" i="7"/>
  <c r="AO32" i="7" s="1"/>
  <c r="AN34" i="7"/>
  <c r="AM217" i="7"/>
  <c r="AL223" i="7"/>
  <c r="AN42" i="7"/>
  <c r="AN46" i="7" s="1"/>
  <c r="AM48" i="7"/>
  <c r="AP224" i="5"/>
  <c r="AO230" i="5"/>
  <c r="AM154" i="7"/>
  <c r="AL160" i="7"/>
  <c r="AN153" i="5"/>
  <c r="AO147" i="5"/>
  <c r="AO151" i="5" s="1"/>
  <c r="AN56" i="3"/>
  <c r="AM62" i="3"/>
  <c r="AN42" i="10"/>
  <c r="AM48" i="10"/>
  <c r="AM210" i="7"/>
  <c r="AL216" i="7"/>
  <c r="AM147" i="7"/>
  <c r="AL153" i="7"/>
  <c r="AN42" i="5"/>
  <c r="AN46" i="5" s="1"/>
  <c r="AM48" i="5"/>
  <c r="AM84" i="7"/>
  <c r="AL90" i="7"/>
  <c r="AM188" i="5"/>
  <c r="AN182" i="5"/>
  <c r="AM126" i="7"/>
  <c r="AL132" i="7"/>
  <c r="AL223" i="5"/>
  <c r="AM217" i="5"/>
  <c r="AL85" i="3"/>
  <c r="AM112" i="7"/>
  <c r="AL118" i="7"/>
  <c r="AM132" i="5"/>
  <c r="AN126" i="5"/>
  <c r="AN130" i="5" s="1"/>
  <c r="AN77" i="7"/>
  <c r="AN81" i="7" s="1"/>
  <c r="AM83" i="7"/>
  <c r="AM245" i="7"/>
  <c r="AL251" i="7"/>
  <c r="AL76" i="3"/>
  <c r="AN140" i="5"/>
  <c r="AN144" i="5" s="1"/>
  <c r="AM146" i="5"/>
  <c r="AN21" i="10"/>
  <c r="AM27" i="10"/>
  <c r="AN119" i="7"/>
  <c r="AN123" i="7" s="1"/>
  <c r="AM125" i="7"/>
  <c r="AM140" i="7"/>
  <c r="AL146" i="7"/>
  <c r="AM35" i="5"/>
  <c r="AL41" i="5"/>
  <c r="AN35" i="7"/>
  <c r="AN39" i="7" s="1"/>
  <c r="AM41" i="7"/>
  <c r="AN49" i="7"/>
  <c r="AN53" i="7" s="1"/>
  <c r="AM55" i="7"/>
  <c r="AL237" i="5"/>
  <c r="AM231" i="5"/>
  <c r="AL55" i="3"/>
  <c r="AM49" i="3"/>
  <c r="AM105" i="5"/>
  <c r="AL111" i="5"/>
  <c r="AM196" i="7"/>
  <c r="AL202" i="7"/>
  <c r="AN133" i="5"/>
  <c r="AN137" i="5" s="1"/>
  <c r="AM139" i="5"/>
  <c r="AL251" i="5"/>
  <c r="AM245" i="5"/>
  <c r="AN49" i="10"/>
  <c r="AM55" i="10"/>
  <c r="AM42" i="3"/>
  <c r="AL48" i="3"/>
  <c r="AM181" i="5"/>
  <c r="AN175" i="5"/>
  <c r="AN179" i="5" s="1"/>
  <c r="AL174" i="7"/>
  <c r="AM168" i="7"/>
  <c r="AN181" i="7"/>
  <c r="AO175" i="7"/>
  <c r="AO179" i="7" s="1"/>
  <c r="AM203" i="7"/>
  <c r="AL209" i="7"/>
  <c r="AL258" i="5"/>
  <c r="AM252" i="5"/>
  <c r="AL244" i="5"/>
  <c r="AM238" i="5"/>
  <c r="AL111" i="7"/>
  <c r="AM105" i="7"/>
  <c r="AM209" i="5"/>
  <c r="AN203" i="5"/>
  <c r="AM27" i="7"/>
  <c r="AN21" i="7"/>
  <c r="AL104" i="5"/>
  <c r="AM98" i="5"/>
  <c r="AL244" i="7"/>
  <c r="AM238" i="7"/>
  <c r="AM167" i="5"/>
  <c r="AN161" i="5"/>
  <c r="AM161" i="7"/>
  <c r="AL167" i="7"/>
  <c r="AM252" i="7"/>
  <c r="AL258" i="7"/>
  <c r="AN189" i="7"/>
  <c r="AM195" i="7"/>
  <c r="AO76" i="5"/>
  <c r="AP70" i="5"/>
  <c r="AM195" i="5"/>
  <c r="AN189" i="5"/>
  <c r="AM14" i="7"/>
  <c r="AL20" i="7"/>
  <c r="AL260" i="7"/>
  <c r="AL272" i="7"/>
  <c r="AL281" i="7"/>
  <c r="AL64" i="3"/>
  <c r="AL97" i="5"/>
  <c r="AM91" i="5"/>
  <c r="AN14" i="3"/>
  <c r="AN18" i="3" s="1"/>
  <c r="AM20" i="3"/>
  <c r="AL118" i="5"/>
  <c r="AM112" i="5"/>
  <c r="AN84" i="5"/>
  <c r="AN88" i="5" s="1"/>
  <c r="AM90" i="5"/>
  <c r="AN174" i="5"/>
  <c r="AO168" i="5"/>
  <c r="AO172" i="5" s="1"/>
  <c r="AM119" i="5"/>
  <c r="AL125" i="5"/>
  <c r="AM202" i="5"/>
  <c r="AN196" i="5"/>
  <c r="AN200" i="5" s="1"/>
  <c r="AM216" i="5"/>
  <c r="AN210" i="5"/>
  <c r="AN214" i="5" s="1"/>
  <c r="AM133" i="7"/>
  <c r="AL139" i="7"/>
  <c r="AN77" i="5"/>
  <c r="AN81" i="5" s="1"/>
  <c r="AM83" i="5"/>
  <c r="AM14" i="5"/>
  <c r="AL20" i="5"/>
  <c r="AL260" i="5"/>
  <c r="AL281" i="5"/>
  <c r="AL272" i="5"/>
  <c r="AL230" i="7"/>
  <c r="AM224" i="7"/>
  <c r="AO231" i="7"/>
  <c r="AO235" i="7" s="1"/>
  <c r="AN237" i="7"/>
  <c r="AM182" i="7"/>
  <c r="AL188" i="7"/>
  <c r="AK62" i="10" l="1"/>
  <c r="AL56" i="10"/>
  <c r="AK76" i="10"/>
  <c r="AK64" i="10"/>
  <c r="AK85" i="10"/>
  <c r="G56" i="9"/>
  <c r="J55" i="9"/>
  <c r="G55" i="4"/>
  <c r="J54" i="4"/>
  <c r="G55" i="6"/>
  <c r="J54" i="6"/>
  <c r="G55" i="8"/>
  <c r="J54" i="8"/>
  <c r="AN56" i="7"/>
  <c r="AN60" i="7" s="1"/>
  <c r="AM62" i="7"/>
  <c r="AM160" i="5"/>
  <c r="AN154" i="5"/>
  <c r="AN158" i="5" s="1"/>
  <c r="AO34" i="10"/>
  <c r="AP28" i="10"/>
  <c r="AM85" i="3"/>
  <c r="AN35" i="10"/>
  <c r="AM41" i="10"/>
  <c r="AM76" i="3"/>
  <c r="AN14" i="10"/>
  <c r="AM20" i="10"/>
  <c r="AN35" i="3"/>
  <c r="AN39" i="3" s="1"/>
  <c r="AM41" i="3"/>
  <c r="AM104" i="7"/>
  <c r="AN98" i="7"/>
  <c r="AN102" i="7" s="1"/>
  <c r="AP63" i="5"/>
  <c r="AO69" i="5"/>
  <c r="AN56" i="5"/>
  <c r="AM62" i="5"/>
  <c r="AN63" i="7"/>
  <c r="AN67" i="7" s="1"/>
  <c r="AM69" i="7"/>
  <c r="AM27" i="3"/>
  <c r="AN21" i="3"/>
  <c r="AN25" i="3" s="1"/>
  <c r="AN70" i="7"/>
  <c r="AN74" i="7" s="1"/>
  <c r="AM76" i="7"/>
  <c r="AN27" i="5"/>
  <c r="AO21" i="5"/>
  <c r="AO25" i="5" s="1"/>
  <c r="AN28" i="5"/>
  <c r="AN32" i="5" s="1"/>
  <c r="AM34" i="5"/>
  <c r="AN91" i="7"/>
  <c r="AN95" i="7" s="1"/>
  <c r="AM97" i="7"/>
  <c r="AN49" i="5"/>
  <c r="AM55" i="5"/>
  <c r="AP168" i="5"/>
  <c r="AP172" i="5" s="1"/>
  <c r="AO174" i="5"/>
  <c r="AN14" i="5"/>
  <c r="AM20" i="5"/>
  <c r="AM272" i="5"/>
  <c r="AM260" i="5"/>
  <c r="AM281" i="5"/>
  <c r="AN182" i="7"/>
  <c r="AN186" i="7" s="1"/>
  <c r="AM188" i="7"/>
  <c r="AM230" i="7"/>
  <c r="AN224" i="7"/>
  <c r="AN228" i="7" s="1"/>
  <c r="AN195" i="5"/>
  <c r="AO189" i="5"/>
  <c r="AO161" i="5"/>
  <c r="AN167" i="5"/>
  <c r="AN105" i="7"/>
  <c r="AN109" i="7" s="1"/>
  <c r="AM111" i="7"/>
  <c r="AM174" i="7"/>
  <c r="AN168" i="7"/>
  <c r="AN172" i="7" s="1"/>
  <c r="AO49" i="10"/>
  <c r="AN55" i="10"/>
  <c r="AO35" i="7"/>
  <c r="AO39" i="7" s="1"/>
  <c r="AN41" i="7"/>
  <c r="AO119" i="7"/>
  <c r="AO123" i="7" s="1"/>
  <c r="AN125" i="7"/>
  <c r="AN83" i="7"/>
  <c r="AO77" i="7"/>
  <c r="AO81" i="7" s="1"/>
  <c r="AM132" i="7"/>
  <c r="AN126" i="7"/>
  <c r="AN130" i="7" s="1"/>
  <c r="AO42" i="10"/>
  <c r="AN48" i="10"/>
  <c r="AN188" i="5"/>
  <c r="AO182" i="5"/>
  <c r="AP76" i="5"/>
  <c r="AQ70" i="5"/>
  <c r="AO14" i="3"/>
  <c r="AO18" i="3" s="1"/>
  <c r="AN20" i="3"/>
  <c r="AN245" i="5"/>
  <c r="AM251" i="5"/>
  <c r="AN231" i="5"/>
  <c r="AN235" i="5" s="1"/>
  <c r="AM237" i="5"/>
  <c r="AN132" i="5"/>
  <c r="AO126" i="5"/>
  <c r="AO130" i="5" s="1"/>
  <c r="AO56" i="3"/>
  <c r="AN62" i="3"/>
  <c r="AM223" i="7"/>
  <c r="AN217" i="7"/>
  <c r="AN221" i="7" s="1"/>
  <c r="AM258" i="5"/>
  <c r="AN252" i="5"/>
  <c r="AN256" i="5" s="1"/>
  <c r="AP147" i="5"/>
  <c r="AP151" i="5" s="1"/>
  <c r="AO153" i="5"/>
  <c r="AN202" i="5"/>
  <c r="AO196" i="5"/>
  <c r="AO200" i="5" s="1"/>
  <c r="AN27" i="10"/>
  <c r="AO21" i="10"/>
  <c r="AN84" i="7"/>
  <c r="AN88" i="7" s="1"/>
  <c r="AM90" i="7"/>
  <c r="AO133" i="5"/>
  <c r="AO137" i="5" s="1"/>
  <c r="AN139" i="5"/>
  <c r="AO49" i="7"/>
  <c r="AO53" i="7" s="1"/>
  <c r="AN55" i="7"/>
  <c r="AN140" i="7"/>
  <c r="AN144" i="7" s="1"/>
  <c r="AM146" i="7"/>
  <c r="AN112" i="7"/>
  <c r="AN116" i="7" s="1"/>
  <c r="AM118" i="7"/>
  <c r="AN252" i="7"/>
  <c r="AM258" i="7"/>
  <c r="AM244" i="5"/>
  <c r="AN238" i="5"/>
  <c r="AN242" i="5" s="1"/>
  <c r="AN35" i="5"/>
  <c r="AN39" i="5" s="1"/>
  <c r="AM41" i="5"/>
  <c r="AN27" i="7"/>
  <c r="AO21" i="7"/>
  <c r="AN196" i="7"/>
  <c r="AN200" i="7" s="1"/>
  <c r="AM202" i="7"/>
  <c r="AM244" i="7"/>
  <c r="AN238" i="7"/>
  <c r="AN242" i="7" s="1"/>
  <c r="AO175" i="5"/>
  <c r="AO179" i="5" s="1"/>
  <c r="AN181" i="5"/>
  <c r="AN119" i="5"/>
  <c r="AN123" i="5" s="1"/>
  <c r="AM125" i="5"/>
  <c r="AO189" i="7"/>
  <c r="AN195" i="7"/>
  <c r="AM104" i="5"/>
  <c r="AN98" i="5"/>
  <c r="AN102" i="5" s="1"/>
  <c r="AO42" i="5"/>
  <c r="AO46" i="5" s="1"/>
  <c r="AN48" i="5"/>
  <c r="AN83" i="5"/>
  <c r="AO77" i="5"/>
  <c r="AO81" i="5" s="1"/>
  <c r="AO84" i="5"/>
  <c r="AO88" i="5" s="1"/>
  <c r="AN90" i="5"/>
  <c r="AM118" i="5"/>
  <c r="AN112" i="5"/>
  <c r="AN116" i="5" s="1"/>
  <c r="AN203" i="7"/>
  <c r="AM209" i="7"/>
  <c r="AM153" i="7"/>
  <c r="AN147" i="7"/>
  <c r="AN151" i="7" s="1"/>
  <c r="AQ224" i="5"/>
  <c r="AP230" i="5"/>
  <c r="AP28" i="7"/>
  <c r="AP32" i="7" s="1"/>
  <c r="AO34" i="7"/>
  <c r="AN209" i="5"/>
  <c r="AO203" i="5"/>
  <c r="AO181" i="7"/>
  <c r="AP175" i="7"/>
  <c r="AP179" i="7" s="1"/>
  <c r="AN42" i="3"/>
  <c r="AN46" i="3" s="1"/>
  <c r="AM48" i="3"/>
  <c r="AM111" i="5"/>
  <c r="AN105" i="5"/>
  <c r="AN109" i="5" s="1"/>
  <c r="AN245" i="7"/>
  <c r="AM251" i="7"/>
  <c r="AM223" i="5"/>
  <c r="AN217" i="5"/>
  <c r="AN221" i="5" s="1"/>
  <c r="AM97" i="5"/>
  <c r="AN91" i="5"/>
  <c r="AN95" i="5" s="1"/>
  <c r="AO140" i="5"/>
  <c r="AO144" i="5" s="1"/>
  <c r="AN146" i="5"/>
  <c r="AM160" i="7"/>
  <c r="AN154" i="7"/>
  <c r="AN158" i="7" s="1"/>
  <c r="AN133" i="7"/>
  <c r="AN137" i="7" s="1"/>
  <c r="AM139" i="7"/>
  <c r="AP231" i="7"/>
  <c r="AP235" i="7" s="1"/>
  <c r="AO237" i="7"/>
  <c r="AO210" i="5"/>
  <c r="AO214" i="5" s="1"/>
  <c r="AN216" i="5"/>
  <c r="AM64" i="3"/>
  <c r="AM20" i="7"/>
  <c r="AN14" i="7"/>
  <c r="AM260" i="7"/>
  <c r="AM272" i="7"/>
  <c r="AM281" i="7"/>
  <c r="AN161" i="7"/>
  <c r="AN165" i="7" s="1"/>
  <c r="AM167" i="7"/>
  <c r="AN49" i="3"/>
  <c r="AN53" i="3" s="1"/>
  <c r="AM55" i="3"/>
  <c r="AN210" i="7"/>
  <c r="AM216" i="7"/>
  <c r="AO42" i="7"/>
  <c r="AO46" i="7" s="1"/>
  <c r="AN48" i="7"/>
  <c r="AN28" i="3"/>
  <c r="AN32" i="3" s="1"/>
  <c r="AM34" i="3"/>
  <c r="AL62" i="10" l="1"/>
  <c r="AM56" i="10"/>
  <c r="AL76" i="10"/>
  <c r="AL64" i="10"/>
  <c r="AL85" i="10"/>
  <c r="G57" i="9"/>
  <c r="J56" i="9"/>
  <c r="G56" i="4"/>
  <c r="J55" i="4"/>
  <c r="G56" i="6"/>
  <c r="J55" i="6"/>
  <c r="G56" i="8"/>
  <c r="J55" i="8"/>
  <c r="AO56" i="7"/>
  <c r="AO60" i="7" s="1"/>
  <c r="AN62" i="7"/>
  <c r="AO154" i="5"/>
  <c r="AO158" i="5" s="1"/>
  <c r="AN160" i="5"/>
  <c r="AQ28" i="10"/>
  <c r="AP34" i="10"/>
  <c r="AN64" i="3"/>
  <c r="AN70" i="3" s="1"/>
  <c r="AO14" i="10"/>
  <c r="AN20" i="10"/>
  <c r="AO35" i="10"/>
  <c r="AN41" i="10"/>
  <c r="AO21" i="3"/>
  <c r="AO25" i="3" s="1"/>
  <c r="AN27" i="3"/>
  <c r="AN55" i="5"/>
  <c r="AO49" i="5"/>
  <c r="AO63" i="7"/>
  <c r="AO67" i="7" s="1"/>
  <c r="AN69" i="7"/>
  <c r="AO91" i="7"/>
  <c r="AO95" i="7" s="1"/>
  <c r="AN97" i="7"/>
  <c r="AO56" i="5"/>
  <c r="AN62" i="5"/>
  <c r="AN34" i="5"/>
  <c r="AO28" i="5"/>
  <c r="AO32" i="5" s="1"/>
  <c r="AP69" i="5"/>
  <c r="AQ63" i="5"/>
  <c r="AO27" i="5"/>
  <c r="AP21" i="5"/>
  <c r="AP25" i="5" s="1"/>
  <c r="AO98" i="7"/>
  <c r="AO102" i="7" s="1"/>
  <c r="AN104" i="7"/>
  <c r="AO70" i="7"/>
  <c r="AO74" i="7" s="1"/>
  <c r="AN76" i="7"/>
  <c r="AO35" i="3"/>
  <c r="AO39" i="3" s="1"/>
  <c r="AN41" i="3"/>
  <c r="AO217" i="5"/>
  <c r="AO221" i="5" s="1"/>
  <c r="AN223" i="5"/>
  <c r="AP181" i="7"/>
  <c r="AQ175" i="7"/>
  <c r="AQ179" i="7" s="1"/>
  <c r="AO98" i="5"/>
  <c r="AO102" i="5" s="1"/>
  <c r="AN104" i="5"/>
  <c r="AN90" i="7"/>
  <c r="AO84" i="7"/>
  <c r="AO88" i="7" s="1"/>
  <c r="AN223" i="7"/>
  <c r="AO217" i="7"/>
  <c r="AO221" i="7" s="1"/>
  <c r="AN76" i="3"/>
  <c r="AP35" i="7"/>
  <c r="AP39" i="7" s="1"/>
  <c r="AO41" i="7"/>
  <c r="AO112" i="5"/>
  <c r="AO116" i="5" s="1"/>
  <c r="AN118" i="5"/>
  <c r="AO35" i="5"/>
  <c r="AO39" i="5" s="1"/>
  <c r="AN41" i="5"/>
  <c r="AO112" i="7"/>
  <c r="AO116" i="7" s="1"/>
  <c r="AN118" i="7"/>
  <c r="AN85" i="3"/>
  <c r="AP49" i="10"/>
  <c r="AO55" i="10"/>
  <c r="AO182" i="7"/>
  <c r="AO186" i="7" s="1"/>
  <c r="AN188" i="7"/>
  <c r="AO245" i="7"/>
  <c r="AN251" i="7"/>
  <c r="AP189" i="7"/>
  <c r="AO195" i="7"/>
  <c r="AO238" i="5"/>
  <c r="AO242" i="5" s="1"/>
  <c r="AN244" i="5"/>
  <c r="AP56" i="3"/>
  <c r="AO62" i="3"/>
  <c r="AN174" i="7"/>
  <c r="AO168" i="7"/>
  <c r="AO172" i="7" s="1"/>
  <c r="AO140" i="7"/>
  <c r="AO144" i="7" s="1"/>
  <c r="AN146" i="7"/>
  <c r="AP21" i="10"/>
  <c r="AO27" i="10"/>
  <c r="AO132" i="5"/>
  <c r="AP126" i="5"/>
  <c r="AP130" i="5" s="1"/>
  <c r="AO20" i="3"/>
  <c r="AP14" i="3"/>
  <c r="AP18" i="3" s="1"/>
  <c r="AP42" i="10"/>
  <c r="AO48" i="10"/>
  <c r="AO119" i="5"/>
  <c r="AO123" i="5" s="1"/>
  <c r="AN125" i="5"/>
  <c r="AO196" i="7"/>
  <c r="AO200" i="7" s="1"/>
  <c r="AN202" i="7"/>
  <c r="AO126" i="7"/>
  <c r="AO130" i="7" s="1"/>
  <c r="AN132" i="7"/>
  <c r="AO133" i="7"/>
  <c r="AO137" i="7" s="1"/>
  <c r="AN139" i="7"/>
  <c r="AO154" i="7"/>
  <c r="AO158" i="7" s="1"/>
  <c r="AN160" i="7"/>
  <c r="AP49" i="7"/>
  <c r="AP53" i="7" s="1"/>
  <c r="AO55" i="7"/>
  <c r="AP196" i="5"/>
  <c r="AP200" i="5" s="1"/>
  <c r="AO202" i="5"/>
  <c r="AO105" i="7"/>
  <c r="AO109" i="7" s="1"/>
  <c r="AN111" i="7"/>
  <c r="AN167" i="7"/>
  <c r="AO161" i="7"/>
  <c r="AO165" i="7" s="1"/>
  <c r="AR224" i="5"/>
  <c r="AQ230" i="5"/>
  <c r="AP84" i="5"/>
  <c r="AP88" i="5" s="1"/>
  <c r="AO90" i="5"/>
  <c r="AO181" i="5"/>
  <c r="AP175" i="5"/>
  <c r="AP179" i="5" s="1"/>
  <c r="AQ76" i="5"/>
  <c r="AR70" i="5"/>
  <c r="AO83" i="7"/>
  <c r="AP77" i="7"/>
  <c r="AP81" i="7" s="1"/>
  <c r="AO14" i="5"/>
  <c r="AN20" i="5"/>
  <c r="AN272" i="5"/>
  <c r="AN260" i="5"/>
  <c r="AN266" i="5" s="1"/>
  <c r="AN281" i="5"/>
  <c r="AO210" i="7"/>
  <c r="AN216" i="7"/>
  <c r="AO49" i="3"/>
  <c r="AO53" i="3" s="1"/>
  <c r="AN55" i="3"/>
  <c r="AO147" i="7"/>
  <c r="AO151" i="7" s="1"/>
  <c r="AN153" i="7"/>
  <c r="AP77" i="5"/>
  <c r="AP81" i="5" s="1"/>
  <c r="AO83" i="5"/>
  <c r="AO238" i="7"/>
  <c r="AO242" i="7" s="1"/>
  <c r="AN244" i="7"/>
  <c r="AP133" i="5"/>
  <c r="AP137" i="5" s="1"/>
  <c r="AO139" i="5"/>
  <c r="AO167" i="5"/>
  <c r="AP161" i="5"/>
  <c r="AO105" i="5"/>
  <c r="AO109" i="5" s="1"/>
  <c r="AN111" i="5"/>
  <c r="AO28" i="3"/>
  <c r="AO32" i="3" s="1"/>
  <c r="AN34" i="3"/>
  <c r="AQ147" i="5"/>
  <c r="AQ151" i="5" s="1"/>
  <c r="AP153" i="5"/>
  <c r="AO231" i="5"/>
  <c r="AO235" i="5" s="1"/>
  <c r="AN237" i="5"/>
  <c r="AP182" i="5"/>
  <c r="AO188" i="5"/>
  <c r="AP189" i="5"/>
  <c r="AO195" i="5"/>
  <c r="AP210" i="5"/>
  <c r="AP214" i="5" s="1"/>
  <c r="AO216" i="5"/>
  <c r="AP203" i="5"/>
  <c r="AO209" i="5"/>
  <c r="AQ231" i="7"/>
  <c r="AQ235" i="7" s="1"/>
  <c r="AP237" i="7"/>
  <c r="AN20" i="7"/>
  <c r="AO14" i="7"/>
  <c r="AN272" i="7"/>
  <c r="AN281" i="7"/>
  <c r="AN260" i="7"/>
  <c r="AN266" i="7" s="1"/>
  <c r="AP140" i="5"/>
  <c r="AP144" i="5" s="1"/>
  <c r="AO146" i="5"/>
  <c r="AO252" i="7"/>
  <c r="AN258" i="7"/>
  <c r="AO252" i="5"/>
  <c r="AO256" i="5" s="1"/>
  <c r="AN258" i="5"/>
  <c r="AO125" i="7"/>
  <c r="AP119" i="7"/>
  <c r="AP123" i="7" s="1"/>
  <c r="AQ28" i="7"/>
  <c r="AQ32" i="7" s="1"/>
  <c r="AP34" i="7"/>
  <c r="AN97" i="5"/>
  <c r="AO91" i="5"/>
  <c r="AO95" i="5" s="1"/>
  <c r="AP42" i="7"/>
  <c r="AP46" i="7" s="1"/>
  <c r="AO48" i="7"/>
  <c r="AO42" i="3"/>
  <c r="AO46" i="3" s="1"/>
  <c r="AN48" i="3"/>
  <c r="AO203" i="7"/>
  <c r="AN209" i="7"/>
  <c r="AP42" i="5"/>
  <c r="AP46" i="5" s="1"/>
  <c r="AO48" i="5"/>
  <c r="AO27" i="7"/>
  <c r="AP21" i="7"/>
  <c r="AO245" i="5"/>
  <c r="AN251" i="5"/>
  <c r="AO224" i="7"/>
  <c r="AO228" i="7" s="1"/>
  <c r="AN230" i="7"/>
  <c r="AQ168" i="5"/>
  <c r="AQ172" i="5" s="1"/>
  <c r="AP174" i="5"/>
  <c r="AM62" i="10" l="1"/>
  <c r="AN56" i="10"/>
  <c r="AM64" i="10"/>
  <c r="AM85" i="10"/>
  <c r="AM76" i="10"/>
  <c r="G58" i="9"/>
  <c r="J57" i="9"/>
  <c r="G57" i="4"/>
  <c r="J56" i="4"/>
  <c r="G57" i="6"/>
  <c r="J56" i="6"/>
  <c r="G57" i="8"/>
  <c r="J56" i="8"/>
  <c r="AP56" i="7"/>
  <c r="AP60" i="7" s="1"/>
  <c r="AO62" i="7"/>
  <c r="AP154" i="5"/>
  <c r="AP158" i="5" s="1"/>
  <c r="AO160" i="5"/>
  <c r="AR28" i="10"/>
  <c r="AQ34" i="10"/>
  <c r="AO41" i="10"/>
  <c r="AP35" i="10"/>
  <c r="AO20" i="10"/>
  <c r="AP14" i="10"/>
  <c r="AP28" i="5"/>
  <c r="AP32" i="5" s="1"/>
  <c r="AO34" i="5"/>
  <c r="AO64" i="3"/>
  <c r="AO70" i="3" s="1"/>
  <c r="AP35" i="3"/>
  <c r="AP39" i="3" s="1"/>
  <c r="AO41" i="3"/>
  <c r="AP56" i="5"/>
  <c r="AO62" i="5"/>
  <c r="AP70" i="7"/>
  <c r="AP74" i="7" s="1"/>
  <c r="AO76" i="7"/>
  <c r="AP91" i="7"/>
  <c r="AP95" i="7" s="1"/>
  <c r="AO97" i="7"/>
  <c r="AO76" i="3"/>
  <c r="AO104" i="7"/>
  <c r="AP98" i="7"/>
  <c r="AP102" i="7" s="1"/>
  <c r="AP63" i="7"/>
  <c r="AP67" i="7" s="1"/>
  <c r="AO69" i="7"/>
  <c r="AQ21" i="5"/>
  <c r="AQ25" i="5" s="1"/>
  <c r="AP27" i="5"/>
  <c r="AO55" i="5"/>
  <c r="AP49" i="5"/>
  <c r="AR63" i="5"/>
  <c r="AQ69" i="5"/>
  <c r="AO27" i="3"/>
  <c r="AP21" i="3"/>
  <c r="AP25" i="3" s="1"/>
  <c r="AP42" i="3"/>
  <c r="AP46" i="3" s="1"/>
  <c r="AO48" i="3"/>
  <c r="AO20" i="7"/>
  <c r="AP14" i="7"/>
  <c r="AO272" i="7"/>
  <c r="AO281" i="7"/>
  <c r="AO260" i="7"/>
  <c r="AO266" i="7" s="1"/>
  <c r="AO118" i="7"/>
  <c r="AP112" i="7"/>
  <c r="AP116" i="7" s="1"/>
  <c r="AP84" i="7"/>
  <c r="AP88" i="7" s="1"/>
  <c r="AO90" i="7"/>
  <c r="AP210" i="7"/>
  <c r="AO216" i="7"/>
  <c r="AQ49" i="7"/>
  <c r="AQ53" i="7" s="1"/>
  <c r="AP55" i="7"/>
  <c r="AQ42" i="10"/>
  <c r="AP48" i="10"/>
  <c r="AQ21" i="10"/>
  <c r="AP27" i="10"/>
  <c r="AP245" i="7"/>
  <c r="AO251" i="7"/>
  <c r="AQ133" i="5"/>
  <c r="AQ137" i="5" s="1"/>
  <c r="AP139" i="5"/>
  <c r="AP154" i="7"/>
  <c r="AP158" i="7" s="1"/>
  <c r="AO160" i="7"/>
  <c r="AO85" i="3"/>
  <c r="AP140" i="7"/>
  <c r="AP144" i="7" s="1"/>
  <c r="AO146" i="7"/>
  <c r="AQ175" i="5"/>
  <c r="AQ179" i="5" s="1"/>
  <c r="AP181" i="5"/>
  <c r="AO174" i="7"/>
  <c r="AP168" i="7"/>
  <c r="AP172" i="7" s="1"/>
  <c r="AR231" i="7"/>
  <c r="AR235" i="7" s="1"/>
  <c r="AQ237" i="7"/>
  <c r="AQ153" i="5"/>
  <c r="AR147" i="5"/>
  <c r="AR151" i="5" s="1"/>
  <c r="AP238" i="7"/>
  <c r="AP242" i="7" s="1"/>
  <c r="AO244" i="7"/>
  <c r="AP105" i="7"/>
  <c r="AP109" i="7" s="1"/>
  <c r="AO111" i="7"/>
  <c r="AO139" i="7"/>
  <c r="AP133" i="7"/>
  <c r="AP137" i="7" s="1"/>
  <c r="AP20" i="3"/>
  <c r="AQ14" i="3"/>
  <c r="AQ18" i="3" s="1"/>
  <c r="AP245" i="5"/>
  <c r="AO251" i="5"/>
  <c r="AP35" i="5"/>
  <c r="AP39" i="5" s="1"/>
  <c r="AO41" i="5"/>
  <c r="AQ21" i="7"/>
  <c r="AP27" i="7"/>
  <c r="AP14" i="5"/>
  <c r="AO20" i="5"/>
  <c r="AO272" i="5"/>
  <c r="AO260" i="5"/>
  <c r="AO266" i="5" s="1"/>
  <c r="AO281" i="5"/>
  <c r="AP112" i="5"/>
  <c r="AP116" i="5" s="1"/>
  <c r="AO118" i="5"/>
  <c r="AO258" i="5"/>
  <c r="AP252" i="5"/>
  <c r="AP256" i="5" s="1"/>
  <c r="AP91" i="5"/>
  <c r="AP95" i="5" s="1"/>
  <c r="AO97" i="5"/>
  <c r="AP231" i="5"/>
  <c r="AP235" i="5" s="1"/>
  <c r="AO237" i="5"/>
  <c r="AP28" i="3"/>
  <c r="AP32" i="3" s="1"/>
  <c r="AO34" i="3"/>
  <c r="AP83" i="5"/>
  <c r="AQ77" i="5"/>
  <c r="AQ81" i="5" s="1"/>
  <c r="AQ77" i="7"/>
  <c r="AQ81" i="7" s="1"/>
  <c r="AP83" i="7"/>
  <c r="AQ84" i="5"/>
  <c r="AQ88" i="5" s="1"/>
  <c r="AP90" i="5"/>
  <c r="AO132" i="7"/>
  <c r="AP126" i="7"/>
  <c r="AP130" i="7" s="1"/>
  <c r="AQ126" i="5"/>
  <c r="AQ130" i="5" s="1"/>
  <c r="AP132" i="5"/>
  <c r="AQ56" i="3"/>
  <c r="AP62" i="3"/>
  <c r="AP182" i="7"/>
  <c r="AP186" i="7" s="1"/>
  <c r="AO188" i="7"/>
  <c r="AP98" i="5"/>
  <c r="AP102" i="5" s="1"/>
  <c r="AO104" i="5"/>
  <c r="AQ203" i="5"/>
  <c r="AP209" i="5"/>
  <c r="AP252" i="7"/>
  <c r="AO258" i="7"/>
  <c r="AQ210" i="5"/>
  <c r="AQ214" i="5" s="1"/>
  <c r="AP216" i="5"/>
  <c r="AQ174" i="5"/>
  <c r="AR168" i="5"/>
  <c r="AR172" i="5" s="1"/>
  <c r="AP48" i="5"/>
  <c r="AQ42" i="5"/>
  <c r="AQ46" i="5" s="1"/>
  <c r="AQ34" i="7"/>
  <c r="AR28" i="7"/>
  <c r="AR32" i="7" s="1"/>
  <c r="AQ140" i="5"/>
  <c r="AQ144" i="5" s="1"/>
  <c r="AP146" i="5"/>
  <c r="AQ35" i="7"/>
  <c r="AQ39" i="7" s="1"/>
  <c r="AP41" i="7"/>
  <c r="AQ181" i="7"/>
  <c r="AR175" i="7"/>
  <c r="AR179" i="7" s="1"/>
  <c r="AQ42" i="7"/>
  <c r="AQ46" i="7" s="1"/>
  <c r="AP48" i="7"/>
  <c r="AP105" i="5"/>
  <c r="AP109" i="5" s="1"/>
  <c r="AO111" i="5"/>
  <c r="AO153" i="7"/>
  <c r="AP147" i="7"/>
  <c r="AP151" i="7" s="1"/>
  <c r="AR76" i="5"/>
  <c r="AS70" i="5"/>
  <c r="AS224" i="5"/>
  <c r="AR230" i="5"/>
  <c r="AP196" i="7"/>
  <c r="AP200" i="7" s="1"/>
  <c r="AO202" i="7"/>
  <c r="AP238" i="5"/>
  <c r="AP242" i="5" s="1"/>
  <c r="AO244" i="5"/>
  <c r="AP55" i="10"/>
  <c r="AQ49" i="10"/>
  <c r="AP217" i="7"/>
  <c r="AP221" i="7" s="1"/>
  <c r="AO223" i="7"/>
  <c r="AQ182" i="5"/>
  <c r="AP188" i="5"/>
  <c r="AO167" i="7"/>
  <c r="AP161" i="7"/>
  <c r="AP165" i="7" s="1"/>
  <c r="AP224" i="7"/>
  <c r="AP228" i="7" s="1"/>
  <c r="AO230" i="7"/>
  <c r="AP203" i="7"/>
  <c r="AO209" i="7"/>
  <c r="AQ161" i="5"/>
  <c r="AP167" i="5"/>
  <c r="AQ119" i="7"/>
  <c r="AQ123" i="7" s="1"/>
  <c r="AP125" i="7"/>
  <c r="AQ189" i="5"/>
  <c r="AP195" i="5"/>
  <c r="AP49" i="3"/>
  <c r="AP53" i="3" s="1"/>
  <c r="AO55" i="3"/>
  <c r="AQ196" i="5"/>
  <c r="AQ200" i="5" s="1"/>
  <c r="AP202" i="5"/>
  <c r="AP119" i="5"/>
  <c r="AP123" i="5" s="1"/>
  <c r="AO125" i="5"/>
  <c r="AQ189" i="7"/>
  <c r="AP195" i="7"/>
  <c r="AP217" i="5"/>
  <c r="AP221" i="5" s="1"/>
  <c r="AO223" i="5"/>
  <c r="AN60" i="10" l="1"/>
  <c r="AO56" i="10"/>
  <c r="AN62" i="10"/>
  <c r="AN64" i="10"/>
  <c r="AN70" i="10" s="1"/>
  <c r="AN76" i="10"/>
  <c r="AN85" i="10"/>
  <c r="G59" i="9"/>
  <c r="J58" i="9"/>
  <c r="G58" i="4"/>
  <c r="J57" i="4"/>
  <c r="G58" i="6"/>
  <c r="J57" i="6"/>
  <c r="G58" i="8"/>
  <c r="J57" i="8"/>
  <c r="AQ56" i="7"/>
  <c r="AQ60" i="7" s="1"/>
  <c r="AP62" i="7"/>
  <c r="AP160" i="5"/>
  <c r="AQ154" i="5"/>
  <c r="AQ158" i="5" s="1"/>
  <c r="AR34" i="10"/>
  <c r="AS28" i="10"/>
  <c r="AP64" i="3"/>
  <c r="AP70" i="3" s="1"/>
  <c r="AQ14" i="10"/>
  <c r="AP20" i="10"/>
  <c r="AQ35" i="10"/>
  <c r="AP41" i="10"/>
  <c r="AQ21" i="3"/>
  <c r="AQ25" i="3" s="1"/>
  <c r="AP27" i="3"/>
  <c r="AQ91" i="7"/>
  <c r="AQ95" i="7" s="1"/>
  <c r="AP97" i="7"/>
  <c r="AR69" i="5"/>
  <c r="AS63" i="5"/>
  <c r="AQ49" i="5"/>
  <c r="AP55" i="5"/>
  <c r="AQ70" i="7"/>
  <c r="AQ74" i="7" s="1"/>
  <c r="AP76" i="7"/>
  <c r="AP62" i="5"/>
  <c r="AQ56" i="5"/>
  <c r="AR21" i="5"/>
  <c r="AR25" i="5" s="1"/>
  <c r="AQ27" i="5"/>
  <c r="AP85" i="3"/>
  <c r="AP41" i="3"/>
  <c r="AQ35" i="3"/>
  <c r="AQ39" i="3" s="1"/>
  <c r="AQ63" i="7"/>
  <c r="AQ67" i="7" s="1"/>
  <c r="AP69" i="7"/>
  <c r="AQ98" i="7"/>
  <c r="AQ102" i="7" s="1"/>
  <c r="AP104" i="7"/>
  <c r="AP34" i="5"/>
  <c r="AQ28" i="5"/>
  <c r="AQ32" i="5" s="1"/>
  <c r="AR21" i="7"/>
  <c r="AQ27" i="7"/>
  <c r="AP76" i="3"/>
  <c r="AQ84" i="7"/>
  <c r="AQ88" i="7" s="1"/>
  <c r="AP90" i="7"/>
  <c r="AR189" i="7"/>
  <c r="AQ195" i="7"/>
  <c r="AP153" i="7"/>
  <c r="AQ147" i="7"/>
  <c r="AQ151" i="7" s="1"/>
  <c r="AQ217" i="7"/>
  <c r="AQ221" i="7" s="1"/>
  <c r="AP223" i="7"/>
  <c r="AR210" i="5"/>
  <c r="AR214" i="5" s="1"/>
  <c r="AQ216" i="5"/>
  <c r="AR56" i="3"/>
  <c r="AQ62" i="3"/>
  <c r="AQ91" i="5"/>
  <c r="AQ95" i="5" s="1"/>
  <c r="AP97" i="5"/>
  <c r="AQ112" i="7"/>
  <c r="AQ116" i="7" s="1"/>
  <c r="AP118" i="7"/>
  <c r="AS231" i="7"/>
  <c r="AS235" i="7" s="1"/>
  <c r="AR237" i="7"/>
  <c r="AQ20" i="3"/>
  <c r="AR14" i="3"/>
  <c r="AR18" i="3" s="1"/>
  <c r="AP146" i="7"/>
  <c r="AQ140" i="7"/>
  <c r="AQ144" i="7" s="1"/>
  <c r="AQ27" i="10"/>
  <c r="AR21" i="10"/>
  <c r="AQ125" i="7"/>
  <c r="AR119" i="7"/>
  <c r="AR123" i="7" s="1"/>
  <c r="AR182" i="5"/>
  <c r="AQ188" i="5"/>
  <c r="AQ167" i="5"/>
  <c r="AR161" i="5"/>
  <c r="AP34" i="3"/>
  <c r="AQ28" i="3"/>
  <c r="AQ32" i="3" s="1"/>
  <c r="AP132" i="7"/>
  <c r="AQ126" i="7"/>
  <c r="AQ130" i="7" s="1"/>
  <c r="AQ203" i="7"/>
  <c r="AP209" i="7"/>
  <c r="AQ238" i="5"/>
  <c r="AQ242" i="5" s="1"/>
  <c r="AP244" i="5"/>
  <c r="AR140" i="5"/>
  <c r="AR144" i="5" s="1"/>
  <c r="AQ146" i="5"/>
  <c r="AR203" i="5"/>
  <c r="AQ209" i="5"/>
  <c r="AP118" i="5"/>
  <c r="AQ112" i="5"/>
  <c r="AQ116" i="5" s="1"/>
  <c r="AP139" i="7"/>
  <c r="AQ133" i="7"/>
  <c r="AQ137" i="7" s="1"/>
  <c r="AQ55" i="10"/>
  <c r="AR49" i="10"/>
  <c r="AQ35" i="5"/>
  <c r="AQ39" i="5" s="1"/>
  <c r="AP41" i="5"/>
  <c r="AQ48" i="10"/>
  <c r="AR42" i="10"/>
  <c r="AQ168" i="7"/>
  <c r="AQ172" i="7" s="1"/>
  <c r="AP174" i="7"/>
  <c r="AQ154" i="7"/>
  <c r="AQ158" i="7" s="1"/>
  <c r="AP160" i="7"/>
  <c r="AQ119" i="5"/>
  <c r="AQ123" i="5" s="1"/>
  <c r="AP125" i="5"/>
  <c r="AQ49" i="3"/>
  <c r="AQ53" i="3" s="1"/>
  <c r="AP55" i="3"/>
  <c r="AQ224" i="7"/>
  <c r="AQ228" i="7" s="1"/>
  <c r="AP230" i="7"/>
  <c r="AQ196" i="7"/>
  <c r="AQ200" i="7" s="1"/>
  <c r="AP202" i="7"/>
  <c r="AQ48" i="7"/>
  <c r="AR42" i="7"/>
  <c r="AR46" i="7" s="1"/>
  <c r="AP167" i="7"/>
  <c r="AQ161" i="7"/>
  <c r="AQ165" i="7" s="1"/>
  <c r="AS175" i="7"/>
  <c r="AS179" i="7" s="1"/>
  <c r="AR181" i="7"/>
  <c r="AR42" i="5"/>
  <c r="AR46" i="5" s="1"/>
  <c r="AQ48" i="5"/>
  <c r="AP111" i="7"/>
  <c r="AQ105" i="7"/>
  <c r="AQ109" i="7" s="1"/>
  <c r="AR49" i="7"/>
  <c r="AR53" i="7" s="1"/>
  <c r="AQ55" i="7"/>
  <c r="AQ14" i="7"/>
  <c r="AP20" i="7"/>
  <c r="AP281" i="7"/>
  <c r="AP272" i="7"/>
  <c r="AP260" i="7"/>
  <c r="AP266" i="7" s="1"/>
  <c r="AQ132" i="5"/>
  <c r="AR126" i="5"/>
  <c r="AR130" i="5" s="1"/>
  <c r="AR189" i="5"/>
  <c r="AQ195" i="5"/>
  <c r="AS230" i="5"/>
  <c r="AT224" i="5"/>
  <c r="AQ98" i="5"/>
  <c r="AQ102" i="5" s="1"/>
  <c r="AP104" i="5"/>
  <c r="AR84" i="5"/>
  <c r="AR88" i="5" s="1"/>
  <c r="AQ90" i="5"/>
  <c r="AQ245" i="5"/>
  <c r="AP251" i="5"/>
  <c r="AQ139" i="5"/>
  <c r="AR133" i="5"/>
  <c r="AR137" i="5" s="1"/>
  <c r="AR77" i="5"/>
  <c r="AR81" i="5" s="1"/>
  <c r="AQ83" i="5"/>
  <c r="AP258" i="5"/>
  <c r="AQ252" i="5"/>
  <c r="AQ256" i="5" s="1"/>
  <c r="AR196" i="5"/>
  <c r="AR200" i="5" s="1"/>
  <c r="AQ202" i="5"/>
  <c r="AQ105" i="5"/>
  <c r="AQ109" i="5" s="1"/>
  <c r="AP111" i="5"/>
  <c r="AQ252" i="7"/>
  <c r="AP258" i="7"/>
  <c r="AR34" i="7"/>
  <c r="AS28" i="7"/>
  <c r="AS32" i="7" s="1"/>
  <c r="AQ217" i="5"/>
  <c r="AQ221" i="5" s="1"/>
  <c r="AP223" i="5"/>
  <c r="AS76" i="5"/>
  <c r="AT70" i="5"/>
  <c r="AS168" i="5"/>
  <c r="AS172" i="5" s="1"/>
  <c r="AR174" i="5"/>
  <c r="AQ14" i="5"/>
  <c r="AP20" i="5"/>
  <c r="AP272" i="5"/>
  <c r="AP260" i="5"/>
  <c r="AP266" i="5" s="1"/>
  <c r="AP281" i="5"/>
  <c r="AQ238" i="7"/>
  <c r="AQ242" i="7" s="1"/>
  <c r="AP244" i="7"/>
  <c r="AQ181" i="5"/>
  <c r="AR175" i="5"/>
  <c r="AR179" i="5" s="1"/>
  <c r="AQ210" i="7"/>
  <c r="AP216" i="7"/>
  <c r="AQ41" i="7"/>
  <c r="AR35" i="7"/>
  <c r="AR39" i="7" s="1"/>
  <c r="AQ182" i="7"/>
  <c r="AQ186" i="7" s="1"/>
  <c r="AP188" i="7"/>
  <c r="AQ83" i="7"/>
  <c r="AR77" i="7"/>
  <c r="AR81" i="7" s="1"/>
  <c r="AP237" i="5"/>
  <c r="AQ231" i="5"/>
  <c r="AQ235" i="5" s="1"/>
  <c r="AS147" i="5"/>
  <c r="AS151" i="5" s="1"/>
  <c r="AR153" i="5"/>
  <c r="AQ245" i="7"/>
  <c r="AP251" i="7"/>
  <c r="AP48" i="3"/>
  <c r="AQ42" i="3"/>
  <c r="AQ46" i="3" s="1"/>
  <c r="AO60" i="10" l="1"/>
  <c r="AP56" i="10"/>
  <c r="AO62" i="10"/>
  <c r="AO76" i="10"/>
  <c r="AO85" i="10"/>
  <c r="AO64" i="10"/>
  <c r="AO70" i="10" s="1"/>
  <c r="G60" i="9"/>
  <c r="J59" i="9"/>
  <c r="G59" i="4"/>
  <c r="J58" i="4"/>
  <c r="G59" i="6"/>
  <c r="J58" i="6"/>
  <c r="G59" i="8"/>
  <c r="J58" i="8"/>
  <c r="AR56" i="7"/>
  <c r="AR60" i="7" s="1"/>
  <c r="AQ62" i="7"/>
  <c r="AQ160" i="5"/>
  <c r="AR154" i="5"/>
  <c r="AR158" i="5" s="1"/>
  <c r="AS34" i="10"/>
  <c r="AT28" i="10"/>
  <c r="AR35" i="10"/>
  <c r="AQ41" i="10"/>
  <c r="AQ64" i="3"/>
  <c r="AQ70" i="3" s="1"/>
  <c r="AQ20" i="10"/>
  <c r="AR14" i="10"/>
  <c r="AQ62" i="5"/>
  <c r="AR56" i="5"/>
  <c r="AR28" i="5"/>
  <c r="AR32" i="5" s="1"/>
  <c r="AQ34" i="5"/>
  <c r="AQ76" i="7"/>
  <c r="AR70" i="7"/>
  <c r="AR74" i="7" s="1"/>
  <c r="AR98" i="7"/>
  <c r="AR102" i="7" s="1"/>
  <c r="AQ104" i="7"/>
  <c r="AR49" i="5"/>
  <c r="AQ55" i="5"/>
  <c r="AQ69" i="7"/>
  <c r="AR63" i="7"/>
  <c r="AR67" i="7" s="1"/>
  <c r="AS69" i="5"/>
  <c r="AT63" i="5"/>
  <c r="AQ41" i="3"/>
  <c r="AR35" i="3"/>
  <c r="AR39" i="3" s="1"/>
  <c r="AQ97" i="7"/>
  <c r="AR91" i="7"/>
  <c r="AR95" i="7" s="1"/>
  <c r="AR27" i="5"/>
  <c r="AS21" i="5"/>
  <c r="AS25" i="5" s="1"/>
  <c r="AR21" i="3"/>
  <c r="AR25" i="3" s="1"/>
  <c r="AQ27" i="3"/>
  <c r="AR35" i="5"/>
  <c r="AR39" i="5" s="1"/>
  <c r="AQ41" i="5"/>
  <c r="AR140" i="7"/>
  <c r="AR144" i="7" s="1"/>
  <c r="AQ146" i="7"/>
  <c r="AS210" i="5"/>
  <c r="AS214" i="5" s="1"/>
  <c r="AR216" i="5"/>
  <c r="AR238" i="5"/>
  <c r="AR242" i="5" s="1"/>
  <c r="AQ244" i="5"/>
  <c r="AT231" i="7"/>
  <c r="AT235" i="7" s="1"/>
  <c r="AS237" i="7"/>
  <c r="AR217" i="7"/>
  <c r="AR221" i="7" s="1"/>
  <c r="AQ223" i="7"/>
  <c r="AR210" i="7"/>
  <c r="AQ216" i="7"/>
  <c r="AT76" i="5"/>
  <c r="AU70" i="5"/>
  <c r="AT175" i="7"/>
  <c r="AT179" i="7" s="1"/>
  <c r="AS181" i="7"/>
  <c r="AR49" i="3"/>
  <c r="AR53" i="3" s="1"/>
  <c r="AQ55" i="3"/>
  <c r="AR133" i="7"/>
  <c r="AR137" i="7" s="1"/>
  <c r="AQ139" i="7"/>
  <c r="AQ153" i="7"/>
  <c r="AR147" i="7"/>
  <c r="AR151" i="7" s="1"/>
  <c r="AR252" i="7"/>
  <c r="AQ258" i="7"/>
  <c r="AR224" i="7"/>
  <c r="AR228" i="7" s="1"/>
  <c r="AQ230" i="7"/>
  <c r="AR245" i="5"/>
  <c r="AQ251" i="5"/>
  <c r="AT147" i="5"/>
  <c r="AT151" i="5" s="1"/>
  <c r="AS153" i="5"/>
  <c r="AR181" i="5"/>
  <c r="AS175" i="5"/>
  <c r="AS179" i="5" s="1"/>
  <c r="AS196" i="5"/>
  <c r="AS200" i="5" s="1"/>
  <c r="AR202" i="5"/>
  <c r="AR90" i="5"/>
  <c r="AS84" i="5"/>
  <c r="AS88" i="5" s="1"/>
  <c r="AQ167" i="7"/>
  <c r="AR161" i="7"/>
  <c r="AR165" i="7" s="1"/>
  <c r="AQ209" i="7"/>
  <c r="AR203" i="7"/>
  <c r="AS182" i="5"/>
  <c r="AR188" i="5"/>
  <c r="AQ76" i="3"/>
  <c r="AR105" i="5"/>
  <c r="AR109" i="5" s="1"/>
  <c r="AQ111" i="5"/>
  <c r="AQ118" i="5"/>
  <c r="AR112" i="5"/>
  <c r="AR116" i="5" s="1"/>
  <c r="AS119" i="7"/>
  <c r="AS123" i="7" s="1"/>
  <c r="AR125" i="7"/>
  <c r="AQ85" i="3"/>
  <c r="AR14" i="5"/>
  <c r="AQ20" i="5"/>
  <c r="AQ272" i="5"/>
  <c r="AQ260" i="5"/>
  <c r="AQ266" i="5" s="1"/>
  <c r="AQ281" i="5"/>
  <c r="AQ118" i="7"/>
  <c r="AR112" i="7"/>
  <c r="AR116" i="7" s="1"/>
  <c r="AR195" i="7"/>
  <c r="AS189" i="7"/>
  <c r="AQ132" i="7"/>
  <c r="AR126" i="7"/>
  <c r="AR130" i="7" s="1"/>
  <c r="AR20" i="3"/>
  <c r="AS14" i="3"/>
  <c r="AS18" i="3" s="1"/>
  <c r="AR14" i="7"/>
  <c r="AQ20" i="7"/>
  <c r="AQ260" i="7"/>
  <c r="AQ266" i="7" s="1"/>
  <c r="AQ281" i="7"/>
  <c r="AQ272" i="7"/>
  <c r="AR98" i="5"/>
  <c r="AR102" i="5" s="1"/>
  <c r="AQ104" i="5"/>
  <c r="AS34" i="7"/>
  <c r="AT28" i="7"/>
  <c r="AT32" i="7" s="1"/>
  <c r="AU224" i="5"/>
  <c r="AT230" i="5"/>
  <c r="AQ125" i="5"/>
  <c r="AR119" i="5"/>
  <c r="AR123" i="5" s="1"/>
  <c r="AR42" i="3"/>
  <c r="AR46" i="3" s="1"/>
  <c r="AQ48" i="3"/>
  <c r="AS77" i="7"/>
  <c r="AS81" i="7" s="1"/>
  <c r="AR83" i="7"/>
  <c r="AR105" i="7"/>
  <c r="AR109" i="7" s="1"/>
  <c r="AQ111" i="7"/>
  <c r="AR48" i="7"/>
  <c r="AS42" i="7"/>
  <c r="AS46" i="7" s="1"/>
  <c r="AS203" i="5"/>
  <c r="AR209" i="5"/>
  <c r="AR91" i="5"/>
  <c r="AR95" i="5" s="1"/>
  <c r="AQ97" i="5"/>
  <c r="AQ90" i="7"/>
  <c r="AR84" i="7"/>
  <c r="AR88" i="7" s="1"/>
  <c r="AR252" i="5"/>
  <c r="AR256" i="5" s="1"/>
  <c r="AQ258" i="5"/>
  <c r="AR217" i="5"/>
  <c r="AR221" i="5" s="1"/>
  <c r="AQ223" i="5"/>
  <c r="AR238" i="7"/>
  <c r="AR242" i="7" s="1"/>
  <c r="AQ244" i="7"/>
  <c r="AS49" i="7"/>
  <c r="AS53" i="7" s="1"/>
  <c r="AR55" i="7"/>
  <c r="AR154" i="7"/>
  <c r="AR158" i="7" s="1"/>
  <c r="AQ160" i="7"/>
  <c r="AQ34" i="3"/>
  <c r="AR28" i="3"/>
  <c r="AR32" i="3" s="1"/>
  <c r="AR41" i="7"/>
  <c r="AS35" i="7"/>
  <c r="AS39" i="7" s="1"/>
  <c r="AS42" i="5"/>
  <c r="AS46" i="5" s="1"/>
  <c r="AR48" i="5"/>
  <c r="AT168" i="5"/>
  <c r="AT172" i="5" s="1"/>
  <c r="AS174" i="5"/>
  <c r="AR231" i="5"/>
  <c r="AR235" i="5" s="1"/>
  <c r="AQ237" i="5"/>
  <c r="AR83" i="5"/>
  <c r="AS77" i="5"/>
  <c r="AS81" i="5" s="1"/>
  <c r="AS189" i="5"/>
  <c r="AR195" i="5"/>
  <c r="AS140" i="5"/>
  <c r="AS144" i="5" s="1"/>
  <c r="AR146" i="5"/>
  <c r="AR27" i="10"/>
  <c r="AS21" i="10"/>
  <c r="AS56" i="3"/>
  <c r="AR62" i="3"/>
  <c r="AR55" i="10"/>
  <c r="AS49" i="10"/>
  <c r="AR48" i="10"/>
  <c r="AS42" i="10"/>
  <c r="AR245" i="7"/>
  <c r="AQ251" i="7"/>
  <c r="AQ188" i="7"/>
  <c r="AR182" i="7"/>
  <c r="AR186" i="7" s="1"/>
  <c r="AS133" i="5"/>
  <c r="AS137" i="5" s="1"/>
  <c r="AR139" i="5"/>
  <c r="AS126" i="5"/>
  <c r="AS130" i="5" s="1"/>
  <c r="AR132" i="5"/>
  <c r="AQ202" i="7"/>
  <c r="AR196" i="7"/>
  <c r="AR200" i="7" s="1"/>
  <c r="AQ174" i="7"/>
  <c r="AR168" i="7"/>
  <c r="AR172" i="7" s="1"/>
  <c r="AS161" i="5"/>
  <c r="AR167" i="5"/>
  <c r="AS21" i="7"/>
  <c r="AR27" i="7"/>
  <c r="AP60" i="10" l="1"/>
  <c r="AP62" i="10"/>
  <c r="AQ56" i="10"/>
  <c r="AP64" i="10"/>
  <c r="AP70" i="10" s="1"/>
  <c r="AP85" i="10"/>
  <c r="AP76" i="10"/>
  <c r="G61" i="9"/>
  <c r="J60" i="9"/>
  <c r="G60" i="4"/>
  <c r="J59" i="4"/>
  <c r="G60" i="6"/>
  <c r="J59" i="6"/>
  <c r="G60" i="8"/>
  <c r="J59" i="8"/>
  <c r="AS56" i="7"/>
  <c r="AS60" i="7" s="1"/>
  <c r="AR62" i="7"/>
  <c r="AS154" i="5"/>
  <c r="AS158" i="5" s="1"/>
  <c r="AR160" i="5"/>
  <c r="AT34" i="10"/>
  <c r="AU28" i="10"/>
  <c r="AR64" i="3"/>
  <c r="AR70" i="3" s="1"/>
  <c r="AS14" i="10"/>
  <c r="AR20" i="10"/>
  <c r="AS35" i="10"/>
  <c r="AR41" i="10"/>
  <c r="AS63" i="7"/>
  <c r="AS67" i="7" s="1"/>
  <c r="AR69" i="7"/>
  <c r="AR76" i="3"/>
  <c r="AS21" i="3"/>
  <c r="AS25" i="3" s="1"/>
  <c r="AR27" i="3"/>
  <c r="AS49" i="5"/>
  <c r="AR55" i="5"/>
  <c r="AS27" i="5"/>
  <c r="AT21" i="5"/>
  <c r="AT25" i="5" s="1"/>
  <c r="AR104" i="7"/>
  <c r="AS98" i="7"/>
  <c r="AS102" i="7" s="1"/>
  <c r="AS91" i="7"/>
  <c r="AS95" i="7" s="1"/>
  <c r="AR97" i="7"/>
  <c r="AR76" i="7"/>
  <c r="AS70" i="7"/>
  <c r="AS74" i="7" s="1"/>
  <c r="AR41" i="3"/>
  <c r="AS35" i="3"/>
  <c r="AS39" i="3" s="1"/>
  <c r="AS28" i="5"/>
  <c r="AS32" i="5" s="1"/>
  <c r="AR34" i="5"/>
  <c r="AT69" i="5"/>
  <c r="AU63" i="5"/>
  <c r="AR62" i="5"/>
  <c r="AS56" i="5"/>
  <c r="AS126" i="7"/>
  <c r="AS130" i="7" s="1"/>
  <c r="AR132" i="7"/>
  <c r="AR20" i="5"/>
  <c r="AS14" i="5"/>
  <c r="AR260" i="5"/>
  <c r="AR266" i="5" s="1"/>
  <c r="AR272" i="5"/>
  <c r="AR281" i="5"/>
  <c r="AT182" i="5"/>
  <c r="AS188" i="5"/>
  <c r="AR216" i="7"/>
  <c r="AS210" i="7"/>
  <c r="AR111" i="7"/>
  <c r="AS105" i="7"/>
  <c r="AS109" i="7" s="1"/>
  <c r="AR209" i="7"/>
  <c r="AS203" i="7"/>
  <c r="AR237" i="5"/>
  <c r="AS231" i="5"/>
  <c r="AS235" i="5" s="1"/>
  <c r="AR251" i="7"/>
  <c r="AS245" i="7"/>
  <c r="AS195" i="7"/>
  <c r="AT189" i="7"/>
  <c r="AT153" i="5"/>
  <c r="AU147" i="5"/>
  <c r="AU151" i="5" s="1"/>
  <c r="AS217" i="7"/>
  <c r="AS221" i="7" s="1"/>
  <c r="AR223" i="7"/>
  <c r="AS125" i="7"/>
  <c r="AT119" i="7"/>
  <c r="AT123" i="7" s="1"/>
  <c r="AS245" i="5"/>
  <c r="AR251" i="5"/>
  <c r="AS133" i="7"/>
  <c r="AS137" i="7" s="1"/>
  <c r="AR139" i="7"/>
  <c r="AT237" i="7"/>
  <c r="AU231" i="7"/>
  <c r="AU235" i="7" s="1"/>
  <c r="AS42" i="3"/>
  <c r="AS46" i="3" s="1"/>
  <c r="AR48" i="3"/>
  <c r="AR167" i="7"/>
  <c r="AS161" i="7"/>
  <c r="AS165" i="7" s="1"/>
  <c r="AT210" i="5"/>
  <c r="AT214" i="5" s="1"/>
  <c r="AS216" i="5"/>
  <c r="AS41" i="7"/>
  <c r="AT35" i="7"/>
  <c r="AT39" i="7" s="1"/>
  <c r="AS119" i="5"/>
  <c r="AS123" i="5" s="1"/>
  <c r="AR125" i="5"/>
  <c r="AR20" i="7"/>
  <c r="AS14" i="7"/>
  <c r="AR260" i="7"/>
  <c r="AR266" i="7" s="1"/>
  <c r="AR281" i="7"/>
  <c r="AR272" i="7"/>
  <c r="AS224" i="7"/>
  <c r="AS228" i="7" s="1"/>
  <c r="AR230" i="7"/>
  <c r="AS49" i="3"/>
  <c r="AS53" i="3" s="1"/>
  <c r="AR55" i="3"/>
  <c r="AS154" i="7"/>
  <c r="AS158" i="7" s="1"/>
  <c r="AR160" i="7"/>
  <c r="AT84" i="5"/>
  <c r="AT88" i="5" s="1"/>
  <c r="AS90" i="5"/>
  <c r="AR146" i="7"/>
  <c r="AS140" i="7"/>
  <c r="AS144" i="7" s="1"/>
  <c r="AS98" i="5"/>
  <c r="AS102" i="5" s="1"/>
  <c r="AR104" i="5"/>
  <c r="AS196" i="7"/>
  <c r="AS200" i="7" s="1"/>
  <c r="AR202" i="7"/>
  <c r="AR258" i="5"/>
  <c r="AS252" i="5"/>
  <c r="AS256" i="5" s="1"/>
  <c r="AT21" i="7"/>
  <c r="AS27" i="7"/>
  <c r="AT77" i="5"/>
  <c r="AT81" i="5" s="1"/>
  <c r="AS83" i="5"/>
  <c r="AR85" i="3"/>
  <c r="AS252" i="7"/>
  <c r="AR258" i="7"/>
  <c r="AU175" i="7"/>
  <c r="AU179" i="7" s="1"/>
  <c r="AT181" i="7"/>
  <c r="AS238" i="5"/>
  <c r="AS242" i="5" s="1"/>
  <c r="AR244" i="5"/>
  <c r="AS168" i="7"/>
  <c r="AS172" i="7" s="1"/>
  <c r="AR174" i="7"/>
  <c r="AS112" i="7"/>
  <c r="AS116" i="7" s="1"/>
  <c r="AR118" i="7"/>
  <c r="AS55" i="10"/>
  <c r="AT49" i="10"/>
  <c r="AS55" i="7"/>
  <c r="AT49" i="7"/>
  <c r="AT53" i="7" s="1"/>
  <c r="AT203" i="5"/>
  <c r="AS209" i="5"/>
  <c r="AV224" i="5"/>
  <c r="AU230" i="5"/>
  <c r="AS105" i="5"/>
  <c r="AS109" i="5" s="1"/>
  <c r="AR111" i="5"/>
  <c r="AU76" i="5"/>
  <c r="AV70" i="5"/>
  <c r="AT161" i="5"/>
  <c r="AS167" i="5"/>
  <c r="AS83" i="7"/>
  <c r="AT77" i="7"/>
  <c r="AT81" i="7" s="1"/>
  <c r="AS112" i="5"/>
  <c r="AS116" i="5" s="1"/>
  <c r="AR118" i="5"/>
  <c r="AS48" i="5"/>
  <c r="AT42" i="5"/>
  <c r="AT46" i="5" s="1"/>
  <c r="AT189" i="5"/>
  <c r="AS195" i="5"/>
  <c r="AS91" i="5"/>
  <c r="AS95" i="5" s="1"/>
  <c r="AR97" i="5"/>
  <c r="AT126" i="5"/>
  <c r="AT130" i="5" s="1"/>
  <c r="AS132" i="5"/>
  <c r="AT56" i="3"/>
  <c r="AS62" i="3"/>
  <c r="AT34" i="7"/>
  <c r="AU28" i="7"/>
  <c r="AU32" i="7" s="1"/>
  <c r="AT14" i="3"/>
  <c r="AT18" i="3" s="1"/>
  <c r="AS20" i="3"/>
  <c r="AT196" i="5"/>
  <c r="AT200" i="5" s="1"/>
  <c r="AS202" i="5"/>
  <c r="AS217" i="5"/>
  <c r="AS221" i="5" s="1"/>
  <c r="AR223" i="5"/>
  <c r="AT21" i="10"/>
  <c r="AS27" i="10"/>
  <c r="AS48" i="10"/>
  <c r="AT42" i="10"/>
  <c r="AU168" i="5"/>
  <c r="AU172" i="5" s="1"/>
  <c r="AT174" i="5"/>
  <c r="AR90" i="7"/>
  <c r="AS84" i="7"/>
  <c r="AS88" i="7" s="1"/>
  <c r="AT140" i="5"/>
  <c r="AT144" i="5" s="1"/>
  <c r="AS146" i="5"/>
  <c r="AT133" i="5"/>
  <c r="AT137" i="5" s="1"/>
  <c r="AS139" i="5"/>
  <c r="AR34" i="3"/>
  <c r="AS28" i="3"/>
  <c r="AS32" i="3" s="1"/>
  <c r="AS48" i="7"/>
  <c r="AT42" i="7"/>
  <c r="AT46" i="7" s="1"/>
  <c r="AR188" i="7"/>
  <c r="AS182" i="7"/>
  <c r="AS186" i="7" s="1"/>
  <c r="AS238" i="7"/>
  <c r="AS242" i="7" s="1"/>
  <c r="AR244" i="7"/>
  <c r="AS181" i="5"/>
  <c r="AT175" i="5"/>
  <c r="AT179" i="5" s="1"/>
  <c r="AS147" i="7"/>
  <c r="AS151" i="7" s="1"/>
  <c r="AR153" i="7"/>
  <c r="AS35" i="5"/>
  <c r="AS39" i="5" s="1"/>
  <c r="AR41" i="5"/>
  <c r="AQ60" i="10" l="1"/>
  <c r="AQ62" i="10"/>
  <c r="AR56" i="10"/>
  <c r="AQ64" i="10"/>
  <c r="AQ70" i="10" s="1"/>
  <c r="AQ85" i="10"/>
  <c r="AQ76" i="10"/>
  <c r="G62" i="9"/>
  <c r="J61" i="9"/>
  <c r="G61" i="4"/>
  <c r="J60" i="4"/>
  <c r="G61" i="6"/>
  <c r="J60" i="6"/>
  <c r="G61" i="8"/>
  <c r="J60" i="8"/>
  <c r="AS62" i="7"/>
  <c r="AT56" i="7"/>
  <c r="AT60" i="7" s="1"/>
  <c r="AT154" i="5"/>
  <c r="AT158" i="5" s="1"/>
  <c r="AS160" i="5"/>
  <c r="AU34" i="10"/>
  <c r="AV28" i="10"/>
  <c r="AS85" i="3"/>
  <c r="AS64" i="3"/>
  <c r="AS70" i="3" s="1"/>
  <c r="AT35" i="10"/>
  <c r="AS41" i="10"/>
  <c r="AS20" i="10"/>
  <c r="AT14" i="10"/>
  <c r="AS97" i="7"/>
  <c r="AT91" i="7"/>
  <c r="AT95" i="7" s="1"/>
  <c r="AT56" i="5"/>
  <c r="AS62" i="5"/>
  <c r="AS104" i="7"/>
  <c r="AT98" i="7"/>
  <c r="AT102" i="7" s="1"/>
  <c r="AV63" i="5"/>
  <c r="AU69" i="5"/>
  <c r="AT27" i="5"/>
  <c r="AU21" i="5"/>
  <c r="AU25" i="5" s="1"/>
  <c r="AS34" i="5"/>
  <c r="AT28" i="5"/>
  <c r="AT32" i="5" s="1"/>
  <c r="AS55" i="5"/>
  <c r="AT49" i="5"/>
  <c r="AS76" i="3"/>
  <c r="AS41" i="3"/>
  <c r="AT35" i="3"/>
  <c r="AT39" i="3" s="1"/>
  <c r="AS27" i="3"/>
  <c r="AT21" i="3"/>
  <c r="AT25" i="3" s="1"/>
  <c r="AT70" i="7"/>
  <c r="AT74" i="7" s="1"/>
  <c r="AS76" i="7"/>
  <c r="AS69" i="7"/>
  <c r="AT63" i="7"/>
  <c r="AT67" i="7" s="1"/>
  <c r="AU21" i="7"/>
  <c r="AT27" i="7"/>
  <c r="AT14" i="7"/>
  <c r="AS20" i="7"/>
  <c r="AS260" i="7"/>
  <c r="AS266" i="7" s="1"/>
  <c r="AS281" i="7"/>
  <c r="AS272" i="7"/>
  <c r="AT195" i="7"/>
  <c r="AU189" i="7"/>
  <c r="AS216" i="7"/>
  <c r="AT210" i="7"/>
  <c r="AT27" i="10"/>
  <c r="AU21" i="10"/>
  <c r="AT91" i="5"/>
  <c r="AT95" i="5" s="1"/>
  <c r="AS97" i="5"/>
  <c r="AU161" i="5"/>
  <c r="AT167" i="5"/>
  <c r="AT238" i="5"/>
  <c r="AT242" i="5" s="1"/>
  <c r="AS244" i="5"/>
  <c r="AS258" i="5"/>
  <c r="AT252" i="5"/>
  <c r="AT256" i="5" s="1"/>
  <c r="AU126" i="5"/>
  <c r="AU130" i="5" s="1"/>
  <c r="AT132" i="5"/>
  <c r="AU203" i="5"/>
  <c r="AT209" i="5"/>
  <c r="AT245" i="5"/>
  <c r="AS251" i="5"/>
  <c r="AT139" i="5"/>
  <c r="AU133" i="5"/>
  <c r="AU137" i="5" s="1"/>
  <c r="AT161" i="7"/>
  <c r="AT165" i="7" s="1"/>
  <c r="AS167" i="7"/>
  <c r="AS251" i="7"/>
  <c r="AT245" i="7"/>
  <c r="AT146" i="5"/>
  <c r="AU140" i="5"/>
  <c r="AU144" i="5" s="1"/>
  <c r="AU14" i="3"/>
  <c r="AU18" i="3" s="1"/>
  <c r="AT20" i="3"/>
  <c r="AU189" i="5"/>
  <c r="AT195" i="5"/>
  <c r="AV175" i="7"/>
  <c r="AV179" i="7" s="1"/>
  <c r="AU181" i="7"/>
  <c r="AS125" i="5"/>
  <c r="AT119" i="5"/>
  <c r="AT123" i="5" s="1"/>
  <c r="AU182" i="5"/>
  <c r="AT188" i="5"/>
  <c r="AS244" i="7"/>
  <c r="AT238" i="7"/>
  <c r="AT242" i="7" s="1"/>
  <c r="AT55" i="10"/>
  <c r="AU49" i="10"/>
  <c r="AS202" i="7"/>
  <c r="AT196" i="7"/>
  <c r="AT200" i="7" s="1"/>
  <c r="AT49" i="3"/>
  <c r="AT53" i="3" s="1"/>
  <c r="AS55" i="3"/>
  <c r="AU119" i="7"/>
  <c r="AU123" i="7" s="1"/>
  <c r="AT125" i="7"/>
  <c r="AS237" i="5"/>
  <c r="AT231" i="5"/>
  <c r="AT235" i="5" s="1"/>
  <c r="AT84" i="7"/>
  <c r="AT88" i="7" s="1"/>
  <c r="AS90" i="7"/>
  <c r="AU174" i="5"/>
  <c r="AV168" i="5"/>
  <c r="AV172" i="5" s="1"/>
  <c r="AT48" i="5"/>
  <c r="AU42" i="5"/>
  <c r="AU46" i="5" s="1"/>
  <c r="AT98" i="5"/>
  <c r="AT102" i="5" s="1"/>
  <c r="AS104" i="5"/>
  <c r="AT224" i="7"/>
  <c r="AT228" i="7" s="1"/>
  <c r="AS230" i="7"/>
  <c r="AT41" i="7"/>
  <c r="AU35" i="7"/>
  <c r="AU39" i="7" s="1"/>
  <c r="AU237" i="7"/>
  <c r="AV231" i="7"/>
  <c r="AV235" i="7" s="1"/>
  <c r="AV76" i="5"/>
  <c r="AW70" i="5"/>
  <c r="AS160" i="7"/>
  <c r="AT154" i="7"/>
  <c r="AT158" i="7" s="1"/>
  <c r="AS48" i="3"/>
  <c r="AT42" i="3"/>
  <c r="AT46" i="3" s="1"/>
  <c r="AT48" i="7"/>
  <c r="AU42" i="7"/>
  <c r="AU46" i="7" s="1"/>
  <c r="AT48" i="10"/>
  <c r="AU42" i="10"/>
  <c r="AT62" i="3"/>
  <c r="AU56" i="3"/>
  <c r="AS111" i="5"/>
  <c r="AT105" i="5"/>
  <c r="AT109" i="5" s="1"/>
  <c r="AS146" i="7"/>
  <c r="AT140" i="7"/>
  <c r="AT144" i="7" s="1"/>
  <c r="AT217" i="7"/>
  <c r="AT221" i="7" s="1"/>
  <c r="AS223" i="7"/>
  <c r="AS20" i="5"/>
  <c r="AT14" i="5"/>
  <c r="AS281" i="5"/>
  <c r="AS272" i="5"/>
  <c r="AS260" i="5"/>
  <c r="AS266" i="5" s="1"/>
  <c r="AS223" i="5"/>
  <c r="AT217" i="5"/>
  <c r="AT221" i="5" s="1"/>
  <c r="AS209" i="7"/>
  <c r="AT203" i="7"/>
  <c r="AT181" i="5"/>
  <c r="AU175" i="5"/>
  <c r="AU179" i="5" s="1"/>
  <c r="AU210" i="5"/>
  <c r="AU214" i="5" s="1"/>
  <c r="AT216" i="5"/>
  <c r="AT55" i="7"/>
  <c r="AU49" i="7"/>
  <c r="AU53" i="7" s="1"/>
  <c r="AU34" i="7"/>
  <c r="AV28" i="7"/>
  <c r="AV32" i="7" s="1"/>
  <c r="AS258" i="7"/>
  <c r="AT252" i="7"/>
  <c r="AS41" i="5"/>
  <c r="AT35" i="5"/>
  <c r="AT39" i="5" s="1"/>
  <c r="AS34" i="3"/>
  <c r="AT28" i="3"/>
  <c r="AT32" i="3" s="1"/>
  <c r="AT112" i="5"/>
  <c r="AT116" i="5" s="1"/>
  <c r="AS118" i="5"/>
  <c r="AV230" i="5"/>
  <c r="AW224" i="5"/>
  <c r="AT168" i="7"/>
  <c r="AT172" i="7" s="1"/>
  <c r="AS174" i="7"/>
  <c r="AS139" i="7"/>
  <c r="AT133" i="7"/>
  <c r="AT137" i="7" s="1"/>
  <c r="AS188" i="7"/>
  <c r="AT182" i="7"/>
  <c r="AT186" i="7" s="1"/>
  <c r="AT112" i="7"/>
  <c r="AT116" i="7" s="1"/>
  <c r="AS118" i="7"/>
  <c r="AS153" i="7"/>
  <c r="AT147" i="7"/>
  <c r="AT151" i="7" s="1"/>
  <c r="AU196" i="5"/>
  <c r="AU200" i="5" s="1"/>
  <c r="AT202" i="5"/>
  <c r="AT83" i="7"/>
  <c r="AU77" i="7"/>
  <c r="AU81" i="7" s="1"/>
  <c r="AT83" i="5"/>
  <c r="AU77" i="5"/>
  <c r="AU81" i="5" s="1"/>
  <c r="AU84" i="5"/>
  <c r="AU88" i="5" s="1"/>
  <c r="AT90" i="5"/>
  <c r="AU153" i="5"/>
  <c r="AV147" i="5"/>
  <c r="AV151" i="5" s="1"/>
  <c r="AT105" i="7"/>
  <c r="AT109" i="7" s="1"/>
  <c r="AS111" i="7"/>
  <c r="AS132" i="7"/>
  <c r="AT126" i="7"/>
  <c r="AT130" i="7" s="1"/>
  <c r="AR60" i="10" l="1"/>
  <c r="AS56" i="10"/>
  <c r="AR62" i="10"/>
  <c r="AR85" i="10"/>
  <c r="AR76" i="10"/>
  <c r="AR64" i="10"/>
  <c r="AR70" i="10" s="1"/>
  <c r="G63" i="9"/>
  <c r="J62" i="9"/>
  <c r="G62" i="4"/>
  <c r="J61" i="4"/>
  <c r="G62" i="6"/>
  <c r="J61" i="6"/>
  <c r="G62" i="8"/>
  <c r="J61" i="8"/>
  <c r="AU56" i="7"/>
  <c r="AU60" i="7" s="1"/>
  <c r="AT62" i="7"/>
  <c r="AU154" i="5"/>
  <c r="AU158" i="5" s="1"/>
  <c r="AT160" i="5"/>
  <c r="AV34" i="10"/>
  <c r="AW28" i="10"/>
  <c r="AT76" i="3"/>
  <c r="AT85" i="3"/>
  <c r="AT20" i="10"/>
  <c r="AU14" i="10"/>
  <c r="AU35" i="10"/>
  <c r="AT41" i="10"/>
  <c r="AT34" i="5"/>
  <c r="AU28" i="5"/>
  <c r="AU32" i="5" s="1"/>
  <c r="AT69" i="7"/>
  <c r="AU63" i="7"/>
  <c r="AU67" i="7" s="1"/>
  <c r="AU27" i="5"/>
  <c r="AV21" i="5"/>
  <c r="AV25" i="5" s="1"/>
  <c r="AT76" i="7"/>
  <c r="AU70" i="7"/>
  <c r="AU74" i="7" s="1"/>
  <c r="AU21" i="3"/>
  <c r="AU25" i="3" s="1"/>
  <c r="AT27" i="3"/>
  <c r="AW63" i="5"/>
  <c r="AV69" i="5"/>
  <c r="AT64" i="3"/>
  <c r="AT70" i="3" s="1"/>
  <c r="AU98" i="7"/>
  <c r="AU102" i="7" s="1"/>
  <c r="AT104" i="7"/>
  <c r="AT41" i="3"/>
  <c r="AU35" i="3"/>
  <c r="AU39" i="3" s="1"/>
  <c r="AT62" i="5"/>
  <c r="AU56" i="5"/>
  <c r="AT55" i="5"/>
  <c r="AU49" i="5"/>
  <c r="AT97" i="7"/>
  <c r="AU91" i="7"/>
  <c r="AU95" i="7" s="1"/>
  <c r="AU224" i="7"/>
  <c r="AU228" i="7" s="1"/>
  <c r="AT230" i="7"/>
  <c r="AV189" i="5"/>
  <c r="AU195" i="5"/>
  <c r="AU139" i="5"/>
  <c r="AV133" i="5"/>
  <c r="AV137" i="5" s="1"/>
  <c r="AU105" i="5"/>
  <c r="AU109" i="5" s="1"/>
  <c r="AT111" i="5"/>
  <c r="AU154" i="7"/>
  <c r="AU158" i="7" s="1"/>
  <c r="AT160" i="7"/>
  <c r="AT244" i="7"/>
  <c r="AU238" i="7"/>
  <c r="AU242" i="7" s="1"/>
  <c r="AU238" i="5"/>
  <c r="AU242" i="5" s="1"/>
  <c r="AT244" i="5"/>
  <c r="AU195" i="7"/>
  <c r="AV189" i="7"/>
  <c r="AU147" i="7"/>
  <c r="AU151" i="7" s="1"/>
  <c r="AT153" i="7"/>
  <c r="AU98" i="5"/>
  <c r="AU102" i="5" s="1"/>
  <c r="AT104" i="5"/>
  <c r="AU125" i="7"/>
  <c r="AV119" i="7"/>
  <c r="AV123" i="7" s="1"/>
  <c r="AU245" i="5"/>
  <c r="AT251" i="5"/>
  <c r="AV161" i="5"/>
  <c r="AU167" i="5"/>
  <c r="AU90" i="5"/>
  <c r="AV84" i="5"/>
  <c r="AV88" i="5" s="1"/>
  <c r="AT118" i="7"/>
  <c r="AU112" i="7"/>
  <c r="AU116" i="7" s="1"/>
  <c r="AU168" i="7"/>
  <c r="AU172" i="7" s="1"/>
  <c r="AT174" i="7"/>
  <c r="AT55" i="3"/>
  <c r="AU49" i="3"/>
  <c r="AU53" i="3" s="1"/>
  <c r="AV182" i="5"/>
  <c r="AU188" i="5"/>
  <c r="AW28" i="7"/>
  <c r="AW32" i="7" s="1"/>
  <c r="AV34" i="7"/>
  <c r="AW147" i="5"/>
  <c r="AW151" i="5" s="1"/>
  <c r="AV153" i="5"/>
  <c r="AU62" i="3"/>
  <c r="AV56" i="3"/>
  <c r="AT188" i="7"/>
  <c r="AU182" i="7"/>
  <c r="AU186" i="7" s="1"/>
  <c r="AX224" i="5"/>
  <c r="AW230" i="5"/>
  <c r="AV210" i="5"/>
  <c r="AV214" i="5" s="1"/>
  <c r="AU216" i="5"/>
  <c r="AU48" i="10"/>
  <c r="AV42" i="10"/>
  <c r="AU48" i="5"/>
  <c r="AV42" i="5"/>
  <c r="AV46" i="5" s="1"/>
  <c r="AT202" i="7"/>
  <c r="AU196" i="7"/>
  <c r="AU200" i="7" s="1"/>
  <c r="AV14" i="3"/>
  <c r="AV18" i="3" s="1"/>
  <c r="AU20" i="3"/>
  <c r="AV203" i="5"/>
  <c r="AU209" i="5"/>
  <c r="AU91" i="5"/>
  <c r="AU95" i="5" s="1"/>
  <c r="AT97" i="5"/>
  <c r="AU217" i="7"/>
  <c r="AU221" i="7" s="1"/>
  <c r="AT223" i="7"/>
  <c r="AV140" i="5"/>
  <c r="AV144" i="5" s="1"/>
  <c r="AU146" i="5"/>
  <c r="AU181" i="5"/>
  <c r="AV175" i="5"/>
  <c r="AV179" i="5" s="1"/>
  <c r="AU48" i="7"/>
  <c r="AV42" i="7"/>
  <c r="AV46" i="7" s="1"/>
  <c r="AV237" i="7"/>
  <c r="AW231" i="7"/>
  <c r="AW235" i="7" s="1"/>
  <c r="AW168" i="5"/>
  <c r="AW172" i="5" s="1"/>
  <c r="AV174" i="5"/>
  <c r="AT125" i="5"/>
  <c r="AU119" i="5"/>
  <c r="AU123" i="5" s="1"/>
  <c r="AV126" i="5"/>
  <c r="AV130" i="5" s="1"/>
  <c r="AU132" i="5"/>
  <c r="AX70" i="5"/>
  <c r="AW76" i="5"/>
  <c r="AT41" i="5"/>
  <c r="AU35" i="5"/>
  <c r="AU39" i="5" s="1"/>
  <c r="AU112" i="5"/>
  <c r="AU116" i="5" s="1"/>
  <c r="AT118" i="5"/>
  <c r="AT209" i="7"/>
  <c r="AU203" i="7"/>
  <c r="AT251" i="7"/>
  <c r="AU245" i="7"/>
  <c r="AV196" i="5"/>
  <c r="AV200" i="5" s="1"/>
  <c r="AU202" i="5"/>
  <c r="AV49" i="7"/>
  <c r="AV53" i="7" s="1"/>
  <c r="AU55" i="7"/>
  <c r="AT20" i="5"/>
  <c r="AU14" i="5"/>
  <c r="AT281" i="5"/>
  <c r="AT272" i="5"/>
  <c r="AT260" i="5"/>
  <c r="AT266" i="5" s="1"/>
  <c r="AU126" i="7"/>
  <c r="AU130" i="7" s="1"/>
  <c r="AT132" i="7"/>
  <c r="AV77" i="7"/>
  <c r="AV81" i="7" s="1"/>
  <c r="AU83" i="7"/>
  <c r="AT146" i="7"/>
  <c r="AU140" i="7"/>
  <c r="AU144" i="7" s="1"/>
  <c r="AU42" i="3"/>
  <c r="AU46" i="3" s="1"/>
  <c r="AT48" i="3"/>
  <c r="AU41" i="7"/>
  <c r="AV35" i="7"/>
  <c r="AV39" i="7" s="1"/>
  <c r="AU27" i="10"/>
  <c r="AV21" i="10"/>
  <c r="AU14" i="7"/>
  <c r="AT20" i="7"/>
  <c r="AT260" i="7"/>
  <c r="AT266" i="7" s="1"/>
  <c r="AT281" i="7"/>
  <c r="AT272" i="7"/>
  <c r="AU217" i="5"/>
  <c r="AU221" i="5" s="1"/>
  <c r="AT223" i="5"/>
  <c r="AT90" i="7"/>
  <c r="AU84" i="7"/>
  <c r="AU88" i="7" s="1"/>
  <c r="AW175" i="7"/>
  <c r="AW179" i="7" s="1"/>
  <c r="AV181" i="7"/>
  <c r="AT258" i="5"/>
  <c r="AU252" i="5"/>
  <c r="AU256" i="5" s="1"/>
  <c r="AT111" i="7"/>
  <c r="AU105" i="7"/>
  <c r="AU109" i="7" s="1"/>
  <c r="AV77" i="5"/>
  <c r="AV81" i="5" s="1"/>
  <c r="AU83" i="5"/>
  <c r="AT258" i="7"/>
  <c r="AU252" i="7"/>
  <c r="AT139" i="7"/>
  <c r="AU133" i="7"/>
  <c r="AU137" i="7" s="1"/>
  <c r="AT34" i="3"/>
  <c r="AU28" i="3"/>
  <c r="AU32" i="3" s="1"/>
  <c r="AT237" i="5"/>
  <c r="AU231" i="5"/>
  <c r="AU235" i="5" s="1"/>
  <c r="AU55" i="10"/>
  <c r="AV49" i="10"/>
  <c r="AT167" i="7"/>
  <c r="AU161" i="7"/>
  <c r="AU165" i="7" s="1"/>
  <c r="AU210" i="7"/>
  <c r="AT216" i="7"/>
  <c r="AV21" i="7"/>
  <c r="AU27" i="7"/>
  <c r="AS60" i="10" l="1"/>
  <c r="AS62" i="10"/>
  <c r="AT56" i="10"/>
  <c r="AS76" i="10"/>
  <c r="AS85" i="10"/>
  <c r="AS64" i="10"/>
  <c r="AS70" i="10" s="1"/>
  <c r="G64" i="9"/>
  <c r="J63" i="9"/>
  <c r="G63" i="4"/>
  <c r="J62" i="4"/>
  <c r="G63" i="6"/>
  <c r="J62" i="6"/>
  <c r="G63" i="8"/>
  <c r="J62" i="8"/>
  <c r="AU62" i="7"/>
  <c r="AV56" i="7"/>
  <c r="AV60" i="7" s="1"/>
  <c r="AU160" i="5"/>
  <c r="AV154" i="5"/>
  <c r="AV158" i="5" s="1"/>
  <c r="AX28" i="10"/>
  <c r="AW34" i="10"/>
  <c r="AV35" i="10"/>
  <c r="AU41" i="10"/>
  <c r="AU20" i="10"/>
  <c r="AV14" i="10"/>
  <c r="AU97" i="7"/>
  <c r="AV91" i="7"/>
  <c r="AV95" i="7" s="1"/>
  <c r="AX63" i="5"/>
  <c r="AW69" i="5"/>
  <c r="AU55" i="5"/>
  <c r="AV49" i="5"/>
  <c r="AV21" i="3"/>
  <c r="AV25" i="3" s="1"/>
  <c r="AU27" i="3"/>
  <c r="AU76" i="7"/>
  <c r="AV70" i="7"/>
  <c r="AV74" i="7" s="1"/>
  <c r="AV56" i="5"/>
  <c r="AU62" i="5"/>
  <c r="AW21" i="5"/>
  <c r="AW25" i="5" s="1"/>
  <c r="AV27" i="5"/>
  <c r="AV35" i="3"/>
  <c r="AV39" i="3" s="1"/>
  <c r="AU41" i="3"/>
  <c r="AV63" i="7"/>
  <c r="AV67" i="7" s="1"/>
  <c r="AU69" i="7"/>
  <c r="AU76" i="3"/>
  <c r="AV98" i="7"/>
  <c r="AV102" i="7" s="1"/>
  <c r="AU104" i="7"/>
  <c r="AV28" i="5"/>
  <c r="AV32" i="5" s="1"/>
  <c r="AU34" i="5"/>
  <c r="AU41" i="5"/>
  <c r="AV35" i="5"/>
  <c r="AV39" i="5" s="1"/>
  <c r="AW237" i="7"/>
  <c r="AX231" i="7"/>
  <c r="AX235" i="7" s="1"/>
  <c r="AV216" i="5"/>
  <c r="AW210" i="5"/>
  <c r="AW214" i="5" s="1"/>
  <c r="AV112" i="7"/>
  <c r="AV116" i="7" s="1"/>
  <c r="AU118" i="7"/>
  <c r="AW119" i="7"/>
  <c r="AW123" i="7" s="1"/>
  <c r="AV125" i="7"/>
  <c r="AV161" i="7"/>
  <c r="AV165" i="7" s="1"/>
  <c r="AU167" i="7"/>
  <c r="AU90" i="7"/>
  <c r="AV84" i="7"/>
  <c r="AV88" i="7" s="1"/>
  <c r="AW21" i="10"/>
  <c r="AV27" i="10"/>
  <c r="AW49" i="7"/>
  <c r="AW53" i="7" s="1"/>
  <c r="AV55" i="7"/>
  <c r="AW140" i="5"/>
  <c r="AW144" i="5" s="1"/>
  <c r="AV146" i="5"/>
  <c r="AW153" i="5"/>
  <c r="AX147" i="5"/>
  <c r="AX151" i="5" s="1"/>
  <c r="AU160" i="7"/>
  <c r="AV154" i="7"/>
  <c r="AV158" i="7" s="1"/>
  <c r="AV210" i="7"/>
  <c r="AU216" i="7"/>
  <c r="AX175" i="7"/>
  <c r="AX179" i="7" s="1"/>
  <c r="AW181" i="7"/>
  <c r="AW42" i="7"/>
  <c r="AW46" i="7" s="1"/>
  <c r="AV48" i="7"/>
  <c r="AW14" i="3"/>
  <c r="AW18" i="3" s="1"/>
  <c r="AV20" i="3"/>
  <c r="AV90" i="5"/>
  <c r="AW84" i="5"/>
  <c r="AW88" i="5" s="1"/>
  <c r="AU237" i="5"/>
  <c r="AV231" i="5"/>
  <c r="AV235" i="5" s="1"/>
  <c r="AY70" i="5"/>
  <c r="AX76" i="5"/>
  <c r="AU202" i="7"/>
  <c r="AV196" i="7"/>
  <c r="AV200" i="7" s="1"/>
  <c r="AX28" i="7"/>
  <c r="AX32" i="7" s="1"/>
  <c r="AW34" i="7"/>
  <c r="AU104" i="5"/>
  <c r="AV98" i="5"/>
  <c r="AV102" i="5" s="1"/>
  <c r="AU111" i="5"/>
  <c r="AV105" i="5"/>
  <c r="AV109" i="5" s="1"/>
  <c r="AW49" i="10"/>
  <c r="AV55" i="10"/>
  <c r="AV217" i="5"/>
  <c r="AV221" i="5" s="1"/>
  <c r="AU223" i="5"/>
  <c r="AW77" i="7"/>
  <c r="AW81" i="7" s="1"/>
  <c r="AV83" i="7"/>
  <c r="AW133" i="5"/>
  <c r="AW137" i="5" s="1"/>
  <c r="AV139" i="5"/>
  <c r="AV202" i="5"/>
  <c r="AW196" i="5"/>
  <c r="AW200" i="5" s="1"/>
  <c r="AV48" i="5"/>
  <c r="AW42" i="5"/>
  <c r="AW46" i="5" s="1"/>
  <c r="AV188" i="5"/>
  <c r="AW182" i="5"/>
  <c r="AU153" i="7"/>
  <c r="AV147" i="7"/>
  <c r="AV151" i="7" s="1"/>
  <c r="AU55" i="3"/>
  <c r="AV49" i="3"/>
  <c r="AV53" i="3" s="1"/>
  <c r="AV195" i="7"/>
  <c r="AW189" i="7"/>
  <c r="AX230" i="5"/>
  <c r="AY224" i="5"/>
  <c r="AV195" i="5"/>
  <c r="AW189" i="5"/>
  <c r="AW77" i="5"/>
  <c r="AW81" i="5" s="1"/>
  <c r="AV83" i="5"/>
  <c r="AU251" i="7"/>
  <c r="AV245" i="7"/>
  <c r="AU209" i="7"/>
  <c r="AV203" i="7"/>
  <c r="AU188" i="7"/>
  <c r="AV182" i="7"/>
  <c r="AV186" i="7" s="1"/>
  <c r="AW126" i="5"/>
  <c r="AW130" i="5" s="1"/>
  <c r="AV132" i="5"/>
  <c r="AU223" i="7"/>
  <c r="AV217" i="7"/>
  <c r="AV221" i="7" s="1"/>
  <c r="AU139" i="7"/>
  <c r="AV133" i="7"/>
  <c r="AV137" i="7" s="1"/>
  <c r="AU258" i="5"/>
  <c r="AV252" i="5"/>
  <c r="AV256" i="5" s="1"/>
  <c r="AV14" i="7"/>
  <c r="AU20" i="7"/>
  <c r="AU260" i="7"/>
  <c r="AU266" i="7" s="1"/>
  <c r="AU281" i="7"/>
  <c r="AU272" i="7"/>
  <c r="AV209" i="5"/>
  <c r="AW203" i="5"/>
  <c r="AW42" i="10"/>
  <c r="AV48" i="10"/>
  <c r="AW161" i="5"/>
  <c r="AV167" i="5"/>
  <c r="AU244" i="5"/>
  <c r="AV238" i="5"/>
  <c r="AV242" i="5" s="1"/>
  <c r="AU230" i="7"/>
  <c r="AV224" i="7"/>
  <c r="AV228" i="7" s="1"/>
  <c r="AU132" i="7"/>
  <c r="AV126" i="7"/>
  <c r="AV130" i="7" s="1"/>
  <c r="AV28" i="3"/>
  <c r="AV32" i="3" s="1"/>
  <c r="AU34" i="3"/>
  <c r="AV105" i="7"/>
  <c r="AV109" i="7" s="1"/>
  <c r="AU111" i="7"/>
  <c r="AV42" i="3"/>
  <c r="AV46" i="3" s="1"/>
  <c r="AU48" i="3"/>
  <c r="AU20" i="5"/>
  <c r="AV14" i="5"/>
  <c r="AU260" i="5"/>
  <c r="AU266" i="5" s="1"/>
  <c r="AU281" i="5"/>
  <c r="AU272" i="5"/>
  <c r="AW175" i="5"/>
  <c r="AW179" i="5" s="1"/>
  <c r="AV181" i="5"/>
  <c r="AU85" i="3"/>
  <c r="AV62" i="3"/>
  <c r="AW56" i="3"/>
  <c r="AU244" i="7"/>
  <c r="AV238" i="7"/>
  <c r="AV242" i="7" s="1"/>
  <c r="AU125" i="5"/>
  <c r="AV119" i="5"/>
  <c r="AV123" i="5" s="1"/>
  <c r="AW35" i="7"/>
  <c r="AW39" i="7" s="1"/>
  <c r="AV41" i="7"/>
  <c r="AU97" i="5"/>
  <c r="AV91" i="5"/>
  <c r="AV95" i="5" s="1"/>
  <c r="AW21" i="7"/>
  <c r="AV27" i="7"/>
  <c r="AV252" i="7"/>
  <c r="AU258" i="7"/>
  <c r="AU146" i="7"/>
  <c r="AV140" i="7"/>
  <c r="AV144" i="7" s="1"/>
  <c r="AU118" i="5"/>
  <c r="AV112" i="5"/>
  <c r="AV116" i="5" s="1"/>
  <c r="AW174" i="5"/>
  <c r="AX168" i="5"/>
  <c r="AX172" i="5" s="1"/>
  <c r="AU64" i="3"/>
  <c r="AU70" i="3" s="1"/>
  <c r="AV168" i="7"/>
  <c r="AV172" i="7" s="1"/>
  <c r="AU174" i="7"/>
  <c r="AU251" i="5"/>
  <c r="AV245" i="5"/>
  <c r="AT60" i="10" l="1"/>
  <c r="AT62" i="10"/>
  <c r="AU56" i="10"/>
  <c r="AT85" i="10"/>
  <c r="AT76" i="10"/>
  <c r="AT64" i="10"/>
  <c r="AT70" i="10" s="1"/>
  <c r="G65" i="9"/>
  <c r="J64" i="9"/>
  <c r="G64" i="4"/>
  <c r="J63" i="4"/>
  <c r="G64" i="6"/>
  <c r="J63" i="6"/>
  <c r="G64" i="8"/>
  <c r="J63" i="8"/>
  <c r="AW56" i="7"/>
  <c r="AW60" i="7" s="1"/>
  <c r="AV62" i="7"/>
  <c r="AV160" i="5"/>
  <c r="AW154" i="5"/>
  <c r="AW158" i="5" s="1"/>
  <c r="AY28" i="10"/>
  <c r="AX34" i="10"/>
  <c r="AV20" i="10"/>
  <c r="AW14" i="10"/>
  <c r="AV76" i="3"/>
  <c r="AW35" i="10"/>
  <c r="AV41" i="10"/>
  <c r="AV62" i="5"/>
  <c r="AW56" i="5"/>
  <c r="AW28" i="5"/>
  <c r="AW32" i="5" s="1"/>
  <c r="AV34" i="5"/>
  <c r="AW70" i="7"/>
  <c r="AW74" i="7" s="1"/>
  <c r="AV76" i="7"/>
  <c r="AV64" i="3"/>
  <c r="AV70" i="3" s="1"/>
  <c r="AV104" i="7"/>
  <c r="AW98" i="7"/>
  <c r="AW102" i="7" s="1"/>
  <c r="AW21" i="3"/>
  <c r="AW25" i="3" s="1"/>
  <c r="AV27" i="3"/>
  <c r="AV55" i="5"/>
  <c r="AW49" i="5"/>
  <c r="AV69" i="7"/>
  <c r="AW63" i="7"/>
  <c r="AW67" i="7" s="1"/>
  <c r="AV41" i="3"/>
  <c r="AW35" i="3"/>
  <c r="AW39" i="3" s="1"/>
  <c r="AY63" i="5"/>
  <c r="AX69" i="5"/>
  <c r="AV97" i="7"/>
  <c r="AW91" i="7"/>
  <c r="AW95" i="7" s="1"/>
  <c r="AX21" i="5"/>
  <c r="AX25" i="5" s="1"/>
  <c r="AW27" i="5"/>
  <c r="AW126" i="7"/>
  <c r="AW130" i="7" s="1"/>
  <c r="AV132" i="7"/>
  <c r="AW209" i="5"/>
  <c r="AX203" i="5"/>
  <c r="AV85" i="3"/>
  <c r="AY175" i="7"/>
  <c r="AY179" i="7" s="1"/>
  <c r="AX181" i="7"/>
  <c r="AW161" i="7"/>
  <c r="AW165" i="7" s="1"/>
  <c r="AV167" i="7"/>
  <c r="AV209" i="7"/>
  <c r="AW203" i="7"/>
  <c r="AX189" i="7"/>
  <c r="AW195" i="7"/>
  <c r="AW202" i="5"/>
  <c r="AX196" i="5"/>
  <c r="AX200" i="5" s="1"/>
  <c r="AV118" i="5"/>
  <c r="AW112" i="5"/>
  <c r="AW116" i="5" s="1"/>
  <c r="AW119" i="5"/>
  <c r="AW123" i="5" s="1"/>
  <c r="AV125" i="5"/>
  <c r="AV230" i="7"/>
  <c r="AW224" i="7"/>
  <c r="AW228" i="7" s="1"/>
  <c r="AV223" i="5"/>
  <c r="AW217" i="5"/>
  <c r="AW221" i="5" s="1"/>
  <c r="AY28" i="7"/>
  <c r="AY32" i="7" s="1"/>
  <c r="AX34" i="7"/>
  <c r="AX140" i="5"/>
  <c r="AX144" i="5" s="1"/>
  <c r="AW146" i="5"/>
  <c r="AV251" i="7"/>
  <c r="AW245" i="7"/>
  <c r="AV202" i="7"/>
  <c r="AW196" i="7"/>
  <c r="AW200" i="7" s="1"/>
  <c r="AV216" i="7"/>
  <c r="AW210" i="7"/>
  <c r="AX119" i="7"/>
  <c r="AX123" i="7" s="1"/>
  <c r="AW125" i="7"/>
  <c r="AV146" i="7"/>
  <c r="AW140" i="7"/>
  <c r="AW144" i="7" s="1"/>
  <c r="AV20" i="5"/>
  <c r="AW14" i="5"/>
  <c r="AV260" i="5"/>
  <c r="AV266" i="5" s="1"/>
  <c r="AV281" i="5"/>
  <c r="AV272" i="5"/>
  <c r="AW238" i="5"/>
  <c r="AW242" i="5" s="1"/>
  <c r="AV244" i="5"/>
  <c r="AX133" i="5"/>
  <c r="AX137" i="5" s="1"/>
  <c r="AW139" i="5"/>
  <c r="AW154" i="7"/>
  <c r="AW158" i="7" s="1"/>
  <c r="AV160" i="7"/>
  <c r="AX49" i="7"/>
  <c r="AX53" i="7" s="1"/>
  <c r="AW55" i="7"/>
  <c r="AV55" i="3"/>
  <c r="AW49" i="3"/>
  <c r="AW53" i="3" s="1"/>
  <c r="AX14" i="3"/>
  <c r="AX18" i="3" s="1"/>
  <c r="AW20" i="3"/>
  <c r="AV118" i="7"/>
  <c r="AW112" i="7"/>
  <c r="AW116" i="7" s="1"/>
  <c r="AW216" i="5"/>
  <c r="AX210" i="5"/>
  <c r="AX214" i="5" s="1"/>
  <c r="AW245" i="5"/>
  <c r="AV251" i="5"/>
  <c r="AV258" i="7"/>
  <c r="AW252" i="7"/>
  <c r="AW42" i="3"/>
  <c r="AW46" i="3" s="1"/>
  <c r="AV48" i="3"/>
  <c r="AW167" i="5"/>
  <c r="AX161" i="5"/>
  <c r="AV153" i="7"/>
  <c r="AW147" i="7"/>
  <c r="AW151" i="7" s="1"/>
  <c r="AX42" i="7"/>
  <c r="AX46" i="7" s="1"/>
  <c r="AW48" i="7"/>
  <c r="AW62" i="3"/>
  <c r="AX56" i="3"/>
  <c r="AW14" i="7"/>
  <c r="AV20" i="7"/>
  <c r="AV272" i="7"/>
  <c r="AV260" i="7"/>
  <c r="AV266" i="7" s="1"/>
  <c r="AV281" i="7"/>
  <c r="AX126" i="5"/>
  <c r="AX130" i="5" s="1"/>
  <c r="AW132" i="5"/>
  <c r="AX77" i="5"/>
  <c r="AX81" i="5" s="1"/>
  <c r="AW83" i="5"/>
  <c r="AX49" i="10"/>
  <c r="AW55" i="10"/>
  <c r="AZ70" i="5"/>
  <c r="AY76" i="5"/>
  <c r="AX237" i="7"/>
  <c r="AY231" i="7"/>
  <c r="AY235" i="7" s="1"/>
  <c r="AY147" i="5"/>
  <c r="AY151" i="5" s="1"/>
  <c r="AX153" i="5"/>
  <c r="AX21" i="7"/>
  <c r="AW27" i="7"/>
  <c r="AV111" i="7"/>
  <c r="AW105" i="7"/>
  <c r="AW109" i="7" s="1"/>
  <c r="AW252" i="5"/>
  <c r="AW256" i="5" s="1"/>
  <c r="AV258" i="5"/>
  <c r="AV188" i="7"/>
  <c r="AW182" i="7"/>
  <c r="AW186" i="7" s="1"/>
  <c r="AW195" i="5"/>
  <c r="AX189" i="5"/>
  <c r="AW188" i="5"/>
  <c r="AX182" i="5"/>
  <c r="AV111" i="5"/>
  <c r="AW105" i="5"/>
  <c r="AW109" i="5" s="1"/>
  <c r="AV237" i="5"/>
  <c r="AW231" i="5"/>
  <c r="AW235" i="5" s="1"/>
  <c r="AX21" i="10"/>
  <c r="AW27" i="10"/>
  <c r="AX35" i="7"/>
  <c r="AX39" i="7" s="1"/>
  <c r="AW41" i="7"/>
  <c r="AV223" i="7"/>
  <c r="AW217" i="7"/>
  <c r="AW221" i="7" s="1"/>
  <c r="AX77" i="7"/>
  <c r="AX81" i="7" s="1"/>
  <c r="AW83" i="7"/>
  <c r="AW84" i="7"/>
  <c r="AW88" i="7" s="1"/>
  <c r="AV90" i="7"/>
  <c r="AW35" i="5"/>
  <c r="AW39" i="5" s="1"/>
  <c r="AV41" i="5"/>
  <c r="AX174" i="5"/>
  <c r="AY168" i="5"/>
  <c r="AY172" i="5" s="1"/>
  <c r="AW181" i="5"/>
  <c r="AX175" i="5"/>
  <c r="AX179" i="5" s="1"/>
  <c r="AV244" i="7"/>
  <c r="AW238" i="7"/>
  <c r="AW242" i="7" s="1"/>
  <c r="AW168" i="7"/>
  <c r="AW172" i="7" s="1"/>
  <c r="AV174" i="7"/>
  <c r="AV97" i="5"/>
  <c r="AW91" i="5"/>
  <c r="AW95" i="5" s="1"/>
  <c r="AW28" i="3"/>
  <c r="AW32" i="3" s="1"/>
  <c r="AV34" i="3"/>
  <c r="AX42" i="10"/>
  <c r="AW48" i="10"/>
  <c r="AV139" i="7"/>
  <c r="AW133" i="7"/>
  <c r="AW137" i="7" s="1"/>
  <c r="AZ224" i="5"/>
  <c r="AY230" i="5"/>
  <c r="AW48" i="5"/>
  <c r="AX42" i="5"/>
  <c r="AX46" i="5" s="1"/>
  <c r="AV104" i="5"/>
  <c r="AW98" i="5"/>
  <c r="AW102" i="5" s="1"/>
  <c r="AX84" i="5"/>
  <c r="AX88" i="5" s="1"/>
  <c r="AW90" i="5"/>
  <c r="AU60" i="10" l="1"/>
  <c r="AU62" i="10"/>
  <c r="AV56" i="10"/>
  <c r="AU85" i="10"/>
  <c r="AU76" i="10"/>
  <c r="AU64" i="10"/>
  <c r="AU70" i="10" s="1"/>
  <c r="G66" i="9"/>
  <c r="J65" i="9"/>
  <c r="G65" i="4"/>
  <c r="J64" i="4"/>
  <c r="G65" i="6"/>
  <c r="J64" i="6"/>
  <c r="G65" i="8"/>
  <c r="J64" i="8"/>
  <c r="AX56" i="7"/>
  <c r="AX60" i="7" s="1"/>
  <c r="AW62" i="7"/>
  <c r="AW160" i="5"/>
  <c r="AX154" i="5"/>
  <c r="AX158" i="5" s="1"/>
  <c r="AZ28" i="10"/>
  <c r="AY34" i="10"/>
  <c r="AX35" i="10"/>
  <c r="AW41" i="10"/>
  <c r="AW20" i="10"/>
  <c r="AX14" i="10"/>
  <c r="AY21" i="5"/>
  <c r="AY25" i="5" s="1"/>
  <c r="AX27" i="5"/>
  <c r="AW27" i="3"/>
  <c r="AX21" i="3"/>
  <c r="AX25" i="3" s="1"/>
  <c r="AX91" i="7"/>
  <c r="AX95" i="7" s="1"/>
  <c r="AW97" i="7"/>
  <c r="AW104" i="7"/>
  <c r="AX98" i="7"/>
  <c r="AX102" i="7" s="1"/>
  <c r="AW85" i="3"/>
  <c r="AZ63" i="5"/>
  <c r="AY69" i="5"/>
  <c r="AW41" i="3"/>
  <c r="AX35" i="3"/>
  <c r="AX39" i="3" s="1"/>
  <c r="AW76" i="7"/>
  <c r="AX70" i="7"/>
  <c r="AX74" i="7" s="1"/>
  <c r="AW64" i="3"/>
  <c r="AW70" i="3" s="1"/>
  <c r="AW76" i="3"/>
  <c r="AW69" i="7"/>
  <c r="AX63" i="7"/>
  <c r="AX67" i="7" s="1"/>
  <c r="AX28" i="5"/>
  <c r="AX32" i="5" s="1"/>
  <c r="AW34" i="5"/>
  <c r="AX56" i="5"/>
  <c r="AW62" i="5"/>
  <c r="AX49" i="5"/>
  <c r="AW55" i="5"/>
  <c r="AX210" i="7"/>
  <c r="AW216" i="7"/>
  <c r="AX202" i="5"/>
  <c r="AY196" i="5"/>
  <c r="AY200" i="5" s="1"/>
  <c r="AX182" i="7"/>
  <c r="AX186" i="7" s="1"/>
  <c r="AW188" i="7"/>
  <c r="AZ28" i="7"/>
  <c r="AZ32" i="7" s="1"/>
  <c r="AY34" i="7"/>
  <c r="AY153" i="5"/>
  <c r="AZ147" i="5"/>
  <c r="AZ151" i="5" s="1"/>
  <c r="AW41" i="5"/>
  <c r="AX35" i="5"/>
  <c r="AX39" i="5" s="1"/>
  <c r="AY42" i="5"/>
  <c r="AY46" i="5" s="1"/>
  <c r="AX48" i="5"/>
  <c r="AX27" i="10"/>
  <c r="AY21" i="10"/>
  <c r="AY161" i="5"/>
  <c r="AX167" i="5"/>
  <c r="AX238" i="5"/>
  <c r="AX242" i="5" s="1"/>
  <c r="AW244" i="5"/>
  <c r="AX196" i="7"/>
  <c r="AX200" i="7" s="1"/>
  <c r="AW202" i="7"/>
  <c r="AW223" i="5"/>
  <c r="AX217" i="5"/>
  <c r="AX221" i="5" s="1"/>
  <c r="AY189" i="7"/>
  <c r="AX195" i="7"/>
  <c r="AY49" i="7"/>
  <c r="AY53" i="7" s="1"/>
  <c r="AX55" i="7"/>
  <c r="AW209" i="7"/>
  <c r="AX203" i="7"/>
  <c r="AX168" i="7"/>
  <c r="AX172" i="7" s="1"/>
  <c r="AW174" i="7"/>
  <c r="AY237" i="7"/>
  <c r="AZ231" i="7"/>
  <c r="AZ235" i="7" s="1"/>
  <c r="AX154" i="7"/>
  <c r="AX158" i="7" s="1"/>
  <c r="AW160" i="7"/>
  <c r="AW20" i="5"/>
  <c r="AX14" i="5"/>
  <c r="AW260" i="5"/>
  <c r="AW266" i="5" s="1"/>
  <c r="AW281" i="5"/>
  <c r="AW272" i="5"/>
  <c r="AW251" i="7"/>
  <c r="AX245" i="7"/>
  <c r="AW230" i="7"/>
  <c r="AX224" i="7"/>
  <c r="AX228" i="7" s="1"/>
  <c r="BA224" i="5"/>
  <c r="AZ230" i="5"/>
  <c r="AY77" i="7"/>
  <c r="AY81" i="7" s="1"/>
  <c r="AX83" i="7"/>
  <c r="AW237" i="5"/>
  <c r="AX231" i="5"/>
  <c r="AX235" i="5" s="1"/>
  <c r="AX42" i="3"/>
  <c r="AX46" i="3" s="1"/>
  <c r="AW48" i="3"/>
  <c r="AW244" i="7"/>
  <c r="AX238" i="7"/>
  <c r="AX242" i="7" s="1"/>
  <c r="AX62" i="3"/>
  <c r="AY56" i="3"/>
  <c r="AW258" i="7"/>
  <c r="AX252" i="7"/>
  <c r="AX105" i="7"/>
  <c r="AX109" i="7" s="1"/>
  <c r="AW111" i="7"/>
  <c r="AX161" i="7"/>
  <c r="AX165" i="7" s="1"/>
  <c r="AW167" i="7"/>
  <c r="AW97" i="5"/>
  <c r="AX91" i="5"/>
  <c r="AX95" i="5" s="1"/>
  <c r="AY126" i="5"/>
  <c r="AY130" i="5" s="1"/>
  <c r="AX132" i="5"/>
  <c r="AX14" i="7"/>
  <c r="AW20" i="7"/>
  <c r="AW260" i="7"/>
  <c r="AW266" i="7" s="1"/>
  <c r="AW281" i="7"/>
  <c r="AW272" i="7"/>
  <c r="AW139" i="7"/>
  <c r="AX133" i="7"/>
  <c r="AX137" i="7" s="1"/>
  <c r="AW223" i="7"/>
  <c r="AX217" i="7"/>
  <c r="AX221" i="7" s="1"/>
  <c r="BA70" i="5"/>
  <c r="AZ76" i="5"/>
  <c r="AY14" i="3"/>
  <c r="AY18" i="3" s="1"/>
  <c r="AX20" i="3"/>
  <c r="AX105" i="5"/>
  <c r="AX109" i="5" s="1"/>
  <c r="AW111" i="5"/>
  <c r="AX181" i="5"/>
  <c r="AY175" i="5"/>
  <c r="AY179" i="5" s="1"/>
  <c r="AY49" i="10"/>
  <c r="AX55" i="10"/>
  <c r="AX140" i="7"/>
  <c r="AX144" i="7" s="1"/>
  <c r="AW146" i="7"/>
  <c r="AX209" i="5"/>
  <c r="AY203" i="5"/>
  <c r="AW104" i="5"/>
  <c r="AX98" i="5"/>
  <c r="AX102" i="5" s="1"/>
  <c r="AX147" i="7"/>
  <c r="AX151" i="7" s="1"/>
  <c r="AW153" i="7"/>
  <c r="AW90" i="7"/>
  <c r="AX84" i="7"/>
  <c r="AX88" i="7" s="1"/>
  <c r="AX252" i="5"/>
  <c r="AX256" i="5" s="1"/>
  <c r="AW258" i="5"/>
  <c r="AY42" i="7"/>
  <c r="AY46" i="7" s="1"/>
  <c r="AX48" i="7"/>
  <c r="AW55" i="3"/>
  <c r="AX49" i="3"/>
  <c r="AX53" i="3" s="1"/>
  <c r="AW125" i="5"/>
  <c r="AX119" i="5"/>
  <c r="AX123" i="5" s="1"/>
  <c r="AZ175" i="7"/>
  <c r="AZ179" i="7" s="1"/>
  <c r="AY181" i="7"/>
  <c r="AX112" i="7"/>
  <c r="AX116" i="7" s="1"/>
  <c r="AW118" i="7"/>
  <c r="AX48" i="10"/>
  <c r="AY42" i="10"/>
  <c r="AY35" i="7"/>
  <c r="AY39" i="7" s="1"/>
  <c r="AX41" i="7"/>
  <c r="AX188" i="5"/>
  <c r="AY182" i="5"/>
  <c r="AY21" i="7"/>
  <c r="AX27" i="7"/>
  <c r="AX83" i="5"/>
  <c r="AY77" i="5"/>
  <c r="AY81" i="5" s="1"/>
  <c r="AX216" i="5"/>
  <c r="AY210" i="5"/>
  <c r="AY214" i="5" s="1"/>
  <c r="AY133" i="5"/>
  <c r="AY137" i="5" s="1"/>
  <c r="AX139" i="5"/>
  <c r="AW118" i="5"/>
  <c r="AX112" i="5"/>
  <c r="AX116" i="5" s="1"/>
  <c r="AW251" i="5"/>
  <c r="AX245" i="5"/>
  <c r="AY174" i="5"/>
  <c r="AZ168" i="5"/>
  <c r="AZ172" i="5" s="1"/>
  <c r="AX90" i="5"/>
  <c r="AY84" i="5"/>
  <c r="AY88" i="5" s="1"/>
  <c r="AX28" i="3"/>
  <c r="AX32" i="3" s="1"/>
  <c r="AW34" i="3"/>
  <c r="AX195" i="5"/>
  <c r="AY189" i="5"/>
  <c r="AX125" i="7"/>
  <c r="AY119" i="7"/>
  <c r="AY123" i="7" s="1"/>
  <c r="AX146" i="5"/>
  <c r="AY140" i="5"/>
  <c r="AY144" i="5" s="1"/>
  <c r="AX126" i="7"/>
  <c r="AX130" i="7" s="1"/>
  <c r="AW132" i="7"/>
  <c r="AV60" i="10" l="1"/>
  <c r="AW56" i="10"/>
  <c r="AV62" i="10"/>
  <c r="AV64" i="10"/>
  <c r="AV70" i="10" s="1"/>
  <c r="AV76" i="10"/>
  <c r="AV85" i="10"/>
  <c r="G67" i="9"/>
  <c r="J66" i="9"/>
  <c r="G66" i="4"/>
  <c r="J65" i="4"/>
  <c r="G66" i="6"/>
  <c r="J65" i="6"/>
  <c r="G66" i="8"/>
  <c r="J65" i="8"/>
  <c r="AX62" i="7"/>
  <c r="AY56" i="7"/>
  <c r="AY60" i="7" s="1"/>
  <c r="AX160" i="5"/>
  <c r="AY154" i="5"/>
  <c r="AY158" i="5" s="1"/>
  <c r="AZ34" i="10"/>
  <c r="BA28" i="10"/>
  <c r="AX76" i="3"/>
  <c r="AX64" i="3"/>
  <c r="AX70" i="3" s="1"/>
  <c r="AX20" i="10"/>
  <c r="AY14" i="10"/>
  <c r="AX41" i="10"/>
  <c r="AY35" i="10"/>
  <c r="AX55" i="5"/>
  <c r="AY49" i="5"/>
  <c r="AY56" i="5"/>
  <c r="AX62" i="5"/>
  <c r="AZ69" i="5"/>
  <c r="BA63" i="5"/>
  <c r="AY28" i="5"/>
  <c r="AY32" i="5" s="1"/>
  <c r="AX34" i="5"/>
  <c r="AX104" i="7"/>
  <c r="AY98" i="7"/>
  <c r="AY102" i="7" s="1"/>
  <c r="AX69" i="7"/>
  <c r="AY63" i="7"/>
  <c r="AY67" i="7" s="1"/>
  <c r="AY91" i="7"/>
  <c r="AY95" i="7" s="1"/>
  <c r="AX97" i="7"/>
  <c r="AY21" i="3"/>
  <c r="AY25" i="3" s="1"/>
  <c r="AX27" i="3"/>
  <c r="AX76" i="7"/>
  <c r="AY70" i="7"/>
  <c r="AY74" i="7" s="1"/>
  <c r="AY35" i="3"/>
  <c r="AY39" i="3" s="1"/>
  <c r="AX41" i="3"/>
  <c r="AZ21" i="5"/>
  <c r="AZ25" i="5" s="1"/>
  <c r="AY27" i="5"/>
  <c r="AX223" i="5"/>
  <c r="AY217" i="5"/>
  <c r="AY221" i="5" s="1"/>
  <c r="AY188" i="5"/>
  <c r="AZ182" i="5"/>
  <c r="BA175" i="7"/>
  <c r="BA179" i="7" s="1"/>
  <c r="AZ181" i="7"/>
  <c r="AY105" i="7"/>
  <c r="AY109" i="7" s="1"/>
  <c r="AX111" i="7"/>
  <c r="AZ77" i="7"/>
  <c r="AZ81" i="7" s="1"/>
  <c r="AY83" i="7"/>
  <c r="AY203" i="7"/>
  <c r="AX209" i="7"/>
  <c r="AZ21" i="10"/>
  <c r="AY27" i="10"/>
  <c r="AY182" i="7"/>
  <c r="AY186" i="7" s="1"/>
  <c r="AX188" i="7"/>
  <c r="AX258" i="5"/>
  <c r="AY252" i="5"/>
  <c r="AY256" i="5" s="1"/>
  <c r="AZ189" i="7"/>
  <c r="AY195" i="7"/>
  <c r="AZ119" i="7"/>
  <c r="AZ123" i="7" s="1"/>
  <c r="AY125" i="7"/>
  <c r="AZ35" i="7"/>
  <c r="AZ39" i="7" s="1"/>
  <c r="AY41" i="7"/>
  <c r="AY14" i="7"/>
  <c r="AX20" i="7"/>
  <c r="AX272" i="7"/>
  <c r="AX260" i="7"/>
  <c r="AX266" i="7" s="1"/>
  <c r="AX281" i="7"/>
  <c r="BB224" i="5"/>
  <c r="BA230" i="5"/>
  <c r="BA231" i="7"/>
  <c r="BA235" i="7" s="1"/>
  <c r="AZ237" i="7"/>
  <c r="AY196" i="7"/>
  <c r="AY200" i="7" s="1"/>
  <c r="AX202" i="7"/>
  <c r="AY202" i="5"/>
  <c r="AZ196" i="5"/>
  <c r="AZ200" i="5" s="1"/>
  <c r="AX118" i="7"/>
  <c r="AY112" i="7"/>
  <c r="AY116" i="7" s="1"/>
  <c r="AY154" i="7"/>
  <c r="AY158" i="7" s="1"/>
  <c r="AX160" i="7"/>
  <c r="AY48" i="10"/>
  <c r="AZ42" i="10"/>
  <c r="BA76" i="5"/>
  <c r="BB70" i="5"/>
  <c r="AZ56" i="3"/>
  <c r="AY62" i="3"/>
  <c r="AX230" i="7"/>
  <c r="AY224" i="7"/>
  <c r="AY228" i="7" s="1"/>
  <c r="AZ49" i="7"/>
  <c r="AZ53" i="7" s="1"/>
  <c r="AY55" i="7"/>
  <c r="AZ42" i="5"/>
  <c r="AZ46" i="5" s="1"/>
  <c r="AY48" i="5"/>
  <c r="AX167" i="7"/>
  <c r="AY161" i="7"/>
  <c r="AY165" i="7" s="1"/>
  <c r="AX20" i="5"/>
  <c r="AY14" i="5"/>
  <c r="AX260" i="5"/>
  <c r="AX266" i="5" s="1"/>
  <c r="AX281" i="5"/>
  <c r="AX272" i="5"/>
  <c r="AY112" i="5"/>
  <c r="AY116" i="5" s="1"/>
  <c r="AX118" i="5"/>
  <c r="AY195" i="5"/>
  <c r="AZ189" i="5"/>
  <c r="AY84" i="7"/>
  <c r="AY88" i="7" s="1"/>
  <c r="AX90" i="7"/>
  <c r="AZ14" i="3"/>
  <c r="AZ18" i="3" s="1"/>
  <c r="AY20" i="3"/>
  <c r="AX258" i="7"/>
  <c r="AY252" i="7"/>
  <c r="AZ133" i="5"/>
  <c r="AZ137" i="5" s="1"/>
  <c r="AY139" i="5"/>
  <c r="AY216" i="5"/>
  <c r="AZ210" i="5"/>
  <c r="AZ214" i="5" s="1"/>
  <c r="AY28" i="3"/>
  <c r="AY32" i="3" s="1"/>
  <c r="AX34" i="3"/>
  <c r="AY147" i="7"/>
  <c r="AY151" i="7" s="1"/>
  <c r="AX153" i="7"/>
  <c r="AZ49" i="10"/>
  <c r="AY55" i="10"/>
  <c r="AY132" i="5"/>
  <c r="AZ126" i="5"/>
  <c r="AZ130" i="5" s="1"/>
  <c r="AX244" i="5"/>
  <c r="AY238" i="5"/>
  <c r="AY242" i="5" s="1"/>
  <c r="AY35" i="5"/>
  <c r="AY39" i="5" s="1"/>
  <c r="AX41" i="5"/>
  <c r="AY140" i="7"/>
  <c r="AY144" i="7" s="1"/>
  <c r="AX146" i="7"/>
  <c r="AZ84" i="5"/>
  <c r="AZ88" i="5" s="1"/>
  <c r="AY90" i="5"/>
  <c r="AX97" i="5"/>
  <c r="AY91" i="5"/>
  <c r="AY95" i="5" s="1"/>
  <c r="AX244" i="7"/>
  <c r="AY238" i="7"/>
  <c r="AY242" i="7" s="1"/>
  <c r="AX251" i="7"/>
  <c r="AY245" i="7"/>
  <c r="AY168" i="7"/>
  <c r="AY172" i="7" s="1"/>
  <c r="AX174" i="7"/>
  <c r="AY210" i="7"/>
  <c r="AX216" i="7"/>
  <c r="AX55" i="3"/>
  <c r="AY49" i="3"/>
  <c r="AY53" i="3" s="1"/>
  <c r="AX104" i="5"/>
  <c r="AY98" i="5"/>
  <c r="AY102" i="5" s="1"/>
  <c r="AY181" i="5"/>
  <c r="AZ175" i="5"/>
  <c r="AZ179" i="5" s="1"/>
  <c r="AY217" i="7"/>
  <c r="AY221" i="7" s="1"/>
  <c r="AX223" i="7"/>
  <c r="AY167" i="5"/>
  <c r="AZ161" i="5"/>
  <c r="AZ153" i="5"/>
  <c r="BA147" i="5"/>
  <c r="BA151" i="5" s="1"/>
  <c r="AZ174" i="5"/>
  <c r="BA168" i="5"/>
  <c r="BA172" i="5" s="1"/>
  <c r="AZ42" i="7"/>
  <c r="AZ46" i="7" s="1"/>
  <c r="AY48" i="7"/>
  <c r="AX111" i="5"/>
  <c r="AY105" i="5"/>
  <c r="AY109" i="5" s="1"/>
  <c r="AY133" i="7"/>
  <c r="AY137" i="7" s="1"/>
  <c r="AX139" i="7"/>
  <c r="AY42" i="3"/>
  <c r="AY46" i="3" s="1"/>
  <c r="AX48" i="3"/>
  <c r="AY27" i="7"/>
  <c r="AZ21" i="7"/>
  <c r="AX125" i="5"/>
  <c r="AY119" i="5"/>
  <c r="AY123" i="5" s="1"/>
  <c r="AZ77" i="5"/>
  <c r="AZ81" i="5" s="1"/>
  <c r="AY83" i="5"/>
  <c r="AY209" i="5"/>
  <c r="AZ203" i="5"/>
  <c r="AY126" i="7"/>
  <c r="AY130" i="7" s="1"/>
  <c r="AX132" i="7"/>
  <c r="AZ140" i="5"/>
  <c r="AZ144" i="5" s="1"/>
  <c r="AY146" i="5"/>
  <c r="AX251" i="5"/>
  <c r="AY245" i="5"/>
  <c r="AX85" i="3"/>
  <c r="AX237" i="5"/>
  <c r="AY231" i="5"/>
  <c r="AY235" i="5" s="1"/>
  <c r="BA28" i="7"/>
  <c r="BA32" i="7" s="1"/>
  <c r="AZ34" i="7"/>
  <c r="AW60" i="10" l="1"/>
  <c r="AX56" i="10"/>
  <c r="AW62" i="10"/>
  <c r="AW64" i="10"/>
  <c r="AW70" i="10" s="1"/>
  <c r="AW76" i="10"/>
  <c r="AW85" i="10"/>
  <c r="G68" i="9"/>
  <c r="J67" i="9"/>
  <c r="G67" i="4"/>
  <c r="J66" i="4"/>
  <c r="G67" i="6"/>
  <c r="J66" i="6"/>
  <c r="G67" i="8"/>
  <c r="J66" i="8"/>
  <c r="AZ56" i="7"/>
  <c r="AZ60" i="7" s="1"/>
  <c r="AY62" i="7"/>
  <c r="AY160" i="5"/>
  <c r="AZ154" i="5"/>
  <c r="AZ158" i="5" s="1"/>
  <c r="BB28" i="10"/>
  <c r="BA34" i="10"/>
  <c r="AZ35" i="10"/>
  <c r="AY41" i="10"/>
  <c r="AZ14" i="10"/>
  <c r="AY20" i="10"/>
  <c r="AY85" i="3"/>
  <c r="AZ63" i="7"/>
  <c r="AZ67" i="7" s="1"/>
  <c r="AY69" i="7"/>
  <c r="AY104" i="7"/>
  <c r="AZ98" i="7"/>
  <c r="AZ102" i="7" s="1"/>
  <c r="BA21" i="5"/>
  <c r="BA25" i="5" s="1"/>
  <c r="AZ27" i="5"/>
  <c r="AZ35" i="3"/>
  <c r="AZ39" i="3" s="1"/>
  <c r="AY41" i="3"/>
  <c r="AY34" i="5"/>
  <c r="AZ28" i="5"/>
  <c r="AZ32" i="5" s="1"/>
  <c r="AZ70" i="7"/>
  <c r="AZ74" i="7" s="1"/>
  <c r="AY76" i="7"/>
  <c r="BB63" i="5"/>
  <c r="BA69" i="5"/>
  <c r="AZ21" i="3"/>
  <c r="AZ25" i="3" s="1"/>
  <c r="AY27" i="3"/>
  <c r="AZ56" i="5"/>
  <c r="AY62" i="5"/>
  <c r="AZ49" i="5"/>
  <c r="AY55" i="5"/>
  <c r="AZ91" i="7"/>
  <c r="AZ95" i="7" s="1"/>
  <c r="AY97" i="7"/>
  <c r="AZ83" i="5"/>
  <c r="BA77" i="5"/>
  <c r="BA81" i="5" s="1"/>
  <c r="BA161" i="5"/>
  <c r="AZ167" i="5"/>
  <c r="AY104" i="5"/>
  <c r="AZ98" i="5"/>
  <c r="AZ102" i="5" s="1"/>
  <c r="AY97" i="5"/>
  <c r="AZ91" i="5"/>
  <c r="AZ95" i="5" s="1"/>
  <c r="AZ252" i="7"/>
  <c r="AY258" i="7"/>
  <c r="AY118" i="5"/>
  <c r="AZ112" i="5"/>
  <c r="AZ116" i="5" s="1"/>
  <c r="AY230" i="7"/>
  <c r="AZ224" i="7"/>
  <c r="AZ228" i="7" s="1"/>
  <c r="AZ202" i="5"/>
  <c r="BA196" i="5"/>
  <c r="BA200" i="5" s="1"/>
  <c r="AY20" i="7"/>
  <c r="AZ14" i="7"/>
  <c r="AY272" i="7"/>
  <c r="AY260" i="7"/>
  <c r="AY266" i="7" s="1"/>
  <c r="AY281" i="7"/>
  <c r="AZ49" i="3"/>
  <c r="AZ53" i="3" s="1"/>
  <c r="AY55" i="3"/>
  <c r="AY64" i="3"/>
  <c r="AY70" i="3" s="1"/>
  <c r="BA35" i="7"/>
  <c r="BA39" i="7" s="1"/>
  <c r="AZ41" i="7"/>
  <c r="BA49" i="10"/>
  <c r="AZ55" i="10"/>
  <c r="AZ119" i="5"/>
  <c r="AZ123" i="5" s="1"/>
  <c r="AY125" i="5"/>
  <c r="AY223" i="7"/>
  <c r="AZ217" i="7"/>
  <c r="AZ221" i="7" s="1"/>
  <c r="BA84" i="5"/>
  <c r="BA88" i="5" s="1"/>
  <c r="AZ90" i="5"/>
  <c r="AZ147" i="7"/>
  <c r="AZ151" i="7" s="1"/>
  <c r="AY153" i="7"/>
  <c r="AY76" i="3"/>
  <c r="BA56" i="3"/>
  <c r="AZ62" i="3"/>
  <c r="AZ196" i="7"/>
  <c r="AZ200" i="7" s="1"/>
  <c r="AY202" i="7"/>
  <c r="AZ27" i="10"/>
  <c r="BA21" i="10"/>
  <c r="BA181" i="7"/>
  <c r="BB175" i="7"/>
  <c r="BB179" i="7" s="1"/>
  <c r="AZ14" i="5"/>
  <c r="AY20" i="5"/>
  <c r="AY272" i="5"/>
  <c r="AY260" i="5"/>
  <c r="AY266" i="5" s="1"/>
  <c r="AY281" i="5"/>
  <c r="BB76" i="5"/>
  <c r="BC70" i="5"/>
  <c r="BA119" i="7"/>
  <c r="BA123" i="7" s="1"/>
  <c r="AZ125" i="7"/>
  <c r="AZ188" i="5"/>
  <c r="BA182" i="5"/>
  <c r="AZ210" i="7"/>
  <c r="AY216" i="7"/>
  <c r="AZ140" i="7"/>
  <c r="AZ144" i="7" s="1"/>
  <c r="AY146" i="7"/>
  <c r="BB231" i="7"/>
  <c r="BB235" i="7" s="1"/>
  <c r="BA237" i="7"/>
  <c r="AZ203" i="7"/>
  <c r="AY209" i="7"/>
  <c r="BA14" i="3"/>
  <c r="BA18" i="3" s="1"/>
  <c r="AZ20" i="3"/>
  <c r="AY167" i="7"/>
  <c r="AZ161" i="7"/>
  <c r="AZ165" i="7" s="1"/>
  <c r="BA42" i="10"/>
  <c r="AZ48" i="10"/>
  <c r="BA189" i="7"/>
  <c r="AZ195" i="7"/>
  <c r="BA42" i="7"/>
  <c r="BA46" i="7" s="1"/>
  <c r="AZ48" i="7"/>
  <c r="AZ27" i="7"/>
  <c r="BA21" i="7"/>
  <c r="AZ42" i="3"/>
  <c r="AZ46" i="3" s="1"/>
  <c r="AY48" i="3"/>
  <c r="AY174" i="7"/>
  <c r="AZ168" i="7"/>
  <c r="AZ172" i="7" s="1"/>
  <c r="AZ35" i="5"/>
  <c r="AZ39" i="5" s="1"/>
  <c r="AY41" i="5"/>
  <c r="AZ28" i="3"/>
  <c r="AZ32" i="3" s="1"/>
  <c r="AY34" i="3"/>
  <c r="BC224" i="5"/>
  <c r="BB230" i="5"/>
  <c r="AZ252" i="5"/>
  <c r="AZ256" i="5" s="1"/>
  <c r="AY258" i="5"/>
  <c r="AZ83" i="7"/>
  <c r="BA77" i="7"/>
  <c r="BA81" i="7" s="1"/>
  <c r="AY251" i="5"/>
  <c r="AZ245" i="5"/>
  <c r="BA140" i="5"/>
  <c r="BA144" i="5" s="1"/>
  <c r="AZ146" i="5"/>
  <c r="AY132" i="7"/>
  <c r="AZ126" i="7"/>
  <c r="AZ130" i="7" s="1"/>
  <c r="AZ245" i="7"/>
  <c r="AY251" i="7"/>
  <c r="AZ238" i="5"/>
  <c r="AZ242" i="5" s="1"/>
  <c r="AY244" i="5"/>
  <c r="BA210" i="5"/>
  <c r="BA214" i="5" s="1"/>
  <c r="AZ216" i="5"/>
  <c r="AZ84" i="7"/>
  <c r="AZ88" i="7" s="1"/>
  <c r="AY90" i="7"/>
  <c r="AY223" i="5"/>
  <c r="AZ217" i="5"/>
  <c r="AZ221" i="5" s="1"/>
  <c r="BA174" i="5"/>
  <c r="BB168" i="5"/>
  <c r="BB172" i="5" s="1"/>
  <c r="BB28" i="7"/>
  <c r="BB32" i="7" s="1"/>
  <c r="BA34" i="7"/>
  <c r="AZ209" i="5"/>
  <c r="BA203" i="5"/>
  <c r="AY139" i="7"/>
  <c r="AZ133" i="7"/>
  <c r="AZ137" i="7" s="1"/>
  <c r="AZ195" i="5"/>
  <c r="BA189" i="5"/>
  <c r="BA42" i="5"/>
  <c r="BA46" i="5" s="1"/>
  <c r="AZ48" i="5"/>
  <c r="AZ154" i="7"/>
  <c r="AZ158" i="7" s="1"/>
  <c r="AY160" i="7"/>
  <c r="AZ105" i="7"/>
  <c r="AZ109" i="7" s="1"/>
  <c r="AY111" i="7"/>
  <c r="AY237" i="5"/>
  <c r="AZ231" i="5"/>
  <c r="AZ235" i="5" s="1"/>
  <c r="AY244" i="7"/>
  <c r="AZ238" i="7"/>
  <c r="AZ242" i="7" s="1"/>
  <c r="AZ132" i="5"/>
  <c r="BA126" i="5"/>
  <c r="BA130" i="5" s="1"/>
  <c r="AZ112" i="7"/>
  <c r="AZ116" i="7" s="1"/>
  <c r="AY118" i="7"/>
  <c r="AZ182" i="7"/>
  <c r="AZ186" i="7" s="1"/>
  <c r="AY188" i="7"/>
  <c r="AY111" i="5"/>
  <c r="AZ105" i="5"/>
  <c r="AZ109" i="5" s="1"/>
  <c r="BA153" i="5"/>
  <c r="BB147" i="5"/>
  <c r="BB151" i="5" s="1"/>
  <c r="AZ181" i="5"/>
  <c r="BA175" i="5"/>
  <c r="BA179" i="5" s="1"/>
  <c r="BA133" i="5"/>
  <c r="BA137" i="5" s="1"/>
  <c r="AZ139" i="5"/>
  <c r="BA49" i="7"/>
  <c r="BA53" i="7" s="1"/>
  <c r="AZ55" i="7"/>
  <c r="AX60" i="10" l="1"/>
  <c r="AX62" i="10"/>
  <c r="AY56" i="10"/>
  <c r="AX85" i="10"/>
  <c r="AX64" i="10"/>
  <c r="AX70" i="10" s="1"/>
  <c r="AX76" i="10"/>
  <c r="G69" i="9"/>
  <c r="J68" i="9"/>
  <c r="G68" i="4"/>
  <c r="J67" i="4"/>
  <c r="G68" i="6"/>
  <c r="J67" i="6"/>
  <c r="G68" i="8"/>
  <c r="J67" i="8"/>
  <c r="BA56" i="7"/>
  <c r="BA60" i="7" s="1"/>
  <c r="AZ62" i="7"/>
  <c r="BA154" i="5"/>
  <c r="BA158" i="5" s="1"/>
  <c r="AZ160" i="5"/>
  <c r="BC28" i="10"/>
  <c r="BB34" i="10"/>
  <c r="AZ85" i="3"/>
  <c r="AZ20" i="10"/>
  <c r="BA14" i="10"/>
  <c r="AZ41" i="10"/>
  <c r="BA35" i="10"/>
  <c r="AZ76" i="7"/>
  <c r="BA70" i="7"/>
  <c r="BA74" i="7" s="1"/>
  <c r="BA28" i="5"/>
  <c r="BA32" i="5" s="1"/>
  <c r="AZ34" i="5"/>
  <c r="AZ97" i="7"/>
  <c r="BA91" i="7"/>
  <c r="BA95" i="7" s="1"/>
  <c r="AZ76" i="3"/>
  <c r="BA49" i="5"/>
  <c r="AZ55" i="5"/>
  <c r="BA35" i="3"/>
  <c r="BA39" i="3" s="1"/>
  <c r="AZ41" i="3"/>
  <c r="BA56" i="5"/>
  <c r="AZ62" i="5"/>
  <c r="BB21" i="5"/>
  <c r="BB25" i="5" s="1"/>
  <c r="BA27" i="5"/>
  <c r="AZ104" i="7"/>
  <c r="BA98" i="7"/>
  <c r="BA102" i="7" s="1"/>
  <c r="BA21" i="3"/>
  <c r="BA25" i="3" s="1"/>
  <c r="AZ27" i="3"/>
  <c r="BC63" i="5"/>
  <c r="BB69" i="5"/>
  <c r="BA63" i="7"/>
  <c r="BA67" i="7" s="1"/>
  <c r="AZ69" i="7"/>
  <c r="BA49" i="3"/>
  <c r="BA53" i="3" s="1"/>
  <c r="AZ55" i="3"/>
  <c r="BA112" i="5"/>
  <c r="BA116" i="5" s="1"/>
  <c r="AZ118" i="5"/>
  <c r="BA154" i="7"/>
  <c r="BA158" i="7" s="1"/>
  <c r="AZ160" i="7"/>
  <c r="BB42" i="7"/>
  <c r="BB46" i="7" s="1"/>
  <c r="BA48" i="7"/>
  <c r="AZ174" i="7"/>
  <c r="BA168" i="7"/>
  <c r="BA172" i="7" s="1"/>
  <c r="BA203" i="7"/>
  <c r="AZ209" i="7"/>
  <c r="BB181" i="7"/>
  <c r="BC175" i="7"/>
  <c r="BC179" i="7" s="1"/>
  <c r="BA105" i="5"/>
  <c r="BA109" i="5" s="1"/>
  <c r="AZ111" i="5"/>
  <c r="BA231" i="5"/>
  <c r="BA235" i="5" s="1"/>
  <c r="AZ237" i="5"/>
  <c r="BD224" i="5"/>
  <c r="BC230" i="5"/>
  <c r="BB49" i="7"/>
  <c r="BB53" i="7" s="1"/>
  <c r="BA55" i="7"/>
  <c r="BA14" i="5"/>
  <c r="AZ20" i="5"/>
  <c r="AZ272" i="5"/>
  <c r="AZ260" i="5"/>
  <c r="AZ266" i="5" s="1"/>
  <c r="AZ281" i="5"/>
  <c r="BB133" i="5"/>
  <c r="BB137" i="5" s="1"/>
  <c r="BA139" i="5"/>
  <c r="BA112" i="7"/>
  <c r="BA116" i="7" s="1"/>
  <c r="AZ118" i="7"/>
  <c r="BB42" i="5"/>
  <c r="BB46" i="5" s="1"/>
  <c r="BA48" i="5"/>
  <c r="BA245" i="7"/>
  <c r="AZ251" i="7"/>
  <c r="BB189" i="7"/>
  <c r="BA195" i="7"/>
  <c r="BB182" i="5"/>
  <c r="BA188" i="5"/>
  <c r="BA147" i="7"/>
  <c r="BA151" i="7" s="1"/>
  <c r="AZ153" i="7"/>
  <c r="BC231" i="7"/>
  <c r="BC235" i="7" s="1"/>
  <c r="BB237" i="7"/>
  <c r="BA119" i="5"/>
  <c r="BA123" i="5" s="1"/>
  <c r="AZ125" i="5"/>
  <c r="BA252" i="7"/>
  <c r="AZ258" i="7"/>
  <c r="BC28" i="7"/>
  <c r="BC32" i="7" s="1"/>
  <c r="BB34" i="7"/>
  <c r="BA35" i="5"/>
  <c r="BA39" i="5" s="1"/>
  <c r="AZ41" i="5"/>
  <c r="BA181" i="5"/>
  <c r="BB175" i="5"/>
  <c r="BB179" i="5" s="1"/>
  <c r="BB189" i="5"/>
  <c r="BA195" i="5"/>
  <c r="BC168" i="5"/>
  <c r="BC172" i="5" s="1"/>
  <c r="BB174" i="5"/>
  <c r="BA83" i="7"/>
  <c r="BB77" i="7"/>
  <c r="BB81" i="7" s="1"/>
  <c r="BB42" i="10"/>
  <c r="BA48" i="10"/>
  <c r="BB84" i="5"/>
  <c r="BB88" i="5" s="1"/>
  <c r="BA90" i="5"/>
  <c r="AZ97" i="5"/>
  <c r="BA91" i="5"/>
  <c r="BA95" i="5" s="1"/>
  <c r="BA182" i="7"/>
  <c r="BA186" i="7" s="1"/>
  <c r="AZ188" i="7"/>
  <c r="BA238" i="5"/>
  <c r="BA242" i="5" s="1"/>
  <c r="AZ244" i="5"/>
  <c r="BC147" i="5"/>
  <c r="BC151" i="5" s="1"/>
  <c r="BB153" i="5"/>
  <c r="BA238" i="7"/>
  <c r="BA242" i="7" s="1"/>
  <c r="AZ244" i="7"/>
  <c r="BA217" i="5"/>
  <c r="BA221" i="5" s="1"/>
  <c r="AZ223" i="5"/>
  <c r="BA126" i="7"/>
  <c r="BA130" i="7" s="1"/>
  <c r="AZ132" i="7"/>
  <c r="AZ167" i="7"/>
  <c r="BA161" i="7"/>
  <c r="BA165" i="7" s="1"/>
  <c r="BB119" i="7"/>
  <c r="BB123" i="7" s="1"/>
  <c r="BA125" i="7"/>
  <c r="AZ223" i="7"/>
  <c r="BA217" i="7"/>
  <c r="BA221" i="7" s="1"/>
  <c r="BA132" i="5"/>
  <c r="BB126" i="5"/>
  <c r="BB130" i="5" s="1"/>
  <c r="BA252" i="5"/>
  <c r="BA256" i="5" s="1"/>
  <c r="AZ258" i="5"/>
  <c r="BC76" i="5"/>
  <c r="BD70" i="5"/>
  <c r="BA27" i="10"/>
  <c r="BB21" i="10"/>
  <c r="AZ20" i="7"/>
  <c r="BA14" i="7"/>
  <c r="AZ272" i="7"/>
  <c r="AZ281" i="7"/>
  <c r="AZ260" i="7"/>
  <c r="AZ266" i="7" s="1"/>
  <c r="BA98" i="5"/>
  <c r="BA102" i="5" s="1"/>
  <c r="AZ104" i="5"/>
  <c r="BA140" i="7"/>
  <c r="BA144" i="7" s="1"/>
  <c r="AZ146" i="7"/>
  <c r="BB49" i="10"/>
  <c r="BA55" i="10"/>
  <c r="BB196" i="5"/>
  <c r="BB200" i="5" s="1"/>
  <c r="BA202" i="5"/>
  <c r="BA133" i="7"/>
  <c r="BA137" i="7" s="1"/>
  <c r="AZ139" i="7"/>
  <c r="BA84" i="7"/>
  <c r="BA88" i="7" s="1"/>
  <c r="AZ90" i="7"/>
  <c r="BB203" i="5"/>
  <c r="BA209" i="5"/>
  <c r="BB21" i="7"/>
  <c r="BA27" i="7"/>
  <c r="BA210" i="7"/>
  <c r="AZ216" i="7"/>
  <c r="BA196" i="7"/>
  <c r="BA200" i="7" s="1"/>
  <c r="AZ202" i="7"/>
  <c r="BB35" i="7"/>
  <c r="BB39" i="7" s="1"/>
  <c r="BA41" i="7"/>
  <c r="BB161" i="5"/>
  <c r="BA167" i="5"/>
  <c r="BA42" i="3"/>
  <c r="BA46" i="3" s="1"/>
  <c r="AZ48" i="3"/>
  <c r="BA105" i="7"/>
  <c r="BA109" i="7" s="1"/>
  <c r="AZ111" i="7"/>
  <c r="BB210" i="5"/>
  <c r="BB214" i="5" s="1"/>
  <c r="BA216" i="5"/>
  <c r="BB140" i="5"/>
  <c r="BB144" i="5" s="1"/>
  <c r="BA146" i="5"/>
  <c r="BA28" i="3"/>
  <c r="BA32" i="3" s="1"/>
  <c r="AZ34" i="3"/>
  <c r="AZ64" i="3"/>
  <c r="AZ70" i="3" s="1"/>
  <c r="BA224" i="7"/>
  <c r="BA228" i="7" s="1"/>
  <c r="AZ230" i="7"/>
  <c r="BA83" i="5"/>
  <c r="BB77" i="5"/>
  <c r="BB81" i="5" s="1"/>
  <c r="BA245" i="5"/>
  <c r="AZ251" i="5"/>
  <c r="BA20" i="3"/>
  <c r="BB14" i="3"/>
  <c r="BB18" i="3" s="1"/>
  <c r="BB56" i="3"/>
  <c r="BA62" i="3"/>
  <c r="AY60" i="10" l="1"/>
  <c r="AZ56" i="10"/>
  <c r="AY62" i="10"/>
  <c r="AY64" i="10"/>
  <c r="AY70" i="10" s="1"/>
  <c r="AY76" i="10"/>
  <c r="AY85" i="10"/>
  <c r="G70" i="9"/>
  <c r="J69" i="9"/>
  <c r="G69" i="4"/>
  <c r="J68" i="4"/>
  <c r="G69" i="6"/>
  <c r="J68" i="6"/>
  <c r="G69" i="8"/>
  <c r="J68" i="8"/>
  <c r="BA62" i="7"/>
  <c r="BB56" i="7"/>
  <c r="BB60" i="7" s="1"/>
  <c r="BB154" i="5"/>
  <c r="BB158" i="5" s="1"/>
  <c r="BA160" i="5"/>
  <c r="BD28" i="10"/>
  <c r="BC34" i="10"/>
  <c r="BB35" i="10"/>
  <c r="BA41" i="10"/>
  <c r="BA20" i="10"/>
  <c r="BB14" i="10"/>
  <c r="BA62" i="5"/>
  <c r="BB56" i="5"/>
  <c r="BB63" i="7"/>
  <c r="BB67" i="7" s="1"/>
  <c r="BA69" i="7"/>
  <c r="BB35" i="3"/>
  <c r="BB39" i="3" s="1"/>
  <c r="BA41" i="3"/>
  <c r="BC69" i="5"/>
  <c r="BD63" i="5"/>
  <c r="BB49" i="5"/>
  <c r="BA55" i="5"/>
  <c r="BA64" i="3"/>
  <c r="BA70" i="3" s="1"/>
  <c r="BB21" i="3"/>
  <c r="BB25" i="3" s="1"/>
  <c r="BA27" i="3"/>
  <c r="BA97" i="7"/>
  <c r="BB91" i="7"/>
  <c r="BB95" i="7" s="1"/>
  <c r="BA104" i="7"/>
  <c r="BB98" i="7"/>
  <c r="BB102" i="7" s="1"/>
  <c r="BB28" i="5"/>
  <c r="BB32" i="5" s="1"/>
  <c r="BA34" i="5"/>
  <c r="BC21" i="5"/>
  <c r="BC25" i="5" s="1"/>
  <c r="BB27" i="5"/>
  <c r="BA76" i="7"/>
  <c r="BB70" i="7"/>
  <c r="BB74" i="7" s="1"/>
  <c r="BA174" i="7"/>
  <c r="BB168" i="7"/>
  <c r="BB172" i="7" s="1"/>
  <c r="BA132" i="7"/>
  <c r="BB126" i="7"/>
  <c r="BB130" i="7" s="1"/>
  <c r="BC174" i="5"/>
  <c r="BD168" i="5"/>
  <c r="BD172" i="5" s="1"/>
  <c r="BB252" i="7"/>
  <c r="BA258" i="7"/>
  <c r="BB245" i="7"/>
  <c r="BA251" i="7"/>
  <c r="BB231" i="5"/>
  <c r="BB235" i="5" s="1"/>
  <c r="BA237" i="5"/>
  <c r="BC21" i="10"/>
  <c r="BB27" i="10"/>
  <c r="BB42" i="3"/>
  <c r="BB46" i="3" s="1"/>
  <c r="BA48" i="3"/>
  <c r="BD76" i="5"/>
  <c r="BE70" i="5"/>
  <c r="BB217" i="7"/>
  <c r="BB221" i="7" s="1"/>
  <c r="BA223" i="7"/>
  <c r="BB98" i="5"/>
  <c r="BB102" i="5" s="1"/>
  <c r="BA104" i="5"/>
  <c r="BB119" i="5"/>
  <c r="BB123" i="5" s="1"/>
  <c r="BA125" i="5"/>
  <c r="BB105" i="5"/>
  <c r="BB109" i="5" s="1"/>
  <c r="BA111" i="5"/>
  <c r="BB28" i="3"/>
  <c r="BB32" i="3" s="1"/>
  <c r="BA34" i="3"/>
  <c r="BC161" i="5"/>
  <c r="BB167" i="5"/>
  <c r="BB217" i="5"/>
  <c r="BB221" i="5" s="1"/>
  <c r="BA223" i="5"/>
  <c r="BB245" i="5"/>
  <c r="BA251" i="5"/>
  <c r="BD231" i="7"/>
  <c r="BD235" i="7" s="1"/>
  <c r="BC237" i="7"/>
  <c r="BC42" i="5"/>
  <c r="BC46" i="5" s="1"/>
  <c r="BB48" i="5"/>
  <c r="BC42" i="7"/>
  <c r="BC46" i="7" s="1"/>
  <c r="BB48" i="7"/>
  <c r="BC181" i="7"/>
  <c r="BD175" i="7"/>
  <c r="BD179" i="7" s="1"/>
  <c r="BB20" i="3"/>
  <c r="BC14" i="3"/>
  <c r="BC18" i="3" s="1"/>
  <c r="BA146" i="7"/>
  <c r="BB140" i="7"/>
  <c r="BB144" i="7" s="1"/>
  <c r="BC196" i="5"/>
  <c r="BC200" i="5" s="1"/>
  <c r="BB202" i="5"/>
  <c r="BA20" i="7"/>
  <c r="BB14" i="7"/>
  <c r="BA272" i="7"/>
  <c r="BA281" i="7"/>
  <c r="BA260" i="7"/>
  <c r="BA266" i="7" s="1"/>
  <c r="BC153" i="5"/>
  <c r="BD147" i="5"/>
  <c r="BD151" i="5" s="1"/>
  <c r="BA41" i="5"/>
  <c r="BB35" i="5"/>
  <c r="BB39" i="5" s="1"/>
  <c r="BA153" i="7"/>
  <c r="BB147" i="7"/>
  <c r="BB151" i="7" s="1"/>
  <c r="BA118" i="7"/>
  <c r="BB112" i="7"/>
  <c r="BB116" i="7" s="1"/>
  <c r="BB14" i="5"/>
  <c r="BA20" i="5"/>
  <c r="BA272" i="5"/>
  <c r="BA260" i="5"/>
  <c r="BA266" i="5" s="1"/>
  <c r="BA281" i="5"/>
  <c r="BA160" i="7"/>
  <c r="BB154" i="7"/>
  <c r="BB158" i="7" s="1"/>
  <c r="BB91" i="5"/>
  <c r="BB95" i="5" s="1"/>
  <c r="BA97" i="5"/>
  <c r="BC203" i="5"/>
  <c r="BB209" i="5"/>
  <c r="BA90" i="7"/>
  <c r="BB84" i="7"/>
  <c r="BB88" i="7" s="1"/>
  <c r="BC119" i="7"/>
  <c r="BC123" i="7" s="1"/>
  <c r="BB125" i="7"/>
  <c r="BB161" i="7"/>
  <c r="BB165" i="7" s="1"/>
  <c r="BA167" i="7"/>
  <c r="BC77" i="7"/>
  <c r="BC81" i="7" s="1"/>
  <c r="BB83" i="7"/>
  <c r="BC189" i="5"/>
  <c r="BB195" i="5"/>
  <c r="BC175" i="5"/>
  <c r="BC179" i="5" s="1"/>
  <c r="BB181" i="5"/>
  <c r="BA258" i="5"/>
  <c r="BB252" i="5"/>
  <c r="BB256" i="5" s="1"/>
  <c r="BA111" i="7"/>
  <c r="BB105" i="7"/>
  <c r="BB109" i="7" s="1"/>
  <c r="BB196" i="7"/>
  <c r="BB200" i="7" s="1"/>
  <c r="BA202" i="7"/>
  <c r="BB238" i="5"/>
  <c r="BB242" i="5" s="1"/>
  <c r="BA244" i="5"/>
  <c r="BC34" i="7"/>
  <c r="BD28" i="7"/>
  <c r="BD32" i="7" s="1"/>
  <c r="BC182" i="5"/>
  <c r="BB188" i="5"/>
  <c r="BC133" i="5"/>
  <c r="BC137" i="5" s="1"/>
  <c r="BB139" i="5"/>
  <c r="BC49" i="7"/>
  <c r="BC53" i="7" s="1"/>
  <c r="BB55" i="7"/>
  <c r="BB112" i="5"/>
  <c r="BB116" i="5" s="1"/>
  <c r="BA118" i="5"/>
  <c r="BC210" i="5"/>
  <c r="BC214" i="5" s="1"/>
  <c r="BB216" i="5"/>
  <c r="BA139" i="7"/>
  <c r="BB133" i="7"/>
  <c r="BB137" i="7" s="1"/>
  <c r="BC56" i="3"/>
  <c r="BB62" i="3"/>
  <c r="BB210" i="7"/>
  <c r="BA216" i="7"/>
  <c r="BA76" i="3"/>
  <c r="BC140" i="5"/>
  <c r="BC144" i="5" s="1"/>
  <c r="BB146" i="5"/>
  <c r="BC84" i="5"/>
  <c r="BC88" i="5" s="1"/>
  <c r="BB90" i="5"/>
  <c r="BB83" i="5"/>
  <c r="BC77" i="5"/>
  <c r="BC81" i="5" s="1"/>
  <c r="BC35" i="7"/>
  <c r="BC39" i="7" s="1"/>
  <c r="BB41" i="7"/>
  <c r="BB238" i="7"/>
  <c r="BB242" i="7" s="1"/>
  <c r="BA244" i="7"/>
  <c r="BC42" i="10"/>
  <c r="BB48" i="10"/>
  <c r="BB224" i="7"/>
  <c r="BB228" i="7" s="1"/>
  <c r="BA230" i="7"/>
  <c r="BB132" i="5"/>
  <c r="BC126" i="5"/>
  <c r="BC130" i="5" s="1"/>
  <c r="BA85" i="3"/>
  <c r="BC21" i="7"/>
  <c r="BB27" i="7"/>
  <c r="BC49" i="10"/>
  <c r="BB55" i="10"/>
  <c r="BB182" i="7"/>
  <c r="BB186" i="7" s="1"/>
  <c r="BA188" i="7"/>
  <c r="BC189" i="7"/>
  <c r="BB195" i="7"/>
  <c r="BE224" i="5"/>
  <c r="BD230" i="5"/>
  <c r="BB203" i="7"/>
  <c r="BA209" i="7"/>
  <c r="BB49" i="3"/>
  <c r="BB53" i="3" s="1"/>
  <c r="BA55" i="3"/>
  <c r="AZ60" i="10" l="1"/>
  <c r="BA56" i="10"/>
  <c r="AZ62" i="10"/>
  <c r="AZ76" i="10"/>
  <c r="AZ64" i="10"/>
  <c r="AZ70" i="10" s="1"/>
  <c r="AZ85" i="10"/>
  <c r="G71" i="9"/>
  <c r="J70" i="9"/>
  <c r="G70" i="4"/>
  <c r="J69" i="4"/>
  <c r="G70" i="6"/>
  <c r="J69" i="6"/>
  <c r="G70" i="8"/>
  <c r="J69" i="8"/>
  <c r="BC56" i="7"/>
  <c r="BC60" i="7" s="1"/>
  <c r="BB62" i="7"/>
  <c r="BC154" i="5"/>
  <c r="BC158" i="5" s="1"/>
  <c r="BB160" i="5"/>
  <c r="BD34" i="10"/>
  <c r="BE28" i="10"/>
  <c r="BC14" i="10"/>
  <c r="BB20" i="10"/>
  <c r="BB76" i="3"/>
  <c r="BC35" i="10"/>
  <c r="BB41" i="10"/>
  <c r="BC21" i="3"/>
  <c r="BC25" i="3" s="1"/>
  <c r="BB27" i="3"/>
  <c r="BB76" i="7"/>
  <c r="BC70" i="7"/>
  <c r="BC74" i="7" s="1"/>
  <c r="BC49" i="5"/>
  <c r="BB55" i="5"/>
  <c r="BD69" i="5"/>
  <c r="BE63" i="5"/>
  <c r="BD21" i="5"/>
  <c r="BD25" i="5" s="1"/>
  <c r="BC27" i="5"/>
  <c r="BB34" i="5"/>
  <c r="BC28" i="5"/>
  <c r="BC32" i="5" s="1"/>
  <c r="BC98" i="7"/>
  <c r="BC102" i="7" s="1"/>
  <c r="BB104" i="7"/>
  <c r="BB41" i="3"/>
  <c r="BC35" i="3"/>
  <c r="BC39" i="3" s="1"/>
  <c r="BC91" i="7"/>
  <c r="BC95" i="7" s="1"/>
  <c r="BB97" i="7"/>
  <c r="BB69" i="7"/>
  <c r="BC63" i="7"/>
  <c r="BC67" i="7" s="1"/>
  <c r="BB62" i="5"/>
  <c r="BC56" i="5"/>
  <c r="BC181" i="5"/>
  <c r="BD175" i="5"/>
  <c r="BD179" i="5" s="1"/>
  <c r="BD119" i="7"/>
  <c r="BD123" i="7" s="1"/>
  <c r="BC125" i="7"/>
  <c r="BC20" i="3"/>
  <c r="BD14" i="3"/>
  <c r="BD18" i="3" s="1"/>
  <c r="BC14" i="7"/>
  <c r="BB20" i="7"/>
  <c r="BB260" i="7"/>
  <c r="BB266" i="7" s="1"/>
  <c r="BB272" i="7"/>
  <c r="BB281" i="7"/>
  <c r="BC245" i="5"/>
  <c r="BB251" i="5"/>
  <c r="BB111" i="5"/>
  <c r="BC105" i="5"/>
  <c r="BC109" i="5" s="1"/>
  <c r="BB48" i="3"/>
  <c r="BC42" i="3"/>
  <c r="BC46" i="3" s="1"/>
  <c r="BC112" i="5"/>
  <c r="BC116" i="5" s="1"/>
  <c r="BB118" i="5"/>
  <c r="BC112" i="7"/>
  <c r="BC116" i="7" s="1"/>
  <c r="BB118" i="7"/>
  <c r="BE230" i="5"/>
  <c r="BF224" i="5"/>
  <c r="BC238" i="7"/>
  <c r="BC242" i="7" s="1"/>
  <c r="BB244" i="7"/>
  <c r="BC238" i="5"/>
  <c r="BC242" i="5" s="1"/>
  <c r="BB244" i="5"/>
  <c r="BC119" i="5"/>
  <c r="BC123" i="5" s="1"/>
  <c r="BB125" i="5"/>
  <c r="BC245" i="7"/>
  <c r="BB251" i="7"/>
  <c r="BC55" i="10"/>
  <c r="BD49" i="10"/>
  <c r="BC14" i="5"/>
  <c r="BB20" i="5"/>
  <c r="BB272" i="5"/>
  <c r="BB260" i="5"/>
  <c r="BB266" i="5" s="1"/>
  <c r="BB281" i="5"/>
  <c r="BD21" i="7"/>
  <c r="BC27" i="7"/>
  <c r="BC41" i="7"/>
  <c r="BD35" i="7"/>
  <c r="BD39" i="7" s="1"/>
  <c r="BD203" i="5"/>
  <c r="BC209" i="5"/>
  <c r="BD181" i="7"/>
  <c r="BE175" i="7"/>
  <c r="BE179" i="7" s="1"/>
  <c r="BC217" i="5"/>
  <c r="BC221" i="5" s="1"/>
  <c r="BB223" i="5"/>
  <c r="BC98" i="5"/>
  <c r="BC102" i="5" s="1"/>
  <c r="BB104" i="5"/>
  <c r="BC252" i="7"/>
  <c r="BB258" i="7"/>
  <c r="BC84" i="7"/>
  <c r="BC88" i="7" s="1"/>
  <c r="BB90" i="7"/>
  <c r="BC195" i="7"/>
  <c r="BD189" i="7"/>
  <c r="BD77" i="7"/>
  <c r="BD81" i="7" s="1"/>
  <c r="BC83" i="7"/>
  <c r="BC147" i="7"/>
  <c r="BC151" i="7" s="1"/>
  <c r="BB153" i="7"/>
  <c r="BD196" i="5"/>
  <c r="BD200" i="5" s="1"/>
  <c r="BC202" i="5"/>
  <c r="BC182" i="7"/>
  <c r="BC186" i="7" s="1"/>
  <c r="BB188" i="7"/>
  <c r="BC132" i="5"/>
  <c r="BD126" i="5"/>
  <c r="BD130" i="5" s="1"/>
  <c r="BD56" i="3"/>
  <c r="BC62" i="3"/>
  <c r="BD49" i="7"/>
  <c r="BD53" i="7" s="1"/>
  <c r="BC55" i="7"/>
  <c r="BC196" i="7"/>
  <c r="BC200" i="7" s="1"/>
  <c r="BB202" i="7"/>
  <c r="BB167" i="7"/>
  <c r="BC161" i="7"/>
  <c r="BC165" i="7" s="1"/>
  <c r="BC91" i="5"/>
  <c r="BC95" i="5" s="1"/>
  <c r="BB97" i="5"/>
  <c r="BB41" i="5"/>
  <c r="BC35" i="5"/>
  <c r="BC39" i="5" s="1"/>
  <c r="BC27" i="10"/>
  <c r="BD21" i="10"/>
  <c r="BE168" i="5"/>
  <c r="BE172" i="5" s="1"/>
  <c r="BD174" i="5"/>
  <c r="BD210" i="5"/>
  <c r="BD214" i="5" s="1"/>
  <c r="BC216" i="5"/>
  <c r="BC210" i="7"/>
  <c r="BB216" i="7"/>
  <c r="BD189" i="5"/>
  <c r="BC195" i="5"/>
  <c r="BC83" i="5"/>
  <c r="BD77" i="5"/>
  <c r="BD81" i="5" s="1"/>
  <c r="BD84" i="5"/>
  <c r="BD88" i="5" s="1"/>
  <c r="BC90" i="5"/>
  <c r="BB111" i="7"/>
  <c r="BC105" i="7"/>
  <c r="BC109" i="7" s="1"/>
  <c r="BB160" i="7"/>
  <c r="BC154" i="7"/>
  <c r="BC158" i="7" s="1"/>
  <c r="BC140" i="7"/>
  <c r="BC144" i="7" s="1"/>
  <c r="BB146" i="7"/>
  <c r="BC48" i="7"/>
  <c r="BD42" i="7"/>
  <c r="BD46" i="7" s="1"/>
  <c r="BC167" i="5"/>
  <c r="BD161" i="5"/>
  <c r="BE147" i="5"/>
  <c r="BE151" i="5" s="1"/>
  <c r="BD153" i="5"/>
  <c r="BB237" i="5"/>
  <c r="BC231" i="5"/>
  <c r="BC235" i="5" s="1"/>
  <c r="BB132" i="7"/>
  <c r="BC126" i="7"/>
  <c r="BC130" i="7" s="1"/>
  <c r="BC139" i="5"/>
  <c r="BD133" i="5"/>
  <c r="BD137" i="5" s="1"/>
  <c r="BC224" i="7"/>
  <c r="BC228" i="7" s="1"/>
  <c r="BB230" i="7"/>
  <c r="BD140" i="5"/>
  <c r="BD144" i="5" s="1"/>
  <c r="BC146" i="5"/>
  <c r="BC133" i="7"/>
  <c r="BC137" i="7" s="1"/>
  <c r="BB139" i="7"/>
  <c r="BB258" i="5"/>
  <c r="BC252" i="5"/>
  <c r="BC256" i="5" s="1"/>
  <c r="BD42" i="5"/>
  <c r="BD46" i="5" s="1"/>
  <c r="BC48" i="5"/>
  <c r="BB34" i="3"/>
  <c r="BC28" i="3"/>
  <c r="BC32" i="3" s="1"/>
  <c r="BB223" i="7"/>
  <c r="BC217" i="7"/>
  <c r="BC221" i="7" s="1"/>
  <c r="BC49" i="3"/>
  <c r="BC53" i="3" s="1"/>
  <c r="BB55" i="3"/>
  <c r="BC203" i="7"/>
  <c r="BB209" i="7"/>
  <c r="BD182" i="5"/>
  <c r="BC188" i="5"/>
  <c r="BB85" i="3"/>
  <c r="BE76" i="5"/>
  <c r="BF70" i="5"/>
  <c r="BB174" i="7"/>
  <c r="BC168" i="7"/>
  <c r="BC172" i="7" s="1"/>
  <c r="BC48" i="10"/>
  <c r="BD42" i="10"/>
  <c r="BD34" i="7"/>
  <c r="BE28" i="7"/>
  <c r="BE32" i="7" s="1"/>
  <c r="BB64" i="3"/>
  <c r="BB70" i="3" s="1"/>
  <c r="BE231" i="7"/>
  <c r="BE235" i="7" s="1"/>
  <c r="BD237" i="7"/>
  <c r="BA60" i="10" l="1"/>
  <c r="BB56" i="10"/>
  <c r="BA62" i="10"/>
  <c r="BA76" i="10"/>
  <c r="BA64" i="10"/>
  <c r="BA70" i="10" s="1"/>
  <c r="BA85" i="10"/>
  <c r="G72" i="9"/>
  <c r="J71" i="9"/>
  <c r="G71" i="4"/>
  <c r="J70" i="4"/>
  <c r="G71" i="6"/>
  <c r="J70" i="6"/>
  <c r="G71" i="8"/>
  <c r="J70" i="8"/>
  <c r="BD56" i="7"/>
  <c r="BD60" i="7" s="1"/>
  <c r="BC62" i="7"/>
  <c r="BC160" i="5"/>
  <c r="BD154" i="5"/>
  <c r="BD158" i="5" s="1"/>
  <c r="BE34" i="10"/>
  <c r="BF28" i="10"/>
  <c r="BC41" i="10"/>
  <c r="BD35" i="10"/>
  <c r="BC20" i="10"/>
  <c r="BD14" i="10"/>
  <c r="BC34" i="5"/>
  <c r="BD28" i="5"/>
  <c r="BD32" i="5" s="1"/>
  <c r="BD56" i="5"/>
  <c r="BC62" i="5"/>
  <c r="BE21" i="5"/>
  <c r="BE25" i="5" s="1"/>
  <c r="BD27" i="5"/>
  <c r="BC69" i="7"/>
  <c r="BD63" i="7"/>
  <c r="BD67" i="7" s="1"/>
  <c r="BE69" i="5"/>
  <c r="BF63" i="5"/>
  <c r="BC64" i="3"/>
  <c r="BC70" i="3" s="1"/>
  <c r="BD91" i="7"/>
  <c r="BD95" i="7" s="1"/>
  <c r="BC97" i="7"/>
  <c r="BD49" i="5"/>
  <c r="BC55" i="5"/>
  <c r="BC41" i="3"/>
  <c r="BD35" i="3"/>
  <c r="BD39" i="3" s="1"/>
  <c r="BD70" i="7"/>
  <c r="BD74" i="7" s="1"/>
  <c r="BC76" i="7"/>
  <c r="BD98" i="7"/>
  <c r="BD102" i="7" s="1"/>
  <c r="BC104" i="7"/>
  <c r="BC27" i="3"/>
  <c r="BD21" i="3"/>
  <c r="BD25" i="3" s="1"/>
  <c r="BC223" i="7"/>
  <c r="BD217" i="7"/>
  <c r="BD221" i="7" s="1"/>
  <c r="BE182" i="5"/>
  <c r="BD188" i="5"/>
  <c r="BD48" i="5"/>
  <c r="BE42" i="5"/>
  <c r="BE46" i="5" s="1"/>
  <c r="BD41" i="7"/>
  <c r="BE35" i="7"/>
  <c r="BE39" i="7" s="1"/>
  <c r="BD245" i="7"/>
  <c r="BC251" i="7"/>
  <c r="BD238" i="7"/>
  <c r="BD242" i="7" s="1"/>
  <c r="BC244" i="7"/>
  <c r="BD252" i="5"/>
  <c r="BD256" i="5" s="1"/>
  <c r="BC258" i="5"/>
  <c r="BD83" i="5"/>
  <c r="BE77" i="5"/>
  <c r="BE81" i="5" s="1"/>
  <c r="BE49" i="7"/>
  <c r="BE53" i="7" s="1"/>
  <c r="BD55" i="7"/>
  <c r="BC153" i="7"/>
  <c r="BD147" i="7"/>
  <c r="BD151" i="7" s="1"/>
  <c r="BD252" i="7"/>
  <c r="BC258" i="7"/>
  <c r="BG224" i="5"/>
  <c r="BF230" i="5"/>
  <c r="BD48" i="10"/>
  <c r="BE42" i="10"/>
  <c r="BD48" i="7"/>
  <c r="BE42" i="7"/>
  <c r="BE46" i="7" s="1"/>
  <c r="BD27" i="10"/>
  <c r="BE21" i="10"/>
  <c r="BC125" i="5"/>
  <c r="BD119" i="5"/>
  <c r="BD123" i="5" s="1"/>
  <c r="BD14" i="7"/>
  <c r="BC20" i="7"/>
  <c r="BC260" i="7"/>
  <c r="BC266" i="7" s="1"/>
  <c r="BC272" i="7"/>
  <c r="BC281" i="7"/>
  <c r="BE84" i="5"/>
  <c r="BE88" i="5" s="1"/>
  <c r="BD90" i="5"/>
  <c r="BC76" i="3"/>
  <c r="BE77" i="7"/>
  <c r="BE81" i="7" s="1"/>
  <c r="BD83" i="7"/>
  <c r="BD140" i="7"/>
  <c r="BD144" i="7" s="1"/>
  <c r="BC146" i="7"/>
  <c r="BE189" i="5"/>
  <c r="BD195" i="5"/>
  <c r="BD35" i="5"/>
  <c r="BD39" i="5" s="1"/>
  <c r="BC41" i="5"/>
  <c r="BD132" i="5"/>
  <c r="BE126" i="5"/>
  <c r="BE130" i="5" s="1"/>
  <c r="BD42" i="3"/>
  <c r="BD46" i="3" s="1"/>
  <c r="BC48" i="3"/>
  <c r="BC85" i="3"/>
  <c r="BC174" i="7"/>
  <c r="BD168" i="7"/>
  <c r="BD172" i="7" s="1"/>
  <c r="BD126" i="7"/>
  <c r="BD130" i="7" s="1"/>
  <c r="BC132" i="7"/>
  <c r="BE56" i="3"/>
  <c r="BD62" i="3"/>
  <c r="BD98" i="5"/>
  <c r="BD102" i="5" s="1"/>
  <c r="BC104" i="5"/>
  <c r="BE21" i="7"/>
  <c r="BD27" i="7"/>
  <c r="BF76" i="5"/>
  <c r="BG70" i="5"/>
  <c r="BD203" i="7"/>
  <c r="BC209" i="7"/>
  <c r="BD133" i="7"/>
  <c r="BD137" i="7" s="1"/>
  <c r="BC139" i="7"/>
  <c r="BD231" i="5"/>
  <c r="BD235" i="5" s="1"/>
  <c r="BC237" i="5"/>
  <c r="BD154" i="7"/>
  <c r="BD158" i="7" s="1"/>
  <c r="BC160" i="7"/>
  <c r="BD217" i="5"/>
  <c r="BD221" i="5" s="1"/>
  <c r="BC223" i="5"/>
  <c r="BD49" i="3"/>
  <c r="BD53" i="3" s="1"/>
  <c r="BC55" i="3"/>
  <c r="BE140" i="5"/>
  <c r="BE144" i="5" s="1"/>
  <c r="BD146" i="5"/>
  <c r="BD210" i="7"/>
  <c r="BC216" i="7"/>
  <c r="BD112" i="7"/>
  <c r="BD116" i="7" s="1"/>
  <c r="BC118" i="7"/>
  <c r="BD105" i="5"/>
  <c r="BD109" i="5" s="1"/>
  <c r="BC111" i="5"/>
  <c r="BD20" i="3"/>
  <c r="BE14" i="3"/>
  <c r="BE18" i="3" s="1"/>
  <c r="BD182" i="7"/>
  <c r="BD186" i="7" s="1"/>
  <c r="BC188" i="7"/>
  <c r="BD195" i="7"/>
  <c r="BE189" i="7"/>
  <c r="BF175" i="7"/>
  <c r="BF179" i="7" s="1"/>
  <c r="BE181" i="7"/>
  <c r="BD14" i="5"/>
  <c r="BC20" i="5"/>
  <c r="BC272" i="5"/>
  <c r="BC260" i="5"/>
  <c r="BC266" i="5" s="1"/>
  <c r="BC281" i="5"/>
  <c r="BC118" i="5"/>
  <c r="BD112" i="5"/>
  <c r="BD116" i="5" s="1"/>
  <c r="BD91" i="5"/>
  <c r="BD95" i="5" s="1"/>
  <c r="BC97" i="5"/>
  <c r="BF231" i="7"/>
  <c r="BF235" i="7" s="1"/>
  <c r="BE237" i="7"/>
  <c r="BC167" i="7"/>
  <c r="BD161" i="7"/>
  <c r="BD165" i="7" s="1"/>
  <c r="BC34" i="3"/>
  <c r="BD28" i="3"/>
  <c r="BD32" i="3" s="1"/>
  <c r="BC111" i="7"/>
  <c r="BD105" i="7"/>
  <c r="BD109" i="7" s="1"/>
  <c r="BD55" i="10"/>
  <c r="BE49" i="10"/>
  <c r="BD245" i="5"/>
  <c r="BC251" i="5"/>
  <c r="BE119" i="7"/>
  <c r="BE123" i="7" s="1"/>
  <c r="BD125" i="7"/>
  <c r="BD224" i="7"/>
  <c r="BD228" i="7" s="1"/>
  <c r="BC230" i="7"/>
  <c r="BF147" i="5"/>
  <c r="BF151" i="5" s="1"/>
  <c r="BE153" i="5"/>
  <c r="BE210" i="5"/>
  <c r="BE214" i="5" s="1"/>
  <c r="BD216" i="5"/>
  <c r="BE34" i="7"/>
  <c r="BF28" i="7"/>
  <c r="BF32" i="7" s="1"/>
  <c r="BE174" i="5"/>
  <c r="BF168" i="5"/>
  <c r="BF172" i="5" s="1"/>
  <c r="BD238" i="5"/>
  <c r="BD242" i="5" s="1"/>
  <c r="BC244" i="5"/>
  <c r="BD181" i="5"/>
  <c r="BE175" i="5"/>
  <c r="BE179" i="5" s="1"/>
  <c r="BE133" i="5"/>
  <c r="BE137" i="5" s="1"/>
  <c r="BD139" i="5"/>
  <c r="BE161" i="5"/>
  <c r="BD167" i="5"/>
  <c r="BD196" i="7"/>
  <c r="BD200" i="7" s="1"/>
  <c r="BC202" i="7"/>
  <c r="BE196" i="5"/>
  <c r="BE200" i="5" s="1"/>
  <c r="BD202" i="5"/>
  <c r="BD84" i="7"/>
  <c r="BD88" i="7" s="1"/>
  <c r="BC90" i="7"/>
  <c r="BE203" i="5"/>
  <c r="BD209" i="5"/>
  <c r="BB60" i="10" l="1"/>
  <c r="BC56" i="10"/>
  <c r="BB62" i="10"/>
  <c r="BB85" i="10"/>
  <c r="BB64" i="10"/>
  <c r="BB70" i="10" s="1"/>
  <c r="BB76" i="10"/>
  <c r="G73" i="9"/>
  <c r="J72" i="9"/>
  <c r="G72" i="4"/>
  <c r="J71" i="4"/>
  <c r="G72" i="6"/>
  <c r="J71" i="6"/>
  <c r="G72" i="8"/>
  <c r="J71" i="8"/>
  <c r="BE56" i="7"/>
  <c r="BE60" i="7" s="1"/>
  <c r="BD62" i="7"/>
  <c r="BE154" i="5"/>
  <c r="BE158" i="5" s="1"/>
  <c r="BD160" i="5"/>
  <c r="BF34" i="10"/>
  <c r="BG28" i="10"/>
  <c r="BE14" i="10"/>
  <c r="BD20" i="10"/>
  <c r="BD41" i="10"/>
  <c r="BE35" i="10"/>
  <c r="BE91" i="7"/>
  <c r="BE95" i="7" s="1"/>
  <c r="BD97" i="7"/>
  <c r="BD27" i="3"/>
  <c r="BE21" i="3"/>
  <c r="BE25" i="3" s="1"/>
  <c r="BF69" i="5"/>
  <c r="BG63" i="5"/>
  <c r="BD69" i="7"/>
  <c r="BE63" i="7"/>
  <c r="BE67" i="7" s="1"/>
  <c r="BE70" i="7"/>
  <c r="BE74" i="7" s="1"/>
  <c r="BD76" i="7"/>
  <c r="BE98" i="7"/>
  <c r="BE102" i="7" s="1"/>
  <c r="BD104" i="7"/>
  <c r="BD41" i="3"/>
  <c r="BE35" i="3"/>
  <c r="BE39" i="3" s="1"/>
  <c r="BE27" i="5"/>
  <c r="BF21" i="5"/>
  <c r="BF25" i="5" s="1"/>
  <c r="BE56" i="5"/>
  <c r="BD62" i="5"/>
  <c r="BD55" i="5"/>
  <c r="BE49" i="5"/>
  <c r="BD34" i="5"/>
  <c r="BE28" i="5"/>
  <c r="BE32" i="5" s="1"/>
  <c r="BE196" i="7"/>
  <c r="BE200" i="7" s="1"/>
  <c r="BD202" i="7"/>
  <c r="BE238" i="5"/>
  <c r="BE242" i="5" s="1"/>
  <c r="BD244" i="5"/>
  <c r="BF196" i="5"/>
  <c r="BF200" i="5" s="1"/>
  <c r="BE202" i="5"/>
  <c r="BF210" i="5"/>
  <c r="BF214" i="5" s="1"/>
  <c r="BE216" i="5"/>
  <c r="BE112" i="7"/>
  <c r="BE116" i="7" s="1"/>
  <c r="BD118" i="7"/>
  <c r="BE203" i="7"/>
  <c r="BD209" i="7"/>
  <c r="BF84" i="5"/>
  <c r="BF88" i="5" s="1"/>
  <c r="BE90" i="5"/>
  <c r="BG76" i="5"/>
  <c r="BH70" i="5"/>
  <c r="BE35" i="5"/>
  <c r="BE39" i="5" s="1"/>
  <c r="BD41" i="5"/>
  <c r="BH224" i="5"/>
  <c r="BG230" i="5"/>
  <c r="BE238" i="7"/>
  <c r="BE242" i="7" s="1"/>
  <c r="BD244" i="7"/>
  <c r="BF189" i="5"/>
  <c r="BE195" i="5"/>
  <c r="BE252" i="7"/>
  <c r="BD258" i="7"/>
  <c r="BE245" i="7"/>
  <c r="BD251" i="7"/>
  <c r="BF21" i="10"/>
  <c r="BE27" i="10"/>
  <c r="BD153" i="7"/>
  <c r="BE147" i="7"/>
  <c r="BE151" i="7" s="1"/>
  <c r="BE41" i="7"/>
  <c r="BF35" i="7"/>
  <c r="BF39" i="7" s="1"/>
  <c r="BD34" i="3"/>
  <c r="BE28" i="3"/>
  <c r="BE32" i="3" s="1"/>
  <c r="BF21" i="7"/>
  <c r="BE27" i="7"/>
  <c r="BE42" i="3"/>
  <c r="BE46" i="3" s="1"/>
  <c r="BD48" i="3"/>
  <c r="BD146" i="7"/>
  <c r="BE140" i="7"/>
  <c r="BE144" i="7" s="1"/>
  <c r="BD20" i="7"/>
  <c r="BE14" i="7"/>
  <c r="BD260" i="7"/>
  <c r="BD266" i="7" s="1"/>
  <c r="BD272" i="7"/>
  <c r="BD281" i="7"/>
  <c r="BD85" i="3"/>
  <c r="BF133" i="5"/>
  <c r="BF137" i="5" s="1"/>
  <c r="BE139" i="5"/>
  <c r="BE125" i="7"/>
  <c r="BF119" i="7"/>
  <c r="BF123" i="7" s="1"/>
  <c r="BD64" i="3"/>
  <c r="BD70" i="3" s="1"/>
  <c r="BE210" i="7"/>
  <c r="BD216" i="7"/>
  <c r="BE154" i="7"/>
  <c r="BE158" i="7" s="1"/>
  <c r="BD160" i="7"/>
  <c r="BE98" i="5"/>
  <c r="BE102" i="5" s="1"/>
  <c r="BD104" i="5"/>
  <c r="BE48" i="5"/>
  <c r="BF42" i="5"/>
  <c r="BF46" i="5" s="1"/>
  <c r="BE167" i="5"/>
  <c r="BF161" i="5"/>
  <c r="BE217" i="5"/>
  <c r="BE221" i="5" s="1"/>
  <c r="BD223" i="5"/>
  <c r="BF77" i="7"/>
  <c r="BF81" i="7" s="1"/>
  <c r="BE83" i="7"/>
  <c r="BE55" i="7"/>
  <c r="BF49" i="7"/>
  <c r="BF53" i="7" s="1"/>
  <c r="BF140" i="5"/>
  <c r="BF144" i="5" s="1"/>
  <c r="BE146" i="5"/>
  <c r="BD237" i="5"/>
  <c r="BE231" i="5"/>
  <c r="BE235" i="5" s="1"/>
  <c r="BF56" i="3"/>
  <c r="BE62" i="3"/>
  <c r="BE48" i="7"/>
  <c r="BF42" i="7"/>
  <c r="BF46" i="7" s="1"/>
  <c r="BE83" i="5"/>
  <c r="BF77" i="5"/>
  <c r="BF81" i="5" s="1"/>
  <c r="BD76" i="3"/>
  <c r="BF34" i="7"/>
  <c r="BG28" i="7"/>
  <c r="BG32" i="7" s="1"/>
  <c r="BE161" i="7"/>
  <c r="BE165" i="7" s="1"/>
  <c r="BD167" i="7"/>
  <c r="BF181" i="7"/>
  <c r="BG175" i="7"/>
  <c r="BG179" i="7" s="1"/>
  <c r="BE245" i="5"/>
  <c r="BD251" i="5"/>
  <c r="BE55" i="10"/>
  <c r="BF49" i="10"/>
  <c r="BF182" i="5"/>
  <c r="BE188" i="5"/>
  <c r="BG168" i="5"/>
  <c r="BG172" i="5" s="1"/>
  <c r="BF174" i="5"/>
  <c r="BE224" i="7"/>
  <c r="BE228" i="7" s="1"/>
  <c r="BD230" i="7"/>
  <c r="BE14" i="5"/>
  <c r="BD20" i="5"/>
  <c r="BD260" i="5"/>
  <c r="BD266" i="5" s="1"/>
  <c r="BD272" i="5"/>
  <c r="BD281" i="5"/>
  <c r="BF14" i="3"/>
  <c r="BF18" i="3" s="1"/>
  <c r="BE20" i="3"/>
  <c r="BF203" i="5"/>
  <c r="BE209" i="5"/>
  <c r="BF237" i="7"/>
  <c r="BG231" i="7"/>
  <c r="BG235" i="7" s="1"/>
  <c r="BE195" i="7"/>
  <c r="BF189" i="7"/>
  <c r="BE181" i="5"/>
  <c r="BF175" i="5"/>
  <c r="BF179" i="5" s="1"/>
  <c r="BE84" i="7"/>
  <c r="BE88" i="7" s="1"/>
  <c r="BD90" i="7"/>
  <c r="BE91" i="5"/>
  <c r="BE95" i="5" s="1"/>
  <c r="BD97" i="5"/>
  <c r="BE105" i="5"/>
  <c r="BE109" i="5" s="1"/>
  <c r="BD111" i="5"/>
  <c r="BE49" i="3"/>
  <c r="BE53" i="3" s="1"/>
  <c r="BD55" i="3"/>
  <c r="BE133" i="7"/>
  <c r="BE137" i="7" s="1"/>
  <c r="BD139" i="7"/>
  <c r="BE126" i="7"/>
  <c r="BE130" i="7" s="1"/>
  <c r="BD132" i="7"/>
  <c r="BF126" i="5"/>
  <c r="BF130" i="5" s="1"/>
  <c r="BE132" i="5"/>
  <c r="BE48" i="10"/>
  <c r="BF42" i="10"/>
  <c r="BD223" i="7"/>
  <c r="BE217" i="7"/>
  <c r="BE221" i="7" s="1"/>
  <c r="BF153" i="5"/>
  <c r="BG147" i="5"/>
  <c r="BG151" i="5" s="1"/>
  <c r="BD188" i="7"/>
  <c r="BE182" i="7"/>
  <c r="BE186" i="7" s="1"/>
  <c r="BE105" i="7"/>
  <c r="BE109" i="7" s="1"/>
  <c r="BD111" i="7"/>
  <c r="BE112" i="5"/>
  <c r="BE116" i="5" s="1"/>
  <c r="BD118" i="5"/>
  <c r="BD174" i="7"/>
  <c r="BE168" i="7"/>
  <c r="BE172" i="7" s="1"/>
  <c r="BE119" i="5"/>
  <c r="BE123" i="5" s="1"/>
  <c r="BD125" i="5"/>
  <c r="BD258" i="5"/>
  <c r="BE252" i="5"/>
  <c r="BE256" i="5" s="1"/>
  <c r="BC60" i="10" l="1"/>
  <c r="BC62" i="10"/>
  <c r="BD56" i="10"/>
  <c r="BC76" i="10"/>
  <c r="BC64" i="10"/>
  <c r="BC70" i="10" s="1"/>
  <c r="BC85" i="10"/>
  <c r="G74" i="9"/>
  <c r="J73" i="9"/>
  <c r="G73" i="4"/>
  <c r="J72" i="4"/>
  <c r="G73" i="6"/>
  <c r="J72" i="6"/>
  <c r="G73" i="8"/>
  <c r="J72" i="8"/>
  <c r="BE62" i="7"/>
  <c r="BF56" i="7"/>
  <c r="BF60" i="7" s="1"/>
  <c r="BE160" i="5"/>
  <c r="BF154" i="5"/>
  <c r="BF158" i="5" s="1"/>
  <c r="BH28" i="10"/>
  <c r="BG34" i="10"/>
  <c r="BF35" i="10"/>
  <c r="BE41" i="10"/>
  <c r="BF14" i="10"/>
  <c r="BE20" i="10"/>
  <c r="BF98" i="7"/>
  <c r="BF102" i="7" s="1"/>
  <c r="BE104" i="7"/>
  <c r="BE34" i="5"/>
  <c r="BF28" i="5"/>
  <c r="BF32" i="5" s="1"/>
  <c r="BE76" i="7"/>
  <c r="BF70" i="7"/>
  <c r="BF74" i="7" s="1"/>
  <c r="BE55" i="5"/>
  <c r="BF49" i="5"/>
  <c r="BF63" i="7"/>
  <c r="BF67" i="7" s="1"/>
  <c r="BE69" i="7"/>
  <c r="BG69" i="5"/>
  <c r="BH63" i="5"/>
  <c r="BE62" i="5"/>
  <c r="BF56" i="5"/>
  <c r="BF27" i="5"/>
  <c r="BG21" i="5"/>
  <c r="BG25" i="5" s="1"/>
  <c r="BE27" i="3"/>
  <c r="BF21" i="3"/>
  <c r="BF25" i="3" s="1"/>
  <c r="BE41" i="3"/>
  <c r="BF35" i="3"/>
  <c r="BF39" i="3" s="1"/>
  <c r="BF91" i="7"/>
  <c r="BF95" i="7" s="1"/>
  <c r="BE97" i="7"/>
  <c r="BF181" i="5"/>
  <c r="BG175" i="5"/>
  <c r="BG179" i="5" s="1"/>
  <c r="BG14" i="3"/>
  <c r="BG18" i="3" s="1"/>
  <c r="BF20" i="3"/>
  <c r="BF245" i="5"/>
  <c r="BE251" i="5"/>
  <c r="BF48" i="7"/>
  <c r="BG42" i="7"/>
  <c r="BG46" i="7" s="1"/>
  <c r="BG21" i="7"/>
  <c r="BF27" i="7"/>
  <c r="BE34" i="3"/>
  <c r="BF28" i="3"/>
  <c r="BF32" i="3" s="1"/>
  <c r="BE41" i="5"/>
  <c r="BF35" i="5"/>
  <c r="BF39" i="5" s="1"/>
  <c r="BF112" i="7"/>
  <c r="BF116" i="7" s="1"/>
  <c r="BE118" i="7"/>
  <c r="BF217" i="7"/>
  <c r="BF221" i="7" s="1"/>
  <c r="BE223" i="7"/>
  <c r="BF48" i="10"/>
  <c r="BG42" i="10"/>
  <c r="BF245" i="7"/>
  <c r="BE251" i="7"/>
  <c r="BG210" i="5"/>
  <c r="BG214" i="5" s="1"/>
  <c r="BF216" i="5"/>
  <c r="BF105" i="5"/>
  <c r="BF109" i="5" s="1"/>
  <c r="BE111" i="5"/>
  <c r="BG237" i="7"/>
  <c r="BH231" i="7"/>
  <c r="BH235" i="7" s="1"/>
  <c r="BE237" i="5"/>
  <c r="BF231" i="5"/>
  <c r="BF235" i="5" s="1"/>
  <c r="BH76" i="5"/>
  <c r="BI70" i="5"/>
  <c r="BF49" i="3"/>
  <c r="BF53" i="3" s="1"/>
  <c r="BE55" i="3"/>
  <c r="BF98" i="5"/>
  <c r="BF102" i="5" s="1"/>
  <c r="BE104" i="5"/>
  <c r="BF105" i="7"/>
  <c r="BF109" i="7" s="1"/>
  <c r="BE111" i="7"/>
  <c r="BE223" i="5"/>
  <c r="BF217" i="5"/>
  <c r="BF221" i="5" s="1"/>
  <c r="BE216" i="7"/>
  <c r="BF210" i="7"/>
  <c r="BF14" i="7"/>
  <c r="BE20" i="7"/>
  <c r="BE260" i="7"/>
  <c r="BE266" i="7" s="1"/>
  <c r="BE272" i="7"/>
  <c r="BE281" i="7"/>
  <c r="BE153" i="7"/>
  <c r="BF147" i="7"/>
  <c r="BF151" i="7" s="1"/>
  <c r="BF252" i="7"/>
  <c r="BE258" i="7"/>
  <c r="BG196" i="5"/>
  <c r="BG200" i="5" s="1"/>
  <c r="BF202" i="5"/>
  <c r="BF161" i="7"/>
  <c r="BF165" i="7" s="1"/>
  <c r="BE167" i="7"/>
  <c r="BF167" i="5"/>
  <c r="BG161" i="5"/>
  <c r="BH175" i="7"/>
  <c r="BH179" i="7" s="1"/>
  <c r="BG181" i="7"/>
  <c r="BF62" i="3"/>
  <c r="BG56" i="3"/>
  <c r="BE160" i="7"/>
  <c r="BF154" i="7"/>
  <c r="BF158" i="7" s="1"/>
  <c r="BF41" i="7"/>
  <c r="BG35" i="7"/>
  <c r="BG39" i="7" s="1"/>
  <c r="BG126" i="5"/>
  <c r="BG130" i="5" s="1"/>
  <c r="BF132" i="5"/>
  <c r="BF91" i="5"/>
  <c r="BF95" i="5" s="1"/>
  <c r="BE97" i="5"/>
  <c r="BG203" i="5"/>
  <c r="BF209" i="5"/>
  <c r="BF224" i="7"/>
  <c r="BF228" i="7" s="1"/>
  <c r="BE230" i="7"/>
  <c r="BG34" i="7"/>
  <c r="BH28" i="7"/>
  <c r="BH32" i="7" s="1"/>
  <c r="BG140" i="5"/>
  <c r="BG144" i="5" s="1"/>
  <c r="BF146" i="5"/>
  <c r="BG119" i="7"/>
  <c r="BG123" i="7" s="1"/>
  <c r="BF125" i="7"/>
  <c r="BE146" i="7"/>
  <c r="BF140" i="7"/>
  <c r="BF144" i="7" s="1"/>
  <c r="BG189" i="5"/>
  <c r="BF195" i="5"/>
  <c r="BG182" i="5"/>
  <c r="BF188" i="5"/>
  <c r="BF112" i="5"/>
  <c r="BF116" i="5" s="1"/>
  <c r="BE118" i="5"/>
  <c r="BE20" i="5"/>
  <c r="BF14" i="5"/>
  <c r="BE281" i="5"/>
  <c r="BE272" i="5"/>
  <c r="BE260" i="5"/>
  <c r="BE266" i="5" s="1"/>
  <c r="BE258" i="5"/>
  <c r="BF252" i="5"/>
  <c r="BF256" i="5" s="1"/>
  <c r="BE188" i="7"/>
  <c r="BF182" i="7"/>
  <c r="BF186" i="7" s="1"/>
  <c r="BE85" i="3"/>
  <c r="BF55" i="7"/>
  <c r="BG49" i="7"/>
  <c r="BG53" i="7" s="1"/>
  <c r="BF55" i="10"/>
  <c r="BG49" i="10"/>
  <c r="BF238" i="7"/>
  <c r="BF242" i="7" s="1"/>
  <c r="BE244" i="7"/>
  <c r="BG84" i="5"/>
  <c r="BG88" i="5" s="1"/>
  <c r="BF90" i="5"/>
  <c r="BF238" i="5"/>
  <c r="BF242" i="5" s="1"/>
  <c r="BE244" i="5"/>
  <c r="BF83" i="7"/>
  <c r="BG77" i="7"/>
  <c r="BG81" i="7" s="1"/>
  <c r="BF195" i="7"/>
  <c r="BG189" i="7"/>
  <c r="BF119" i="5"/>
  <c r="BF123" i="5" s="1"/>
  <c r="BE125" i="5"/>
  <c r="BE132" i="7"/>
  <c r="BF126" i="7"/>
  <c r="BF130" i="7" s="1"/>
  <c r="BE90" i="7"/>
  <c r="BF84" i="7"/>
  <c r="BF88" i="7" s="1"/>
  <c r="BE64" i="3"/>
  <c r="BE70" i="3" s="1"/>
  <c r="BF168" i="7"/>
  <c r="BF172" i="7" s="1"/>
  <c r="BE174" i="7"/>
  <c r="BG153" i="5"/>
  <c r="BH147" i="5"/>
  <c r="BH151" i="5" s="1"/>
  <c r="BE76" i="3"/>
  <c r="BF83" i="5"/>
  <c r="BG77" i="5"/>
  <c r="BG81" i="5" s="1"/>
  <c r="BF48" i="5"/>
  <c r="BG42" i="5"/>
  <c r="BG46" i="5" s="1"/>
  <c r="BG133" i="5"/>
  <c r="BG137" i="5" s="1"/>
  <c r="BF139" i="5"/>
  <c r="BE48" i="3"/>
  <c r="BF42" i="3"/>
  <c r="BF46" i="3" s="1"/>
  <c r="BE139" i="7"/>
  <c r="BF133" i="7"/>
  <c r="BF137" i="7" s="1"/>
  <c r="BH168" i="5"/>
  <c r="BH172" i="5" s="1"/>
  <c r="BG174" i="5"/>
  <c r="BF27" i="10"/>
  <c r="BG21" i="10"/>
  <c r="BH230" i="5"/>
  <c r="BI224" i="5"/>
  <c r="BE209" i="7"/>
  <c r="BF203" i="7"/>
  <c r="BE202" i="7"/>
  <c r="BF196" i="7"/>
  <c r="BF200" i="7" s="1"/>
  <c r="BD60" i="10" l="1"/>
  <c r="BE56" i="10"/>
  <c r="BD62" i="10"/>
  <c r="BD85" i="10"/>
  <c r="BD64" i="10"/>
  <c r="BD70" i="10" s="1"/>
  <c r="BD76" i="10"/>
  <c r="G75" i="9"/>
  <c r="G76" i="9" s="1"/>
  <c r="G77" i="9" s="1"/>
  <c r="G78" i="9" s="1"/>
  <c r="G79" i="9" s="1"/>
  <c r="J74" i="9"/>
  <c r="G74" i="4"/>
  <c r="J73" i="4"/>
  <c r="G74" i="6"/>
  <c r="J73" i="6"/>
  <c r="G74" i="8"/>
  <c r="J73" i="8"/>
  <c r="BF62" i="7"/>
  <c r="BG56" i="7"/>
  <c r="BG60" i="7" s="1"/>
  <c r="BG154" i="5"/>
  <c r="BG158" i="5" s="1"/>
  <c r="BF160" i="5"/>
  <c r="BI28" i="10"/>
  <c r="BH34" i="10"/>
  <c r="BF20" i="10"/>
  <c r="BG14" i="10"/>
  <c r="BG35" i="10"/>
  <c r="BF41" i="10"/>
  <c r="BH69" i="5"/>
  <c r="BI63" i="5"/>
  <c r="BG91" i="7"/>
  <c r="BG95" i="7" s="1"/>
  <c r="BF97" i="7"/>
  <c r="BG63" i="7"/>
  <c r="BG67" i="7" s="1"/>
  <c r="BF69" i="7"/>
  <c r="BF41" i="3"/>
  <c r="BG35" i="3"/>
  <c r="BG39" i="3" s="1"/>
  <c r="BF55" i="5"/>
  <c r="BG49" i="5"/>
  <c r="BG21" i="3"/>
  <c r="BG25" i="3" s="1"/>
  <c r="BF27" i="3"/>
  <c r="BG70" i="7"/>
  <c r="BG74" i="7" s="1"/>
  <c r="BF76" i="7"/>
  <c r="BG27" i="5"/>
  <c r="BH21" i="5"/>
  <c r="BH25" i="5" s="1"/>
  <c r="BF34" i="5"/>
  <c r="BG28" i="5"/>
  <c r="BG32" i="5" s="1"/>
  <c r="BF62" i="5"/>
  <c r="BG56" i="5"/>
  <c r="BF104" i="7"/>
  <c r="BG98" i="7"/>
  <c r="BG102" i="7" s="1"/>
  <c r="BG195" i="7"/>
  <c r="BH189" i="7"/>
  <c r="BG139" i="5"/>
  <c r="BH133" i="5"/>
  <c r="BH137" i="5" s="1"/>
  <c r="BH182" i="5"/>
  <c r="BG188" i="5"/>
  <c r="BF153" i="7"/>
  <c r="BG147" i="7"/>
  <c r="BG151" i="7" s="1"/>
  <c r="BF111" i="7"/>
  <c r="BG105" i="7"/>
  <c r="BG109" i="7" s="1"/>
  <c r="BG105" i="5"/>
  <c r="BG109" i="5" s="1"/>
  <c r="BF111" i="5"/>
  <c r="BH21" i="7"/>
  <c r="BG27" i="7"/>
  <c r="BF48" i="3"/>
  <c r="BG42" i="3"/>
  <c r="BG46" i="3" s="1"/>
  <c r="BG48" i="5"/>
  <c r="BH42" i="5"/>
  <c r="BH46" i="5" s="1"/>
  <c r="BG168" i="7"/>
  <c r="BG172" i="7" s="1"/>
  <c r="BF174" i="7"/>
  <c r="BF20" i="5"/>
  <c r="BG14" i="5"/>
  <c r="BF281" i="5"/>
  <c r="BF272" i="5"/>
  <c r="BF260" i="5"/>
  <c r="BF266" i="5" s="1"/>
  <c r="BI175" i="7"/>
  <c r="BI179" i="7" s="1"/>
  <c r="BH181" i="7"/>
  <c r="BG48" i="7"/>
  <c r="BH42" i="7"/>
  <c r="BH46" i="7" s="1"/>
  <c r="BG238" i="5"/>
  <c r="BG242" i="5" s="1"/>
  <c r="BF244" i="5"/>
  <c r="BF230" i="7"/>
  <c r="BG224" i="7"/>
  <c r="BG228" i="7" s="1"/>
  <c r="BG98" i="5"/>
  <c r="BG102" i="5" s="1"/>
  <c r="BF104" i="5"/>
  <c r="BG217" i="7"/>
  <c r="BG221" i="7" s="1"/>
  <c r="BF223" i="7"/>
  <c r="BH21" i="10"/>
  <c r="BG27" i="10"/>
  <c r="BF90" i="7"/>
  <c r="BG84" i="7"/>
  <c r="BG88" i="7" s="1"/>
  <c r="BG90" i="5"/>
  <c r="BH84" i="5"/>
  <c r="BH88" i="5" s="1"/>
  <c r="BF55" i="3"/>
  <c r="BG49" i="3"/>
  <c r="BG53" i="3" s="1"/>
  <c r="BH210" i="5"/>
  <c r="BH214" i="5" s="1"/>
  <c r="BG216" i="5"/>
  <c r="BF118" i="7"/>
  <c r="BG112" i="7"/>
  <c r="BG116" i="7" s="1"/>
  <c r="BG245" i="5"/>
  <c r="BF251" i="5"/>
  <c r="BH77" i="5"/>
  <c r="BH81" i="5" s="1"/>
  <c r="BG83" i="5"/>
  <c r="BG126" i="7"/>
  <c r="BG130" i="7" s="1"/>
  <c r="BF132" i="7"/>
  <c r="BG140" i="7"/>
  <c r="BG144" i="7" s="1"/>
  <c r="BF146" i="7"/>
  <c r="BJ70" i="5"/>
  <c r="BI76" i="5"/>
  <c r="BF41" i="5"/>
  <c r="BG35" i="5"/>
  <c r="BG39" i="5" s="1"/>
  <c r="BF85" i="3"/>
  <c r="BG91" i="5"/>
  <c r="BG95" i="5" s="1"/>
  <c r="BF97" i="5"/>
  <c r="BG41" i="7"/>
  <c r="BH35" i="7"/>
  <c r="BH39" i="7" s="1"/>
  <c r="BG14" i="7"/>
  <c r="BF20" i="7"/>
  <c r="BF260" i="7"/>
  <c r="BF266" i="7" s="1"/>
  <c r="BF281" i="7"/>
  <c r="BF272" i="7"/>
  <c r="BF251" i="7"/>
  <c r="BG245" i="7"/>
  <c r="BF64" i="3"/>
  <c r="BF70" i="3" s="1"/>
  <c r="BH189" i="5"/>
  <c r="BG195" i="5"/>
  <c r="BH203" i="5"/>
  <c r="BG209" i="5"/>
  <c r="BG167" i="5"/>
  <c r="BH161" i="5"/>
  <c r="BF202" i="7"/>
  <c r="BG196" i="7"/>
  <c r="BG200" i="7" s="1"/>
  <c r="BG238" i="7"/>
  <c r="BG242" i="7" s="1"/>
  <c r="BF244" i="7"/>
  <c r="BF188" i="7"/>
  <c r="BG182" i="7"/>
  <c r="BG186" i="7" s="1"/>
  <c r="BG133" i="7"/>
  <c r="BG137" i="7" s="1"/>
  <c r="BF139" i="7"/>
  <c r="BG55" i="10"/>
  <c r="BH49" i="10"/>
  <c r="BF167" i="7"/>
  <c r="BG161" i="7"/>
  <c r="BG165" i="7" s="1"/>
  <c r="BF216" i="7"/>
  <c r="BG210" i="7"/>
  <c r="BG231" i="5"/>
  <c r="BG235" i="5" s="1"/>
  <c r="BF237" i="5"/>
  <c r="BF34" i="3"/>
  <c r="BG28" i="3"/>
  <c r="BG32" i="3" s="1"/>
  <c r="BF76" i="3"/>
  <c r="BI168" i="5"/>
  <c r="BI172" i="5" s="1"/>
  <c r="BH174" i="5"/>
  <c r="BF209" i="7"/>
  <c r="BG203" i="7"/>
  <c r="BG119" i="5"/>
  <c r="BG123" i="5" s="1"/>
  <c r="BF125" i="5"/>
  <c r="BF258" i="5"/>
  <c r="BG252" i="5"/>
  <c r="BG256" i="5" s="1"/>
  <c r="BG112" i="5"/>
  <c r="BG116" i="5" s="1"/>
  <c r="BF118" i="5"/>
  <c r="BG125" i="7"/>
  <c r="BH119" i="7"/>
  <c r="BH123" i="7" s="1"/>
  <c r="BH126" i="5"/>
  <c r="BH130" i="5" s="1"/>
  <c r="BG132" i="5"/>
  <c r="BF160" i="7"/>
  <c r="BG154" i="7"/>
  <c r="BG158" i="7" s="1"/>
  <c r="BH196" i="5"/>
  <c r="BH200" i="5" s="1"/>
  <c r="BG202" i="5"/>
  <c r="BG217" i="5"/>
  <c r="BG221" i="5" s="1"/>
  <c r="BF223" i="5"/>
  <c r="BH237" i="7"/>
  <c r="BI231" i="7"/>
  <c r="BI235" i="7" s="1"/>
  <c r="BH14" i="3"/>
  <c r="BH18" i="3" s="1"/>
  <c r="BG20" i="3"/>
  <c r="BJ224" i="5"/>
  <c r="BI230" i="5"/>
  <c r="BI147" i="5"/>
  <c r="BI151" i="5" s="1"/>
  <c r="BH153" i="5"/>
  <c r="BH140" i="5"/>
  <c r="BH144" i="5" s="1"/>
  <c r="BG146" i="5"/>
  <c r="BG62" i="3"/>
  <c r="BH56" i="3"/>
  <c r="BG181" i="5"/>
  <c r="BH175" i="5"/>
  <c r="BH179" i="5" s="1"/>
  <c r="BH77" i="7"/>
  <c r="BH81" i="7" s="1"/>
  <c r="BG83" i="7"/>
  <c r="BH49" i="7"/>
  <c r="BH53" i="7" s="1"/>
  <c r="BG55" i="7"/>
  <c r="BI28" i="7"/>
  <c r="BI32" i="7" s="1"/>
  <c r="BH34" i="7"/>
  <c r="BG252" i="7"/>
  <c r="BF258" i="7"/>
  <c r="BG48" i="10"/>
  <c r="BH42" i="10"/>
  <c r="BE60" i="10" l="1"/>
  <c r="BF56" i="10"/>
  <c r="BE62" i="10"/>
  <c r="BE64" i="10"/>
  <c r="BE70" i="10" s="1"/>
  <c r="BE76" i="10"/>
  <c r="BE85" i="10"/>
  <c r="G80" i="9"/>
  <c r="J79" i="9"/>
  <c r="G75" i="4"/>
  <c r="G76" i="4" s="1"/>
  <c r="G77" i="4" s="1"/>
  <c r="G78" i="4" s="1"/>
  <c r="G79" i="4" s="1"/>
  <c r="J74" i="4"/>
  <c r="G75" i="6"/>
  <c r="G76" i="6" s="1"/>
  <c r="G77" i="6" s="1"/>
  <c r="G78" i="6" s="1"/>
  <c r="G79" i="6" s="1"/>
  <c r="J74" i="6"/>
  <c r="G75" i="8"/>
  <c r="G76" i="8" s="1"/>
  <c r="G77" i="8" s="1"/>
  <c r="G78" i="8" s="1"/>
  <c r="G79" i="8" s="1"/>
  <c r="J74" i="8"/>
  <c r="BH56" i="7"/>
  <c r="BH60" i="7" s="1"/>
  <c r="BG62" i="7"/>
  <c r="BG160" i="5"/>
  <c r="BH154" i="5"/>
  <c r="BH158" i="5" s="1"/>
  <c r="BJ28" i="10"/>
  <c r="BI34" i="10"/>
  <c r="BG64" i="3"/>
  <c r="BG70" i="3" s="1"/>
  <c r="BH35" i="10"/>
  <c r="BG41" i="10"/>
  <c r="BG20" i="10"/>
  <c r="BH14" i="10"/>
  <c r="BG27" i="3"/>
  <c r="BH21" i="3"/>
  <c r="BH25" i="3" s="1"/>
  <c r="BG104" i="7"/>
  <c r="BH98" i="7"/>
  <c r="BH102" i="7" s="1"/>
  <c r="BG55" i="5"/>
  <c r="BH49" i="5"/>
  <c r="BG62" i="5"/>
  <c r="BH56" i="5"/>
  <c r="BH35" i="3"/>
  <c r="BH39" i="3" s="1"/>
  <c r="BG41" i="3"/>
  <c r="BG34" i="5"/>
  <c r="BH28" i="5"/>
  <c r="BH32" i="5" s="1"/>
  <c r="BG69" i="7"/>
  <c r="BH63" i="7"/>
  <c r="BH67" i="7" s="1"/>
  <c r="BG76" i="3"/>
  <c r="BI21" i="5"/>
  <c r="BI25" i="5" s="1"/>
  <c r="BH27" i="5"/>
  <c r="BG97" i="7"/>
  <c r="BH91" i="7"/>
  <c r="BH95" i="7" s="1"/>
  <c r="BI69" i="5"/>
  <c r="BJ63" i="5"/>
  <c r="BH70" i="7"/>
  <c r="BH74" i="7" s="1"/>
  <c r="BG76" i="7"/>
  <c r="BI42" i="7"/>
  <c r="BI46" i="7" s="1"/>
  <c r="BH48" i="7"/>
  <c r="BJ28" i="7"/>
  <c r="BJ32" i="7" s="1"/>
  <c r="BI34" i="7"/>
  <c r="BG209" i="7"/>
  <c r="BH203" i="7"/>
  <c r="BG111" i="5"/>
  <c r="BH105" i="5"/>
  <c r="BH109" i="5" s="1"/>
  <c r="BI126" i="5"/>
  <c r="BI130" i="5" s="1"/>
  <c r="BH132" i="5"/>
  <c r="BI14" i="3"/>
  <c r="BI18" i="3" s="1"/>
  <c r="BH20" i="3"/>
  <c r="BH161" i="7"/>
  <c r="BH165" i="7" s="1"/>
  <c r="BG167" i="7"/>
  <c r="BG251" i="5"/>
  <c r="BH245" i="5"/>
  <c r="BG20" i="5"/>
  <c r="BH14" i="5"/>
  <c r="BG281" i="5"/>
  <c r="BG272" i="5"/>
  <c r="BG260" i="5"/>
  <c r="BG266" i="5" s="1"/>
  <c r="BH105" i="7"/>
  <c r="BH109" i="7" s="1"/>
  <c r="BG111" i="7"/>
  <c r="BI174" i="5"/>
  <c r="BJ168" i="5"/>
  <c r="BJ172" i="5" s="1"/>
  <c r="BI237" i="7"/>
  <c r="BJ231" i="7"/>
  <c r="BJ235" i="7" s="1"/>
  <c r="BH14" i="7"/>
  <c r="BG20" i="7"/>
  <c r="BG260" i="7"/>
  <c r="BG266" i="7" s="1"/>
  <c r="BG272" i="7"/>
  <c r="BG281" i="7"/>
  <c r="BH112" i="7"/>
  <c r="BH116" i="7" s="1"/>
  <c r="BG118" i="7"/>
  <c r="BH84" i="7"/>
  <c r="BH88" i="7" s="1"/>
  <c r="BG90" i="7"/>
  <c r="BJ76" i="5"/>
  <c r="BK70" i="5"/>
  <c r="BI119" i="7"/>
  <c r="BI123" i="7" s="1"/>
  <c r="BH125" i="7"/>
  <c r="BI77" i="7"/>
  <c r="BI81" i="7" s="1"/>
  <c r="BH83" i="7"/>
  <c r="BG118" i="5"/>
  <c r="BH112" i="5"/>
  <c r="BH116" i="5" s="1"/>
  <c r="BI49" i="10"/>
  <c r="BH55" i="10"/>
  <c r="BI35" i="7"/>
  <c r="BI39" i="7" s="1"/>
  <c r="BH41" i="7"/>
  <c r="BG146" i="7"/>
  <c r="BH140" i="7"/>
  <c r="BH144" i="7" s="1"/>
  <c r="BG230" i="7"/>
  <c r="BH224" i="7"/>
  <c r="BH228" i="7" s="1"/>
  <c r="BG153" i="7"/>
  <c r="BH147" i="7"/>
  <c r="BH151" i="7" s="1"/>
  <c r="BI161" i="5"/>
  <c r="BH167" i="5"/>
  <c r="BI175" i="5"/>
  <c r="BI179" i="5" s="1"/>
  <c r="BH181" i="5"/>
  <c r="BI153" i="5"/>
  <c r="BJ147" i="5"/>
  <c r="BJ151" i="5" s="1"/>
  <c r="BG258" i="5"/>
  <c r="BH252" i="5"/>
  <c r="BH256" i="5" s="1"/>
  <c r="BH209" i="5"/>
  <c r="BI203" i="5"/>
  <c r="BJ175" i="7"/>
  <c r="BJ179" i="7" s="1"/>
  <c r="BI181" i="7"/>
  <c r="BH168" i="7"/>
  <c r="BH172" i="7" s="1"/>
  <c r="BG174" i="7"/>
  <c r="BG216" i="7"/>
  <c r="BH210" i="7"/>
  <c r="BH216" i="5"/>
  <c r="BI210" i="5"/>
  <c r="BI214" i="5" s="1"/>
  <c r="BI42" i="5"/>
  <c r="BI46" i="5" s="1"/>
  <c r="BH48" i="5"/>
  <c r="BI49" i="7"/>
  <c r="BI53" i="7" s="1"/>
  <c r="BH55" i="7"/>
  <c r="BI140" i="5"/>
  <c r="BI144" i="5" s="1"/>
  <c r="BH146" i="5"/>
  <c r="BG104" i="5"/>
  <c r="BH98" i="5"/>
  <c r="BH102" i="5" s="1"/>
  <c r="BG139" i="7"/>
  <c r="BH133" i="7"/>
  <c r="BH137" i="7" s="1"/>
  <c r="BH188" i="5"/>
  <c r="BI182" i="5"/>
  <c r="BI42" i="10"/>
  <c r="BH48" i="10"/>
  <c r="BH217" i="5"/>
  <c r="BH221" i="5" s="1"/>
  <c r="BG223" i="5"/>
  <c r="BJ230" i="5"/>
  <c r="BK224" i="5"/>
  <c r="BH195" i="5"/>
  <c r="BI189" i="5"/>
  <c r="BH202" i="5"/>
  <c r="BI196" i="5"/>
  <c r="BI200" i="5" s="1"/>
  <c r="BG125" i="5"/>
  <c r="BH119" i="5"/>
  <c r="BH123" i="5" s="1"/>
  <c r="BG188" i="7"/>
  <c r="BH182" i="7"/>
  <c r="BH186" i="7" s="1"/>
  <c r="BG132" i="7"/>
  <c r="BH126" i="7"/>
  <c r="BH130" i="7" s="1"/>
  <c r="BH42" i="3"/>
  <c r="BH46" i="3" s="1"/>
  <c r="BG48" i="3"/>
  <c r="BI133" i="5"/>
  <c r="BI137" i="5" s="1"/>
  <c r="BH139" i="5"/>
  <c r="BG55" i="3"/>
  <c r="BH49" i="3"/>
  <c r="BH53" i="3" s="1"/>
  <c r="BH252" i="7"/>
  <c r="BG258" i="7"/>
  <c r="BG160" i="7"/>
  <c r="BH154" i="7"/>
  <c r="BH158" i="7" s="1"/>
  <c r="BG251" i="7"/>
  <c r="BH245" i="7"/>
  <c r="BG41" i="5"/>
  <c r="BH35" i="5"/>
  <c r="BH39" i="5" s="1"/>
  <c r="BH90" i="5"/>
  <c r="BI84" i="5"/>
  <c r="BI88" i="5" s="1"/>
  <c r="BI21" i="10"/>
  <c r="BH27" i="10"/>
  <c r="BH196" i="7"/>
  <c r="BH200" i="7" s="1"/>
  <c r="BG202" i="7"/>
  <c r="BH28" i="3"/>
  <c r="BH32" i="3" s="1"/>
  <c r="BG34" i="3"/>
  <c r="BG97" i="5"/>
  <c r="BH91" i="5"/>
  <c r="BH95" i="5" s="1"/>
  <c r="BH62" i="3"/>
  <c r="BI56" i="3"/>
  <c r="BG85" i="3"/>
  <c r="BI77" i="5"/>
  <c r="BI81" i="5" s="1"/>
  <c r="BH83" i="5"/>
  <c r="BH195" i="7"/>
  <c r="BI189" i="7"/>
  <c r="BG237" i="5"/>
  <c r="BH231" i="5"/>
  <c r="BH235" i="5" s="1"/>
  <c r="BG244" i="7"/>
  <c r="BH238" i="7"/>
  <c r="BH242" i="7" s="1"/>
  <c r="BG223" i="7"/>
  <c r="BH217" i="7"/>
  <c r="BH221" i="7" s="1"/>
  <c r="BG244" i="5"/>
  <c r="BH238" i="5"/>
  <c r="BH242" i="5" s="1"/>
  <c r="BI21" i="7"/>
  <c r="BH27" i="7"/>
  <c r="BF60" i="10" l="1"/>
  <c r="BF62" i="10"/>
  <c r="BG56" i="10"/>
  <c r="BF64" i="10"/>
  <c r="BF70" i="10" s="1"/>
  <c r="BF76" i="10"/>
  <c r="BF85" i="10"/>
  <c r="G81" i="9"/>
  <c r="J80" i="9"/>
  <c r="G80" i="4"/>
  <c r="J79" i="4"/>
  <c r="G80" i="6"/>
  <c r="J79" i="6"/>
  <c r="G80" i="8"/>
  <c r="J79" i="8"/>
  <c r="BI56" i="7"/>
  <c r="BI60" i="7" s="1"/>
  <c r="BH62" i="7"/>
  <c r="BI154" i="5"/>
  <c r="BI158" i="5" s="1"/>
  <c r="BH160" i="5"/>
  <c r="BK28" i="10"/>
  <c r="BJ34" i="10"/>
  <c r="BI14" i="10"/>
  <c r="BH20" i="10"/>
  <c r="BH85" i="3"/>
  <c r="BH41" i="10"/>
  <c r="BI35" i="10"/>
  <c r="BH34" i="5"/>
  <c r="BI28" i="5"/>
  <c r="BI32" i="5" s="1"/>
  <c r="BI70" i="7"/>
  <c r="BI74" i="7" s="1"/>
  <c r="BH76" i="7"/>
  <c r="BK63" i="5"/>
  <c r="BJ69" i="5"/>
  <c r="BI35" i="3"/>
  <c r="BI39" i="3" s="1"/>
  <c r="BH41" i="3"/>
  <c r="BH62" i="5"/>
  <c r="BI56" i="5"/>
  <c r="BH55" i="5"/>
  <c r="BI49" i="5"/>
  <c r="BI27" i="5"/>
  <c r="BJ21" i="5"/>
  <c r="BJ25" i="5" s="1"/>
  <c r="BI98" i="7"/>
  <c r="BI102" i="7" s="1"/>
  <c r="BH104" i="7"/>
  <c r="BH69" i="7"/>
  <c r="BI63" i="7"/>
  <c r="BI67" i="7" s="1"/>
  <c r="BH27" i="3"/>
  <c r="BI21" i="3"/>
  <c r="BI25" i="3" s="1"/>
  <c r="BH97" i="7"/>
  <c r="BI91" i="7"/>
  <c r="BI95" i="7" s="1"/>
  <c r="BH202" i="7"/>
  <c r="BI196" i="7"/>
  <c r="BI200" i="7" s="1"/>
  <c r="BI168" i="7"/>
  <c r="BI172" i="7" s="1"/>
  <c r="BH174" i="7"/>
  <c r="BI245" i="5"/>
  <c r="BH251" i="5"/>
  <c r="BJ126" i="5"/>
  <c r="BJ130" i="5" s="1"/>
  <c r="BI132" i="5"/>
  <c r="BI154" i="7"/>
  <c r="BI158" i="7" s="1"/>
  <c r="BH160" i="7"/>
  <c r="BI126" i="7"/>
  <c r="BI130" i="7" s="1"/>
  <c r="BH132" i="7"/>
  <c r="BL224" i="5"/>
  <c r="BK230" i="5"/>
  <c r="BK175" i="7"/>
  <c r="BK179" i="7" s="1"/>
  <c r="BJ181" i="7"/>
  <c r="BI167" i="5"/>
  <c r="BJ161" i="5"/>
  <c r="BJ174" i="5"/>
  <c r="BK168" i="5"/>
  <c r="BK172" i="5" s="1"/>
  <c r="BH111" i="5"/>
  <c r="BI105" i="5"/>
  <c r="BI109" i="5" s="1"/>
  <c r="BJ49" i="7"/>
  <c r="BJ53" i="7" s="1"/>
  <c r="BI55" i="7"/>
  <c r="BI147" i="7"/>
  <c r="BI151" i="7" s="1"/>
  <c r="BH153" i="7"/>
  <c r="BH118" i="5"/>
  <c r="BI112" i="5"/>
  <c r="BI116" i="5" s="1"/>
  <c r="BJ49" i="10"/>
  <c r="BI55" i="10"/>
  <c r="BI238" i="7"/>
  <c r="BI242" i="7" s="1"/>
  <c r="BH244" i="7"/>
  <c r="BI48" i="5"/>
  <c r="BJ42" i="5"/>
  <c r="BJ46" i="5" s="1"/>
  <c r="BI84" i="7"/>
  <c r="BI88" i="7" s="1"/>
  <c r="BH90" i="7"/>
  <c r="BH209" i="7"/>
  <c r="BI203" i="7"/>
  <c r="BH97" i="5"/>
  <c r="BI91" i="5"/>
  <c r="BI95" i="5" s="1"/>
  <c r="BI209" i="5"/>
  <c r="BJ203" i="5"/>
  <c r="BH237" i="5"/>
  <c r="BI231" i="5"/>
  <c r="BI235" i="5" s="1"/>
  <c r="BJ84" i="5"/>
  <c r="BJ88" i="5" s="1"/>
  <c r="BI90" i="5"/>
  <c r="BH188" i="7"/>
  <c r="BI182" i="7"/>
  <c r="BI186" i="7" s="1"/>
  <c r="BH258" i="7"/>
  <c r="BI252" i="7"/>
  <c r="BH223" i="5"/>
  <c r="BI217" i="5"/>
  <c r="BI221" i="5" s="1"/>
  <c r="BI133" i="7"/>
  <c r="BI137" i="7" s="1"/>
  <c r="BH139" i="7"/>
  <c r="BI216" i="5"/>
  <c r="BJ210" i="5"/>
  <c r="BJ214" i="5" s="1"/>
  <c r="BI252" i="5"/>
  <c r="BI256" i="5" s="1"/>
  <c r="BH258" i="5"/>
  <c r="BH230" i="7"/>
  <c r="BI224" i="7"/>
  <c r="BI228" i="7" s="1"/>
  <c r="BI105" i="7"/>
  <c r="BI109" i="7" s="1"/>
  <c r="BH111" i="7"/>
  <c r="BI195" i="5"/>
  <c r="BJ189" i="5"/>
  <c r="BJ237" i="7"/>
  <c r="BK231" i="7"/>
  <c r="BK235" i="7" s="1"/>
  <c r="BJ21" i="10"/>
  <c r="BI27" i="10"/>
  <c r="BJ189" i="7"/>
  <c r="BI195" i="7"/>
  <c r="BI35" i="5"/>
  <c r="BI39" i="5" s="1"/>
  <c r="BH41" i="5"/>
  <c r="BH55" i="3"/>
  <c r="BI49" i="3"/>
  <c r="BI53" i="3" s="1"/>
  <c r="BI119" i="5"/>
  <c r="BI123" i="5" s="1"/>
  <c r="BH125" i="5"/>
  <c r="BI83" i="7"/>
  <c r="BJ77" i="7"/>
  <c r="BJ81" i="7" s="1"/>
  <c r="BI112" i="7"/>
  <c r="BI116" i="7" s="1"/>
  <c r="BH118" i="7"/>
  <c r="BI161" i="7"/>
  <c r="BI165" i="7" s="1"/>
  <c r="BH167" i="7"/>
  <c r="BI238" i="5"/>
  <c r="BI242" i="5" s="1"/>
  <c r="BH244" i="5"/>
  <c r="BH223" i="7"/>
  <c r="BI217" i="7"/>
  <c r="BI221" i="7" s="1"/>
  <c r="BJ42" i="10"/>
  <c r="BI48" i="10"/>
  <c r="BH104" i="5"/>
  <c r="BI98" i="5"/>
  <c r="BI102" i="5" s="1"/>
  <c r="BK147" i="5"/>
  <c r="BK151" i="5" s="1"/>
  <c r="BJ153" i="5"/>
  <c r="BH146" i="7"/>
  <c r="BI140" i="7"/>
  <c r="BI144" i="7" s="1"/>
  <c r="BK28" i="7"/>
  <c r="BK32" i="7" s="1"/>
  <c r="BJ34" i="7"/>
  <c r="BI62" i="3"/>
  <c r="BJ56" i="3"/>
  <c r="BI28" i="3"/>
  <c r="BI32" i="3" s="1"/>
  <c r="BH34" i="3"/>
  <c r="BH251" i="7"/>
  <c r="BI245" i="7"/>
  <c r="BI202" i="5"/>
  <c r="BJ196" i="5"/>
  <c r="BJ200" i="5" s="1"/>
  <c r="BI188" i="5"/>
  <c r="BJ182" i="5"/>
  <c r="BJ119" i="7"/>
  <c r="BJ123" i="7" s="1"/>
  <c r="BI125" i="7"/>
  <c r="BH64" i="3"/>
  <c r="BH70" i="3" s="1"/>
  <c r="BJ21" i="7"/>
  <c r="BI27" i="7"/>
  <c r="BJ77" i="5"/>
  <c r="BJ81" i="5" s="1"/>
  <c r="BI83" i="5"/>
  <c r="BJ133" i="5"/>
  <c r="BJ137" i="5" s="1"/>
  <c r="BI139" i="5"/>
  <c r="BH216" i="7"/>
  <c r="BI210" i="7"/>
  <c r="BL70" i="5"/>
  <c r="BK76" i="5"/>
  <c r="BH20" i="5"/>
  <c r="BI14" i="5"/>
  <c r="BH281" i="5"/>
  <c r="BH272" i="5"/>
  <c r="BH260" i="5"/>
  <c r="BH266" i="5" s="1"/>
  <c r="BH76" i="3"/>
  <c r="BJ42" i="7"/>
  <c r="BJ46" i="7" s="1"/>
  <c r="BI48" i="7"/>
  <c r="BJ140" i="5"/>
  <c r="BJ144" i="5" s="1"/>
  <c r="BI146" i="5"/>
  <c r="BI181" i="5"/>
  <c r="BJ175" i="5"/>
  <c r="BJ179" i="5" s="1"/>
  <c r="BJ35" i="7"/>
  <c r="BJ39" i="7" s="1"/>
  <c r="BI41" i="7"/>
  <c r="BI42" i="3"/>
  <c r="BI46" i="3" s="1"/>
  <c r="BH48" i="3"/>
  <c r="BI14" i="7"/>
  <c r="BH20" i="7"/>
  <c r="BH272" i="7"/>
  <c r="BH260" i="7"/>
  <c r="BH266" i="7" s="1"/>
  <c r="BH281" i="7"/>
  <c r="BJ14" i="3"/>
  <c r="BJ18" i="3" s="1"/>
  <c r="BI20" i="3"/>
  <c r="BG60" i="10" l="1"/>
  <c r="BH56" i="10"/>
  <c r="BG62" i="10"/>
  <c r="BG76" i="10"/>
  <c r="BG85" i="10"/>
  <c r="BG64" i="10"/>
  <c r="BG70" i="10" s="1"/>
  <c r="G82" i="9"/>
  <c r="J81" i="9"/>
  <c r="G81" i="4"/>
  <c r="J80" i="4"/>
  <c r="G81" i="6"/>
  <c r="J80" i="6"/>
  <c r="G81" i="8"/>
  <c r="J80" i="8"/>
  <c r="BJ56" i="7"/>
  <c r="BJ60" i="7" s="1"/>
  <c r="BI62" i="7"/>
  <c r="BI160" i="5"/>
  <c r="BJ154" i="5"/>
  <c r="BJ158" i="5" s="1"/>
  <c r="BI64" i="3"/>
  <c r="BI70" i="3" s="1"/>
  <c r="BK34" i="10"/>
  <c r="BL28" i="10"/>
  <c r="BI85" i="3"/>
  <c r="BJ35" i="10"/>
  <c r="BI41" i="10"/>
  <c r="BJ14" i="10"/>
  <c r="BI20" i="10"/>
  <c r="BI55" i="5"/>
  <c r="BJ49" i="5"/>
  <c r="BI97" i="7"/>
  <c r="BJ91" i="7"/>
  <c r="BJ95" i="7" s="1"/>
  <c r="BJ56" i="5"/>
  <c r="BI62" i="5"/>
  <c r="BJ21" i="3"/>
  <c r="BJ25" i="3" s="1"/>
  <c r="BI27" i="3"/>
  <c r="BI41" i="3"/>
  <c r="BJ35" i="3"/>
  <c r="BJ39" i="3" s="1"/>
  <c r="BJ63" i="7"/>
  <c r="BJ67" i="7" s="1"/>
  <c r="BI69" i="7"/>
  <c r="BK69" i="5"/>
  <c r="BL63" i="5"/>
  <c r="BI104" i="7"/>
  <c r="BJ98" i="7"/>
  <c r="BJ102" i="7" s="1"/>
  <c r="BI76" i="7"/>
  <c r="BJ70" i="7"/>
  <c r="BJ74" i="7" s="1"/>
  <c r="BK21" i="5"/>
  <c r="BK25" i="5" s="1"/>
  <c r="BJ27" i="5"/>
  <c r="BI34" i="5"/>
  <c r="BJ28" i="5"/>
  <c r="BJ32" i="5" s="1"/>
  <c r="BI20" i="5"/>
  <c r="BJ14" i="5"/>
  <c r="BI260" i="5"/>
  <c r="BI266" i="5" s="1"/>
  <c r="BI281" i="5"/>
  <c r="BI272" i="5"/>
  <c r="BK42" i="10"/>
  <c r="BJ48" i="10"/>
  <c r="BJ216" i="5"/>
  <c r="BK210" i="5"/>
  <c r="BK214" i="5" s="1"/>
  <c r="BI237" i="5"/>
  <c r="BJ231" i="5"/>
  <c r="BJ235" i="5" s="1"/>
  <c r="BK42" i="5"/>
  <c r="BK46" i="5" s="1"/>
  <c r="BJ48" i="5"/>
  <c r="BK126" i="5"/>
  <c r="BK130" i="5" s="1"/>
  <c r="BJ132" i="5"/>
  <c r="BI223" i="7"/>
  <c r="BJ217" i="7"/>
  <c r="BJ221" i="7" s="1"/>
  <c r="BI55" i="3"/>
  <c r="BJ49" i="3"/>
  <c r="BJ53" i="3" s="1"/>
  <c r="BK21" i="10"/>
  <c r="BJ27" i="10"/>
  <c r="BK21" i="7"/>
  <c r="BJ27" i="7"/>
  <c r="BJ209" i="5"/>
  <c r="BK203" i="5"/>
  <c r="BI118" i="5"/>
  <c r="BJ112" i="5"/>
  <c r="BJ116" i="5" s="1"/>
  <c r="BM224" i="5"/>
  <c r="BL230" i="5"/>
  <c r="BJ245" i="5"/>
  <c r="BI251" i="5"/>
  <c r="BK35" i="7"/>
  <c r="BK39" i="7" s="1"/>
  <c r="BJ41" i="7"/>
  <c r="BJ181" i="5"/>
  <c r="BK175" i="5"/>
  <c r="BK179" i="5" s="1"/>
  <c r="BI146" i="7"/>
  <c r="BJ140" i="7"/>
  <c r="BJ144" i="7" s="1"/>
  <c r="BI139" i="7"/>
  <c r="BJ133" i="7"/>
  <c r="BJ137" i="7" s="1"/>
  <c r="BI258" i="5"/>
  <c r="BJ252" i="5"/>
  <c r="BJ256" i="5" s="1"/>
  <c r="BI216" i="7"/>
  <c r="BJ210" i="7"/>
  <c r="BJ238" i="5"/>
  <c r="BJ242" i="5" s="1"/>
  <c r="BI244" i="5"/>
  <c r="BJ35" i="5"/>
  <c r="BJ39" i="5" s="1"/>
  <c r="BI41" i="5"/>
  <c r="BJ195" i="5"/>
  <c r="BK189" i="5"/>
  <c r="BI223" i="5"/>
  <c r="BJ217" i="5"/>
  <c r="BJ221" i="5" s="1"/>
  <c r="BI97" i="5"/>
  <c r="BJ91" i="5"/>
  <c r="BJ95" i="5" s="1"/>
  <c r="BK161" i="5"/>
  <c r="BJ167" i="5"/>
  <c r="BJ126" i="7"/>
  <c r="BJ130" i="7" s="1"/>
  <c r="BI132" i="7"/>
  <c r="BK14" i="3"/>
  <c r="BK18" i="3" s="1"/>
  <c r="BJ20" i="3"/>
  <c r="BK140" i="5"/>
  <c r="BK144" i="5" s="1"/>
  <c r="BJ146" i="5"/>
  <c r="BJ188" i="5"/>
  <c r="BK182" i="5"/>
  <c r="BJ202" i="5"/>
  <c r="BK196" i="5"/>
  <c r="BK200" i="5" s="1"/>
  <c r="BI244" i="7"/>
  <c r="BJ238" i="7"/>
  <c r="BJ242" i="7" s="1"/>
  <c r="BJ147" i="7"/>
  <c r="BJ151" i="7" s="1"/>
  <c r="BI153" i="7"/>
  <c r="BJ119" i="5"/>
  <c r="BJ123" i="5" s="1"/>
  <c r="BI125" i="5"/>
  <c r="BK237" i="7"/>
  <c r="BL231" i="7"/>
  <c r="BL235" i="7" s="1"/>
  <c r="BJ14" i="7"/>
  <c r="BI20" i="7"/>
  <c r="BI260" i="7"/>
  <c r="BI266" i="7" s="1"/>
  <c r="BI272" i="7"/>
  <c r="BI281" i="7"/>
  <c r="BK153" i="5"/>
  <c r="BL147" i="5"/>
  <c r="BL151" i="5" s="1"/>
  <c r="BJ161" i="7"/>
  <c r="BJ165" i="7" s="1"/>
  <c r="BI167" i="7"/>
  <c r="BI258" i="7"/>
  <c r="BJ252" i="7"/>
  <c r="BJ154" i="7"/>
  <c r="BJ158" i="7" s="1"/>
  <c r="BI160" i="7"/>
  <c r="BJ62" i="3"/>
  <c r="BK56" i="3"/>
  <c r="BJ90" i="5"/>
  <c r="BK84" i="5"/>
  <c r="BK88" i="5" s="1"/>
  <c r="BK133" i="5"/>
  <c r="BK137" i="5" s="1"/>
  <c r="BJ139" i="5"/>
  <c r="BI251" i="7"/>
  <c r="BJ245" i="7"/>
  <c r="BJ105" i="7"/>
  <c r="BJ109" i="7" s="1"/>
  <c r="BI111" i="7"/>
  <c r="BK49" i="7"/>
  <c r="BK53" i="7" s="1"/>
  <c r="BJ55" i="7"/>
  <c r="BL175" i="7"/>
  <c r="BL179" i="7" s="1"/>
  <c r="BK181" i="7"/>
  <c r="BL28" i="7"/>
  <c r="BL32" i="7" s="1"/>
  <c r="BK34" i="7"/>
  <c r="BK42" i="7"/>
  <c r="BK46" i="7" s="1"/>
  <c r="BJ48" i="7"/>
  <c r="BJ112" i="7"/>
  <c r="BJ116" i="7" s="1"/>
  <c r="BI118" i="7"/>
  <c r="BK189" i="7"/>
  <c r="BJ195" i="7"/>
  <c r="BI230" i="7"/>
  <c r="BJ224" i="7"/>
  <c r="BJ228" i="7" s="1"/>
  <c r="BJ182" i="7"/>
  <c r="BJ186" i="7" s="1"/>
  <c r="BI188" i="7"/>
  <c r="BI209" i="7"/>
  <c r="BJ203" i="7"/>
  <c r="BI111" i="5"/>
  <c r="BJ105" i="5"/>
  <c r="BJ109" i="5" s="1"/>
  <c r="BJ168" i="7"/>
  <c r="BJ172" i="7" s="1"/>
  <c r="BI174" i="7"/>
  <c r="BJ84" i="7"/>
  <c r="BJ88" i="7" s="1"/>
  <c r="BI90" i="7"/>
  <c r="BJ125" i="7"/>
  <c r="BK119" i="7"/>
  <c r="BK123" i="7" s="1"/>
  <c r="BJ98" i="5"/>
  <c r="BJ102" i="5" s="1"/>
  <c r="BI104" i="5"/>
  <c r="BJ83" i="7"/>
  <c r="BK77" i="7"/>
  <c r="BK81" i="7" s="1"/>
  <c r="BK49" i="10"/>
  <c r="BJ55" i="10"/>
  <c r="BJ196" i="7"/>
  <c r="BJ200" i="7" s="1"/>
  <c r="BI202" i="7"/>
  <c r="BM70" i="5"/>
  <c r="BL76" i="5"/>
  <c r="BJ42" i="3"/>
  <c r="BJ46" i="3" s="1"/>
  <c r="BI48" i="3"/>
  <c r="BK77" i="5"/>
  <c r="BK81" i="5" s="1"/>
  <c r="BJ83" i="5"/>
  <c r="BI76" i="3"/>
  <c r="BJ28" i="3"/>
  <c r="BJ32" i="3" s="1"/>
  <c r="BI34" i="3"/>
  <c r="BK174" i="5"/>
  <c r="BL168" i="5"/>
  <c r="BL172" i="5" s="1"/>
  <c r="BH60" i="10" l="1"/>
  <c r="BI56" i="10"/>
  <c r="BH62" i="10"/>
  <c r="BH76" i="10"/>
  <c r="BH64" i="10"/>
  <c r="BH70" i="10" s="1"/>
  <c r="BH85" i="10"/>
  <c r="G83" i="9"/>
  <c r="J82" i="9"/>
  <c r="G82" i="4"/>
  <c r="J81" i="4"/>
  <c r="G82" i="6"/>
  <c r="J81" i="6"/>
  <c r="G82" i="8"/>
  <c r="J81" i="8"/>
  <c r="BK56" i="7"/>
  <c r="BK60" i="7" s="1"/>
  <c r="BJ62" i="7"/>
  <c r="BK154" i="5"/>
  <c r="BK158" i="5" s="1"/>
  <c r="BJ160" i="5"/>
  <c r="BL34" i="10"/>
  <c r="BM28" i="10"/>
  <c r="BJ20" i="10"/>
  <c r="BK14" i="10"/>
  <c r="BK35" i="10"/>
  <c r="BJ41" i="10"/>
  <c r="BK63" i="7"/>
  <c r="BK67" i="7" s="1"/>
  <c r="BJ69" i="7"/>
  <c r="BK28" i="5"/>
  <c r="BK32" i="5" s="1"/>
  <c r="BJ34" i="5"/>
  <c r="BJ41" i="3"/>
  <c r="BK35" i="3"/>
  <c r="BK39" i="3" s="1"/>
  <c r="BL21" i="5"/>
  <c r="BL25" i="5" s="1"/>
  <c r="BK27" i="5"/>
  <c r="BK21" i="3"/>
  <c r="BK25" i="3" s="1"/>
  <c r="BJ27" i="3"/>
  <c r="BJ76" i="7"/>
  <c r="BK70" i="7"/>
  <c r="BK74" i="7" s="1"/>
  <c r="BK56" i="5"/>
  <c r="BJ62" i="5"/>
  <c r="BJ104" i="7"/>
  <c r="BK98" i="7"/>
  <c r="BK102" i="7" s="1"/>
  <c r="BK91" i="7"/>
  <c r="BK95" i="7" s="1"/>
  <c r="BJ97" i="7"/>
  <c r="BJ76" i="3"/>
  <c r="BM63" i="5"/>
  <c r="BL69" i="5"/>
  <c r="BJ55" i="5"/>
  <c r="BK49" i="5"/>
  <c r="BK217" i="7"/>
  <c r="BK221" i="7" s="1"/>
  <c r="BJ223" i="7"/>
  <c r="BL42" i="5"/>
  <c r="BL46" i="5" s="1"/>
  <c r="BK48" i="5"/>
  <c r="BJ118" i="7"/>
  <c r="BK112" i="7"/>
  <c r="BK116" i="7" s="1"/>
  <c r="BJ167" i="7"/>
  <c r="BK161" i="7"/>
  <c r="BK165" i="7" s="1"/>
  <c r="BK167" i="5"/>
  <c r="BL161" i="5"/>
  <c r="BL77" i="7"/>
  <c r="BL81" i="7" s="1"/>
  <c r="BK83" i="7"/>
  <c r="BK27" i="7"/>
  <c r="BL21" i="7"/>
  <c r="BK90" i="5"/>
  <c r="BL84" i="5"/>
  <c r="BL88" i="5" s="1"/>
  <c r="BK146" i="5"/>
  <c r="BL140" i="5"/>
  <c r="BL144" i="5" s="1"/>
  <c r="BJ223" i="5"/>
  <c r="BK217" i="5"/>
  <c r="BK221" i="5" s="1"/>
  <c r="BL126" i="5"/>
  <c r="BL130" i="5" s="1"/>
  <c r="BK132" i="5"/>
  <c r="BK216" i="5"/>
  <c r="BL210" i="5"/>
  <c r="BL214" i="5" s="1"/>
  <c r="BL49" i="10"/>
  <c r="BK55" i="10"/>
  <c r="BK105" i="5"/>
  <c r="BK109" i="5" s="1"/>
  <c r="BJ111" i="5"/>
  <c r="BL42" i="7"/>
  <c r="BL46" i="7" s="1"/>
  <c r="BK48" i="7"/>
  <c r="BJ85" i="3"/>
  <c r="BL35" i="7"/>
  <c r="BL39" i="7" s="1"/>
  <c r="BK41" i="7"/>
  <c r="BL153" i="5"/>
  <c r="BM147" i="5"/>
  <c r="BM151" i="5" s="1"/>
  <c r="BJ258" i="5"/>
  <c r="BK252" i="5"/>
  <c r="BK256" i="5" s="1"/>
  <c r="BJ237" i="5"/>
  <c r="BK231" i="5"/>
  <c r="BK235" i="5" s="1"/>
  <c r="BJ104" i="5"/>
  <c r="BK98" i="5"/>
  <c r="BK102" i="5" s="1"/>
  <c r="BL119" i="7"/>
  <c r="BL123" i="7" s="1"/>
  <c r="BK125" i="7"/>
  <c r="BK147" i="7"/>
  <c r="BK151" i="7" s="1"/>
  <c r="BJ153" i="7"/>
  <c r="BJ64" i="3"/>
  <c r="BJ70" i="3" s="1"/>
  <c r="BK195" i="5"/>
  <c r="BL189" i="5"/>
  <c r="BK203" i="7"/>
  <c r="BJ209" i="7"/>
  <c r="BL56" i="3"/>
  <c r="BK62" i="3"/>
  <c r="BL77" i="5"/>
  <c r="BL81" i="5" s="1"/>
  <c r="BK83" i="5"/>
  <c r="BK42" i="3"/>
  <c r="BK46" i="3" s="1"/>
  <c r="BJ48" i="3"/>
  <c r="BK182" i="7"/>
  <c r="BK186" i="7" s="1"/>
  <c r="BJ188" i="7"/>
  <c r="BK154" i="7"/>
  <c r="BK158" i="7" s="1"/>
  <c r="BJ160" i="7"/>
  <c r="BJ244" i="7"/>
  <c r="BK238" i="7"/>
  <c r="BK242" i="7" s="1"/>
  <c r="BJ251" i="5"/>
  <c r="BK245" i="5"/>
  <c r="BL42" i="10"/>
  <c r="BK48" i="10"/>
  <c r="BJ97" i="5"/>
  <c r="BK91" i="5"/>
  <c r="BK95" i="5" s="1"/>
  <c r="BJ230" i="7"/>
  <c r="BK224" i="7"/>
  <c r="BK228" i="7" s="1"/>
  <c r="BJ258" i="7"/>
  <c r="BK252" i="7"/>
  <c r="BL49" i="7"/>
  <c r="BL53" i="7" s="1"/>
  <c r="BK55" i="7"/>
  <c r="BJ111" i="7"/>
  <c r="BK105" i="7"/>
  <c r="BK109" i="7" s="1"/>
  <c r="BM231" i="7"/>
  <c r="BM235" i="7" s="1"/>
  <c r="BL237" i="7"/>
  <c r="BK202" i="5"/>
  <c r="BL196" i="5"/>
  <c r="BL200" i="5" s="1"/>
  <c r="BL14" i="3"/>
  <c r="BL18" i="3" s="1"/>
  <c r="BK20" i="3"/>
  <c r="BK35" i="5"/>
  <c r="BK39" i="5" s="1"/>
  <c r="BJ41" i="5"/>
  <c r="BN224" i="5"/>
  <c r="BM230" i="5"/>
  <c r="BK28" i="3"/>
  <c r="BK32" i="3" s="1"/>
  <c r="BJ34" i="3"/>
  <c r="BK14" i="7"/>
  <c r="BJ20" i="7"/>
  <c r="BJ260" i="7"/>
  <c r="BJ266" i="7" s="1"/>
  <c r="BJ272" i="7"/>
  <c r="BJ281" i="7"/>
  <c r="BK133" i="7"/>
  <c r="BK137" i="7" s="1"/>
  <c r="BJ139" i="7"/>
  <c r="BK112" i="5"/>
  <c r="BK116" i="5" s="1"/>
  <c r="BJ118" i="5"/>
  <c r="BL21" i="10"/>
  <c r="BK27" i="10"/>
  <c r="BM175" i="7"/>
  <c r="BM179" i="7" s="1"/>
  <c r="BL181" i="7"/>
  <c r="BL133" i="5"/>
  <c r="BL137" i="5" s="1"/>
  <c r="BK139" i="5"/>
  <c r="BK188" i="5"/>
  <c r="BL182" i="5"/>
  <c r="BK181" i="5"/>
  <c r="BL175" i="5"/>
  <c r="BL179" i="5" s="1"/>
  <c r="BJ90" i="7"/>
  <c r="BK84" i="7"/>
  <c r="BK88" i="7" s="1"/>
  <c r="BJ251" i="7"/>
  <c r="BK245" i="7"/>
  <c r="BK168" i="7"/>
  <c r="BK172" i="7" s="1"/>
  <c r="BJ174" i="7"/>
  <c r="BM28" i="7"/>
  <c r="BM32" i="7" s="1"/>
  <c r="BL34" i="7"/>
  <c r="BK126" i="7"/>
  <c r="BK130" i="7" s="1"/>
  <c r="BJ132" i="7"/>
  <c r="BJ244" i="5"/>
  <c r="BK238" i="5"/>
  <c r="BK242" i="5" s="1"/>
  <c r="BJ55" i="3"/>
  <c r="BK49" i="3"/>
  <c r="BK53" i="3" s="1"/>
  <c r="BJ20" i="5"/>
  <c r="BK14" i="5"/>
  <c r="BJ260" i="5"/>
  <c r="BJ266" i="5" s="1"/>
  <c r="BJ281" i="5"/>
  <c r="BJ272" i="5"/>
  <c r="BN70" i="5"/>
  <c r="BM76" i="5"/>
  <c r="BL174" i="5"/>
  <c r="BM168" i="5"/>
  <c r="BM172" i="5" s="1"/>
  <c r="BK196" i="7"/>
  <c r="BK200" i="7" s="1"/>
  <c r="BJ202" i="7"/>
  <c r="BL189" i="7"/>
  <c r="BK195" i="7"/>
  <c r="BJ125" i="5"/>
  <c r="BK119" i="5"/>
  <c r="BK123" i="5" s="1"/>
  <c r="BK210" i="7"/>
  <c r="BJ216" i="7"/>
  <c r="BK140" i="7"/>
  <c r="BK144" i="7" s="1"/>
  <c r="BJ146" i="7"/>
  <c r="BK209" i="5"/>
  <c r="BL203" i="5"/>
  <c r="BI60" i="10" l="1"/>
  <c r="BJ56" i="10"/>
  <c r="BI62" i="10"/>
  <c r="BI76" i="10"/>
  <c r="BI64" i="10"/>
  <c r="BI70" i="10" s="1"/>
  <c r="BI85" i="10"/>
  <c r="G84" i="9"/>
  <c r="J83" i="9"/>
  <c r="G83" i="4"/>
  <c r="J82" i="4"/>
  <c r="G83" i="6"/>
  <c r="J82" i="6"/>
  <c r="G83" i="8"/>
  <c r="J82" i="8"/>
  <c r="BL56" i="7"/>
  <c r="BL60" i="7" s="1"/>
  <c r="BK62" i="7"/>
  <c r="BK160" i="5"/>
  <c r="BL154" i="5"/>
  <c r="BL158" i="5" s="1"/>
  <c r="BN28" i="10"/>
  <c r="BM34" i="10"/>
  <c r="BL35" i="10"/>
  <c r="BK41" i="10"/>
  <c r="BK20" i="10"/>
  <c r="BL14" i="10"/>
  <c r="BL70" i="7"/>
  <c r="BL74" i="7" s="1"/>
  <c r="BK76" i="7"/>
  <c r="BL49" i="5"/>
  <c r="BK55" i="5"/>
  <c r="BK27" i="3"/>
  <c r="BL21" i="3"/>
  <c r="BL25" i="3" s="1"/>
  <c r="BN63" i="5"/>
  <c r="BM69" i="5"/>
  <c r="BM21" i="5"/>
  <c r="BM25" i="5" s="1"/>
  <c r="BL27" i="5"/>
  <c r="BK41" i="3"/>
  <c r="BL35" i="3"/>
  <c r="BL39" i="3" s="1"/>
  <c r="BL91" i="7"/>
  <c r="BL95" i="7" s="1"/>
  <c r="BK97" i="7"/>
  <c r="BK104" i="7"/>
  <c r="BL98" i="7"/>
  <c r="BL102" i="7" s="1"/>
  <c r="BL28" i="5"/>
  <c r="BL32" i="5" s="1"/>
  <c r="BK34" i="5"/>
  <c r="BK85" i="3"/>
  <c r="BL56" i="5"/>
  <c r="BK62" i="5"/>
  <c r="BL63" i="7"/>
  <c r="BL67" i="7" s="1"/>
  <c r="BK69" i="7"/>
  <c r="BK216" i="7"/>
  <c r="BL210" i="7"/>
  <c r="BL238" i="5"/>
  <c r="BL242" i="5" s="1"/>
  <c r="BK244" i="5"/>
  <c r="BL181" i="5"/>
  <c r="BM175" i="5"/>
  <c r="BM179" i="5" s="1"/>
  <c r="BL202" i="5"/>
  <c r="BM196" i="5"/>
  <c r="BM200" i="5" s="1"/>
  <c r="BK230" i="7"/>
  <c r="BL224" i="7"/>
  <c r="BL228" i="7" s="1"/>
  <c r="BM119" i="7"/>
  <c r="BM123" i="7" s="1"/>
  <c r="BL125" i="7"/>
  <c r="BM35" i="7"/>
  <c r="BM39" i="7" s="1"/>
  <c r="BL41" i="7"/>
  <c r="BL154" i="7"/>
  <c r="BL158" i="7" s="1"/>
  <c r="BK160" i="7"/>
  <c r="BL83" i="5"/>
  <c r="BM77" i="5"/>
  <c r="BM81" i="5" s="1"/>
  <c r="BK104" i="5"/>
  <c r="BL98" i="5"/>
  <c r="BL102" i="5" s="1"/>
  <c r="BM126" i="5"/>
  <c r="BM130" i="5" s="1"/>
  <c r="BL132" i="5"/>
  <c r="BM77" i="7"/>
  <c r="BM81" i="7" s="1"/>
  <c r="BL83" i="7"/>
  <c r="BO224" i="5"/>
  <c r="BN230" i="5"/>
  <c r="BK97" i="5"/>
  <c r="BL91" i="5"/>
  <c r="BL95" i="5" s="1"/>
  <c r="BK223" i="5"/>
  <c r="BL217" i="5"/>
  <c r="BL221" i="5" s="1"/>
  <c r="BM161" i="5"/>
  <c r="BL167" i="5"/>
  <c r="BL126" i="7"/>
  <c r="BL130" i="7" s="1"/>
  <c r="BK132" i="7"/>
  <c r="BK20" i="7"/>
  <c r="BL14" i="7"/>
  <c r="BK260" i="7"/>
  <c r="BK266" i="7" s="1"/>
  <c r="BK281" i="7"/>
  <c r="BK272" i="7"/>
  <c r="BN231" i="7"/>
  <c r="BN235" i="7" s="1"/>
  <c r="BM237" i="7"/>
  <c r="BM56" i="3"/>
  <c r="BL62" i="3"/>
  <c r="BK237" i="5"/>
  <c r="BL231" i="5"/>
  <c r="BL235" i="5" s="1"/>
  <c r="BL105" i="7"/>
  <c r="BL109" i="7" s="1"/>
  <c r="BK111" i="7"/>
  <c r="BM140" i="5"/>
  <c r="BM144" i="5" s="1"/>
  <c r="BL146" i="5"/>
  <c r="BK167" i="7"/>
  <c r="BL161" i="7"/>
  <c r="BL165" i="7" s="1"/>
  <c r="BM42" i="10"/>
  <c r="BL48" i="10"/>
  <c r="BK209" i="7"/>
  <c r="BL203" i="7"/>
  <c r="BK258" i="5"/>
  <c r="BL252" i="5"/>
  <c r="BL256" i="5" s="1"/>
  <c r="BM42" i="7"/>
  <c r="BM46" i="7" s="1"/>
  <c r="BL48" i="7"/>
  <c r="BL35" i="5"/>
  <c r="BL39" i="5" s="1"/>
  <c r="BK41" i="5"/>
  <c r="BL245" i="5"/>
  <c r="BK251" i="5"/>
  <c r="BL195" i="5"/>
  <c r="BM189" i="5"/>
  <c r="BL112" i="7"/>
  <c r="BL116" i="7" s="1"/>
  <c r="BK118" i="7"/>
  <c r="BO70" i="5"/>
  <c r="BN76" i="5"/>
  <c r="BK125" i="5"/>
  <c r="BL119" i="5"/>
  <c r="BL123" i="5" s="1"/>
  <c r="BL27" i="10"/>
  <c r="BM21" i="10"/>
  <c r="BN28" i="7"/>
  <c r="BN32" i="7" s="1"/>
  <c r="BM34" i="7"/>
  <c r="BK118" i="5"/>
  <c r="BL112" i="5"/>
  <c r="BL116" i="5" s="1"/>
  <c r="BL209" i="5"/>
  <c r="BM203" i="5"/>
  <c r="BL168" i="7"/>
  <c r="BL172" i="7" s="1"/>
  <c r="BK174" i="7"/>
  <c r="BM133" i="5"/>
  <c r="BM137" i="5" s="1"/>
  <c r="BL139" i="5"/>
  <c r="BL28" i="3"/>
  <c r="BL32" i="3" s="1"/>
  <c r="BK34" i="3"/>
  <c r="BK64" i="3"/>
  <c r="BK70" i="3" s="1"/>
  <c r="BL182" i="7"/>
  <c r="BL186" i="7" s="1"/>
  <c r="BK188" i="7"/>
  <c r="BN147" i="5"/>
  <c r="BN151" i="5" s="1"/>
  <c r="BM153" i="5"/>
  <c r="BK111" i="5"/>
  <c r="BL105" i="5"/>
  <c r="BL109" i="5" s="1"/>
  <c r="BK76" i="3"/>
  <c r="BM84" i="5"/>
  <c r="BM88" i="5" s="1"/>
  <c r="BL90" i="5"/>
  <c r="BK20" i="5"/>
  <c r="BL14" i="5"/>
  <c r="BK272" i="5"/>
  <c r="BK260" i="5"/>
  <c r="BK266" i="5" s="1"/>
  <c r="BK281" i="5"/>
  <c r="BL42" i="3"/>
  <c r="BL46" i="3" s="1"/>
  <c r="BK48" i="3"/>
  <c r="BM49" i="10"/>
  <c r="BL55" i="10"/>
  <c r="BM42" i="5"/>
  <c r="BM46" i="5" s="1"/>
  <c r="BL48" i="5"/>
  <c r="BL188" i="5"/>
  <c r="BM182" i="5"/>
  <c r="BM49" i="7"/>
  <c r="BM53" i="7" s="1"/>
  <c r="BL55" i="7"/>
  <c r="BL140" i="7"/>
  <c r="BL144" i="7" s="1"/>
  <c r="BK146" i="7"/>
  <c r="BL196" i="7"/>
  <c r="BL200" i="7" s="1"/>
  <c r="BK202" i="7"/>
  <c r="BL49" i="3"/>
  <c r="BL53" i="3" s="1"/>
  <c r="BK55" i="3"/>
  <c r="BL84" i="7"/>
  <c r="BL88" i="7" s="1"/>
  <c r="BK90" i="7"/>
  <c r="BK258" i="7"/>
  <c r="BL252" i="7"/>
  <c r="BK244" i="7"/>
  <c r="BL238" i="7"/>
  <c r="BL242" i="7" s="1"/>
  <c r="BL147" i="7"/>
  <c r="BL151" i="7" s="1"/>
  <c r="BK153" i="7"/>
  <c r="BM210" i="5"/>
  <c r="BM214" i="5" s="1"/>
  <c r="BL216" i="5"/>
  <c r="BL27" i="7"/>
  <c r="BM21" i="7"/>
  <c r="BM189" i="7"/>
  <c r="BL195" i="7"/>
  <c r="BK251" i="7"/>
  <c r="BL245" i="7"/>
  <c r="BK139" i="7"/>
  <c r="BL133" i="7"/>
  <c r="BL137" i="7" s="1"/>
  <c r="BN175" i="7"/>
  <c r="BN179" i="7" s="1"/>
  <c r="BM181" i="7"/>
  <c r="BM174" i="5"/>
  <c r="BN168" i="5"/>
  <c r="BN172" i="5" s="1"/>
  <c r="BM14" i="3"/>
  <c r="BM18" i="3" s="1"/>
  <c r="BL20" i="3"/>
  <c r="BK223" i="7"/>
  <c r="BL217" i="7"/>
  <c r="BL221" i="7" s="1"/>
  <c r="BJ60" i="10" l="1"/>
  <c r="BK56" i="10"/>
  <c r="BJ62" i="10"/>
  <c r="BJ85" i="10"/>
  <c r="BJ64" i="10"/>
  <c r="BJ70" i="10" s="1"/>
  <c r="BJ76" i="10"/>
  <c r="G85" i="9"/>
  <c r="J84" i="9"/>
  <c r="G84" i="4"/>
  <c r="J83" i="4"/>
  <c r="G84" i="6"/>
  <c r="J83" i="6"/>
  <c r="G84" i="8"/>
  <c r="J83" i="8"/>
  <c r="BM56" i="7"/>
  <c r="BM60" i="7" s="1"/>
  <c r="BL62" i="7"/>
  <c r="BL160" i="5"/>
  <c r="BM154" i="5"/>
  <c r="BM158" i="5" s="1"/>
  <c r="BN34" i="10"/>
  <c r="BO28" i="10"/>
  <c r="BM14" i="10"/>
  <c r="BL20" i="10"/>
  <c r="BM35" i="10"/>
  <c r="BL41" i="10"/>
  <c r="BM35" i="3"/>
  <c r="BM39" i="3" s="1"/>
  <c r="BL41" i="3"/>
  <c r="BM63" i="7"/>
  <c r="BM67" i="7" s="1"/>
  <c r="BL69" i="7"/>
  <c r="BM27" i="5"/>
  <c r="BN21" i="5"/>
  <c r="BN25" i="5" s="1"/>
  <c r="BM56" i="5"/>
  <c r="BL62" i="5"/>
  <c r="BN69" i="5"/>
  <c r="BO63" i="5"/>
  <c r="BL76" i="3"/>
  <c r="BM21" i="3"/>
  <c r="BM25" i="3" s="1"/>
  <c r="BL27" i="3"/>
  <c r="BM28" i="5"/>
  <c r="BM32" i="5" s="1"/>
  <c r="BL34" i="5"/>
  <c r="BM98" i="7"/>
  <c r="BM102" i="7" s="1"/>
  <c r="BL104" i="7"/>
  <c r="BL55" i="5"/>
  <c r="BM49" i="5"/>
  <c r="BM91" i="7"/>
  <c r="BM95" i="7" s="1"/>
  <c r="BL97" i="7"/>
  <c r="BM70" i="7"/>
  <c r="BM74" i="7" s="1"/>
  <c r="BL76" i="7"/>
  <c r="BM42" i="3"/>
  <c r="BM46" i="3" s="1"/>
  <c r="BL48" i="3"/>
  <c r="BM182" i="7"/>
  <c r="BM186" i="7" s="1"/>
  <c r="BL188" i="7"/>
  <c r="BM112" i="5"/>
  <c r="BM116" i="5" s="1"/>
  <c r="BL118" i="5"/>
  <c r="BO76" i="5"/>
  <c r="BP70" i="5"/>
  <c r="BN42" i="7"/>
  <c r="BN46" i="7" s="1"/>
  <c r="BM48" i="7"/>
  <c r="BN140" i="5"/>
  <c r="BN144" i="5" s="1"/>
  <c r="BM146" i="5"/>
  <c r="BM83" i="5"/>
  <c r="BN77" i="5"/>
  <c r="BN81" i="5" s="1"/>
  <c r="BM133" i="7"/>
  <c r="BM137" i="7" s="1"/>
  <c r="BL139" i="7"/>
  <c r="BL85" i="3"/>
  <c r="BM147" i="7"/>
  <c r="BM151" i="7" s="1"/>
  <c r="BL153" i="7"/>
  <c r="BM196" i="7"/>
  <c r="BM200" i="7" s="1"/>
  <c r="BL202" i="7"/>
  <c r="BL64" i="3"/>
  <c r="BL70" i="3" s="1"/>
  <c r="BM245" i="7"/>
  <c r="BL251" i="7"/>
  <c r="BM238" i="7"/>
  <c r="BM242" i="7" s="1"/>
  <c r="BL244" i="7"/>
  <c r="BM252" i="5"/>
  <c r="BM256" i="5" s="1"/>
  <c r="BL258" i="5"/>
  <c r="BO28" i="7"/>
  <c r="BN34" i="7"/>
  <c r="BL209" i="7"/>
  <c r="BM203" i="7"/>
  <c r="BM231" i="5"/>
  <c r="BM235" i="5" s="1"/>
  <c r="BL237" i="5"/>
  <c r="BM154" i="7"/>
  <c r="BM158" i="7" s="1"/>
  <c r="BL160" i="7"/>
  <c r="BM112" i="7"/>
  <c r="BM116" i="7" s="1"/>
  <c r="BL118" i="7"/>
  <c r="BN84" i="5"/>
  <c r="BN88" i="5" s="1"/>
  <c r="BM90" i="5"/>
  <c r="BM20" i="3"/>
  <c r="BN14" i="3"/>
  <c r="BN18" i="3" s="1"/>
  <c r="BM140" i="7"/>
  <c r="BM144" i="7" s="1"/>
  <c r="BL146" i="7"/>
  <c r="BM55" i="7"/>
  <c r="BN49" i="7"/>
  <c r="BN53" i="7" s="1"/>
  <c r="BM28" i="3"/>
  <c r="BM32" i="3" s="1"/>
  <c r="BL34" i="3"/>
  <c r="BN189" i="5"/>
  <c r="BM195" i="5"/>
  <c r="BP224" i="5"/>
  <c r="BO230" i="5"/>
  <c r="BN35" i="7"/>
  <c r="BN39" i="7" s="1"/>
  <c r="BM41" i="7"/>
  <c r="BM181" i="5"/>
  <c r="BN175" i="5"/>
  <c r="BN179" i="5" s="1"/>
  <c r="BM105" i="7"/>
  <c r="BM109" i="7" s="1"/>
  <c r="BL111" i="7"/>
  <c r="BO168" i="5"/>
  <c r="BN174" i="5"/>
  <c r="BN56" i="3"/>
  <c r="BM62" i="3"/>
  <c r="BL97" i="5"/>
  <c r="BM91" i="5"/>
  <c r="BM95" i="5" s="1"/>
  <c r="BL258" i="7"/>
  <c r="BM252" i="7"/>
  <c r="BM14" i="5"/>
  <c r="BL20" i="5"/>
  <c r="BL272" i="5"/>
  <c r="BL260" i="5"/>
  <c r="BL266" i="5" s="1"/>
  <c r="BL281" i="5"/>
  <c r="BM105" i="5"/>
  <c r="BM109" i="5" s="1"/>
  <c r="BL111" i="5"/>
  <c r="BN133" i="5"/>
  <c r="BN137" i="5" s="1"/>
  <c r="BM139" i="5"/>
  <c r="BM27" i="10"/>
  <c r="BN21" i="10"/>
  <c r="BM126" i="7"/>
  <c r="BM130" i="7" s="1"/>
  <c r="BL132" i="7"/>
  <c r="BM83" i="7"/>
  <c r="BN77" i="7"/>
  <c r="BN81" i="7" s="1"/>
  <c r="BM125" i="7"/>
  <c r="BN119" i="7"/>
  <c r="BN123" i="7" s="1"/>
  <c r="BL20" i="7"/>
  <c r="BM14" i="7"/>
  <c r="BL272" i="7"/>
  <c r="BL281" i="7"/>
  <c r="BL260" i="7"/>
  <c r="BL266" i="7" s="1"/>
  <c r="BN189" i="7"/>
  <c r="BM195" i="7"/>
  <c r="BM27" i="7"/>
  <c r="BN21" i="7"/>
  <c r="BN182" i="5"/>
  <c r="BM188" i="5"/>
  <c r="BM84" i="7"/>
  <c r="BM88" i="7" s="1"/>
  <c r="BL90" i="7"/>
  <c r="BM245" i="5"/>
  <c r="BL251" i="5"/>
  <c r="BN42" i="10"/>
  <c r="BM48" i="10"/>
  <c r="BM224" i="7"/>
  <c r="BM228" i="7" s="1"/>
  <c r="BL230" i="7"/>
  <c r="BM238" i="5"/>
  <c r="BM242" i="5" s="1"/>
  <c r="BL244" i="5"/>
  <c r="BL174" i="7"/>
  <c r="BM168" i="7"/>
  <c r="BM172" i="7" s="1"/>
  <c r="BM119" i="5"/>
  <c r="BM123" i="5" s="1"/>
  <c r="BL125" i="5"/>
  <c r="BL167" i="7"/>
  <c r="BM161" i="7"/>
  <c r="BM165" i="7" s="1"/>
  <c r="BN161" i="5"/>
  <c r="BM167" i="5"/>
  <c r="BN126" i="5"/>
  <c r="BN130" i="5" s="1"/>
  <c r="BM132" i="5"/>
  <c r="BL216" i="7"/>
  <c r="BM210" i="7"/>
  <c r="BL223" i="7"/>
  <c r="BM217" i="7"/>
  <c r="BM221" i="7" s="1"/>
  <c r="BN181" i="7"/>
  <c r="BO175" i="7"/>
  <c r="BN210" i="5"/>
  <c r="BN214" i="5" s="1"/>
  <c r="BM216" i="5"/>
  <c r="BM48" i="5"/>
  <c r="BN42" i="5"/>
  <c r="BN46" i="5" s="1"/>
  <c r="BM49" i="3"/>
  <c r="BM53" i="3" s="1"/>
  <c r="BL55" i="3"/>
  <c r="BN49" i="10"/>
  <c r="BM55" i="10"/>
  <c r="BO147" i="5"/>
  <c r="BN153" i="5"/>
  <c r="BN203" i="5"/>
  <c r="BM209" i="5"/>
  <c r="BM35" i="5"/>
  <c r="BM39" i="5" s="1"/>
  <c r="BL41" i="5"/>
  <c r="BO231" i="7"/>
  <c r="BN237" i="7"/>
  <c r="BM217" i="5"/>
  <c r="BM221" i="5" s="1"/>
  <c r="BL223" i="5"/>
  <c r="BM98" i="5"/>
  <c r="BM102" i="5" s="1"/>
  <c r="BL104" i="5"/>
  <c r="BN196" i="5"/>
  <c r="BN200" i="5" s="1"/>
  <c r="BM202" i="5"/>
  <c r="BK60" i="10" l="1"/>
  <c r="BL56" i="10"/>
  <c r="BK62" i="10"/>
  <c r="BK85" i="10"/>
  <c r="BK64" i="10"/>
  <c r="BK70" i="10" s="1"/>
  <c r="BK76" i="10"/>
  <c r="G86" i="9"/>
  <c r="J85" i="9"/>
  <c r="G85" i="4"/>
  <c r="J84" i="4"/>
  <c r="G85" i="6"/>
  <c r="J84" i="6"/>
  <c r="G85" i="8"/>
  <c r="J84" i="8"/>
  <c r="BM62" i="7"/>
  <c r="BN56" i="7"/>
  <c r="BN60" i="7" s="1"/>
  <c r="BN154" i="5"/>
  <c r="BN158" i="5" s="1"/>
  <c r="BM160" i="5"/>
  <c r="BO34" i="10"/>
  <c r="BP28" i="10"/>
  <c r="BM41" i="10"/>
  <c r="BN35" i="10"/>
  <c r="BN14" i="10"/>
  <c r="BM20" i="10"/>
  <c r="BM27" i="3"/>
  <c r="BN21" i="3"/>
  <c r="BN25" i="3" s="1"/>
  <c r="BM76" i="7"/>
  <c r="BN70" i="7"/>
  <c r="BN74" i="7" s="1"/>
  <c r="BP63" i="5"/>
  <c r="BO69" i="5"/>
  <c r="BN91" i="7"/>
  <c r="BN95" i="7" s="1"/>
  <c r="BM97" i="7"/>
  <c r="BM55" i="5"/>
  <c r="BN49" i="5"/>
  <c r="BN56" i="5"/>
  <c r="BM62" i="5"/>
  <c r="BO21" i="5"/>
  <c r="BN27" i="5"/>
  <c r="BM104" i="7"/>
  <c r="BN98" i="7"/>
  <c r="BN102" i="7" s="1"/>
  <c r="BN63" i="7"/>
  <c r="BN67" i="7" s="1"/>
  <c r="BM69" i="7"/>
  <c r="BN28" i="5"/>
  <c r="BN32" i="5" s="1"/>
  <c r="BM34" i="5"/>
  <c r="BN35" i="3"/>
  <c r="BN39" i="3" s="1"/>
  <c r="BM41" i="3"/>
  <c r="BN224" i="7"/>
  <c r="BN228" i="7" s="1"/>
  <c r="BM230" i="7"/>
  <c r="BN91" i="5"/>
  <c r="BN95" i="5" s="1"/>
  <c r="BM97" i="5"/>
  <c r="BO175" i="5"/>
  <c r="BN181" i="5"/>
  <c r="BO49" i="7"/>
  <c r="BN55" i="7"/>
  <c r="BM118" i="7"/>
  <c r="BN112" i="7"/>
  <c r="BN116" i="7" s="1"/>
  <c r="BN196" i="7"/>
  <c r="BN200" i="7" s="1"/>
  <c r="BM202" i="7"/>
  <c r="BN49" i="3"/>
  <c r="BN53" i="3" s="1"/>
  <c r="BM55" i="3"/>
  <c r="BO42" i="7"/>
  <c r="BN48" i="7"/>
  <c r="BN147" i="7"/>
  <c r="BN151" i="7" s="1"/>
  <c r="BM153" i="7"/>
  <c r="BP76" i="5"/>
  <c r="BQ70" i="5"/>
  <c r="BN125" i="7"/>
  <c r="BO119" i="7"/>
  <c r="BO21" i="7"/>
  <c r="BN27" i="7"/>
  <c r="BM76" i="3"/>
  <c r="BN154" i="7"/>
  <c r="BN158" i="7" s="1"/>
  <c r="BM160" i="7"/>
  <c r="BN140" i="7"/>
  <c r="BN144" i="7" s="1"/>
  <c r="BM146" i="7"/>
  <c r="BM132" i="7"/>
  <c r="BN126" i="7"/>
  <c r="BN130" i="7" s="1"/>
  <c r="BM85" i="3"/>
  <c r="BN252" i="5"/>
  <c r="BN256" i="5" s="1"/>
  <c r="BM258" i="5"/>
  <c r="BM139" i="7"/>
  <c r="BN133" i="7"/>
  <c r="BN137" i="7" s="1"/>
  <c r="BN112" i="5"/>
  <c r="BN116" i="5" s="1"/>
  <c r="BM118" i="5"/>
  <c r="BM251" i="5"/>
  <c r="BN245" i="5"/>
  <c r="BM64" i="3"/>
  <c r="BM70" i="3" s="1"/>
  <c r="BN231" i="5"/>
  <c r="BN235" i="5" s="1"/>
  <c r="BM237" i="5"/>
  <c r="BN83" i="5"/>
  <c r="BO77" i="5"/>
  <c r="BO133" i="5"/>
  <c r="BN139" i="5"/>
  <c r="BP231" i="7"/>
  <c r="BO237" i="7"/>
  <c r="BN119" i="5"/>
  <c r="BN123" i="5" s="1"/>
  <c r="BM125" i="5"/>
  <c r="BO189" i="7"/>
  <c r="BN195" i="7"/>
  <c r="BN20" i="3"/>
  <c r="BO14" i="3"/>
  <c r="BN203" i="7"/>
  <c r="BM209" i="7"/>
  <c r="BM244" i="7"/>
  <c r="BN238" i="7"/>
  <c r="BN242" i="7" s="1"/>
  <c r="BN182" i="7"/>
  <c r="BN186" i="7" s="1"/>
  <c r="BM188" i="7"/>
  <c r="BN217" i="5"/>
  <c r="BN221" i="5" s="1"/>
  <c r="BM223" i="5"/>
  <c r="BN84" i="7"/>
  <c r="BN88" i="7" s="1"/>
  <c r="BM90" i="7"/>
  <c r="BO182" i="5"/>
  <c r="BN188" i="5"/>
  <c r="BN217" i="7"/>
  <c r="BN221" i="7" s="1"/>
  <c r="BM223" i="7"/>
  <c r="BO35" i="7"/>
  <c r="BN41" i="7"/>
  <c r="BN35" i="5"/>
  <c r="BN39" i="5" s="1"/>
  <c r="BM41" i="5"/>
  <c r="BO42" i="10"/>
  <c r="BN48" i="10"/>
  <c r="BO21" i="10"/>
  <c r="BN27" i="10"/>
  <c r="BN14" i="5"/>
  <c r="BM20" i="5"/>
  <c r="BM272" i="5"/>
  <c r="BM260" i="5"/>
  <c r="BM266" i="5" s="1"/>
  <c r="BM281" i="5"/>
  <c r="BO174" i="5"/>
  <c r="BP168" i="5"/>
  <c r="BO189" i="5"/>
  <c r="BN195" i="5"/>
  <c r="BM251" i="7"/>
  <c r="BN245" i="7"/>
  <c r="BN105" i="5"/>
  <c r="BN109" i="5" s="1"/>
  <c r="BM111" i="5"/>
  <c r="BO56" i="3"/>
  <c r="BN62" i="3"/>
  <c r="BO196" i="5"/>
  <c r="BN202" i="5"/>
  <c r="BO153" i="5"/>
  <c r="BP147" i="5"/>
  <c r="BN132" i="5"/>
  <c r="BO126" i="5"/>
  <c r="BN98" i="5"/>
  <c r="BN102" i="5" s="1"/>
  <c r="BM104" i="5"/>
  <c r="BN238" i="5"/>
  <c r="BN242" i="5" s="1"/>
  <c r="BM244" i="5"/>
  <c r="BM20" i="7"/>
  <c r="BN14" i="7"/>
  <c r="BM272" i="7"/>
  <c r="BM281" i="7"/>
  <c r="BM260" i="7"/>
  <c r="BM266" i="7" s="1"/>
  <c r="BN252" i="7"/>
  <c r="BM258" i="7"/>
  <c r="BO84" i="5"/>
  <c r="BN90" i="5"/>
  <c r="BO34" i="7"/>
  <c r="BP28" i="7"/>
  <c r="BN83" i="7"/>
  <c r="BO77" i="7"/>
  <c r="BN168" i="7"/>
  <c r="BN172" i="7" s="1"/>
  <c r="BM174" i="7"/>
  <c r="BN210" i="7"/>
  <c r="BM216" i="7"/>
  <c r="BQ224" i="5"/>
  <c r="BP230" i="5"/>
  <c r="BO203" i="5"/>
  <c r="BN209" i="5"/>
  <c r="BO42" i="5"/>
  <c r="BN48" i="5"/>
  <c r="BO49" i="10"/>
  <c r="BN55" i="10"/>
  <c r="BO210" i="5"/>
  <c r="BN216" i="5"/>
  <c r="BO161" i="5"/>
  <c r="BN167" i="5"/>
  <c r="BO181" i="7"/>
  <c r="BP175" i="7"/>
  <c r="BM167" i="7"/>
  <c r="BN161" i="7"/>
  <c r="BN165" i="7" s="1"/>
  <c r="BN105" i="7"/>
  <c r="BN109" i="7" s="1"/>
  <c r="BM111" i="7"/>
  <c r="BN28" i="3"/>
  <c r="BN32" i="3" s="1"/>
  <c r="BM34" i="3"/>
  <c r="BO140" i="5"/>
  <c r="BN146" i="5"/>
  <c r="BN42" i="3"/>
  <c r="BN46" i="3" s="1"/>
  <c r="BM48" i="3"/>
  <c r="BL60" i="10" l="1"/>
  <c r="BM56" i="10"/>
  <c r="BL62" i="10"/>
  <c r="BL76" i="10"/>
  <c r="BL85" i="10"/>
  <c r="BL64" i="10"/>
  <c r="BL70" i="10" s="1"/>
  <c r="G87" i="9"/>
  <c r="J86" i="9"/>
  <c r="G86" i="4"/>
  <c r="J85" i="4"/>
  <c r="G86" i="6"/>
  <c r="J85" i="6"/>
  <c r="G86" i="8"/>
  <c r="J85" i="8"/>
  <c r="BN62" i="7"/>
  <c r="BO56" i="7"/>
  <c r="BN160" i="5"/>
  <c r="BO154" i="5"/>
  <c r="BQ28" i="10"/>
  <c r="BP34" i="10"/>
  <c r="BN20" i="10"/>
  <c r="BO14" i="10"/>
  <c r="BO35" i="10"/>
  <c r="BN41" i="10"/>
  <c r="BO56" i="5"/>
  <c r="BN62" i="5"/>
  <c r="BN55" i="5"/>
  <c r="BO49" i="5"/>
  <c r="BN41" i="3"/>
  <c r="BO35" i="3"/>
  <c r="BO28" i="5"/>
  <c r="BN34" i="5"/>
  <c r="BO91" i="7"/>
  <c r="BN97" i="7"/>
  <c r="BO63" i="7"/>
  <c r="BN69" i="7"/>
  <c r="BP69" i="5"/>
  <c r="BQ63" i="5"/>
  <c r="BN85" i="3"/>
  <c r="BN104" i="7"/>
  <c r="BO98" i="7"/>
  <c r="BN76" i="7"/>
  <c r="BO70" i="7"/>
  <c r="BO21" i="3"/>
  <c r="BN27" i="3"/>
  <c r="BO27" i="5"/>
  <c r="BP21" i="5"/>
  <c r="BP189" i="5"/>
  <c r="BO195" i="5"/>
  <c r="BO20" i="3"/>
  <c r="BP14" i="3"/>
  <c r="BO147" i="7"/>
  <c r="BN153" i="7"/>
  <c r="BP196" i="5"/>
  <c r="BO202" i="5"/>
  <c r="BO27" i="10"/>
  <c r="BP21" i="10"/>
  <c r="BN111" i="7"/>
  <c r="BO105" i="7"/>
  <c r="BP42" i="5"/>
  <c r="BO48" i="5"/>
  <c r="BO139" i="5"/>
  <c r="BP133" i="5"/>
  <c r="BN160" i="7"/>
  <c r="BO154" i="7"/>
  <c r="BO196" i="7"/>
  <c r="BN202" i="7"/>
  <c r="BO217" i="7"/>
  <c r="BN223" i="7"/>
  <c r="BQ168" i="5"/>
  <c r="BP174" i="5"/>
  <c r="BN167" i="7"/>
  <c r="BO161" i="7"/>
  <c r="BP34" i="7"/>
  <c r="BQ28" i="7"/>
  <c r="BO238" i="5"/>
  <c r="BN244" i="5"/>
  <c r="BP182" i="5"/>
  <c r="BO188" i="5"/>
  <c r="BO217" i="5"/>
  <c r="BN223" i="5"/>
  <c r="BO83" i="5"/>
  <c r="BP77" i="5"/>
  <c r="BO112" i="5"/>
  <c r="BN118" i="5"/>
  <c r="BN118" i="7"/>
  <c r="BO112" i="7"/>
  <c r="BP203" i="5"/>
  <c r="BO209" i="5"/>
  <c r="BP56" i="3"/>
  <c r="BO62" i="3"/>
  <c r="BO48" i="10"/>
  <c r="BP42" i="10"/>
  <c r="BO182" i="7"/>
  <c r="BN188" i="7"/>
  <c r="BP21" i="7"/>
  <c r="BO27" i="7"/>
  <c r="BQ230" i="5"/>
  <c r="BR224" i="5"/>
  <c r="BP84" i="5"/>
  <c r="BO90" i="5"/>
  <c r="BO238" i="7"/>
  <c r="BN244" i="7"/>
  <c r="BO231" i="5"/>
  <c r="BN237" i="5"/>
  <c r="BP49" i="7"/>
  <c r="BO55" i="7"/>
  <c r="BP77" i="7"/>
  <c r="BO83" i="7"/>
  <c r="BO35" i="5"/>
  <c r="BN41" i="5"/>
  <c r="BO252" i="5"/>
  <c r="BN258" i="5"/>
  <c r="BP181" i="7"/>
  <c r="BQ175" i="7"/>
  <c r="BO125" i="7"/>
  <c r="BP119" i="7"/>
  <c r="BO181" i="5"/>
  <c r="BP175" i="5"/>
  <c r="BO133" i="7"/>
  <c r="BN139" i="7"/>
  <c r="BO98" i="5"/>
  <c r="BN104" i="5"/>
  <c r="BN48" i="3"/>
  <c r="BO42" i="3"/>
  <c r="BO167" i="5"/>
  <c r="BP161" i="5"/>
  <c r="BO252" i="7"/>
  <c r="BN258" i="7"/>
  <c r="BO132" i="5"/>
  <c r="BP126" i="5"/>
  <c r="BO14" i="5"/>
  <c r="BN20" i="5"/>
  <c r="BN272" i="5"/>
  <c r="BN260" i="5"/>
  <c r="BN266" i="5" s="1"/>
  <c r="BN281" i="5"/>
  <c r="BP189" i="7"/>
  <c r="BO195" i="7"/>
  <c r="BO105" i="5"/>
  <c r="BN111" i="5"/>
  <c r="BO41" i="7"/>
  <c r="BP35" i="7"/>
  <c r="BN90" i="7"/>
  <c r="BO84" i="7"/>
  <c r="BO203" i="7"/>
  <c r="BN209" i="7"/>
  <c r="BN132" i="7"/>
  <c r="BO126" i="7"/>
  <c r="BP140" i="5"/>
  <c r="BO146" i="5"/>
  <c r="BO210" i="7"/>
  <c r="BN216" i="7"/>
  <c r="BQ147" i="5"/>
  <c r="BP153" i="5"/>
  <c r="BO245" i="7"/>
  <c r="BN251" i="7"/>
  <c r="BN76" i="3"/>
  <c r="BO119" i="5"/>
  <c r="BN125" i="5"/>
  <c r="BN251" i="5"/>
  <c r="BO245" i="5"/>
  <c r="BQ76" i="5"/>
  <c r="BR70" i="5"/>
  <c r="BO48" i="7"/>
  <c r="BP42" i="7"/>
  <c r="BO91" i="5"/>
  <c r="BN97" i="5"/>
  <c r="BP210" i="5"/>
  <c r="BO216" i="5"/>
  <c r="BN34" i="3"/>
  <c r="BO28" i="3"/>
  <c r="BO55" i="10"/>
  <c r="BP49" i="10"/>
  <c r="BN174" i="7"/>
  <c r="BO168" i="7"/>
  <c r="BO14" i="7"/>
  <c r="BN20" i="7"/>
  <c r="BN281" i="7"/>
  <c r="BN272" i="7"/>
  <c r="BN260" i="7"/>
  <c r="BN266" i="7" s="1"/>
  <c r="BN64" i="3"/>
  <c r="BN70" i="3" s="1"/>
  <c r="BQ231" i="7"/>
  <c r="BP237" i="7"/>
  <c r="BO140" i="7"/>
  <c r="BN146" i="7"/>
  <c r="BO49" i="3"/>
  <c r="BN55" i="3"/>
  <c r="BO224" i="7"/>
  <c r="BN230" i="7"/>
  <c r="BM60" i="10" l="1"/>
  <c r="BN56" i="10"/>
  <c r="BM62" i="10"/>
  <c r="BM64" i="10"/>
  <c r="BM70" i="10" s="1"/>
  <c r="BM76" i="10"/>
  <c r="BM85" i="10"/>
  <c r="G88" i="9"/>
  <c r="J87" i="9"/>
  <c r="G87" i="4"/>
  <c r="J86" i="4"/>
  <c r="G87" i="6"/>
  <c r="J86" i="6"/>
  <c r="G87" i="8"/>
  <c r="J86" i="8"/>
  <c r="BP56" i="7"/>
  <c r="BO62" i="7"/>
  <c r="BO160" i="5"/>
  <c r="BP154" i="5"/>
  <c r="BR28" i="10"/>
  <c r="BQ34" i="10"/>
  <c r="BP35" i="10"/>
  <c r="BO41" i="10"/>
  <c r="BP14" i="10"/>
  <c r="BO20" i="10"/>
  <c r="BQ21" i="5"/>
  <c r="BP27" i="5"/>
  <c r="BP63" i="7"/>
  <c r="BO69" i="7"/>
  <c r="BO97" i="7"/>
  <c r="BP91" i="7"/>
  <c r="BO27" i="3"/>
  <c r="BP21" i="3"/>
  <c r="BP70" i="7"/>
  <c r="BO76" i="7"/>
  <c r="BP28" i="5"/>
  <c r="BO34" i="5"/>
  <c r="BP35" i="3"/>
  <c r="BO41" i="3"/>
  <c r="BP98" i="7"/>
  <c r="BO104" i="7"/>
  <c r="BP49" i="5"/>
  <c r="BO55" i="5"/>
  <c r="BR63" i="5"/>
  <c r="BQ69" i="5"/>
  <c r="BP56" i="5"/>
  <c r="BO62" i="5"/>
  <c r="BQ42" i="10"/>
  <c r="BP48" i="10"/>
  <c r="BQ196" i="5"/>
  <c r="BP202" i="5"/>
  <c r="BQ174" i="5"/>
  <c r="BR168" i="5"/>
  <c r="BO174" i="7"/>
  <c r="BP168" i="7"/>
  <c r="BO90" i="7"/>
  <c r="BP84" i="7"/>
  <c r="BP132" i="5"/>
  <c r="BQ126" i="5"/>
  <c r="BP181" i="5"/>
  <c r="BQ175" i="5"/>
  <c r="BP238" i="7"/>
  <c r="BO244" i="7"/>
  <c r="BP91" i="5"/>
  <c r="BO97" i="5"/>
  <c r="BP41" i="7"/>
  <c r="BQ35" i="7"/>
  <c r="BP252" i="5"/>
  <c r="BO258" i="5"/>
  <c r="BQ49" i="7"/>
  <c r="BP55" i="7"/>
  <c r="BO153" i="7"/>
  <c r="BP147" i="7"/>
  <c r="BQ77" i="7"/>
  <c r="BP83" i="7"/>
  <c r="BP55" i="10"/>
  <c r="BQ49" i="10"/>
  <c r="BP245" i="7"/>
  <c r="BO251" i="7"/>
  <c r="BO34" i="3"/>
  <c r="BP28" i="3"/>
  <c r="BP48" i="7"/>
  <c r="BQ42" i="7"/>
  <c r="BR147" i="5"/>
  <c r="BQ153" i="5"/>
  <c r="BQ56" i="3"/>
  <c r="BP62" i="3"/>
  <c r="BP217" i="5"/>
  <c r="BO223" i="5"/>
  <c r="BP217" i="7"/>
  <c r="BO223" i="7"/>
  <c r="BQ42" i="5"/>
  <c r="BP48" i="5"/>
  <c r="BO76" i="3"/>
  <c r="BP105" i="7"/>
  <c r="BO111" i="7"/>
  <c r="BO85" i="3"/>
  <c r="BR76" i="5"/>
  <c r="BS70" i="5"/>
  <c r="BP210" i="7"/>
  <c r="BO216" i="7"/>
  <c r="BP105" i="5"/>
  <c r="BO111" i="5"/>
  <c r="BQ161" i="5"/>
  <c r="BP167" i="5"/>
  <c r="BQ119" i="7"/>
  <c r="BP125" i="7"/>
  <c r="BQ84" i="5"/>
  <c r="BP90" i="5"/>
  <c r="BQ203" i="5"/>
  <c r="BP209" i="5"/>
  <c r="BQ182" i="5"/>
  <c r="BP188" i="5"/>
  <c r="BO202" i="7"/>
  <c r="BP196" i="7"/>
  <c r="BO64" i="3"/>
  <c r="BP14" i="5"/>
  <c r="BO20" i="5"/>
  <c r="BO272" i="5"/>
  <c r="BO260" i="5"/>
  <c r="BO281" i="5"/>
  <c r="BP35" i="5"/>
  <c r="BO41" i="5"/>
  <c r="BS224" i="5"/>
  <c r="BR230" i="5"/>
  <c r="BO118" i="7"/>
  <c r="BP112" i="7"/>
  <c r="BO160" i="7"/>
  <c r="BP154" i="7"/>
  <c r="BP20" i="3"/>
  <c r="BQ14" i="3"/>
  <c r="BP245" i="5"/>
  <c r="BO251" i="5"/>
  <c r="BQ140" i="5"/>
  <c r="BP146" i="5"/>
  <c r="BP195" i="7"/>
  <c r="BQ189" i="7"/>
  <c r="BP42" i="3"/>
  <c r="BO48" i="3"/>
  <c r="BP238" i="5"/>
  <c r="BO244" i="5"/>
  <c r="BP252" i="7"/>
  <c r="BO258" i="7"/>
  <c r="BP224" i="7"/>
  <c r="BO230" i="7"/>
  <c r="BO132" i="7"/>
  <c r="BP126" i="7"/>
  <c r="BQ34" i="7"/>
  <c r="BR28" i="7"/>
  <c r="BQ133" i="5"/>
  <c r="BP139" i="5"/>
  <c r="BP140" i="7"/>
  <c r="BO146" i="7"/>
  <c r="BR231" i="7"/>
  <c r="BQ237" i="7"/>
  <c r="BR175" i="7"/>
  <c r="BQ181" i="7"/>
  <c r="BP231" i="5"/>
  <c r="BO237" i="5"/>
  <c r="BQ21" i="7"/>
  <c r="BP27" i="7"/>
  <c r="BO118" i="5"/>
  <c r="BP112" i="5"/>
  <c r="BP27" i="10"/>
  <c r="BQ21" i="10"/>
  <c r="BO139" i="7"/>
  <c r="BP133" i="7"/>
  <c r="BP49" i="3"/>
  <c r="BO55" i="3"/>
  <c r="BP14" i="7"/>
  <c r="BO20" i="7"/>
  <c r="BO260" i="7"/>
  <c r="BO272" i="7"/>
  <c r="BO281" i="7"/>
  <c r="BQ210" i="5"/>
  <c r="BP216" i="5"/>
  <c r="BO125" i="5"/>
  <c r="BP119" i="5"/>
  <c r="BP98" i="5"/>
  <c r="BO104" i="5"/>
  <c r="BP83" i="5"/>
  <c r="BQ77" i="5"/>
  <c r="BO167" i="7"/>
  <c r="BP161" i="7"/>
  <c r="BO209" i="7"/>
  <c r="BP203" i="7"/>
  <c r="BO188" i="7"/>
  <c r="BP182" i="7"/>
  <c r="BQ189" i="5"/>
  <c r="BP195" i="5"/>
  <c r="BN60" i="10" l="1"/>
  <c r="BN62" i="10"/>
  <c r="BO56" i="10"/>
  <c r="BN64" i="10"/>
  <c r="BN70" i="10" s="1"/>
  <c r="BN85" i="10"/>
  <c r="BN76" i="10"/>
  <c r="G89" i="9"/>
  <c r="J89" i="9" s="1"/>
  <c r="J88" i="9"/>
  <c r="G88" i="4"/>
  <c r="J87" i="4"/>
  <c r="G88" i="6"/>
  <c r="J87" i="6"/>
  <c r="G88" i="8"/>
  <c r="J87" i="8"/>
  <c r="BQ56" i="7"/>
  <c r="BP62" i="7"/>
  <c r="BQ154" i="5"/>
  <c r="BP160" i="5"/>
  <c r="BS28" i="10"/>
  <c r="BR34" i="10"/>
  <c r="BP76" i="3"/>
  <c r="BQ14" i="10"/>
  <c r="BP20" i="10"/>
  <c r="BP41" i="10"/>
  <c r="BQ35" i="10"/>
  <c r="BQ28" i="5"/>
  <c r="BP34" i="5"/>
  <c r="BP62" i="5"/>
  <c r="BQ56" i="5"/>
  <c r="BQ70" i="7"/>
  <c r="BP76" i="7"/>
  <c r="BP27" i="3"/>
  <c r="BQ21" i="3"/>
  <c r="BR69" i="5"/>
  <c r="BS63" i="5"/>
  <c r="BP97" i="7"/>
  <c r="BQ91" i="7"/>
  <c r="BQ49" i="5"/>
  <c r="BP55" i="5"/>
  <c r="BQ98" i="7"/>
  <c r="BP104" i="7"/>
  <c r="BQ63" i="7"/>
  <c r="BP69" i="7"/>
  <c r="BP41" i="3"/>
  <c r="BQ35" i="3"/>
  <c r="BQ27" i="5"/>
  <c r="BR21" i="5"/>
  <c r="BQ196" i="7"/>
  <c r="BP202" i="7"/>
  <c r="BQ161" i="7"/>
  <c r="BP167" i="7"/>
  <c r="BQ55" i="10"/>
  <c r="BR49" i="10"/>
  <c r="BQ41" i="7"/>
  <c r="BR35" i="7"/>
  <c r="BP174" i="7"/>
  <c r="BQ168" i="7"/>
  <c r="BQ217" i="5"/>
  <c r="BP223" i="5"/>
  <c r="BR21" i="10"/>
  <c r="BQ27" i="10"/>
  <c r="BR34" i="7"/>
  <c r="BS28" i="7"/>
  <c r="BS32" i="7" s="1"/>
  <c r="BR174" i="5"/>
  <c r="BS168" i="5"/>
  <c r="BS172" i="5" s="1"/>
  <c r="BR56" i="3"/>
  <c r="BQ62" i="3"/>
  <c r="BQ83" i="7"/>
  <c r="BR77" i="7"/>
  <c r="BQ91" i="5"/>
  <c r="BP97" i="5"/>
  <c r="BR133" i="5"/>
  <c r="BQ139" i="5"/>
  <c r="BQ125" i="7"/>
  <c r="BR119" i="7"/>
  <c r="BQ83" i="5"/>
  <c r="BR77" i="5"/>
  <c r="BQ112" i="5"/>
  <c r="BP118" i="5"/>
  <c r="BR182" i="5"/>
  <c r="BQ188" i="5"/>
  <c r="BQ105" i="7"/>
  <c r="BP111" i="7"/>
  <c r="BQ147" i="7"/>
  <c r="BP153" i="7"/>
  <c r="BP244" i="5"/>
  <c r="BQ238" i="5"/>
  <c r="BP132" i="7"/>
  <c r="BQ126" i="7"/>
  <c r="BT224" i="5"/>
  <c r="BS230" i="5"/>
  <c r="BR161" i="5"/>
  <c r="BQ167" i="5"/>
  <c r="BR153" i="5"/>
  <c r="BS147" i="5"/>
  <c r="BS151" i="5" s="1"/>
  <c r="BQ238" i="7"/>
  <c r="BP244" i="7"/>
  <c r="BP251" i="5"/>
  <c r="BQ245" i="5"/>
  <c r="BS231" i="7"/>
  <c r="BS235" i="7" s="1"/>
  <c r="BR237" i="7"/>
  <c r="BP20" i="7"/>
  <c r="BQ14" i="7"/>
  <c r="BP260" i="7"/>
  <c r="BP272" i="7"/>
  <c r="BP281" i="7"/>
  <c r="BR189" i="5"/>
  <c r="BQ195" i="5"/>
  <c r="BR21" i="7"/>
  <c r="BQ27" i="7"/>
  <c r="BQ42" i="3"/>
  <c r="BP48" i="3"/>
  <c r="BP85" i="3"/>
  <c r="BQ105" i="5"/>
  <c r="BP111" i="5"/>
  <c r="BR196" i="5"/>
  <c r="BQ202" i="5"/>
  <c r="BR210" i="5"/>
  <c r="BQ216" i="5"/>
  <c r="BR181" i="7"/>
  <c r="BS175" i="7"/>
  <c r="BS179" i="7" s="1"/>
  <c r="BQ112" i="7"/>
  <c r="BP118" i="7"/>
  <c r="BP188" i="7"/>
  <c r="BQ182" i="7"/>
  <c r="BQ49" i="3"/>
  <c r="BP55" i="3"/>
  <c r="BQ195" i="7"/>
  <c r="BR189" i="7"/>
  <c r="BP64" i="3"/>
  <c r="BR84" i="5"/>
  <c r="BQ90" i="5"/>
  <c r="BP34" i="3"/>
  <c r="BQ28" i="3"/>
  <c r="BQ132" i="5"/>
  <c r="BR126" i="5"/>
  <c r="BR14" i="3"/>
  <c r="BQ20" i="3"/>
  <c r="BQ210" i="7"/>
  <c r="BP216" i="7"/>
  <c r="BR42" i="5"/>
  <c r="BQ48" i="5"/>
  <c r="BQ55" i="7"/>
  <c r="BR49" i="7"/>
  <c r="BQ48" i="7"/>
  <c r="BR42" i="7"/>
  <c r="BQ98" i="5"/>
  <c r="BP104" i="5"/>
  <c r="BP139" i="7"/>
  <c r="BQ133" i="7"/>
  <c r="BQ140" i="7"/>
  <c r="BP146" i="7"/>
  <c r="BQ224" i="7"/>
  <c r="BP230" i="7"/>
  <c r="BP209" i="7"/>
  <c r="BQ203" i="7"/>
  <c r="BS76" i="5"/>
  <c r="BT70" i="5"/>
  <c r="BP90" i="7"/>
  <c r="BQ84" i="7"/>
  <c r="BP41" i="5"/>
  <c r="BQ35" i="5"/>
  <c r="BR203" i="5"/>
  <c r="BQ209" i="5"/>
  <c r="BR175" i="5"/>
  <c r="BQ181" i="5"/>
  <c r="BQ231" i="5"/>
  <c r="BP237" i="5"/>
  <c r="BQ119" i="5"/>
  <c r="BP125" i="5"/>
  <c r="BQ252" i="7"/>
  <c r="BP258" i="7"/>
  <c r="BR140" i="5"/>
  <c r="BQ146" i="5"/>
  <c r="BP160" i="7"/>
  <c r="BQ154" i="7"/>
  <c r="BQ14" i="5"/>
  <c r="BP20" i="5"/>
  <c r="BP260" i="5"/>
  <c r="BP272" i="5"/>
  <c r="BP281" i="5"/>
  <c r="BQ217" i="7"/>
  <c r="BP223" i="7"/>
  <c r="BP251" i="7"/>
  <c r="BQ245" i="7"/>
  <c r="BP258" i="5"/>
  <c r="BQ252" i="5"/>
  <c r="BR42" i="10"/>
  <c r="BQ48" i="10"/>
  <c r="BP56" i="10" l="1"/>
  <c r="BO62" i="10"/>
  <c r="BO76" i="10"/>
  <c r="BO64" i="10"/>
  <c r="BO85" i="10"/>
  <c r="G89" i="4"/>
  <c r="J89" i="4" s="1"/>
  <c r="J88" i="4"/>
  <c r="G89" i="6"/>
  <c r="J89" i="6" s="1"/>
  <c r="J88" i="6"/>
  <c r="G89" i="8"/>
  <c r="J89" i="8" s="1"/>
  <c r="J88" i="8"/>
  <c r="BQ62" i="7"/>
  <c r="BR56" i="7"/>
  <c r="BR154" i="5"/>
  <c r="BQ160" i="5"/>
  <c r="BS34" i="10"/>
  <c r="BT28" i="10"/>
  <c r="BQ41" i="10"/>
  <c r="BR35" i="10"/>
  <c r="BR14" i="10"/>
  <c r="BQ20" i="10"/>
  <c r="BQ97" i="7"/>
  <c r="BR91" i="7"/>
  <c r="BR27" i="5"/>
  <c r="BS21" i="5"/>
  <c r="BS25" i="5" s="1"/>
  <c r="BT63" i="5"/>
  <c r="BS69" i="5"/>
  <c r="BR35" i="3"/>
  <c r="BQ41" i="3"/>
  <c r="BQ27" i="3"/>
  <c r="BR21" i="3"/>
  <c r="BQ69" i="7"/>
  <c r="BR63" i="7"/>
  <c r="BR70" i="7"/>
  <c r="BQ76" i="7"/>
  <c r="BQ62" i="5"/>
  <c r="BR56" i="5"/>
  <c r="BR98" i="7"/>
  <c r="BQ104" i="7"/>
  <c r="BR49" i="5"/>
  <c r="BQ55" i="5"/>
  <c r="BR28" i="5"/>
  <c r="BQ34" i="5"/>
  <c r="BS189" i="5"/>
  <c r="BR195" i="5"/>
  <c r="BR83" i="7"/>
  <c r="BS77" i="7"/>
  <c r="BS81" i="7" s="1"/>
  <c r="BQ244" i="7"/>
  <c r="BR238" i="7"/>
  <c r="BS203" i="5"/>
  <c r="BR209" i="5"/>
  <c r="BQ223" i="7"/>
  <c r="BR217" i="7"/>
  <c r="BS153" i="5"/>
  <c r="BT147" i="5"/>
  <c r="BT151" i="5" s="1"/>
  <c r="BQ244" i="5"/>
  <c r="BR238" i="5"/>
  <c r="BR27" i="10"/>
  <c r="BS21" i="10"/>
  <c r="BQ139" i="7"/>
  <c r="BR133" i="7"/>
  <c r="BQ216" i="7"/>
  <c r="BR210" i="7"/>
  <c r="BR112" i="7"/>
  <c r="BQ118" i="7"/>
  <c r="BQ118" i="5"/>
  <c r="BR112" i="5"/>
  <c r="BR62" i="3"/>
  <c r="BS56" i="3"/>
  <c r="BR83" i="5"/>
  <c r="BS77" i="5"/>
  <c r="BS81" i="5" s="1"/>
  <c r="BS174" i="5"/>
  <c r="BT168" i="5"/>
  <c r="BT172" i="5" s="1"/>
  <c r="BQ223" i="5"/>
  <c r="BR217" i="5"/>
  <c r="BR48" i="5"/>
  <c r="BS42" i="5"/>
  <c r="BS46" i="5" s="1"/>
  <c r="BQ111" i="5"/>
  <c r="BR105" i="5"/>
  <c r="BR14" i="7"/>
  <c r="BQ20" i="7"/>
  <c r="BQ260" i="7"/>
  <c r="BQ272" i="7"/>
  <c r="BQ281" i="7"/>
  <c r="BS119" i="7"/>
  <c r="BS123" i="7" s="1"/>
  <c r="BR125" i="7"/>
  <c r="BS161" i="5"/>
  <c r="BR167" i="5"/>
  <c r="BS210" i="5"/>
  <c r="BS214" i="5" s="1"/>
  <c r="BR216" i="5"/>
  <c r="BS237" i="7"/>
  <c r="BT231" i="7"/>
  <c r="BT235" i="7" s="1"/>
  <c r="BR105" i="7"/>
  <c r="BQ111" i="7"/>
  <c r="BR168" i="7"/>
  <c r="BQ174" i="7"/>
  <c r="BQ34" i="3"/>
  <c r="BR28" i="3"/>
  <c r="BR90" i="5"/>
  <c r="BS84" i="5"/>
  <c r="BS88" i="5" s="1"/>
  <c r="BS181" i="7"/>
  <c r="BT175" i="7"/>
  <c r="BT179" i="7" s="1"/>
  <c r="BQ64" i="3"/>
  <c r="BQ153" i="7"/>
  <c r="BR147" i="7"/>
  <c r="BQ76" i="3"/>
  <c r="BS42" i="10"/>
  <c r="BR48" i="10"/>
  <c r="BR48" i="7"/>
  <c r="BS42" i="7"/>
  <c r="BS46" i="7" s="1"/>
  <c r="BS14" i="3"/>
  <c r="BS18" i="3" s="1"/>
  <c r="BR20" i="3"/>
  <c r="BR245" i="5"/>
  <c r="BQ251" i="5"/>
  <c r="BS34" i="7"/>
  <c r="BT28" i="7"/>
  <c r="BT32" i="7" s="1"/>
  <c r="BQ41" i="5"/>
  <c r="BR35" i="5"/>
  <c r="BR231" i="5"/>
  <c r="BQ237" i="5"/>
  <c r="BR49" i="3"/>
  <c r="BQ55" i="3"/>
  <c r="BS196" i="5"/>
  <c r="BS200" i="5" s="1"/>
  <c r="BR202" i="5"/>
  <c r="BT230" i="5"/>
  <c r="BU224" i="5"/>
  <c r="BS182" i="5"/>
  <c r="BR188" i="5"/>
  <c r="BS133" i="5"/>
  <c r="BS137" i="5" s="1"/>
  <c r="BR139" i="5"/>
  <c r="BR41" i="7"/>
  <c r="BS35" i="7"/>
  <c r="BS39" i="7" s="1"/>
  <c r="BR161" i="7"/>
  <c r="BQ167" i="7"/>
  <c r="BQ146" i="7"/>
  <c r="BR140" i="7"/>
  <c r="BT76" i="5"/>
  <c r="BU70" i="5"/>
  <c r="BR195" i="7"/>
  <c r="BS189" i="7"/>
  <c r="BR154" i="7"/>
  <c r="BQ160" i="7"/>
  <c r="BR55" i="7"/>
  <c r="BS49" i="7"/>
  <c r="BS53" i="7" s="1"/>
  <c r="BQ188" i="7"/>
  <c r="BR182" i="7"/>
  <c r="BS21" i="7"/>
  <c r="BR27" i="7"/>
  <c r="BQ132" i="7"/>
  <c r="BR126" i="7"/>
  <c r="BR252" i="7"/>
  <c r="BQ258" i="7"/>
  <c r="BQ90" i="7"/>
  <c r="BR84" i="7"/>
  <c r="BQ85" i="3"/>
  <c r="BQ48" i="3"/>
  <c r="BR42" i="3"/>
  <c r="BR98" i="5"/>
  <c r="BQ104" i="5"/>
  <c r="BQ20" i="5"/>
  <c r="BR14" i="5"/>
  <c r="BQ281" i="5"/>
  <c r="BQ260" i="5"/>
  <c r="BQ272" i="5"/>
  <c r="BR119" i="5"/>
  <c r="BQ125" i="5"/>
  <c r="BQ209" i="7"/>
  <c r="BR203" i="7"/>
  <c r="BQ258" i="5"/>
  <c r="BR252" i="5"/>
  <c r="BR245" i="7"/>
  <c r="BQ251" i="7"/>
  <c r="BR146" i="5"/>
  <c r="BS140" i="5"/>
  <c r="BS144" i="5" s="1"/>
  <c r="BR181" i="5"/>
  <c r="BS175" i="5"/>
  <c r="BS179" i="5" s="1"/>
  <c r="BR224" i="7"/>
  <c r="BQ230" i="7"/>
  <c r="BR132" i="5"/>
  <c r="BS126" i="5"/>
  <c r="BS130" i="5" s="1"/>
  <c r="BR91" i="5"/>
  <c r="BQ97" i="5"/>
  <c r="BR55" i="10"/>
  <c r="BS49" i="10"/>
  <c r="BQ202" i="7"/>
  <c r="BR196" i="7"/>
  <c r="BQ56" i="10" l="1"/>
  <c r="BP62" i="10"/>
  <c r="BP85" i="10"/>
  <c r="BP64" i="10"/>
  <c r="BP76" i="10"/>
  <c r="BR62" i="7"/>
  <c r="BS56" i="7"/>
  <c r="BS60" i="7" s="1"/>
  <c r="BS154" i="5"/>
  <c r="BS158" i="5" s="1"/>
  <c r="BR160" i="5"/>
  <c r="BU28" i="10"/>
  <c r="BT34" i="10"/>
  <c r="BR20" i="10"/>
  <c r="BS14" i="10"/>
  <c r="BR41" i="10"/>
  <c r="BS35" i="10"/>
  <c r="BR69" i="7"/>
  <c r="BS63" i="7"/>
  <c r="BS67" i="7" s="1"/>
  <c r="BS21" i="3"/>
  <c r="BS25" i="3" s="1"/>
  <c r="BR27" i="3"/>
  <c r="BR55" i="5"/>
  <c r="BS49" i="5"/>
  <c r="BR41" i="3"/>
  <c r="BS35" i="3"/>
  <c r="BS39" i="3" s="1"/>
  <c r="BS28" i="5"/>
  <c r="BS32" i="5" s="1"/>
  <c r="BR34" i="5"/>
  <c r="BS98" i="7"/>
  <c r="BS102" i="7" s="1"/>
  <c r="BR104" i="7"/>
  <c r="BU63" i="5"/>
  <c r="BT69" i="5"/>
  <c r="BR62" i="5"/>
  <c r="BS56" i="5"/>
  <c r="BS27" i="5"/>
  <c r="BT21" i="5"/>
  <c r="BT25" i="5" s="1"/>
  <c r="BS91" i="7"/>
  <c r="BS95" i="7" s="1"/>
  <c r="BR97" i="7"/>
  <c r="BR76" i="7"/>
  <c r="BS70" i="7"/>
  <c r="BS74" i="7" s="1"/>
  <c r="BS125" i="7"/>
  <c r="BT119" i="7"/>
  <c r="BT123" i="7" s="1"/>
  <c r="BR34" i="3"/>
  <c r="BS28" i="3"/>
  <c r="BS32" i="3" s="1"/>
  <c r="BS112" i="5"/>
  <c r="BS116" i="5" s="1"/>
  <c r="BR118" i="5"/>
  <c r="BT203" i="5"/>
  <c r="BS209" i="5"/>
  <c r="BT140" i="5"/>
  <c r="BT144" i="5" s="1"/>
  <c r="BS146" i="5"/>
  <c r="BS195" i="7"/>
  <c r="BT189" i="7"/>
  <c r="BR41" i="5"/>
  <c r="BS35" i="5"/>
  <c r="BS39" i="5" s="1"/>
  <c r="BS252" i="7"/>
  <c r="BR258" i="7"/>
  <c r="BT133" i="5"/>
  <c r="BT137" i="5" s="1"/>
  <c r="BS139" i="5"/>
  <c r="BR132" i="7"/>
  <c r="BS126" i="7"/>
  <c r="BS130" i="7" s="1"/>
  <c r="BU28" i="7"/>
  <c r="BU32" i="7" s="1"/>
  <c r="BT34" i="7"/>
  <c r="BT42" i="10"/>
  <c r="BS48" i="10"/>
  <c r="BT210" i="5"/>
  <c r="BT214" i="5" s="1"/>
  <c r="BS216" i="5"/>
  <c r="BV70" i="5"/>
  <c r="BU76" i="5"/>
  <c r="BV224" i="5"/>
  <c r="BU230" i="5"/>
  <c r="BR153" i="7"/>
  <c r="BS147" i="7"/>
  <c r="BS151" i="7" s="1"/>
  <c r="BR174" i="7"/>
  <c r="BS168" i="7"/>
  <c r="BS172" i="7" s="1"/>
  <c r="BR118" i="7"/>
  <c r="BS112" i="7"/>
  <c r="BS116" i="7" s="1"/>
  <c r="BS27" i="10"/>
  <c r="BT21" i="10"/>
  <c r="BR244" i="7"/>
  <c r="BS238" i="7"/>
  <c r="BS242" i="7" s="1"/>
  <c r="BS245" i="7"/>
  <c r="BR251" i="7"/>
  <c r="BR202" i="7"/>
  <c r="BS196" i="7"/>
  <c r="BS200" i="7" s="1"/>
  <c r="BS132" i="5"/>
  <c r="BT126" i="5"/>
  <c r="BT130" i="5" s="1"/>
  <c r="BR258" i="5"/>
  <c r="BS252" i="5"/>
  <c r="BS256" i="5" s="1"/>
  <c r="BS98" i="5"/>
  <c r="BS102" i="5" s="1"/>
  <c r="BR104" i="5"/>
  <c r="BR188" i="7"/>
  <c r="BS182" i="7"/>
  <c r="BS186" i="7" s="1"/>
  <c r="BS140" i="7"/>
  <c r="BS144" i="7" s="1"/>
  <c r="BR146" i="7"/>
  <c r="BR85" i="3"/>
  <c r="BR111" i="7"/>
  <c r="BS105" i="7"/>
  <c r="BS109" i="7" s="1"/>
  <c r="BT161" i="5"/>
  <c r="BS167" i="5"/>
  <c r="BR244" i="5"/>
  <c r="BS238" i="5"/>
  <c r="BS242" i="5" s="1"/>
  <c r="BS83" i="7"/>
  <c r="BT77" i="7"/>
  <c r="BT81" i="7" s="1"/>
  <c r="BR20" i="5"/>
  <c r="BS14" i="5"/>
  <c r="BR281" i="5"/>
  <c r="BR260" i="5"/>
  <c r="BR272" i="5"/>
  <c r="BS245" i="5"/>
  <c r="BR251" i="5"/>
  <c r="BS210" i="7"/>
  <c r="BR216" i="7"/>
  <c r="BS42" i="3"/>
  <c r="BS46" i="3" s="1"/>
  <c r="BR48" i="3"/>
  <c r="BT196" i="5"/>
  <c r="BT200" i="5" s="1"/>
  <c r="BS202" i="5"/>
  <c r="BR64" i="3"/>
  <c r="BU175" i="7"/>
  <c r="BU179" i="7" s="1"/>
  <c r="BT181" i="7"/>
  <c r="BS14" i="7"/>
  <c r="BR20" i="7"/>
  <c r="BR260" i="7"/>
  <c r="BR272" i="7"/>
  <c r="BR281" i="7"/>
  <c r="BU168" i="5"/>
  <c r="BU172" i="5" s="1"/>
  <c r="BT174" i="5"/>
  <c r="BR139" i="7"/>
  <c r="BS133" i="7"/>
  <c r="BS137" i="7" s="1"/>
  <c r="BU147" i="5"/>
  <c r="BU151" i="5" s="1"/>
  <c r="BT153" i="5"/>
  <c r="BS217" i="5"/>
  <c r="BS221" i="5" s="1"/>
  <c r="BR223" i="5"/>
  <c r="BS203" i="7"/>
  <c r="BR209" i="7"/>
  <c r="BT49" i="7"/>
  <c r="BT53" i="7" s="1"/>
  <c r="BS55" i="7"/>
  <c r="BR55" i="3"/>
  <c r="BS49" i="3"/>
  <c r="BS53" i="3" s="1"/>
  <c r="BT84" i="5"/>
  <c r="BT88" i="5" s="1"/>
  <c r="BS90" i="5"/>
  <c r="BT237" i="7"/>
  <c r="BU231" i="7"/>
  <c r="BU235" i="7" s="1"/>
  <c r="BS83" i="5"/>
  <c r="BT77" i="5"/>
  <c r="BT81" i="5" s="1"/>
  <c r="BT182" i="5"/>
  <c r="BS188" i="5"/>
  <c r="BS27" i="7"/>
  <c r="BT21" i="7"/>
  <c r="BS55" i="10"/>
  <c r="BT49" i="10"/>
  <c r="BR76" i="3"/>
  <c r="BS105" i="5"/>
  <c r="BS109" i="5" s="1"/>
  <c r="BR111" i="5"/>
  <c r="BS224" i="7"/>
  <c r="BS228" i="7" s="1"/>
  <c r="BR230" i="7"/>
  <c r="BS181" i="5"/>
  <c r="BT175" i="5"/>
  <c r="BT179" i="5" s="1"/>
  <c r="BT14" i="3"/>
  <c r="BT18" i="3" s="1"/>
  <c r="BS20" i="3"/>
  <c r="BS48" i="5"/>
  <c r="BT42" i="5"/>
  <c r="BT46" i="5" s="1"/>
  <c r="BR223" i="7"/>
  <c r="BS217" i="7"/>
  <c r="BS221" i="7" s="1"/>
  <c r="BS161" i="7"/>
  <c r="BS165" i="7" s="1"/>
  <c r="BR167" i="7"/>
  <c r="BR90" i="7"/>
  <c r="BS84" i="7"/>
  <c r="BS88" i="7" s="1"/>
  <c r="BS41" i="7"/>
  <c r="BT35" i="7"/>
  <c r="BT39" i="7" s="1"/>
  <c r="BS91" i="5"/>
  <c r="BS95" i="5" s="1"/>
  <c r="BR97" i="5"/>
  <c r="BS119" i="5"/>
  <c r="BS123" i="5" s="1"/>
  <c r="BR125" i="5"/>
  <c r="BS154" i="7"/>
  <c r="BS158" i="7" s="1"/>
  <c r="BR160" i="7"/>
  <c r="BS231" i="5"/>
  <c r="BS235" i="5" s="1"/>
  <c r="BR237" i="5"/>
  <c r="BS48" i="7"/>
  <c r="BT42" i="7"/>
  <c r="BT46" i="7" s="1"/>
  <c r="BS62" i="3"/>
  <c r="BT56" i="3"/>
  <c r="BT189" i="5"/>
  <c r="BS195" i="5"/>
  <c r="BR56" i="10" l="1"/>
  <c r="BQ62" i="10"/>
  <c r="BQ64" i="10"/>
  <c r="BQ76" i="10"/>
  <c r="BQ85" i="10"/>
  <c r="BS62" i="7"/>
  <c r="BT56" i="7"/>
  <c r="BT60" i="7" s="1"/>
  <c r="BT154" i="5"/>
  <c r="BT158" i="5" s="1"/>
  <c r="BS160" i="5"/>
  <c r="BV28" i="10"/>
  <c r="BU34" i="10"/>
  <c r="BT35" i="10"/>
  <c r="BS41" i="10"/>
  <c r="BS20" i="10"/>
  <c r="BT14" i="10"/>
  <c r="BS104" i="7"/>
  <c r="BT98" i="7"/>
  <c r="BT102" i="7" s="1"/>
  <c r="BS76" i="7"/>
  <c r="BT70" i="7"/>
  <c r="BT74" i="7" s="1"/>
  <c r="BS34" i="5"/>
  <c r="BT28" i="5"/>
  <c r="BT32" i="5" s="1"/>
  <c r="BT35" i="3"/>
  <c r="BT39" i="3" s="1"/>
  <c r="BS41" i="3"/>
  <c r="BS97" i="7"/>
  <c r="BT91" i="7"/>
  <c r="BT95" i="7" s="1"/>
  <c r="BU21" i="5"/>
  <c r="BU25" i="5" s="1"/>
  <c r="BT27" i="5"/>
  <c r="BS55" i="5"/>
  <c r="BT49" i="5"/>
  <c r="BS62" i="5"/>
  <c r="BT56" i="5"/>
  <c r="BS27" i="3"/>
  <c r="BT21" i="3"/>
  <c r="BT25" i="3" s="1"/>
  <c r="BS69" i="7"/>
  <c r="BT63" i="7"/>
  <c r="BT67" i="7" s="1"/>
  <c r="BV63" i="5"/>
  <c r="BU69" i="5"/>
  <c r="BU14" i="3"/>
  <c r="BU18" i="3" s="1"/>
  <c r="BT20" i="3"/>
  <c r="BT27" i="7"/>
  <c r="BU21" i="7"/>
  <c r="BU237" i="7"/>
  <c r="BV231" i="7"/>
  <c r="BV235" i="7" s="1"/>
  <c r="BS244" i="7"/>
  <c r="BT238" i="7"/>
  <c r="BT242" i="7" s="1"/>
  <c r="BS237" i="5"/>
  <c r="BT231" i="5"/>
  <c r="BT235" i="5" s="1"/>
  <c r="BT161" i="7"/>
  <c r="BT165" i="7" s="1"/>
  <c r="BS167" i="7"/>
  <c r="BU175" i="5"/>
  <c r="BU179" i="5" s="1"/>
  <c r="BT181" i="5"/>
  <c r="BT217" i="5"/>
  <c r="BT221" i="5" s="1"/>
  <c r="BS223" i="5"/>
  <c r="BT210" i="7"/>
  <c r="BS216" i="7"/>
  <c r="BS244" i="5"/>
  <c r="BT238" i="5"/>
  <c r="BT242" i="5" s="1"/>
  <c r="BS104" i="5"/>
  <c r="BT98" i="5"/>
  <c r="BT102" i="5" s="1"/>
  <c r="BT216" i="5"/>
  <c r="BU210" i="5"/>
  <c r="BU214" i="5" s="1"/>
  <c r="BS258" i="5"/>
  <c r="BT252" i="5"/>
  <c r="BT256" i="5" s="1"/>
  <c r="BT168" i="7"/>
  <c r="BT172" i="7" s="1"/>
  <c r="BS174" i="7"/>
  <c r="BS41" i="5"/>
  <c r="BT35" i="5"/>
  <c r="BT39" i="5" s="1"/>
  <c r="BT28" i="3"/>
  <c r="BT32" i="3" s="1"/>
  <c r="BS34" i="3"/>
  <c r="BS251" i="5"/>
  <c r="BT245" i="5"/>
  <c r="BU42" i="10"/>
  <c r="BT48" i="10"/>
  <c r="BT90" i="5"/>
  <c r="BU84" i="5"/>
  <c r="BU88" i="5" s="1"/>
  <c r="BT217" i="7"/>
  <c r="BT221" i="7" s="1"/>
  <c r="BS223" i="7"/>
  <c r="BS230" i="7"/>
  <c r="BT224" i="7"/>
  <c r="BT228" i="7" s="1"/>
  <c r="BS55" i="3"/>
  <c r="BT49" i="3"/>
  <c r="BT53" i="3" s="1"/>
  <c r="BT14" i="7"/>
  <c r="BS20" i="7"/>
  <c r="BS260" i="7"/>
  <c r="BS266" i="7" s="1"/>
  <c r="BS272" i="7"/>
  <c r="BS281" i="7"/>
  <c r="BU161" i="5"/>
  <c r="BT167" i="5"/>
  <c r="BU126" i="5"/>
  <c r="BU130" i="5" s="1"/>
  <c r="BT132" i="5"/>
  <c r="BS153" i="7"/>
  <c r="BT147" i="7"/>
  <c r="BT151" i="7" s="1"/>
  <c r="BT195" i="7"/>
  <c r="BU189" i="7"/>
  <c r="BU42" i="5"/>
  <c r="BU46" i="5" s="1"/>
  <c r="BT48" i="5"/>
  <c r="BS111" i="5"/>
  <c r="BT105" i="5"/>
  <c r="BT109" i="5" s="1"/>
  <c r="BV175" i="7"/>
  <c r="BV179" i="7" s="1"/>
  <c r="BU181" i="7"/>
  <c r="BT196" i="7"/>
  <c r="BT200" i="7" s="1"/>
  <c r="BS202" i="7"/>
  <c r="BS132" i="7"/>
  <c r="BT126" i="7"/>
  <c r="BT130" i="7" s="1"/>
  <c r="BU119" i="7"/>
  <c r="BU123" i="7" s="1"/>
  <c r="BT125" i="7"/>
  <c r="BT112" i="7"/>
  <c r="BT116" i="7" s="1"/>
  <c r="BS118" i="7"/>
  <c r="BV230" i="5"/>
  <c r="BW224" i="5"/>
  <c r="BU140" i="5"/>
  <c r="BU144" i="5" s="1"/>
  <c r="BT146" i="5"/>
  <c r="BT195" i="5"/>
  <c r="BU189" i="5"/>
  <c r="BU35" i="7"/>
  <c r="BU39" i="7" s="1"/>
  <c r="BT41" i="7"/>
  <c r="BS85" i="3"/>
  <c r="BS139" i="7"/>
  <c r="BT133" i="7"/>
  <c r="BT137" i="7" s="1"/>
  <c r="BS160" i="7"/>
  <c r="BT154" i="7"/>
  <c r="BT158" i="7" s="1"/>
  <c r="BT119" i="5"/>
  <c r="BT123" i="5" s="1"/>
  <c r="BS125" i="5"/>
  <c r="BU21" i="10"/>
  <c r="BT27" i="10"/>
  <c r="BT62" i="3"/>
  <c r="BU56" i="3"/>
  <c r="BT83" i="5"/>
  <c r="BU77" i="5"/>
  <c r="BU81" i="5" s="1"/>
  <c r="BS64" i="3"/>
  <c r="BS70" i="3" s="1"/>
  <c r="BU49" i="7"/>
  <c r="BU53" i="7" s="1"/>
  <c r="BT55" i="7"/>
  <c r="BT202" i="5"/>
  <c r="BU196" i="5"/>
  <c r="BU200" i="5" s="1"/>
  <c r="BS20" i="5"/>
  <c r="BT14" i="5"/>
  <c r="BS281" i="5"/>
  <c r="BS260" i="5"/>
  <c r="BS266" i="5" s="1"/>
  <c r="BS272" i="5"/>
  <c r="BS146" i="7"/>
  <c r="BT140" i="7"/>
  <c r="BT144" i="7" s="1"/>
  <c r="BV76" i="5"/>
  <c r="BW70" i="5"/>
  <c r="BU133" i="5"/>
  <c r="BU137" i="5" s="1"/>
  <c r="BT139" i="5"/>
  <c r="BT209" i="5"/>
  <c r="BU203" i="5"/>
  <c r="BV28" i="7"/>
  <c r="BV32" i="7" s="1"/>
  <c r="BU34" i="7"/>
  <c r="BS90" i="7"/>
  <c r="BT84" i="7"/>
  <c r="BT88" i="7" s="1"/>
  <c r="BS188" i="7"/>
  <c r="BT182" i="7"/>
  <c r="BT186" i="7" s="1"/>
  <c r="BT188" i="5"/>
  <c r="BU182" i="5"/>
  <c r="BT105" i="7"/>
  <c r="BT109" i="7" s="1"/>
  <c r="BS111" i="7"/>
  <c r="BS97" i="5"/>
  <c r="BT91" i="5"/>
  <c r="BT95" i="5" s="1"/>
  <c r="BU153" i="5"/>
  <c r="BV147" i="5"/>
  <c r="BV151" i="5" s="1"/>
  <c r="BU42" i="7"/>
  <c r="BU46" i="7" s="1"/>
  <c r="BT48" i="7"/>
  <c r="BS76" i="3"/>
  <c r="BU49" i="10"/>
  <c r="BT55" i="10"/>
  <c r="BT203" i="7"/>
  <c r="BS209" i="7"/>
  <c r="BU174" i="5"/>
  <c r="BV168" i="5"/>
  <c r="BV172" i="5" s="1"/>
  <c r="BT42" i="3"/>
  <c r="BT46" i="3" s="1"/>
  <c r="BS48" i="3"/>
  <c r="BU77" i="7"/>
  <c r="BU81" i="7" s="1"/>
  <c r="BT83" i="7"/>
  <c r="BS251" i="7"/>
  <c r="BT245" i="7"/>
  <c r="BT252" i="7"/>
  <c r="BS258" i="7"/>
  <c r="BS118" i="5"/>
  <c r="BT112" i="5"/>
  <c r="BT116" i="5" s="1"/>
  <c r="BR62" i="10" l="1"/>
  <c r="BS56" i="10"/>
  <c r="BR64" i="10"/>
  <c r="BR85" i="10"/>
  <c r="BR76" i="10"/>
  <c r="BU56" i="7"/>
  <c r="BU60" i="7" s="1"/>
  <c r="BT62" i="7"/>
  <c r="BU154" i="5"/>
  <c r="BU158" i="5" s="1"/>
  <c r="BT160" i="5"/>
  <c r="BW28" i="10"/>
  <c r="BV34" i="10"/>
  <c r="BU14" i="10"/>
  <c r="BT20" i="10"/>
  <c r="BT41" i="10"/>
  <c r="BU35" i="10"/>
  <c r="BU27" i="5"/>
  <c r="BV21" i="5"/>
  <c r="BV25" i="5" s="1"/>
  <c r="BT97" i="7"/>
  <c r="BU91" i="7"/>
  <c r="BU95" i="7" s="1"/>
  <c r="BT76" i="3"/>
  <c r="BW63" i="5"/>
  <c r="BV69" i="5"/>
  <c r="BU63" i="7"/>
  <c r="BU67" i="7" s="1"/>
  <c r="BT69" i="7"/>
  <c r="BU35" i="3"/>
  <c r="BU39" i="3" s="1"/>
  <c r="BT41" i="3"/>
  <c r="BT27" i="3"/>
  <c r="BU21" i="3"/>
  <c r="BU25" i="3" s="1"/>
  <c r="BU28" i="5"/>
  <c r="BU32" i="5" s="1"/>
  <c r="BT34" i="5"/>
  <c r="BT62" i="5"/>
  <c r="BU56" i="5"/>
  <c r="BU70" i="7"/>
  <c r="BU74" i="7" s="1"/>
  <c r="BT76" i="7"/>
  <c r="BU49" i="5"/>
  <c r="BT55" i="5"/>
  <c r="BU98" i="7"/>
  <c r="BU102" i="7" s="1"/>
  <c r="BT104" i="7"/>
  <c r="BX224" i="5"/>
  <c r="BW230" i="5"/>
  <c r="BU252" i="7"/>
  <c r="BT258" i="7"/>
  <c r="BU42" i="3"/>
  <c r="BU46" i="3" s="1"/>
  <c r="BT48" i="3"/>
  <c r="BT97" i="5"/>
  <c r="BU91" i="5"/>
  <c r="BU95" i="5" s="1"/>
  <c r="BT146" i="7"/>
  <c r="BU140" i="7"/>
  <c r="BU144" i="7" s="1"/>
  <c r="BV77" i="5"/>
  <c r="BV81" i="5" s="1"/>
  <c r="BU83" i="5"/>
  <c r="BU195" i="5"/>
  <c r="BV189" i="5"/>
  <c r="BV189" i="7"/>
  <c r="BU195" i="7"/>
  <c r="BU14" i="7"/>
  <c r="BT20" i="7"/>
  <c r="BT272" i="7"/>
  <c r="BT260" i="7"/>
  <c r="BT266" i="7" s="1"/>
  <c r="BT281" i="7"/>
  <c r="BW28" i="7"/>
  <c r="BW32" i="7" s="1"/>
  <c r="BV34" i="7"/>
  <c r="BT202" i="7"/>
  <c r="BU196" i="7"/>
  <c r="BU200" i="7" s="1"/>
  <c r="BU238" i="5"/>
  <c r="BU242" i="5" s="1"/>
  <c r="BT244" i="5"/>
  <c r="BU238" i="7"/>
  <c r="BU242" i="7" s="1"/>
  <c r="BT244" i="7"/>
  <c r="BU168" i="7"/>
  <c r="BU172" i="7" s="1"/>
  <c r="BT174" i="7"/>
  <c r="BU133" i="7"/>
  <c r="BU137" i="7" s="1"/>
  <c r="BT139" i="7"/>
  <c r="BV140" i="5"/>
  <c r="BV144" i="5" s="1"/>
  <c r="BU146" i="5"/>
  <c r="BW175" i="7"/>
  <c r="BW179" i="7" s="1"/>
  <c r="BV181" i="7"/>
  <c r="BT55" i="3"/>
  <c r="BU49" i="3"/>
  <c r="BU53" i="3" s="1"/>
  <c r="BU252" i="5"/>
  <c r="BU256" i="5" s="1"/>
  <c r="BT258" i="5"/>
  <c r="BV237" i="7"/>
  <c r="BW231" i="7"/>
  <c r="BW235" i="7" s="1"/>
  <c r="BW168" i="5"/>
  <c r="BW172" i="5" s="1"/>
  <c r="BV174" i="5"/>
  <c r="BV42" i="10"/>
  <c r="BU48" i="10"/>
  <c r="BT216" i="7"/>
  <c r="BU210" i="7"/>
  <c r="BU188" i="5"/>
  <c r="BV182" i="5"/>
  <c r="BV126" i="5"/>
  <c r="BV130" i="5" s="1"/>
  <c r="BU132" i="5"/>
  <c r="BT230" i="7"/>
  <c r="BU224" i="7"/>
  <c r="BU228" i="7" s="1"/>
  <c r="BU245" i="5"/>
  <c r="BT251" i="5"/>
  <c r="BV21" i="7"/>
  <c r="BU27" i="7"/>
  <c r="BT153" i="7"/>
  <c r="BU147" i="7"/>
  <c r="BU151" i="7" s="1"/>
  <c r="BT111" i="7"/>
  <c r="BU105" i="7"/>
  <c r="BU109" i="7" s="1"/>
  <c r="BT209" i="7"/>
  <c r="BU203" i="7"/>
  <c r="BT188" i="7"/>
  <c r="BU182" i="7"/>
  <c r="BU186" i="7" s="1"/>
  <c r="BU209" i="5"/>
  <c r="BV203" i="5"/>
  <c r="BT111" i="5"/>
  <c r="BU105" i="5"/>
  <c r="BU109" i="5" s="1"/>
  <c r="BT223" i="5"/>
  <c r="BU217" i="5"/>
  <c r="BU221" i="5" s="1"/>
  <c r="BU62" i="3"/>
  <c r="BV56" i="3"/>
  <c r="BU202" i="5"/>
  <c r="BV196" i="5"/>
  <c r="BV200" i="5" s="1"/>
  <c r="BU112" i="7"/>
  <c r="BU116" i="7" s="1"/>
  <c r="BT118" i="7"/>
  <c r="BU167" i="5"/>
  <c r="BV161" i="5"/>
  <c r="BT85" i="3"/>
  <c r="BV49" i="10"/>
  <c r="BU55" i="10"/>
  <c r="BU245" i="7"/>
  <c r="BT251" i="7"/>
  <c r="BV21" i="10"/>
  <c r="BU27" i="10"/>
  <c r="BU217" i="7"/>
  <c r="BU221" i="7" s="1"/>
  <c r="BT223" i="7"/>
  <c r="BU181" i="5"/>
  <c r="BV175" i="5"/>
  <c r="BV179" i="5" s="1"/>
  <c r="BT64" i="3"/>
  <c r="BT70" i="3" s="1"/>
  <c r="BV35" i="7"/>
  <c r="BV39" i="7" s="1"/>
  <c r="BU41" i="7"/>
  <c r="BV119" i="7"/>
  <c r="BV123" i="7" s="1"/>
  <c r="BU125" i="7"/>
  <c r="BU48" i="5"/>
  <c r="BV42" i="5"/>
  <c r="BV46" i="5" s="1"/>
  <c r="BV84" i="5"/>
  <c r="BV88" i="5" s="1"/>
  <c r="BU90" i="5"/>
  <c r="BU216" i="5"/>
  <c r="BV210" i="5"/>
  <c r="BV214" i="5" s="1"/>
  <c r="BT20" i="5"/>
  <c r="BU14" i="5"/>
  <c r="BT281" i="5"/>
  <c r="BT260" i="5"/>
  <c r="BT266" i="5" s="1"/>
  <c r="BT272" i="5"/>
  <c r="BT118" i="5"/>
  <c r="BU112" i="5"/>
  <c r="BU116" i="5" s="1"/>
  <c r="BV42" i="7"/>
  <c r="BV46" i="7" s="1"/>
  <c r="BU48" i="7"/>
  <c r="BV133" i="5"/>
  <c r="BV137" i="5" s="1"/>
  <c r="BU139" i="5"/>
  <c r="BV77" i="7"/>
  <c r="BV81" i="7" s="1"/>
  <c r="BU83" i="7"/>
  <c r="BW147" i="5"/>
  <c r="BW151" i="5" s="1"/>
  <c r="BV153" i="5"/>
  <c r="BT90" i="7"/>
  <c r="BU84" i="7"/>
  <c r="BU88" i="7" s="1"/>
  <c r="BX70" i="5"/>
  <c r="BW76" i="5"/>
  <c r="BV49" i="7"/>
  <c r="BV53" i="7" s="1"/>
  <c r="BU55" i="7"/>
  <c r="BU119" i="5"/>
  <c r="BU123" i="5" s="1"/>
  <c r="BT125" i="5"/>
  <c r="BU126" i="7"/>
  <c r="BU130" i="7" s="1"/>
  <c r="BT132" i="7"/>
  <c r="BU28" i="3"/>
  <c r="BU32" i="3" s="1"/>
  <c r="BT34" i="3"/>
  <c r="BU161" i="7"/>
  <c r="BU165" i="7" s="1"/>
  <c r="BT167" i="7"/>
  <c r="BU154" i="7"/>
  <c r="BU158" i="7" s="1"/>
  <c r="BT160" i="7"/>
  <c r="BT41" i="5"/>
  <c r="BU35" i="5"/>
  <c r="BU39" i="5" s="1"/>
  <c r="BT104" i="5"/>
  <c r="BU98" i="5"/>
  <c r="BU102" i="5" s="1"/>
  <c r="BT237" i="5"/>
  <c r="BU231" i="5"/>
  <c r="BU235" i="5" s="1"/>
  <c r="BV14" i="3"/>
  <c r="BV18" i="3" s="1"/>
  <c r="BU20" i="3"/>
  <c r="BS60" i="10" l="1"/>
  <c r="BT56" i="10"/>
  <c r="BS62" i="10"/>
  <c r="BS85" i="10"/>
  <c r="BS76" i="10"/>
  <c r="BS64" i="10"/>
  <c r="BS70" i="10" s="1"/>
  <c r="BV56" i="7"/>
  <c r="BV60" i="7" s="1"/>
  <c r="BU62" i="7"/>
  <c r="BV154" i="5"/>
  <c r="BV158" i="5" s="1"/>
  <c r="BU160" i="5"/>
  <c r="BU76" i="3"/>
  <c r="BX28" i="10"/>
  <c r="BW34" i="10"/>
  <c r="BU85" i="3"/>
  <c r="BV35" i="10"/>
  <c r="BU41" i="10"/>
  <c r="BV14" i="10"/>
  <c r="BU20" i="10"/>
  <c r="BV98" i="7"/>
  <c r="BV102" i="7" s="1"/>
  <c r="BU104" i="7"/>
  <c r="BV35" i="3"/>
  <c r="BV39" i="3" s="1"/>
  <c r="BU41" i="3"/>
  <c r="BU55" i="5"/>
  <c r="BV49" i="5"/>
  <c r="BV63" i="7"/>
  <c r="BV67" i="7" s="1"/>
  <c r="BU69" i="7"/>
  <c r="BU76" i="7"/>
  <c r="BV70" i="7"/>
  <c r="BV74" i="7" s="1"/>
  <c r="BX63" i="5"/>
  <c r="BW69" i="5"/>
  <c r="BV56" i="5"/>
  <c r="BU62" i="5"/>
  <c r="BU97" i="7"/>
  <c r="BV91" i="7"/>
  <c r="BV95" i="7" s="1"/>
  <c r="BU34" i="5"/>
  <c r="BV28" i="5"/>
  <c r="BV32" i="5" s="1"/>
  <c r="BW21" i="5"/>
  <c r="BW25" i="5" s="1"/>
  <c r="BV27" i="5"/>
  <c r="BU27" i="3"/>
  <c r="BV21" i="3"/>
  <c r="BV25" i="3" s="1"/>
  <c r="BV126" i="7"/>
  <c r="BV130" i="7" s="1"/>
  <c r="BU132" i="7"/>
  <c r="BU125" i="5"/>
  <c r="BV119" i="5"/>
  <c r="BV123" i="5" s="1"/>
  <c r="BW133" i="5"/>
  <c r="BW137" i="5" s="1"/>
  <c r="BV139" i="5"/>
  <c r="BU20" i="5"/>
  <c r="BV14" i="5"/>
  <c r="BU260" i="5"/>
  <c r="BU266" i="5" s="1"/>
  <c r="BU281" i="5"/>
  <c r="BU272" i="5"/>
  <c r="BU209" i="7"/>
  <c r="BV203" i="7"/>
  <c r="BU237" i="5"/>
  <c r="BV231" i="5"/>
  <c r="BV235" i="5" s="1"/>
  <c r="BV181" i="5"/>
  <c r="BW175" i="5"/>
  <c r="BW179" i="5" s="1"/>
  <c r="BU251" i="7"/>
  <c r="BV245" i="7"/>
  <c r="BV202" i="5"/>
  <c r="BW196" i="5"/>
  <c r="BW200" i="5" s="1"/>
  <c r="BV209" i="5"/>
  <c r="BW203" i="5"/>
  <c r="BX168" i="5"/>
  <c r="BX172" i="5" s="1"/>
  <c r="BW174" i="5"/>
  <c r="BV133" i="7"/>
  <c r="BV137" i="7" s="1"/>
  <c r="BU139" i="7"/>
  <c r="BX28" i="7"/>
  <c r="BX32" i="7" s="1"/>
  <c r="BW34" i="7"/>
  <c r="BV140" i="7"/>
  <c r="BV144" i="7" s="1"/>
  <c r="BU146" i="7"/>
  <c r="BX76" i="5"/>
  <c r="BY70" i="5"/>
  <c r="BW237" i="7"/>
  <c r="BX231" i="7"/>
  <c r="BX235" i="7" s="1"/>
  <c r="BU104" i="5"/>
  <c r="BV98" i="5"/>
  <c r="BV102" i="5" s="1"/>
  <c r="BW49" i="10"/>
  <c r="BV55" i="10"/>
  <c r="BV62" i="3"/>
  <c r="BW56" i="3"/>
  <c r="BV182" i="7"/>
  <c r="BV186" i="7" s="1"/>
  <c r="BU188" i="7"/>
  <c r="BU174" i="7"/>
  <c r="BV168" i="7"/>
  <c r="BV172" i="7" s="1"/>
  <c r="BU97" i="5"/>
  <c r="BV91" i="5"/>
  <c r="BV95" i="5" s="1"/>
  <c r="BU153" i="7"/>
  <c r="BV147" i="7"/>
  <c r="BV151" i="7" s="1"/>
  <c r="BV84" i="7"/>
  <c r="BV88" i="7" s="1"/>
  <c r="BU90" i="7"/>
  <c r="BV112" i="5"/>
  <c r="BV116" i="5" s="1"/>
  <c r="BU118" i="5"/>
  <c r="BV161" i="7"/>
  <c r="BV165" i="7" s="1"/>
  <c r="BU167" i="7"/>
  <c r="BU41" i="5"/>
  <c r="BV35" i="5"/>
  <c r="BV39" i="5" s="1"/>
  <c r="BV90" i="5"/>
  <c r="BW84" i="5"/>
  <c r="BW88" i="5" s="1"/>
  <c r="BU223" i="5"/>
  <c r="BV217" i="5"/>
  <c r="BV221" i="5" s="1"/>
  <c r="BW21" i="7"/>
  <c r="BV27" i="7"/>
  <c r="BU258" i="5"/>
  <c r="BV252" i="5"/>
  <c r="BV256" i="5" s="1"/>
  <c r="BU244" i="7"/>
  <c r="BV238" i="7"/>
  <c r="BV242" i="7" s="1"/>
  <c r="BU160" i="7"/>
  <c r="BV154" i="7"/>
  <c r="BV158" i="7" s="1"/>
  <c r="BV188" i="5"/>
  <c r="BW182" i="5"/>
  <c r="BV28" i="3"/>
  <c r="BV32" i="3" s="1"/>
  <c r="BU34" i="3"/>
  <c r="BW153" i="5"/>
  <c r="BX147" i="5"/>
  <c r="BX151" i="5" s="1"/>
  <c r="BW42" i="5"/>
  <c r="BW46" i="5" s="1"/>
  <c r="BV48" i="5"/>
  <c r="BV217" i="7"/>
  <c r="BV221" i="7" s="1"/>
  <c r="BU223" i="7"/>
  <c r="BU55" i="3"/>
  <c r="BV49" i="3"/>
  <c r="BV53" i="3" s="1"/>
  <c r="BV14" i="7"/>
  <c r="BU20" i="7"/>
  <c r="BU272" i="7"/>
  <c r="BU260" i="7"/>
  <c r="BU266" i="7" s="1"/>
  <c r="BU281" i="7"/>
  <c r="BV42" i="3"/>
  <c r="BV46" i="3" s="1"/>
  <c r="BU48" i="3"/>
  <c r="BV216" i="5"/>
  <c r="BW210" i="5"/>
  <c r="BW214" i="5" s="1"/>
  <c r="BV245" i="5"/>
  <c r="BU251" i="5"/>
  <c r="BV238" i="5"/>
  <c r="BV242" i="5" s="1"/>
  <c r="BU244" i="5"/>
  <c r="BU230" i="7"/>
  <c r="BV224" i="7"/>
  <c r="BV228" i="7" s="1"/>
  <c r="BU216" i="7"/>
  <c r="BV210" i="7"/>
  <c r="BV196" i="7"/>
  <c r="BV200" i="7" s="1"/>
  <c r="BU202" i="7"/>
  <c r="BW189" i="7"/>
  <c r="BV195" i="7"/>
  <c r="BU258" i="7"/>
  <c r="BV252" i="7"/>
  <c r="BW77" i="7"/>
  <c r="BW81" i="7" s="1"/>
  <c r="BV83" i="7"/>
  <c r="BU64" i="3"/>
  <c r="BU70" i="3" s="1"/>
  <c r="BV125" i="7"/>
  <c r="BW119" i="7"/>
  <c r="BW123" i="7" s="1"/>
  <c r="BV167" i="5"/>
  <c r="BW161" i="5"/>
  <c r="BV105" i="5"/>
  <c r="BV109" i="5" s="1"/>
  <c r="BU111" i="5"/>
  <c r="BX175" i="7"/>
  <c r="BX179" i="7" s="1"/>
  <c r="BW181" i="7"/>
  <c r="BV195" i="5"/>
  <c r="BW189" i="5"/>
  <c r="BY224" i="5"/>
  <c r="BX230" i="5"/>
  <c r="BW126" i="5"/>
  <c r="BW130" i="5" s="1"/>
  <c r="BV132" i="5"/>
  <c r="BW42" i="10"/>
  <c r="BV48" i="10"/>
  <c r="BW140" i="5"/>
  <c r="BW144" i="5" s="1"/>
  <c r="BV146" i="5"/>
  <c r="BW35" i="7"/>
  <c r="BW39" i="7" s="1"/>
  <c r="BV41" i="7"/>
  <c r="BV27" i="10"/>
  <c r="BW21" i="10"/>
  <c r="BW14" i="3"/>
  <c r="BW18" i="3" s="1"/>
  <c r="BV20" i="3"/>
  <c r="BW49" i="7"/>
  <c r="BW53" i="7" s="1"/>
  <c r="BV55" i="7"/>
  <c r="BW42" i="7"/>
  <c r="BW46" i="7" s="1"/>
  <c r="BV48" i="7"/>
  <c r="BV112" i="7"/>
  <c r="BV116" i="7" s="1"/>
  <c r="BU118" i="7"/>
  <c r="BV105" i="7"/>
  <c r="BV109" i="7" s="1"/>
  <c r="BU111" i="7"/>
  <c r="BW77" i="5"/>
  <c r="BW81" i="5" s="1"/>
  <c r="BV83" i="5"/>
  <c r="BT60" i="10" l="1"/>
  <c r="BU56" i="10"/>
  <c r="BT62" i="10"/>
  <c r="BT76" i="10"/>
  <c r="BT64" i="10"/>
  <c r="BT70" i="10" s="1"/>
  <c r="BT85" i="10"/>
  <c r="BV62" i="7"/>
  <c r="BW56" i="7"/>
  <c r="BW60" i="7" s="1"/>
  <c r="BV160" i="5"/>
  <c r="BW154" i="5"/>
  <c r="BW158" i="5" s="1"/>
  <c r="BX34" i="10"/>
  <c r="BY28" i="10"/>
  <c r="BV64" i="3"/>
  <c r="BV70" i="3" s="1"/>
  <c r="BW14" i="10"/>
  <c r="BV20" i="10"/>
  <c r="BW35" i="10"/>
  <c r="BV41" i="10"/>
  <c r="BX69" i="5"/>
  <c r="BY63" i="5"/>
  <c r="BV27" i="3"/>
  <c r="BW21" i="3"/>
  <c r="BW25" i="3" s="1"/>
  <c r="BW70" i="7"/>
  <c r="BW74" i="7" s="1"/>
  <c r="BV76" i="7"/>
  <c r="BV76" i="3"/>
  <c r="BX21" i="5"/>
  <c r="BX25" i="5" s="1"/>
  <c r="BW27" i="5"/>
  <c r="BW63" i="7"/>
  <c r="BW67" i="7" s="1"/>
  <c r="BV69" i="7"/>
  <c r="BV34" i="5"/>
  <c r="BW28" i="5"/>
  <c r="BW32" i="5" s="1"/>
  <c r="BW49" i="5"/>
  <c r="BV55" i="5"/>
  <c r="BV97" i="7"/>
  <c r="BW91" i="7"/>
  <c r="BW95" i="7" s="1"/>
  <c r="BW35" i="3"/>
  <c r="BW39" i="3" s="1"/>
  <c r="BV41" i="3"/>
  <c r="BW56" i="5"/>
  <c r="BV62" i="5"/>
  <c r="BW98" i="7"/>
  <c r="BW102" i="7" s="1"/>
  <c r="BV104" i="7"/>
  <c r="BV111" i="7"/>
  <c r="BW105" i="7"/>
  <c r="BW109" i="7" s="1"/>
  <c r="BX21" i="10"/>
  <c r="BW27" i="10"/>
  <c r="BV85" i="3"/>
  <c r="BW195" i="5"/>
  <c r="BX189" i="5"/>
  <c r="BW14" i="7"/>
  <c r="BV20" i="7"/>
  <c r="BV260" i="7"/>
  <c r="BV266" i="7" s="1"/>
  <c r="BV272" i="7"/>
  <c r="BV281" i="7"/>
  <c r="BW28" i="3"/>
  <c r="BW32" i="3" s="1"/>
  <c r="BV34" i="3"/>
  <c r="BW27" i="7"/>
  <c r="BX21" i="7"/>
  <c r="BV118" i="5"/>
  <c r="BW112" i="5"/>
  <c r="BW116" i="5" s="1"/>
  <c r="BW84" i="7"/>
  <c r="BW88" i="7" s="1"/>
  <c r="BV90" i="7"/>
  <c r="BW182" i="7"/>
  <c r="BW186" i="7" s="1"/>
  <c r="BV188" i="7"/>
  <c r="BW140" i="7"/>
  <c r="BW144" i="7" s="1"/>
  <c r="BV146" i="7"/>
  <c r="BV251" i="5"/>
  <c r="BW245" i="5"/>
  <c r="BY175" i="7"/>
  <c r="BY179" i="7" s="1"/>
  <c r="BX181" i="7"/>
  <c r="BW196" i="7"/>
  <c r="BW200" i="7" s="1"/>
  <c r="BV202" i="7"/>
  <c r="BW154" i="7"/>
  <c r="BW158" i="7" s="1"/>
  <c r="BV160" i="7"/>
  <c r="BW147" i="7"/>
  <c r="BW151" i="7" s="1"/>
  <c r="BV153" i="7"/>
  <c r="BX56" i="3"/>
  <c r="BW62" i="3"/>
  <c r="BV251" i="7"/>
  <c r="BW245" i="7"/>
  <c r="BV223" i="5"/>
  <c r="BW217" i="5"/>
  <c r="BW221" i="5" s="1"/>
  <c r="BW210" i="7"/>
  <c r="BV216" i="7"/>
  <c r="BW216" i="5"/>
  <c r="BX210" i="5"/>
  <c r="BX214" i="5" s="1"/>
  <c r="BW217" i="7"/>
  <c r="BW221" i="7" s="1"/>
  <c r="BV223" i="7"/>
  <c r="BY28" i="7"/>
  <c r="BY32" i="7" s="1"/>
  <c r="BX34" i="7"/>
  <c r="BV20" i="5"/>
  <c r="BW14" i="5"/>
  <c r="BV281" i="5"/>
  <c r="BV260" i="5"/>
  <c r="BV266" i="5" s="1"/>
  <c r="BV272" i="5"/>
  <c r="BX119" i="7"/>
  <c r="BX123" i="7" s="1"/>
  <c r="BW125" i="7"/>
  <c r="BV55" i="3"/>
  <c r="BW49" i="3"/>
  <c r="BW53" i="3" s="1"/>
  <c r="BW202" i="5"/>
  <c r="BX196" i="5"/>
  <c r="BX200" i="5" s="1"/>
  <c r="BW112" i="7"/>
  <c r="BW116" i="7" s="1"/>
  <c r="BV118" i="7"/>
  <c r="BX140" i="5"/>
  <c r="BX144" i="5" s="1"/>
  <c r="BW146" i="5"/>
  <c r="BV244" i="7"/>
  <c r="BW238" i="7"/>
  <c r="BW242" i="7" s="1"/>
  <c r="BW90" i="5"/>
  <c r="BX84" i="5"/>
  <c r="BX88" i="5" s="1"/>
  <c r="BW181" i="5"/>
  <c r="BX175" i="5"/>
  <c r="BX179" i="5" s="1"/>
  <c r="BW188" i="5"/>
  <c r="BX182" i="5"/>
  <c r="BX14" i="3"/>
  <c r="BX18" i="3" s="1"/>
  <c r="BW20" i="3"/>
  <c r="BV230" i="7"/>
  <c r="BW224" i="7"/>
  <c r="BW228" i="7" s="1"/>
  <c r="BX42" i="5"/>
  <c r="BX46" i="5" s="1"/>
  <c r="BW48" i="5"/>
  <c r="BX49" i="10"/>
  <c r="BW55" i="10"/>
  <c r="BW133" i="7"/>
  <c r="BW137" i="7" s="1"/>
  <c r="BV139" i="7"/>
  <c r="BX189" i="7"/>
  <c r="BW195" i="7"/>
  <c r="BX42" i="7"/>
  <c r="BX46" i="7" s="1"/>
  <c r="BW48" i="7"/>
  <c r="BX42" i="10"/>
  <c r="BW48" i="10"/>
  <c r="BW42" i="3"/>
  <c r="BW46" i="3" s="1"/>
  <c r="BV48" i="3"/>
  <c r="BV258" i="5"/>
  <c r="BW252" i="5"/>
  <c r="BW256" i="5" s="1"/>
  <c r="BW35" i="5"/>
  <c r="BW39" i="5" s="1"/>
  <c r="BV41" i="5"/>
  <c r="BV104" i="5"/>
  <c r="BW98" i="5"/>
  <c r="BW102" i="5" s="1"/>
  <c r="BX133" i="5"/>
  <c r="BX137" i="5" s="1"/>
  <c r="BW139" i="5"/>
  <c r="BV125" i="5"/>
  <c r="BW119" i="5"/>
  <c r="BW123" i="5" s="1"/>
  <c r="BX174" i="5"/>
  <c r="BY168" i="5"/>
  <c r="BY172" i="5" s="1"/>
  <c r="BX126" i="5"/>
  <c r="BX130" i="5" s="1"/>
  <c r="BW132" i="5"/>
  <c r="BX77" i="7"/>
  <c r="BX81" i="7" s="1"/>
  <c r="BW83" i="7"/>
  <c r="BV244" i="5"/>
  <c r="BW238" i="5"/>
  <c r="BW242" i="5" s="1"/>
  <c r="BX153" i="5"/>
  <c r="BY147" i="5"/>
  <c r="BY151" i="5" s="1"/>
  <c r="BV97" i="5"/>
  <c r="BW91" i="5"/>
  <c r="BW95" i="5" s="1"/>
  <c r="BY231" i="7"/>
  <c r="BY235" i="7" s="1"/>
  <c r="BX237" i="7"/>
  <c r="BV237" i="5"/>
  <c r="BW231" i="5"/>
  <c r="BW235" i="5" s="1"/>
  <c r="BV111" i="5"/>
  <c r="BW105" i="5"/>
  <c r="BW109" i="5" s="1"/>
  <c r="BV167" i="7"/>
  <c r="BW161" i="7"/>
  <c r="BW165" i="7" s="1"/>
  <c r="BX49" i="7"/>
  <c r="BX53" i="7" s="1"/>
  <c r="BW55" i="7"/>
  <c r="BV258" i="7"/>
  <c r="BW252" i="7"/>
  <c r="BX77" i="5"/>
  <c r="BX81" i="5" s="1"/>
  <c r="BW83" i="5"/>
  <c r="BX35" i="7"/>
  <c r="BX39" i="7" s="1"/>
  <c r="BW41" i="7"/>
  <c r="BZ224" i="5"/>
  <c r="BY230" i="5"/>
  <c r="BW167" i="5"/>
  <c r="BX161" i="5"/>
  <c r="BV174" i="7"/>
  <c r="BW168" i="7"/>
  <c r="BW172" i="7" s="1"/>
  <c r="BY76" i="5"/>
  <c r="BZ70" i="5"/>
  <c r="BW209" i="5"/>
  <c r="BX203" i="5"/>
  <c r="BW203" i="7"/>
  <c r="BV209" i="7"/>
  <c r="BW126" i="7"/>
  <c r="BW130" i="7" s="1"/>
  <c r="BV132" i="7"/>
  <c r="BU60" i="10" l="1"/>
  <c r="BV56" i="10"/>
  <c r="BU62" i="10"/>
  <c r="BU64" i="10"/>
  <c r="BU70" i="10" s="1"/>
  <c r="BU85" i="10"/>
  <c r="BU76" i="10"/>
  <c r="BX56" i="7"/>
  <c r="BX60" i="7" s="1"/>
  <c r="BW62" i="7"/>
  <c r="BW160" i="5"/>
  <c r="BX154" i="5"/>
  <c r="BX158" i="5" s="1"/>
  <c r="BZ28" i="10"/>
  <c r="BY34" i="10"/>
  <c r="BX35" i="10"/>
  <c r="BW41" i="10"/>
  <c r="BW20" i="10"/>
  <c r="BX14" i="10"/>
  <c r="BX98" i="7"/>
  <c r="BX102" i="7" s="1"/>
  <c r="BW104" i="7"/>
  <c r="BX63" i="7"/>
  <c r="BX67" i="7" s="1"/>
  <c r="BW69" i="7"/>
  <c r="BW62" i="5"/>
  <c r="BX56" i="5"/>
  <c r="BY21" i="5"/>
  <c r="BY25" i="5" s="1"/>
  <c r="BX27" i="5"/>
  <c r="BX35" i="3"/>
  <c r="BX39" i="3" s="1"/>
  <c r="BW41" i="3"/>
  <c r="BX91" i="7"/>
  <c r="BX95" i="7" s="1"/>
  <c r="BW97" i="7"/>
  <c r="BX70" i="7"/>
  <c r="BX74" i="7" s="1"/>
  <c r="BW76" i="7"/>
  <c r="BX21" i="3"/>
  <c r="BX25" i="3" s="1"/>
  <c r="BW27" i="3"/>
  <c r="BW55" i="5"/>
  <c r="BX49" i="5"/>
  <c r="BZ63" i="5"/>
  <c r="BY69" i="5"/>
  <c r="BX28" i="5"/>
  <c r="BX32" i="5" s="1"/>
  <c r="BW34" i="5"/>
  <c r="BX42" i="3"/>
  <c r="BX46" i="3" s="1"/>
  <c r="BW48" i="3"/>
  <c r="BX209" i="5"/>
  <c r="BY203" i="5"/>
  <c r="BW97" i="5"/>
  <c r="BX91" i="5"/>
  <c r="BX95" i="5" s="1"/>
  <c r="BY174" i="5"/>
  <c r="BZ168" i="5"/>
  <c r="BZ172" i="5" s="1"/>
  <c r="BW64" i="3"/>
  <c r="BW70" i="3" s="1"/>
  <c r="BY119" i="7"/>
  <c r="BY123" i="7" s="1"/>
  <c r="BX125" i="7"/>
  <c r="BY210" i="5"/>
  <c r="BY214" i="5" s="1"/>
  <c r="BX216" i="5"/>
  <c r="BZ175" i="7"/>
  <c r="BZ179" i="7" s="1"/>
  <c r="BY181" i="7"/>
  <c r="BX182" i="7"/>
  <c r="BX186" i="7" s="1"/>
  <c r="BW188" i="7"/>
  <c r="BY56" i="3"/>
  <c r="BX62" i="3"/>
  <c r="BX84" i="7"/>
  <c r="BX88" i="7" s="1"/>
  <c r="BW90" i="7"/>
  <c r="BX195" i="5"/>
  <c r="BY189" i="5"/>
  <c r="BW76" i="3"/>
  <c r="BW85" i="3"/>
  <c r="BY49" i="10"/>
  <c r="BX55" i="10"/>
  <c r="BX210" i="7"/>
  <c r="BW216" i="7"/>
  <c r="BW118" i="5"/>
  <c r="BX112" i="5"/>
  <c r="BX116" i="5" s="1"/>
  <c r="BY14" i="3"/>
  <c r="BY18" i="3" s="1"/>
  <c r="BX20" i="3"/>
  <c r="BX146" i="5"/>
  <c r="BY140" i="5"/>
  <c r="BY144" i="5" s="1"/>
  <c r="BX14" i="5"/>
  <c r="BW20" i="5"/>
  <c r="BW272" i="5"/>
  <c r="BW281" i="5"/>
  <c r="BW260" i="5"/>
  <c r="BW266" i="5" s="1"/>
  <c r="BX147" i="7"/>
  <c r="BX151" i="7" s="1"/>
  <c r="BW153" i="7"/>
  <c r="BX27" i="7"/>
  <c r="BY21" i="7"/>
  <c r="BY35" i="7"/>
  <c r="BY39" i="7" s="1"/>
  <c r="BX41" i="7"/>
  <c r="BW139" i="7"/>
  <c r="BX133" i="7"/>
  <c r="BX137" i="7" s="1"/>
  <c r="BW20" i="7"/>
  <c r="BX14" i="7"/>
  <c r="BW272" i="7"/>
  <c r="BW260" i="7"/>
  <c r="BW266" i="7" s="1"/>
  <c r="BW281" i="7"/>
  <c r="BW167" i="7"/>
  <c r="BX161" i="7"/>
  <c r="BX165" i="7" s="1"/>
  <c r="BX168" i="7"/>
  <c r="BX172" i="7" s="1"/>
  <c r="BW174" i="7"/>
  <c r="BX188" i="5"/>
  <c r="BY182" i="5"/>
  <c r="BX154" i="7"/>
  <c r="BX158" i="7" s="1"/>
  <c r="BW160" i="7"/>
  <c r="BX35" i="5"/>
  <c r="BX39" i="5" s="1"/>
  <c r="BW41" i="5"/>
  <c r="BX181" i="5"/>
  <c r="BY175" i="5"/>
  <c r="BY179" i="5" s="1"/>
  <c r="BW258" i="5"/>
  <c r="BX252" i="5"/>
  <c r="BX256" i="5" s="1"/>
  <c r="BX202" i="5"/>
  <c r="BY196" i="5"/>
  <c r="BY200" i="5" s="1"/>
  <c r="BZ28" i="7"/>
  <c r="BZ32" i="7" s="1"/>
  <c r="BY34" i="7"/>
  <c r="BY161" i="5"/>
  <c r="BX167" i="5"/>
  <c r="BW237" i="5"/>
  <c r="BX231" i="5"/>
  <c r="BX235" i="5" s="1"/>
  <c r="BW230" i="7"/>
  <c r="BX224" i="7"/>
  <c r="BX228" i="7" s="1"/>
  <c r="BX28" i="3"/>
  <c r="BX32" i="3" s="1"/>
  <c r="BW34" i="3"/>
  <c r="BY153" i="5"/>
  <c r="BZ147" i="5"/>
  <c r="BZ151" i="5" s="1"/>
  <c r="BY49" i="7"/>
  <c r="BY53" i="7" s="1"/>
  <c r="BX55" i="7"/>
  <c r="BY126" i="5"/>
  <c r="BY130" i="5" s="1"/>
  <c r="BX132" i="5"/>
  <c r="BY133" i="5"/>
  <c r="BY137" i="5" s="1"/>
  <c r="BX139" i="5"/>
  <c r="BY42" i="7"/>
  <c r="BY46" i="7" s="1"/>
  <c r="BX48" i="7"/>
  <c r="BX90" i="5"/>
  <c r="BY84" i="5"/>
  <c r="BY88" i="5" s="1"/>
  <c r="BX49" i="3"/>
  <c r="BX53" i="3" s="1"/>
  <c r="BW55" i="3"/>
  <c r="BW223" i="5"/>
  <c r="BX217" i="5"/>
  <c r="BX221" i="5" s="1"/>
  <c r="BX27" i="10"/>
  <c r="BY21" i="10"/>
  <c r="CA70" i="5"/>
  <c r="BZ76" i="5"/>
  <c r="BX238" i="5"/>
  <c r="BX242" i="5" s="1"/>
  <c r="BW244" i="5"/>
  <c r="BX245" i="5"/>
  <c r="BW251" i="5"/>
  <c r="BW111" i="5"/>
  <c r="BX105" i="5"/>
  <c r="BX109" i="5" s="1"/>
  <c r="BX83" i="7"/>
  <c r="BY77" i="7"/>
  <c r="BY81" i="7" s="1"/>
  <c r="BY42" i="10"/>
  <c r="BX48" i="10"/>
  <c r="BW104" i="5"/>
  <c r="BX98" i="5"/>
  <c r="BX102" i="5" s="1"/>
  <c r="BX196" i="7"/>
  <c r="BX200" i="7" s="1"/>
  <c r="BW202" i="7"/>
  <c r="BW146" i="7"/>
  <c r="BX140" i="7"/>
  <c r="BX144" i="7" s="1"/>
  <c r="BX105" i="7"/>
  <c r="BX109" i="7" s="1"/>
  <c r="BW111" i="7"/>
  <c r="BW125" i="5"/>
  <c r="BX119" i="5"/>
  <c r="BX123" i="5" s="1"/>
  <c r="BY77" i="5"/>
  <c r="BY81" i="5" s="1"/>
  <c r="BX83" i="5"/>
  <c r="BW258" i="7"/>
  <c r="BX252" i="7"/>
  <c r="BX112" i="7"/>
  <c r="BX116" i="7" s="1"/>
  <c r="BW118" i="7"/>
  <c r="BY42" i="5"/>
  <c r="BY46" i="5" s="1"/>
  <c r="BX48" i="5"/>
  <c r="BX126" i="7"/>
  <c r="BX130" i="7" s="1"/>
  <c r="BW132" i="7"/>
  <c r="BW209" i="7"/>
  <c r="BX203" i="7"/>
  <c r="CA224" i="5"/>
  <c r="BZ230" i="5"/>
  <c r="BZ231" i="7"/>
  <c r="BZ235" i="7" s="1"/>
  <c r="BY237" i="7"/>
  <c r="BY189" i="7"/>
  <c r="BX195" i="7"/>
  <c r="BW244" i="7"/>
  <c r="BX238" i="7"/>
  <c r="BX242" i="7" s="1"/>
  <c r="BX217" i="7"/>
  <c r="BX221" i="7" s="1"/>
  <c r="BW223" i="7"/>
  <c r="BW251" i="7"/>
  <c r="BX245" i="7"/>
  <c r="BV60" i="10" l="1"/>
  <c r="BW56" i="10"/>
  <c r="BV62" i="10"/>
  <c r="BV85" i="10"/>
  <c r="BV64" i="10"/>
  <c r="BV70" i="10" s="1"/>
  <c r="BV76" i="10"/>
  <c r="BY56" i="7"/>
  <c r="BY60" i="7" s="1"/>
  <c r="BX62" i="7"/>
  <c r="BY154" i="5"/>
  <c r="BY158" i="5" s="1"/>
  <c r="BX160" i="5"/>
  <c r="CA28" i="10"/>
  <c r="BZ34" i="10"/>
  <c r="BX64" i="3"/>
  <c r="BX70" i="3" s="1"/>
  <c r="BY14" i="10"/>
  <c r="BX20" i="10"/>
  <c r="BY35" i="10"/>
  <c r="BX41" i="10"/>
  <c r="BX97" i="7"/>
  <c r="BY91" i="7"/>
  <c r="BY95" i="7" s="1"/>
  <c r="BX34" i="5"/>
  <c r="BY28" i="5"/>
  <c r="BY32" i="5" s="1"/>
  <c r="BY35" i="3"/>
  <c r="BY39" i="3" s="1"/>
  <c r="BX41" i="3"/>
  <c r="CA63" i="5"/>
  <c r="BZ69" i="5"/>
  <c r="BY27" i="5"/>
  <c r="BZ21" i="5"/>
  <c r="BZ25" i="5" s="1"/>
  <c r="BY49" i="5"/>
  <c r="BX55" i="5"/>
  <c r="BY56" i="5"/>
  <c r="BX62" i="5"/>
  <c r="BY21" i="3"/>
  <c r="BY25" i="3" s="1"/>
  <c r="BX27" i="3"/>
  <c r="BX69" i="7"/>
  <c r="BY63" i="7"/>
  <c r="BY67" i="7" s="1"/>
  <c r="BY70" i="7"/>
  <c r="BY74" i="7" s="1"/>
  <c r="BX76" i="7"/>
  <c r="BY98" i="7"/>
  <c r="BY102" i="7" s="1"/>
  <c r="BX104" i="7"/>
  <c r="CB70" i="5"/>
  <c r="CA76" i="5"/>
  <c r="BZ196" i="5"/>
  <c r="BZ200" i="5" s="1"/>
  <c r="BY202" i="5"/>
  <c r="BZ35" i="7"/>
  <c r="BZ39" i="7" s="1"/>
  <c r="BY41" i="7"/>
  <c r="BZ49" i="10"/>
  <c r="BY55" i="10"/>
  <c r="BZ56" i="3"/>
  <c r="BY62" i="3"/>
  <c r="BZ119" i="7"/>
  <c r="BZ123" i="7" s="1"/>
  <c r="BY125" i="7"/>
  <c r="BZ189" i="7"/>
  <c r="BY195" i="7"/>
  <c r="BY105" i="7"/>
  <c r="BY109" i="7" s="1"/>
  <c r="BX111" i="7"/>
  <c r="BX174" i="7"/>
  <c r="BY168" i="7"/>
  <c r="BY172" i="7" s="1"/>
  <c r="BZ21" i="7"/>
  <c r="BY27" i="7"/>
  <c r="BX76" i="3"/>
  <c r="BY48" i="5"/>
  <c r="BZ42" i="5"/>
  <c r="BZ46" i="5" s="1"/>
  <c r="BY140" i="7"/>
  <c r="BY144" i="7" s="1"/>
  <c r="BX146" i="7"/>
  <c r="BY105" i="5"/>
  <c r="BY109" i="5" s="1"/>
  <c r="BX111" i="5"/>
  <c r="BZ42" i="7"/>
  <c r="BZ46" i="7" s="1"/>
  <c r="BY48" i="7"/>
  <c r="BY252" i="5"/>
  <c r="BY256" i="5" s="1"/>
  <c r="BX258" i="5"/>
  <c r="BX167" i="7"/>
  <c r="BY161" i="7"/>
  <c r="BY165" i="7" s="1"/>
  <c r="BX85" i="3"/>
  <c r="CA168" i="5"/>
  <c r="CA172" i="5" s="1"/>
  <c r="BZ174" i="5"/>
  <c r="BY27" i="10"/>
  <c r="BZ21" i="10"/>
  <c r="CA147" i="5"/>
  <c r="CA151" i="5" s="1"/>
  <c r="BZ153" i="5"/>
  <c r="BZ84" i="5"/>
  <c r="BZ88" i="5" s="1"/>
  <c r="BY90" i="5"/>
  <c r="BY83" i="7"/>
  <c r="BZ77" i="7"/>
  <c r="BZ81" i="7" s="1"/>
  <c r="CA231" i="7"/>
  <c r="CA235" i="7" s="1"/>
  <c r="BZ237" i="7"/>
  <c r="BY112" i="7"/>
  <c r="BY116" i="7" s="1"/>
  <c r="BX118" i="7"/>
  <c r="BY245" i="7"/>
  <c r="BX251" i="7"/>
  <c r="BZ133" i="5"/>
  <c r="BZ137" i="5" s="1"/>
  <c r="BY139" i="5"/>
  <c r="BY224" i="7"/>
  <c r="BY228" i="7" s="1"/>
  <c r="BX230" i="7"/>
  <c r="BY181" i="5"/>
  <c r="BZ175" i="5"/>
  <c r="BZ179" i="5" s="1"/>
  <c r="BY147" i="7"/>
  <c r="BY151" i="7" s="1"/>
  <c r="BX153" i="7"/>
  <c r="BY20" i="3"/>
  <c r="BZ14" i="3"/>
  <c r="BZ18" i="3" s="1"/>
  <c r="BX97" i="5"/>
  <c r="BY91" i="5"/>
  <c r="BY95" i="5" s="1"/>
  <c r="BZ210" i="5"/>
  <c r="BZ214" i="5" s="1"/>
  <c r="BY216" i="5"/>
  <c r="BY126" i="7"/>
  <c r="BY130" i="7" s="1"/>
  <c r="BX132" i="7"/>
  <c r="BX258" i="7"/>
  <c r="BY252" i="7"/>
  <c r="BY196" i="7"/>
  <c r="BY200" i="7" s="1"/>
  <c r="BX202" i="7"/>
  <c r="BY245" i="5"/>
  <c r="BX251" i="5"/>
  <c r="BY217" i="5"/>
  <c r="BY221" i="5" s="1"/>
  <c r="BX223" i="5"/>
  <c r="BY112" i="5"/>
  <c r="BY116" i="5" s="1"/>
  <c r="BX118" i="5"/>
  <c r="BZ189" i="5"/>
  <c r="BY195" i="5"/>
  <c r="BY28" i="3"/>
  <c r="BY32" i="3" s="1"/>
  <c r="BX34" i="3"/>
  <c r="BY231" i="5"/>
  <c r="BY235" i="5" s="1"/>
  <c r="BX237" i="5"/>
  <c r="BY182" i="7"/>
  <c r="BY186" i="7" s="1"/>
  <c r="BX188" i="7"/>
  <c r="BZ203" i="5"/>
  <c r="BY209" i="5"/>
  <c r="BY83" i="5"/>
  <c r="BZ77" i="5"/>
  <c r="BZ81" i="5" s="1"/>
  <c r="BY49" i="3"/>
  <c r="BY53" i="3" s="1"/>
  <c r="BX55" i="3"/>
  <c r="BY210" i="7"/>
  <c r="BX216" i="7"/>
  <c r="BZ42" i="10"/>
  <c r="BY48" i="10"/>
  <c r="CA28" i="7"/>
  <c r="CA32" i="7" s="1"/>
  <c r="BZ34" i="7"/>
  <c r="BY98" i="5"/>
  <c r="BY102" i="5" s="1"/>
  <c r="BX104" i="5"/>
  <c r="BZ126" i="5"/>
  <c r="BZ130" i="5" s="1"/>
  <c r="BY132" i="5"/>
  <c r="BY217" i="7"/>
  <c r="BY221" i="7" s="1"/>
  <c r="BX223" i="7"/>
  <c r="CB224" i="5"/>
  <c r="CA230" i="5"/>
  <c r="BY238" i="5"/>
  <c r="BY242" i="5" s="1"/>
  <c r="BX244" i="5"/>
  <c r="BY35" i="5"/>
  <c r="BY39" i="5" s="1"/>
  <c r="BX41" i="5"/>
  <c r="BX20" i="7"/>
  <c r="BY14" i="7"/>
  <c r="BX272" i="7"/>
  <c r="BX281" i="7"/>
  <c r="BX260" i="7"/>
  <c r="BX266" i="7" s="1"/>
  <c r="BY119" i="5"/>
  <c r="BY123" i="5" s="1"/>
  <c r="BX125" i="5"/>
  <c r="BZ182" i="5"/>
  <c r="BY188" i="5"/>
  <c r="BZ140" i="5"/>
  <c r="BZ144" i="5" s="1"/>
  <c r="BY146" i="5"/>
  <c r="BY238" i="7"/>
  <c r="BY242" i="7" s="1"/>
  <c r="BX244" i="7"/>
  <c r="BX209" i="7"/>
  <c r="BY203" i="7"/>
  <c r="BY55" i="7"/>
  <c r="BZ49" i="7"/>
  <c r="BZ53" i="7" s="1"/>
  <c r="BY84" i="7"/>
  <c r="BY88" i="7" s="1"/>
  <c r="BX90" i="7"/>
  <c r="CA175" i="7"/>
  <c r="CA179" i="7" s="1"/>
  <c r="BZ181" i="7"/>
  <c r="BZ161" i="5"/>
  <c r="BY167" i="5"/>
  <c r="BY154" i="7"/>
  <c r="BY158" i="7" s="1"/>
  <c r="BX160" i="7"/>
  <c r="BY133" i="7"/>
  <c r="BY137" i="7" s="1"/>
  <c r="BX139" i="7"/>
  <c r="BY14" i="5"/>
  <c r="BX20" i="5"/>
  <c r="BX260" i="5"/>
  <c r="BX266" i="5" s="1"/>
  <c r="BX272" i="5"/>
  <c r="BX281" i="5"/>
  <c r="BY42" i="3"/>
  <c r="BY46" i="3" s="1"/>
  <c r="BX48" i="3"/>
  <c r="BW60" i="10" l="1"/>
  <c r="BX56" i="10"/>
  <c r="BW62" i="10"/>
  <c r="BW76" i="10"/>
  <c r="BW64" i="10"/>
  <c r="BW70" i="10" s="1"/>
  <c r="BW85" i="10"/>
  <c r="BY62" i="7"/>
  <c r="BZ56" i="7"/>
  <c r="BZ60" i="7" s="1"/>
  <c r="BZ154" i="5"/>
  <c r="BZ158" i="5" s="1"/>
  <c r="BY160" i="5"/>
  <c r="CA34" i="10"/>
  <c r="CB28" i="10"/>
  <c r="BZ35" i="10"/>
  <c r="BY41" i="10"/>
  <c r="BZ14" i="10"/>
  <c r="BY20" i="10"/>
  <c r="BY64" i="3"/>
  <c r="BY70" i="3" s="1"/>
  <c r="BZ49" i="5"/>
  <c r="BY55" i="5"/>
  <c r="CA21" i="5"/>
  <c r="CA25" i="5" s="1"/>
  <c r="BZ27" i="5"/>
  <c r="BZ98" i="7"/>
  <c r="BZ102" i="7" s="1"/>
  <c r="BY104" i="7"/>
  <c r="BY76" i="7"/>
  <c r="BZ70" i="7"/>
  <c r="BZ74" i="7" s="1"/>
  <c r="CB63" i="5"/>
  <c r="CA69" i="5"/>
  <c r="BZ63" i="7"/>
  <c r="BZ67" i="7" s="1"/>
  <c r="BY69" i="7"/>
  <c r="BZ35" i="3"/>
  <c r="BZ39" i="3" s="1"/>
  <c r="BY41" i="3"/>
  <c r="BY34" i="5"/>
  <c r="BZ28" i="5"/>
  <c r="BZ32" i="5" s="1"/>
  <c r="BY27" i="3"/>
  <c r="BZ21" i="3"/>
  <c r="BZ25" i="3" s="1"/>
  <c r="BY97" i="7"/>
  <c r="BZ91" i="7"/>
  <c r="BZ95" i="7" s="1"/>
  <c r="BZ56" i="5"/>
  <c r="BY62" i="5"/>
  <c r="CA56" i="3"/>
  <c r="BZ62" i="3"/>
  <c r="CA42" i="10"/>
  <c r="BZ48" i="10"/>
  <c r="BZ217" i="7"/>
  <c r="BZ221" i="7" s="1"/>
  <c r="BY223" i="7"/>
  <c r="BZ210" i="7"/>
  <c r="BY216" i="7"/>
  <c r="BZ28" i="3"/>
  <c r="BZ32" i="3" s="1"/>
  <c r="BY34" i="3"/>
  <c r="BZ20" i="3"/>
  <c r="CA14" i="3"/>
  <c r="CA18" i="3" s="1"/>
  <c r="BY167" i="7"/>
  <c r="BZ161" i="7"/>
  <c r="BZ165" i="7" s="1"/>
  <c r="BZ112" i="7"/>
  <c r="BZ116" i="7" s="1"/>
  <c r="BY118" i="7"/>
  <c r="BZ55" i="10"/>
  <c r="CA49" i="10"/>
  <c r="BZ49" i="3"/>
  <c r="BZ53" i="3" s="1"/>
  <c r="BY55" i="3"/>
  <c r="CA189" i="5"/>
  <c r="BZ195" i="5"/>
  <c r="BZ126" i="7"/>
  <c r="BZ130" i="7" s="1"/>
  <c r="BY132" i="7"/>
  <c r="BZ196" i="7"/>
  <c r="BZ200" i="7" s="1"/>
  <c r="BY202" i="7"/>
  <c r="BZ48" i="5"/>
  <c r="CA42" i="5"/>
  <c r="CA46" i="5" s="1"/>
  <c r="CA153" i="5"/>
  <c r="CB147" i="5"/>
  <c r="CB151" i="5" s="1"/>
  <c r="CA126" i="5"/>
  <c r="CA130" i="5" s="1"/>
  <c r="BZ132" i="5"/>
  <c r="BY139" i="7"/>
  <c r="BZ133" i="7"/>
  <c r="BZ137" i="7" s="1"/>
  <c r="BZ238" i="7"/>
  <c r="BZ242" i="7" s="1"/>
  <c r="BY244" i="7"/>
  <c r="BY20" i="7"/>
  <c r="BZ14" i="7"/>
  <c r="BY272" i="7"/>
  <c r="BY281" i="7"/>
  <c r="BY260" i="7"/>
  <c r="BY266" i="7" s="1"/>
  <c r="BZ83" i="5"/>
  <c r="CA77" i="5"/>
  <c r="CA81" i="5" s="1"/>
  <c r="BY153" i="7"/>
  <c r="BZ147" i="7"/>
  <c r="BZ151" i="7" s="1"/>
  <c r="CB231" i="7"/>
  <c r="CB235" i="7" s="1"/>
  <c r="CA237" i="7"/>
  <c r="CA21" i="10"/>
  <c r="BZ27" i="10"/>
  <c r="BY258" i="5"/>
  <c r="BZ252" i="5"/>
  <c r="BZ256" i="5" s="1"/>
  <c r="BZ105" i="7"/>
  <c r="BZ109" i="7" s="1"/>
  <c r="BY111" i="7"/>
  <c r="CA35" i="7"/>
  <c r="CA39" i="7" s="1"/>
  <c r="BZ41" i="7"/>
  <c r="BZ203" i="7"/>
  <c r="BY209" i="7"/>
  <c r="BZ84" i="7"/>
  <c r="BZ88" i="7" s="1"/>
  <c r="BY90" i="7"/>
  <c r="CA49" i="7"/>
  <c r="CA53" i="7" s="1"/>
  <c r="BZ55" i="7"/>
  <c r="CA42" i="7"/>
  <c r="CA46" i="7" s="1"/>
  <c r="BZ48" i="7"/>
  <c r="CA189" i="7"/>
  <c r="BZ195" i="7"/>
  <c r="CA196" i="5"/>
  <c r="CA200" i="5" s="1"/>
  <c r="BZ202" i="5"/>
  <c r="CA174" i="5"/>
  <c r="CB168" i="5"/>
  <c r="CB172" i="5" s="1"/>
  <c r="CC224" i="5"/>
  <c r="CC230" i="5" s="1"/>
  <c r="CB230" i="5"/>
  <c r="BZ98" i="5"/>
  <c r="BZ102" i="5" s="1"/>
  <c r="BY104" i="5"/>
  <c r="BZ112" i="5"/>
  <c r="BZ116" i="5" s="1"/>
  <c r="BY118" i="5"/>
  <c r="CA175" i="5"/>
  <c r="CA179" i="5" s="1"/>
  <c r="BZ181" i="5"/>
  <c r="BY41" i="5"/>
  <c r="BZ35" i="5"/>
  <c r="BZ39" i="5" s="1"/>
  <c r="CA203" i="5"/>
  <c r="BZ209" i="5"/>
  <c r="BZ217" i="5"/>
  <c r="BZ221" i="5" s="1"/>
  <c r="BY223" i="5"/>
  <c r="BZ224" i="7"/>
  <c r="BZ228" i="7" s="1"/>
  <c r="BY230" i="7"/>
  <c r="BZ105" i="5"/>
  <c r="BZ109" i="5" s="1"/>
  <c r="BY111" i="5"/>
  <c r="CB76" i="5"/>
  <c r="CC70" i="5"/>
  <c r="CC76" i="5" s="1"/>
  <c r="BY85" i="3"/>
  <c r="BY258" i="7"/>
  <c r="BZ252" i="7"/>
  <c r="CA210" i="5"/>
  <c r="CA214" i="5" s="1"/>
  <c r="BZ216" i="5"/>
  <c r="BZ83" i="7"/>
  <c r="CA77" i="7"/>
  <c r="CA81" i="7" s="1"/>
  <c r="BY160" i="7"/>
  <c r="BZ154" i="7"/>
  <c r="BZ158" i="7" s="1"/>
  <c r="CA161" i="5"/>
  <c r="BZ167" i="5"/>
  <c r="CA182" i="5"/>
  <c r="BZ188" i="5"/>
  <c r="BZ42" i="3"/>
  <c r="BZ46" i="3" s="1"/>
  <c r="BY48" i="3"/>
  <c r="BZ238" i="5"/>
  <c r="BZ242" i="5" s="1"/>
  <c r="BY244" i="5"/>
  <c r="CA34" i="7"/>
  <c r="CB28" i="7"/>
  <c r="CB32" i="7" s="1"/>
  <c r="BZ182" i="7"/>
  <c r="BZ186" i="7" s="1"/>
  <c r="BY188" i="7"/>
  <c r="BZ245" i="5"/>
  <c r="BY251" i="5"/>
  <c r="BZ231" i="5"/>
  <c r="BZ235" i="5" s="1"/>
  <c r="BY237" i="5"/>
  <c r="BZ168" i="7"/>
  <c r="BZ172" i="7" s="1"/>
  <c r="BY174" i="7"/>
  <c r="CA181" i="7"/>
  <c r="CB175" i="7"/>
  <c r="CB179" i="7" s="1"/>
  <c r="BY251" i="7"/>
  <c r="BZ245" i="7"/>
  <c r="BY20" i="5"/>
  <c r="BZ14" i="5"/>
  <c r="BY260" i="5"/>
  <c r="BY266" i="5" s="1"/>
  <c r="BY272" i="5"/>
  <c r="BY281" i="5"/>
  <c r="CA140" i="5"/>
  <c r="CA144" i="5" s="1"/>
  <c r="BZ146" i="5"/>
  <c r="BZ91" i="5"/>
  <c r="BZ95" i="5" s="1"/>
  <c r="BY97" i="5"/>
  <c r="BZ119" i="5"/>
  <c r="BZ123" i="5" s="1"/>
  <c r="BY125" i="5"/>
  <c r="BY76" i="3"/>
  <c r="CA133" i="5"/>
  <c r="CA137" i="5" s="1"/>
  <c r="BZ139" i="5"/>
  <c r="CA84" i="5"/>
  <c r="CA88" i="5" s="1"/>
  <c r="BZ90" i="5"/>
  <c r="BY146" i="7"/>
  <c r="BZ140" i="7"/>
  <c r="BZ144" i="7" s="1"/>
  <c r="CA21" i="7"/>
  <c r="BZ27" i="7"/>
  <c r="CA119" i="7"/>
  <c r="CA123" i="7" s="1"/>
  <c r="BZ125" i="7"/>
  <c r="BX60" i="10" l="1"/>
  <c r="BY56" i="10"/>
  <c r="BX62" i="10"/>
  <c r="BX76" i="10"/>
  <c r="BX85" i="10"/>
  <c r="BX64" i="10"/>
  <c r="BX70" i="10" s="1"/>
  <c r="BZ62" i="7"/>
  <c r="CA56" i="7"/>
  <c r="CA60" i="7" s="1"/>
  <c r="CA154" i="5"/>
  <c r="CA158" i="5" s="1"/>
  <c r="BZ160" i="5"/>
  <c r="CB34" i="10"/>
  <c r="CC28" i="10"/>
  <c r="CC34" i="10" s="1"/>
  <c r="CA14" i="10"/>
  <c r="BZ20" i="10"/>
  <c r="BZ41" i="10"/>
  <c r="CA35" i="10"/>
  <c r="CA63" i="7"/>
  <c r="CA67" i="7" s="1"/>
  <c r="BZ69" i="7"/>
  <c r="CB69" i="5"/>
  <c r="CC63" i="5"/>
  <c r="CC69" i="5" s="1"/>
  <c r="BZ62" i="5"/>
  <c r="CA56" i="5"/>
  <c r="CA91" i="7"/>
  <c r="CA95" i="7" s="1"/>
  <c r="BZ97" i="7"/>
  <c r="BZ76" i="7"/>
  <c r="CA70" i="7"/>
  <c r="CA74" i="7" s="1"/>
  <c r="BZ27" i="3"/>
  <c r="CA21" i="3"/>
  <c r="CA25" i="3" s="1"/>
  <c r="BZ104" i="7"/>
  <c r="CA98" i="7"/>
  <c r="CA102" i="7" s="1"/>
  <c r="BZ34" i="5"/>
  <c r="CA28" i="5"/>
  <c r="CA32" i="5" s="1"/>
  <c r="CB21" i="5"/>
  <c r="CB25" i="5" s="1"/>
  <c r="CA27" i="5"/>
  <c r="BZ41" i="3"/>
  <c r="CA35" i="3"/>
  <c r="CA39" i="3" s="1"/>
  <c r="CA49" i="5"/>
  <c r="BZ55" i="5"/>
  <c r="BZ34" i="3"/>
  <c r="CA28" i="3"/>
  <c r="CA32" i="3" s="1"/>
  <c r="BZ146" i="7"/>
  <c r="CA140" i="7"/>
  <c r="CA144" i="7" s="1"/>
  <c r="CA132" i="5"/>
  <c r="CB126" i="5"/>
  <c r="CB130" i="5" s="1"/>
  <c r="CC168" i="5"/>
  <c r="CB174" i="5"/>
  <c r="CA84" i="7"/>
  <c r="CA88" i="7" s="1"/>
  <c r="BZ90" i="7"/>
  <c r="CB42" i="5"/>
  <c r="CB46" i="5" s="1"/>
  <c r="CA48" i="5"/>
  <c r="BZ216" i="7"/>
  <c r="CA210" i="7"/>
  <c r="CA55" i="10"/>
  <c r="CB49" i="10"/>
  <c r="CB84" i="5"/>
  <c r="CB88" i="5" s="1"/>
  <c r="CA90" i="5"/>
  <c r="CA146" i="5"/>
  <c r="CB140" i="5"/>
  <c r="CB144" i="5" s="1"/>
  <c r="CB196" i="5"/>
  <c r="CB200" i="5" s="1"/>
  <c r="CA202" i="5"/>
  <c r="CA203" i="7"/>
  <c r="BZ209" i="7"/>
  <c r="BZ118" i="7"/>
  <c r="CA112" i="7"/>
  <c r="CA116" i="7" s="1"/>
  <c r="CA49" i="3"/>
  <c r="CA53" i="3" s="1"/>
  <c r="BZ55" i="3"/>
  <c r="CB210" i="5"/>
  <c r="CB214" i="5" s="1"/>
  <c r="CA216" i="5"/>
  <c r="BZ237" i="5"/>
  <c r="CA231" i="5"/>
  <c r="CA235" i="5" s="1"/>
  <c r="CA14" i="7"/>
  <c r="BZ20" i="7"/>
  <c r="BZ260" i="7"/>
  <c r="BZ266" i="7" s="1"/>
  <c r="BZ281" i="7"/>
  <c r="BZ272" i="7"/>
  <c r="BZ167" i="7"/>
  <c r="CA161" i="7"/>
  <c r="CA165" i="7" s="1"/>
  <c r="CA217" i="7"/>
  <c r="CA221" i="7" s="1"/>
  <c r="BZ223" i="7"/>
  <c r="CA91" i="5"/>
  <c r="CA95" i="5" s="1"/>
  <c r="BZ97" i="5"/>
  <c r="CB181" i="7"/>
  <c r="CC175" i="7"/>
  <c r="CA112" i="5"/>
  <c r="CA116" i="5" s="1"/>
  <c r="BZ118" i="5"/>
  <c r="CA252" i="7"/>
  <c r="BZ258" i="7"/>
  <c r="CA217" i="5"/>
  <c r="CA221" i="5" s="1"/>
  <c r="BZ223" i="5"/>
  <c r="CA195" i="7"/>
  <c r="CB189" i="7"/>
  <c r="CA41" i="7"/>
  <c r="CB35" i="7"/>
  <c r="CB39" i="7" s="1"/>
  <c r="CA196" i="7"/>
  <c r="CA200" i="7" s="1"/>
  <c r="BZ202" i="7"/>
  <c r="CA27" i="10"/>
  <c r="CB21" i="10"/>
  <c r="BZ76" i="3"/>
  <c r="CA168" i="7"/>
  <c r="CA172" i="7" s="1"/>
  <c r="BZ174" i="7"/>
  <c r="CB182" i="5"/>
  <c r="CA188" i="5"/>
  <c r="CA119" i="5"/>
  <c r="CA123" i="5" s="1"/>
  <c r="BZ125" i="5"/>
  <c r="CA14" i="5"/>
  <c r="BZ20" i="5"/>
  <c r="BZ260" i="5"/>
  <c r="BZ266" i="5" s="1"/>
  <c r="BZ272" i="5"/>
  <c r="BZ281" i="5"/>
  <c r="BZ111" i="7"/>
  <c r="CA105" i="7"/>
  <c r="CA109" i="7" s="1"/>
  <c r="CA238" i="7"/>
  <c r="CA242" i="7" s="1"/>
  <c r="BZ244" i="7"/>
  <c r="BZ132" i="7"/>
  <c r="CA126" i="7"/>
  <c r="CA130" i="7" s="1"/>
  <c r="BZ85" i="3"/>
  <c r="CA125" i="7"/>
  <c r="CB119" i="7"/>
  <c r="CB123" i="7" s="1"/>
  <c r="CA182" i="7"/>
  <c r="CA186" i="7" s="1"/>
  <c r="BZ188" i="7"/>
  <c r="CA35" i="5"/>
  <c r="CA39" i="5" s="1"/>
  <c r="BZ41" i="5"/>
  <c r="CC231" i="7"/>
  <c r="CB237" i="7"/>
  <c r="BZ139" i="7"/>
  <c r="CA133" i="7"/>
  <c r="CA137" i="7" s="1"/>
  <c r="BZ64" i="3"/>
  <c r="BZ70" i="3" s="1"/>
  <c r="CA48" i="10"/>
  <c r="CB42" i="10"/>
  <c r="CA83" i="7"/>
  <c r="CB77" i="7"/>
  <c r="CB81" i="7" s="1"/>
  <c r="CA181" i="5"/>
  <c r="CB175" i="5"/>
  <c r="CB179" i="5" s="1"/>
  <c r="CA83" i="5"/>
  <c r="CB77" i="5"/>
  <c r="CB81" i="5" s="1"/>
  <c r="CA238" i="5"/>
  <c r="CA242" i="5" s="1"/>
  <c r="BZ244" i="5"/>
  <c r="CC147" i="5"/>
  <c r="CB153" i="5"/>
  <c r="BZ48" i="3"/>
  <c r="CA42" i="3"/>
  <c r="CA46" i="3" s="1"/>
  <c r="CA167" i="5"/>
  <c r="CB161" i="5"/>
  <c r="CA245" i="7"/>
  <c r="BZ251" i="7"/>
  <c r="CB34" i="7"/>
  <c r="CC28" i="7"/>
  <c r="CA154" i="7"/>
  <c r="CA158" i="7" s="1"/>
  <c r="BZ160" i="7"/>
  <c r="BZ111" i="5"/>
  <c r="CA105" i="5"/>
  <c r="CA109" i="5" s="1"/>
  <c r="CA48" i="7"/>
  <c r="CB42" i="7"/>
  <c r="CB46" i="7" s="1"/>
  <c r="BZ153" i="7"/>
  <c r="CA147" i="7"/>
  <c r="CA151" i="7" s="1"/>
  <c r="CB189" i="5"/>
  <c r="CA195" i="5"/>
  <c r="CA20" i="3"/>
  <c r="CB14" i="3"/>
  <c r="CB18" i="3" s="1"/>
  <c r="CB49" i="7"/>
  <c r="CB53" i="7" s="1"/>
  <c r="CA55" i="7"/>
  <c r="BZ258" i="5"/>
  <c r="CA252" i="5"/>
  <c r="CA256" i="5" s="1"/>
  <c r="CA224" i="7"/>
  <c r="CA228" i="7" s="1"/>
  <c r="BZ230" i="7"/>
  <c r="CA98" i="5"/>
  <c r="CA102" i="5" s="1"/>
  <c r="BZ104" i="5"/>
  <c r="CA139" i="5"/>
  <c r="CB133" i="5"/>
  <c r="CB137" i="5" s="1"/>
  <c r="CA245" i="5"/>
  <c r="BZ251" i="5"/>
  <c r="CB203" i="5"/>
  <c r="CA209" i="5"/>
  <c r="CB21" i="7"/>
  <c r="CA27" i="7"/>
  <c r="CB56" i="3"/>
  <c r="CA62" i="3"/>
  <c r="BY60" i="10" l="1"/>
  <c r="BZ56" i="10"/>
  <c r="BY62" i="10"/>
  <c r="BY76" i="10"/>
  <c r="BY85" i="10"/>
  <c r="BY64" i="10"/>
  <c r="BY70" i="10" s="1"/>
  <c r="CC174" i="5"/>
  <c r="CC172" i="5"/>
  <c r="CC153" i="5"/>
  <c r="CC151" i="5"/>
  <c r="CC237" i="7"/>
  <c r="CC235" i="7"/>
  <c r="CC181" i="7"/>
  <c r="CC179" i="7"/>
  <c r="CC34" i="7"/>
  <c r="CC32" i="7"/>
  <c r="CB56" i="7"/>
  <c r="CB60" i="7" s="1"/>
  <c r="CA62" i="7"/>
  <c r="CA160" i="5"/>
  <c r="CB154" i="5"/>
  <c r="CB158" i="5" s="1"/>
  <c r="CA76" i="3"/>
  <c r="CA41" i="10"/>
  <c r="CB35" i="10"/>
  <c r="CA20" i="10"/>
  <c r="CB14" i="10"/>
  <c r="CB21" i="3"/>
  <c r="CB25" i="3" s="1"/>
  <c r="CA27" i="3"/>
  <c r="CA76" i="7"/>
  <c r="CB70" i="7"/>
  <c r="CB74" i="7" s="1"/>
  <c r="CB49" i="5"/>
  <c r="CA55" i="5"/>
  <c r="CA41" i="3"/>
  <c r="CB35" i="3"/>
  <c r="CB39" i="3" s="1"/>
  <c r="CB91" i="7"/>
  <c r="CB95" i="7" s="1"/>
  <c r="CA97" i="7"/>
  <c r="CB56" i="5"/>
  <c r="CA62" i="5"/>
  <c r="CA85" i="3"/>
  <c r="CB27" i="5"/>
  <c r="CC21" i="5"/>
  <c r="CB28" i="5"/>
  <c r="CB32" i="5" s="1"/>
  <c r="CA34" i="5"/>
  <c r="CB98" i="7"/>
  <c r="CB102" i="7" s="1"/>
  <c r="CA104" i="7"/>
  <c r="CB63" i="7"/>
  <c r="CB67" i="7" s="1"/>
  <c r="CA69" i="7"/>
  <c r="CA64" i="3"/>
  <c r="CA70" i="3" s="1"/>
  <c r="CA90" i="7"/>
  <c r="CB84" i="7"/>
  <c r="CB88" i="7" s="1"/>
  <c r="CC56" i="3"/>
  <c r="CC62" i="3" s="1"/>
  <c r="CB62" i="3"/>
  <c r="CC21" i="7"/>
  <c r="CC27" i="7" s="1"/>
  <c r="CB27" i="7"/>
  <c r="CB48" i="7"/>
  <c r="CC42" i="7"/>
  <c r="CC161" i="5"/>
  <c r="CC167" i="5" s="1"/>
  <c r="CB167" i="5"/>
  <c r="CB181" i="5"/>
  <c r="CC175" i="5"/>
  <c r="CB91" i="5"/>
  <c r="CB95" i="5" s="1"/>
  <c r="CA97" i="5"/>
  <c r="CC140" i="5"/>
  <c r="CB146" i="5"/>
  <c r="CB238" i="7"/>
  <c r="CB242" i="7" s="1"/>
  <c r="CA244" i="7"/>
  <c r="CB195" i="7"/>
  <c r="CC189" i="7"/>
  <c r="CC195" i="7" s="1"/>
  <c r="CC210" i="5"/>
  <c r="CB216" i="5"/>
  <c r="CC203" i="5"/>
  <c r="CC209" i="5" s="1"/>
  <c r="CB209" i="5"/>
  <c r="CC49" i="7"/>
  <c r="CB55" i="7"/>
  <c r="CB105" i="5"/>
  <c r="CB109" i="5" s="1"/>
  <c r="CA111" i="5"/>
  <c r="CC77" i="7"/>
  <c r="CB83" i="7"/>
  <c r="CB35" i="5"/>
  <c r="CB39" i="5" s="1"/>
  <c r="CA41" i="5"/>
  <c r="CB105" i="7"/>
  <c r="CB109" i="7" s="1"/>
  <c r="CA111" i="7"/>
  <c r="CA174" i="7"/>
  <c r="CB168" i="7"/>
  <c r="CB172" i="7" s="1"/>
  <c r="CA223" i="7"/>
  <c r="CB217" i="7"/>
  <c r="CB221" i="7" s="1"/>
  <c r="CB125" i="7"/>
  <c r="CC119" i="7"/>
  <c r="CB98" i="5"/>
  <c r="CB102" i="5" s="1"/>
  <c r="CA104" i="5"/>
  <c r="CC182" i="5"/>
  <c r="CC188" i="5" s="1"/>
  <c r="CB188" i="5"/>
  <c r="CA167" i="7"/>
  <c r="CB161" i="7"/>
  <c r="CB165" i="7" s="1"/>
  <c r="CC84" i="5"/>
  <c r="CB90" i="5"/>
  <c r="CB245" i="5"/>
  <c r="CA251" i="5"/>
  <c r="CB42" i="3"/>
  <c r="CB46" i="3" s="1"/>
  <c r="CA48" i="3"/>
  <c r="CB48" i="10"/>
  <c r="CC42" i="10"/>
  <c r="CC48" i="10" s="1"/>
  <c r="CB182" i="7"/>
  <c r="CB186" i="7" s="1"/>
  <c r="CA188" i="7"/>
  <c r="CB217" i="5"/>
  <c r="CB221" i="5" s="1"/>
  <c r="CA223" i="5"/>
  <c r="CC126" i="5"/>
  <c r="CB132" i="5"/>
  <c r="CB49" i="3"/>
  <c r="CB53" i="3" s="1"/>
  <c r="CA55" i="3"/>
  <c r="CC133" i="5"/>
  <c r="CB139" i="5"/>
  <c r="CB20" i="3"/>
  <c r="CC14" i="3"/>
  <c r="CC18" i="3" s="1"/>
  <c r="CB252" i="7"/>
  <c r="CA258" i="7"/>
  <c r="CB112" i="7"/>
  <c r="CB116" i="7" s="1"/>
  <c r="CA118" i="7"/>
  <c r="CB55" i="10"/>
  <c r="CC49" i="10"/>
  <c r="CC55" i="10" s="1"/>
  <c r="CB27" i="10"/>
  <c r="CC21" i="10"/>
  <c r="CB14" i="5"/>
  <c r="CA20" i="5"/>
  <c r="CA260" i="5"/>
  <c r="CA266" i="5" s="1"/>
  <c r="CA272" i="5"/>
  <c r="CA281" i="5"/>
  <c r="CA118" i="5"/>
  <c r="CB112" i="5"/>
  <c r="CB116" i="5" s="1"/>
  <c r="CA216" i="7"/>
  <c r="CB210" i="7"/>
  <c r="CA146" i="7"/>
  <c r="CB140" i="7"/>
  <c r="CB144" i="7" s="1"/>
  <c r="CC189" i="5"/>
  <c r="CC195" i="5" s="1"/>
  <c r="CB195" i="5"/>
  <c r="CB245" i="7"/>
  <c r="CA251" i="7"/>
  <c r="CB238" i="5"/>
  <c r="CB242" i="5" s="1"/>
  <c r="CA244" i="5"/>
  <c r="CB14" i="7"/>
  <c r="CA20" i="7"/>
  <c r="CA260" i="7"/>
  <c r="CA266" i="7" s="1"/>
  <c r="CA281" i="7"/>
  <c r="CA272" i="7"/>
  <c r="CA209" i="7"/>
  <c r="CB203" i="7"/>
  <c r="CB154" i="7"/>
  <c r="CB158" i="7" s="1"/>
  <c r="CA160" i="7"/>
  <c r="CA139" i="7"/>
  <c r="CB133" i="7"/>
  <c r="CB137" i="7" s="1"/>
  <c r="CB83" i="5"/>
  <c r="CC77" i="5"/>
  <c r="CA132" i="7"/>
  <c r="CB126" i="7"/>
  <c r="CB130" i="7" s="1"/>
  <c r="CA125" i="5"/>
  <c r="CB119" i="5"/>
  <c r="CB123" i="5" s="1"/>
  <c r="CA202" i="7"/>
  <c r="CB196" i="7"/>
  <c r="CB200" i="7" s="1"/>
  <c r="CB231" i="5"/>
  <c r="CB235" i="5" s="1"/>
  <c r="CA237" i="5"/>
  <c r="CA34" i="3"/>
  <c r="CB28" i="3"/>
  <c r="CB32" i="3" s="1"/>
  <c r="CB224" i="7"/>
  <c r="CB228" i="7" s="1"/>
  <c r="CA230" i="7"/>
  <c r="CB147" i="7"/>
  <c r="CB151" i="7" s="1"/>
  <c r="CA153" i="7"/>
  <c r="CB252" i="5"/>
  <c r="CB256" i="5" s="1"/>
  <c r="CA258" i="5"/>
  <c r="CB41" i="7"/>
  <c r="CC35" i="7"/>
  <c r="CC196" i="5"/>
  <c r="CB202" i="5"/>
  <c r="CB48" i="5"/>
  <c r="CC42" i="5"/>
  <c r="BZ60" i="10" l="1"/>
  <c r="BZ62" i="10"/>
  <c r="CA56" i="10"/>
  <c r="BZ85" i="10"/>
  <c r="BZ76" i="10"/>
  <c r="BZ64" i="10"/>
  <c r="BZ70" i="10" s="1"/>
  <c r="CC83" i="5"/>
  <c r="CC81" i="5"/>
  <c r="CC202" i="5"/>
  <c r="CC200" i="5"/>
  <c r="CC90" i="5"/>
  <c r="CC88" i="5"/>
  <c r="CC139" i="5"/>
  <c r="CC137" i="5"/>
  <c r="CC146" i="5"/>
  <c r="CC144" i="5"/>
  <c r="CC181" i="5"/>
  <c r="CC179" i="5"/>
  <c r="CC132" i="5"/>
  <c r="CC130" i="5"/>
  <c r="CC216" i="5"/>
  <c r="CC214" i="5"/>
  <c r="CC48" i="5"/>
  <c r="CC46" i="5"/>
  <c r="CC27" i="5"/>
  <c r="CC25" i="5"/>
  <c r="CC48" i="7"/>
  <c r="CC46" i="7"/>
  <c r="CC41" i="7"/>
  <c r="CC39" i="7"/>
  <c r="CC125" i="7"/>
  <c r="CC123" i="7"/>
  <c r="CC55" i="7"/>
  <c r="CC53" i="7"/>
  <c r="CC83" i="7"/>
  <c r="CC81" i="7"/>
  <c r="CC56" i="7"/>
  <c r="CB62" i="7"/>
  <c r="CC154" i="5"/>
  <c r="CB160" i="5"/>
  <c r="CB64" i="3"/>
  <c r="CB70" i="3" s="1"/>
  <c r="CB20" i="10"/>
  <c r="CC14" i="10"/>
  <c r="CC20" i="10" s="1"/>
  <c r="CB41" i="10"/>
  <c r="CC35" i="10"/>
  <c r="CC41" i="10" s="1"/>
  <c r="CB62" i="5"/>
  <c r="CC56" i="5"/>
  <c r="CC62" i="5" s="1"/>
  <c r="CC91" i="7"/>
  <c r="CB97" i="7"/>
  <c r="CC63" i="7"/>
  <c r="CB69" i="7"/>
  <c r="CC35" i="3"/>
  <c r="CB41" i="3"/>
  <c r="CB76" i="3"/>
  <c r="CB104" i="7"/>
  <c r="CC98" i="7"/>
  <c r="CB85" i="3"/>
  <c r="CC49" i="5"/>
  <c r="CC55" i="5" s="1"/>
  <c r="CB55" i="5"/>
  <c r="CB34" i="5"/>
  <c r="CC28" i="5"/>
  <c r="CB76" i="7"/>
  <c r="CC70" i="7"/>
  <c r="CB27" i="3"/>
  <c r="CC21" i="3"/>
  <c r="CC231" i="5"/>
  <c r="CB237" i="5"/>
  <c r="CB202" i="7"/>
  <c r="CC196" i="7"/>
  <c r="CC245" i="7"/>
  <c r="CC251" i="7" s="1"/>
  <c r="CB251" i="7"/>
  <c r="CC252" i="7"/>
  <c r="CC258" i="7" s="1"/>
  <c r="CB258" i="7"/>
  <c r="CB167" i="7"/>
  <c r="CC161" i="7"/>
  <c r="CC217" i="5"/>
  <c r="CB223" i="5"/>
  <c r="CB111" i="7"/>
  <c r="CC105" i="7"/>
  <c r="CB146" i="7"/>
  <c r="CC140" i="7"/>
  <c r="CB188" i="7"/>
  <c r="CC182" i="7"/>
  <c r="CC35" i="5"/>
  <c r="CB41" i="5"/>
  <c r="CB258" i="5"/>
  <c r="CC252" i="5"/>
  <c r="CC20" i="3"/>
  <c r="CC210" i="7"/>
  <c r="CC216" i="7" s="1"/>
  <c r="CB216" i="7"/>
  <c r="CC27" i="10"/>
  <c r="CC98" i="5"/>
  <c r="CB104" i="5"/>
  <c r="CC238" i="7"/>
  <c r="CB244" i="7"/>
  <c r="CB132" i="7"/>
  <c r="CC126" i="7"/>
  <c r="CB153" i="7"/>
  <c r="CC147" i="7"/>
  <c r="CC154" i="7"/>
  <c r="CB160" i="7"/>
  <c r="CC119" i="5"/>
  <c r="CB125" i="5"/>
  <c r="CC112" i="5"/>
  <c r="CB118" i="5"/>
  <c r="CC42" i="3"/>
  <c r="CB48" i="3"/>
  <c r="CC105" i="5"/>
  <c r="CB111" i="5"/>
  <c r="CB20" i="7"/>
  <c r="CC14" i="7"/>
  <c r="CB260" i="7"/>
  <c r="CB266" i="7" s="1"/>
  <c r="CB281" i="7"/>
  <c r="CB272" i="7"/>
  <c r="CB223" i="7"/>
  <c r="CC217" i="7"/>
  <c r="CC84" i="7"/>
  <c r="CB90" i="7"/>
  <c r="CC14" i="5"/>
  <c r="CB20" i="5"/>
  <c r="CB260" i="5"/>
  <c r="CB266" i="5" s="1"/>
  <c r="CB272" i="5"/>
  <c r="CB281" i="5"/>
  <c r="CB209" i="7"/>
  <c r="CC203" i="7"/>
  <c r="CC209" i="7" s="1"/>
  <c r="CC49" i="3"/>
  <c r="CB55" i="3"/>
  <c r="CB251" i="5"/>
  <c r="CC245" i="5"/>
  <c r="CC251" i="5" s="1"/>
  <c r="CC91" i="5"/>
  <c r="CB97" i="5"/>
  <c r="CC224" i="7"/>
  <c r="CB230" i="7"/>
  <c r="CB34" i="3"/>
  <c r="CC28" i="3"/>
  <c r="CB139" i="7"/>
  <c r="CC133" i="7"/>
  <c r="CC238" i="5"/>
  <c r="CB244" i="5"/>
  <c r="CB118" i="7"/>
  <c r="CC112" i="7"/>
  <c r="CC168" i="7"/>
  <c r="CB174" i="7"/>
  <c r="CA60" i="10" l="1"/>
  <c r="CA62" i="10"/>
  <c r="CB56" i="10"/>
  <c r="CA76" i="10"/>
  <c r="CA85" i="10"/>
  <c r="CA64" i="10"/>
  <c r="CA70" i="10" s="1"/>
  <c r="CC34" i="3"/>
  <c r="CC32" i="3"/>
  <c r="CC27" i="3"/>
  <c r="CC25" i="3"/>
  <c r="CC48" i="3"/>
  <c r="CC46" i="3"/>
  <c r="CC55" i="3"/>
  <c r="CC53" i="3"/>
  <c r="CC41" i="3"/>
  <c r="CC39" i="3"/>
  <c r="CC258" i="5"/>
  <c r="CC256" i="5"/>
  <c r="CC34" i="5"/>
  <c r="CC32" i="5"/>
  <c r="CC160" i="5"/>
  <c r="CC158" i="5"/>
  <c r="CC97" i="5"/>
  <c r="CC95" i="5"/>
  <c r="CC111" i="5"/>
  <c r="CC109" i="5"/>
  <c r="CC118" i="5"/>
  <c r="CC116" i="5"/>
  <c r="CC104" i="5"/>
  <c r="CC102" i="5"/>
  <c r="CC125" i="5"/>
  <c r="CC123" i="5"/>
  <c r="CC237" i="5"/>
  <c r="CC235" i="5"/>
  <c r="CC244" i="5"/>
  <c r="CC242" i="5"/>
  <c r="CC41" i="5"/>
  <c r="CC39" i="5"/>
  <c r="CC223" i="5"/>
  <c r="CC221" i="5"/>
  <c r="CC188" i="7"/>
  <c r="CC186" i="7"/>
  <c r="CC62" i="7"/>
  <c r="CC60" i="7"/>
  <c r="CC230" i="7"/>
  <c r="CC228" i="7"/>
  <c r="CC174" i="7"/>
  <c r="CC172" i="7"/>
  <c r="CC244" i="7"/>
  <c r="CC242" i="7"/>
  <c r="CC118" i="7"/>
  <c r="CC116" i="7"/>
  <c r="CC90" i="7"/>
  <c r="CC88" i="7"/>
  <c r="CC146" i="7"/>
  <c r="CC144" i="7"/>
  <c r="CC202" i="7"/>
  <c r="CC200" i="7"/>
  <c r="CC111" i="7"/>
  <c r="CC109" i="7"/>
  <c r="CC104" i="7"/>
  <c r="CC102" i="7"/>
  <c r="CC160" i="7"/>
  <c r="CC158" i="7"/>
  <c r="CC139" i="7"/>
  <c r="CC137" i="7"/>
  <c r="CC153" i="7"/>
  <c r="CC151" i="7"/>
  <c r="CC167" i="7"/>
  <c r="CC165" i="7"/>
  <c r="CC76" i="7"/>
  <c r="CC74" i="7"/>
  <c r="CC69" i="7"/>
  <c r="CC67" i="7"/>
  <c r="CC132" i="7"/>
  <c r="CC130" i="7"/>
  <c r="CC223" i="7"/>
  <c r="CC221" i="7"/>
  <c r="CC97" i="7"/>
  <c r="CC95" i="7"/>
  <c r="CC76" i="3"/>
  <c r="CC20" i="5"/>
  <c r="CC281" i="5"/>
  <c r="CC260" i="5"/>
  <c r="CC266" i="5" s="1"/>
  <c r="CC272" i="5"/>
  <c r="CC20" i="7"/>
  <c r="CC260" i="7"/>
  <c r="CC266" i="7" s="1"/>
  <c r="CC281" i="7"/>
  <c r="CC272" i="7"/>
  <c r="CC85" i="3"/>
  <c r="CC64" i="3"/>
  <c r="CC70" i="3" s="1"/>
  <c r="CB60" i="10" l="1"/>
  <c r="CB62" i="10"/>
  <c r="CC56" i="10"/>
  <c r="CB85" i="10"/>
  <c r="CB76" i="10"/>
  <c r="CB64" i="10"/>
  <c r="CB70" i="10" s="1"/>
  <c r="CC62" i="10" l="1"/>
  <c r="CC60" i="10"/>
  <c r="CC64" i="10"/>
  <c r="CC70" i="10" s="1"/>
  <c r="CC85" i="10"/>
  <c r="CC76" i="10"/>
</calcChain>
</file>

<file path=xl/sharedStrings.xml><?xml version="1.0" encoding="utf-8"?>
<sst xmlns="http://schemas.openxmlformats.org/spreadsheetml/2006/main" count="3193" uniqueCount="765">
  <si>
    <t>Screen Id</t>
  </si>
  <si>
    <t>PPSP0020</t>
  </si>
  <si>
    <t>Machine Name</t>
  </si>
  <si>
    <t>EGPSPC024</t>
  </si>
  <si>
    <t>Printed On</t>
  </si>
  <si>
    <t xml:space="preserve">2026-05-10 11:00:59 </t>
  </si>
  <si>
    <t>MPS Plan - Customer:[JCI]</t>
  </si>
  <si>
    <t>Section Code</t>
  </si>
  <si>
    <t>PORT SAID MANUFACTURING(SAID)</t>
  </si>
  <si>
    <t>MPS ID</t>
  </si>
  <si>
    <t>JCI2 RH_VOLVO RH_W20/26_W44/27_01</t>
  </si>
  <si>
    <t>MPS Type</t>
  </si>
  <si>
    <t>Oblige</t>
  </si>
  <si>
    <t>Target Efficiency</t>
  </si>
  <si>
    <t>Facility</t>
  </si>
  <si>
    <t>JCI2 RH</t>
  </si>
  <si>
    <t>Car Model</t>
  </si>
  <si>
    <t>VOLVO RH</t>
  </si>
  <si>
    <t>Working Hours</t>
  </si>
  <si>
    <t>From Date</t>
  </si>
  <si>
    <t>2026/05/11</t>
  </si>
  <si>
    <t>To Date</t>
  </si>
  <si>
    <t>2027/11/07</t>
  </si>
  <si>
    <t>Total Weeks</t>
  </si>
  <si>
    <t>offset Weeks</t>
  </si>
  <si>
    <t>Facility (DOS)</t>
  </si>
  <si>
    <t>Plan Suggestion By</t>
  </si>
  <si>
    <t>OPERATOR_EFFICIENCY</t>
  </si>
  <si>
    <t>Week Plan Offset</t>
  </si>
  <si>
    <t>Assy Std.Hr.</t>
  </si>
  <si>
    <t>JCI2 RH(Shift 1)</t>
  </si>
  <si>
    <t>JCI2 RH(Shift 2)</t>
  </si>
  <si>
    <t>JCI2 RH(Shift 3)</t>
  </si>
  <si>
    <t>Month</t>
  </si>
  <si>
    <t>Plan Date</t>
  </si>
  <si>
    <t>Week No</t>
  </si>
  <si>
    <t>SEWS-E WD</t>
  </si>
  <si>
    <t>Cust WD</t>
  </si>
  <si>
    <t>Invt Qty</t>
  </si>
  <si>
    <t>WIP</t>
  </si>
  <si>
    <t>Sales Qty</t>
  </si>
  <si>
    <t>Avg Days</t>
  </si>
  <si>
    <t>Plan Qty</t>
  </si>
  <si>
    <t>Bottom P/Qty</t>
  </si>
  <si>
    <t>GPTC Tm.</t>
  </si>
  <si>
    <t>Cust P.P.</t>
  </si>
  <si>
    <t>Comments</t>
  </si>
  <si>
    <t>Customer Plan</t>
  </si>
  <si>
    <t>Cust. Avg. Daily Build</t>
  </si>
  <si>
    <t>Heads</t>
  </si>
  <si>
    <t>Eff %</t>
  </si>
  <si>
    <t>Week/Hrs</t>
  </si>
  <si>
    <t>Team Qty</t>
  </si>
  <si>
    <t>Total Op.</t>
  </si>
  <si>
    <t>Car %age</t>
  </si>
  <si>
    <t>TotStdTm</t>
  </si>
  <si>
    <t>Clock Hours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</si>
  <si>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</si>
  <si>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</si>
  <si>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</si>
  <si>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</si>
  <si>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</si>
  <si>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</si>
  <si>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</si>
  <si>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</si>
  <si>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</si>
  <si>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</si>
  <si>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</si>
  <si>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</si>
  <si>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Bottom Level MPS[JCI]</t>
  </si>
  <si>
    <t xml:space="preserve">Safety Weeks </t>
  </si>
  <si>
    <t>Transit Weeks</t>
  </si>
  <si>
    <t>Efficency Var:</t>
  </si>
  <si>
    <t>Product No.</t>
  </si>
  <si>
    <t>Category</t>
  </si>
  <si>
    <t>11/05</t>
  </si>
  <si>
    <t>18/05</t>
  </si>
  <si>
    <t>25/05</t>
  </si>
  <si>
    <t>01/06</t>
  </si>
  <si>
    <t>08/06</t>
  </si>
  <si>
    <t>15/06</t>
  </si>
  <si>
    <t>22/06</t>
  </si>
  <si>
    <t>29/06</t>
  </si>
  <si>
    <t>06/07</t>
  </si>
  <si>
    <t>13/07</t>
  </si>
  <si>
    <t>20/07</t>
  </si>
  <si>
    <t>27/07</t>
  </si>
  <si>
    <t>03/08</t>
  </si>
  <si>
    <t>10/08</t>
  </si>
  <si>
    <t>17/08</t>
  </si>
  <si>
    <t>24/08</t>
  </si>
  <si>
    <t>31/08</t>
  </si>
  <si>
    <t>07/09</t>
  </si>
  <si>
    <t>14/09</t>
  </si>
  <si>
    <t>21/09</t>
  </si>
  <si>
    <t>28/09</t>
  </si>
  <si>
    <t>05/10</t>
  </si>
  <si>
    <t>12/10</t>
  </si>
  <si>
    <t>19/10</t>
  </si>
  <si>
    <t>26/10</t>
  </si>
  <si>
    <t>02/11</t>
  </si>
  <si>
    <t>09/11</t>
  </si>
  <si>
    <t>16/11</t>
  </si>
  <si>
    <t>23/11</t>
  </si>
  <si>
    <t>30/11</t>
  </si>
  <si>
    <t>07/12</t>
  </si>
  <si>
    <t>14/12</t>
  </si>
  <si>
    <t>21/12</t>
  </si>
  <si>
    <t>28/12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</si>
  <si>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</si>
  <si>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</si>
  <si>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</si>
  <si>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</si>
  <si>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</si>
  <si>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</si>
  <si>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</si>
  <si>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</si>
  <si>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</si>
  <si>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</si>
  <si>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15/03</t>
  </si>
  <si>
    <t>22/03</t>
  </si>
  <si>
    <t>29/03</t>
  </si>
  <si>
    <t>05/04</t>
  </si>
  <si>
    <t>12/04</t>
  </si>
  <si>
    <t>19/04</t>
  </si>
  <si>
    <t>26/04</t>
  </si>
  <si>
    <t>03/05</t>
  </si>
  <si>
    <t>10/05</t>
  </si>
  <si>
    <t>17/05</t>
  </si>
  <si>
    <t>24/05</t>
  </si>
  <si>
    <t>31/05</t>
  </si>
  <si>
    <t>07/06</t>
  </si>
  <si>
    <t>14/06</t>
  </si>
  <si>
    <t>21/06</t>
  </si>
  <si>
    <t>28/06</t>
  </si>
  <si>
    <t>05/07</t>
  </si>
  <si>
    <t>12/07</t>
  </si>
  <si>
    <t>19/07</t>
  </si>
  <si>
    <t>26/07</t>
  </si>
  <si>
    <t>02/08</t>
  </si>
  <si>
    <t>09/08</t>
  </si>
  <si>
    <t>16/08</t>
  </si>
  <si>
    <t>23/08</t>
  </si>
  <si>
    <t>30/08</t>
  </si>
  <si>
    <t>06/09</t>
  </si>
  <si>
    <t>13/09</t>
  </si>
  <si>
    <t>20/09</t>
  </si>
  <si>
    <t>27/09</t>
  </si>
  <si>
    <t>04/10</t>
  </si>
  <si>
    <t>11/10</t>
  </si>
  <si>
    <t>18/10</t>
  </si>
  <si>
    <t>25/10</t>
  </si>
  <si>
    <t>01/11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</si>
  <si>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</si>
  <si>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</si>
  <si>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</si>
  <si>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</si>
  <si>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</si>
  <si>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</si>
  <si>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</si>
  <si>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</si>
  <si>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</si>
  <si>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</si>
  <si>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</si>
  <si>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</si>
  <si>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</si>
  <si>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</si>
  <si>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</si>
  <si>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</si>
  <si>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</si>
  <si>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</si>
  <si>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</si>
  <si>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</si>
  <si>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</si>
  <si>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</si>
  <si>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</si>
  <si>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</si>
  <si>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</si>
  <si>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</si>
  <si>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</si>
  <si>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</si>
  <si>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</si>
  <si>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</si>
  <si>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</si>
  <si>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</si>
  <si>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</si>
  <si>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</si>
  <si>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</si>
  <si>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</si>
  <si>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</si>
  <si>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</si>
  <si>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</si>
  <si>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</si>
  <si>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</si>
  <si>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</si>
  <si>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</si>
  <si>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</si>
  <si>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</si>
  <si>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</si>
  <si>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</si>
  <si>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</si>
  <si>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</si>
  <si>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</si>
  <si>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</si>
  <si>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</si>
  <si>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</si>
  <si>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Days@Customer</t>
  </si>
  <si>
    <t>32248194</t>
  </si>
  <si>
    <t>C</t>
  </si>
  <si>
    <t>Tran. Pr.</t>
  </si>
  <si>
    <t>Assy ST.</t>
  </si>
  <si>
    <t>Plan</t>
  </si>
  <si>
    <t>Lead Prep ST.</t>
  </si>
  <si>
    <t>Sales</t>
  </si>
  <si>
    <t>Total ST.</t>
  </si>
  <si>
    <t>Days</t>
  </si>
  <si>
    <t>Shortage</t>
  </si>
  <si>
    <t>32248195</t>
  </si>
  <si>
    <t>4172784</t>
  </si>
  <si>
    <t>4172790</t>
  </si>
  <si>
    <t>4172797</t>
  </si>
  <si>
    <t>4172800</t>
  </si>
  <si>
    <t>4172806</t>
  </si>
  <si>
    <t>4172820</t>
  </si>
  <si>
    <t>4172821</t>
  </si>
  <si>
    <t>4172825</t>
  </si>
  <si>
    <t>4172826</t>
  </si>
  <si>
    <t>4264989</t>
  </si>
  <si>
    <t>4264994</t>
  </si>
  <si>
    <t>4755146</t>
  </si>
  <si>
    <t>4755147</t>
  </si>
  <si>
    <t>4817124</t>
  </si>
  <si>
    <t>4817125</t>
  </si>
  <si>
    <t>4817129</t>
  </si>
  <si>
    <t>4817130</t>
  </si>
  <si>
    <t>4817131</t>
  </si>
  <si>
    <t>4817134</t>
  </si>
  <si>
    <t>4817136</t>
  </si>
  <si>
    <t>5073064</t>
  </si>
  <si>
    <t>5080417</t>
  </si>
  <si>
    <t>5080431</t>
  </si>
  <si>
    <t>5080443</t>
  </si>
  <si>
    <t>5080446</t>
  </si>
  <si>
    <t>5080450</t>
  </si>
  <si>
    <t>5180039</t>
  </si>
  <si>
    <t>5180040</t>
  </si>
  <si>
    <t>5180041</t>
  </si>
  <si>
    <t>7506626</t>
  </si>
  <si>
    <t>7506627</t>
  </si>
  <si>
    <t>7506629</t>
  </si>
  <si>
    <t>7506630</t>
  </si>
  <si>
    <t>Sub Total :</t>
  </si>
  <si>
    <t>Leads Demand</t>
  </si>
  <si>
    <t>Plan Efficiency</t>
  </si>
  <si>
    <t>Days@SEWSE</t>
  </si>
  <si>
    <t>MPS Prod</t>
  </si>
  <si>
    <t>Variance</t>
  </si>
  <si>
    <t>Opening Stock Value</t>
  </si>
  <si>
    <t>WIP value</t>
  </si>
  <si>
    <t>Build value</t>
  </si>
  <si>
    <t>Sales value</t>
  </si>
  <si>
    <t>Build Material Cost</t>
  </si>
  <si>
    <t>Assy Std. Hours</t>
  </si>
  <si>
    <t>Total Std. Hours</t>
  </si>
  <si>
    <t>Sales Std. Hours [Assy St.]</t>
  </si>
  <si>
    <t>Sales Std. Hours [Total St.]</t>
  </si>
  <si>
    <t xml:space="preserve">Inventory Std. Hours </t>
  </si>
  <si>
    <t>Lead Prep Std. Hours</t>
  </si>
  <si>
    <t xml:space="preserve">Assy Labour </t>
  </si>
  <si>
    <t>Hours In Week</t>
  </si>
  <si>
    <t>Worked Hours</t>
  </si>
  <si>
    <t>Efficiency Target</t>
  </si>
  <si>
    <t>No Of Boxes</t>
  </si>
  <si>
    <t>No Of Operators</t>
  </si>
  <si>
    <t xml:space="preserve">Sales Mat Cost </t>
  </si>
  <si>
    <t>Sales No of Leads</t>
  </si>
  <si>
    <t>Avegare sales Std</t>
  </si>
  <si>
    <t>Average Plan Std</t>
  </si>
  <si>
    <t>Average Sales material cost</t>
  </si>
  <si>
    <t>Average Plan material cost</t>
  </si>
  <si>
    <t>Average Sales no. of leads</t>
  </si>
  <si>
    <t>Average plan no. of leads</t>
  </si>
  <si>
    <t>Sales Weeks for AVG Std Time</t>
  </si>
  <si>
    <t>JCI2 LH_VOLVO LH_W20/26_W44/27_01</t>
  </si>
  <si>
    <t>JCI2 LH</t>
  </si>
  <si>
    <t>VOLVO LH</t>
  </si>
  <si>
    <t>JCI2 LH(Shift 1)</t>
  </si>
  <si>
    <t>JCI2 LH(Shift 2)</t>
  </si>
  <si>
    <t>JCI2 LH(Shift 3)</t>
  </si>
  <si>
    <t>32248196</t>
  </si>
  <si>
    <t>4172749</t>
  </si>
  <si>
    <t>4172750</t>
  </si>
  <si>
    <t>4172753</t>
  </si>
  <si>
    <t>4172755</t>
  </si>
  <si>
    <t>4172763</t>
  </si>
  <si>
    <t>4172764</t>
  </si>
  <si>
    <t>4172770</t>
  </si>
  <si>
    <t>4172771</t>
  </si>
  <si>
    <t>4172773</t>
  </si>
  <si>
    <t>4754918</t>
  </si>
  <si>
    <t>4755038</t>
  </si>
  <si>
    <t>4755081</t>
  </si>
  <si>
    <t>4817100</t>
  </si>
  <si>
    <t>4817101</t>
  </si>
  <si>
    <t>4817103</t>
  </si>
  <si>
    <t>4817111</t>
  </si>
  <si>
    <t>4817114</t>
  </si>
  <si>
    <t>4817115</t>
  </si>
  <si>
    <t>5073058</t>
  </si>
  <si>
    <t>5073059</t>
  </si>
  <si>
    <t>5073060</t>
  </si>
  <si>
    <t>5073061</t>
  </si>
  <si>
    <t>5080263</t>
  </si>
  <si>
    <t>5080268</t>
  </si>
  <si>
    <t>5080284</t>
  </si>
  <si>
    <t>5080285</t>
  </si>
  <si>
    <t>5080291</t>
  </si>
  <si>
    <t>5080294</t>
  </si>
  <si>
    <t>5080299</t>
  </si>
  <si>
    <t>5180031</t>
  </si>
  <si>
    <t>5180032</t>
  </si>
  <si>
    <t>5180033</t>
  </si>
  <si>
    <t>7506616</t>
  </si>
  <si>
    <t>7506617</t>
  </si>
  <si>
    <t>ADIENT 620D_VOLVO 620D_W20/26_W44/27_01</t>
  </si>
  <si>
    <t>ADIENT 620D</t>
  </si>
  <si>
    <t>VOLVO 620D</t>
  </si>
  <si>
    <t>ADIENT 620(Shift 1)</t>
  </si>
  <si>
    <t>ADIENT 620(Shift 2)</t>
  </si>
  <si>
    <t>ADIENT 620(Shift 3)</t>
  </si>
  <si>
    <t>4429348</t>
  </si>
  <si>
    <t>4429349</t>
  </si>
  <si>
    <t>4429351</t>
  </si>
  <si>
    <t>4429352</t>
  </si>
  <si>
    <t>4429355</t>
  </si>
  <si>
    <t>4429356</t>
  </si>
  <si>
    <t>4429358</t>
  </si>
  <si>
    <t>PRODUCT NO</t>
  </si>
  <si>
    <t>TOTAL QTY</t>
  </si>
  <si>
    <t>040084640D00</t>
  </si>
  <si>
    <t>04320-T0A-D000</t>
  </si>
  <si>
    <t>176-910-00</t>
  </si>
  <si>
    <t>240093953R KIT2</t>
  </si>
  <si>
    <t>240100099V</t>
  </si>
  <si>
    <t>240101334V</t>
  </si>
  <si>
    <t>240102074V</t>
  </si>
  <si>
    <t>240102447V</t>
  </si>
  <si>
    <t>240102694V</t>
  </si>
  <si>
    <t>240103300V</t>
  </si>
  <si>
    <t>240103794V</t>
  </si>
  <si>
    <t>240103796V</t>
  </si>
  <si>
    <t>240103847V</t>
  </si>
  <si>
    <t>240104109V</t>
  </si>
  <si>
    <t>240104138V</t>
  </si>
  <si>
    <t>240104192V</t>
  </si>
  <si>
    <t>240104441V</t>
  </si>
  <si>
    <t>240104775V</t>
  </si>
  <si>
    <t>240105028V</t>
  </si>
  <si>
    <t>240105258V</t>
  </si>
  <si>
    <t>240105282V</t>
  </si>
  <si>
    <t>240105495V</t>
  </si>
  <si>
    <t>240105541V</t>
  </si>
  <si>
    <t>240105577V</t>
  </si>
  <si>
    <t>240106495V</t>
  </si>
  <si>
    <t>240107032V</t>
  </si>
  <si>
    <t>240107136V</t>
  </si>
  <si>
    <t>240107369V</t>
  </si>
  <si>
    <t>240107506V</t>
  </si>
  <si>
    <t>240108474V</t>
  </si>
  <si>
    <t>240108481V</t>
  </si>
  <si>
    <t>240108511S</t>
  </si>
  <si>
    <t>240108699V</t>
  </si>
  <si>
    <t>240108823V</t>
  </si>
  <si>
    <t>240109014V</t>
  </si>
  <si>
    <t>240109397V</t>
  </si>
  <si>
    <t>240109492V</t>
  </si>
  <si>
    <t>240109881V</t>
  </si>
  <si>
    <t>240109925S</t>
  </si>
  <si>
    <t>240130367R</t>
  </si>
  <si>
    <t>240130388R</t>
  </si>
  <si>
    <t>240130487R</t>
  </si>
  <si>
    <t>240130609R</t>
  </si>
  <si>
    <t>240130720R</t>
  </si>
  <si>
    <t>240130844R</t>
  </si>
  <si>
    <t>240130886R</t>
  </si>
  <si>
    <t>240131355R</t>
  </si>
  <si>
    <t>240131520R</t>
  </si>
  <si>
    <t>240131724R</t>
  </si>
  <si>
    <t>240131891R</t>
  </si>
  <si>
    <t>240132454R</t>
  </si>
  <si>
    <t>240132669R</t>
  </si>
  <si>
    <t>240132814R</t>
  </si>
  <si>
    <t>240132824R</t>
  </si>
  <si>
    <t>240133108R</t>
  </si>
  <si>
    <t>240133592R</t>
  </si>
  <si>
    <t>240133686R</t>
  </si>
  <si>
    <t>240134322R</t>
  </si>
  <si>
    <t>240135163R</t>
  </si>
  <si>
    <t>240135286R</t>
  </si>
  <si>
    <t>240135359R</t>
  </si>
  <si>
    <t>240135667R</t>
  </si>
  <si>
    <t>240135903R</t>
  </si>
  <si>
    <t>240135932R</t>
  </si>
  <si>
    <t>240136071R</t>
  </si>
  <si>
    <t>240136104R</t>
  </si>
  <si>
    <t>240136383R</t>
  </si>
  <si>
    <t>240136468R</t>
  </si>
  <si>
    <t>240136712R</t>
  </si>
  <si>
    <t>240136885R</t>
  </si>
  <si>
    <t>240137102R</t>
  </si>
  <si>
    <t>240137155R</t>
  </si>
  <si>
    <t>240137192R</t>
  </si>
  <si>
    <t>240137524R</t>
  </si>
  <si>
    <t>240137730R</t>
  </si>
  <si>
    <t>240137749R</t>
  </si>
  <si>
    <t>240138031R</t>
  </si>
  <si>
    <t>240138384R</t>
  </si>
  <si>
    <t>240138394R</t>
  </si>
  <si>
    <t>240138487R</t>
  </si>
  <si>
    <t>240139023R</t>
  </si>
  <si>
    <t>240139297R</t>
  </si>
  <si>
    <t>240139401R</t>
  </si>
  <si>
    <t>240139547R</t>
  </si>
  <si>
    <t>240139610R</t>
  </si>
  <si>
    <t>240139999R</t>
  </si>
  <si>
    <t>240149387S</t>
  </si>
  <si>
    <t>240150535R</t>
  </si>
  <si>
    <t>240151591R</t>
  </si>
  <si>
    <t>240152246R</t>
  </si>
  <si>
    <t>240152862R</t>
  </si>
  <si>
    <t>240155171R</t>
  </si>
  <si>
    <t>240157751R</t>
  </si>
  <si>
    <t>240160017R</t>
  </si>
  <si>
    <t>240163006R</t>
  </si>
  <si>
    <t>240164411R</t>
  </si>
  <si>
    <t>240511294R</t>
  </si>
  <si>
    <t>240514509R</t>
  </si>
  <si>
    <t>240516569R</t>
  </si>
  <si>
    <t>240683215R</t>
  </si>
  <si>
    <t>240683388R</t>
  </si>
  <si>
    <t>240685480R</t>
  </si>
  <si>
    <t>240689839R</t>
  </si>
  <si>
    <t>241241487R</t>
  </si>
  <si>
    <t>241244211R</t>
  </si>
  <si>
    <t>241246090R</t>
  </si>
  <si>
    <t>241247058R</t>
  </si>
  <si>
    <t>241248216R</t>
  </si>
  <si>
    <t>241249983R</t>
  </si>
  <si>
    <t>241250315R</t>
  </si>
  <si>
    <t>241251198R</t>
  </si>
  <si>
    <t>241251876R</t>
  </si>
  <si>
    <t>241252728R</t>
  </si>
  <si>
    <t>241256076R</t>
  </si>
  <si>
    <t>241256359R</t>
  </si>
  <si>
    <t>241259968R</t>
  </si>
  <si>
    <t>241261133R</t>
  </si>
  <si>
    <t>241261256R</t>
  </si>
  <si>
    <t>241261503R</t>
  </si>
  <si>
    <t>241262037R</t>
  </si>
  <si>
    <t>241267635R</t>
  </si>
  <si>
    <t>241273786R</t>
  </si>
  <si>
    <t>241274088R</t>
  </si>
  <si>
    <t>241274347R</t>
  </si>
  <si>
    <t>241277443R</t>
  </si>
  <si>
    <t>241279529R</t>
  </si>
  <si>
    <t>241602378R</t>
  </si>
  <si>
    <t>241603391R</t>
  </si>
  <si>
    <t>241604109R</t>
  </si>
  <si>
    <t>241604761R</t>
  </si>
  <si>
    <t>241606037R</t>
  </si>
  <si>
    <t>241606780R</t>
  </si>
  <si>
    <t>241630851S</t>
  </si>
  <si>
    <t>241630855S</t>
  </si>
  <si>
    <t>241630947S</t>
  </si>
  <si>
    <t>241631202S</t>
  </si>
  <si>
    <t>241631246S</t>
  </si>
  <si>
    <t>241631611S</t>
  </si>
  <si>
    <t>241631684S</t>
  </si>
  <si>
    <t>241631708S</t>
  </si>
  <si>
    <t>241631880S</t>
  </si>
  <si>
    <t>241632202S</t>
  </si>
  <si>
    <t>241632236S</t>
  </si>
  <si>
    <t>241632414S</t>
  </si>
  <si>
    <t>241632428S</t>
  </si>
  <si>
    <t>241632454S</t>
  </si>
  <si>
    <t>241632650S</t>
  </si>
  <si>
    <t>241632697S</t>
  </si>
  <si>
    <t>241632890S</t>
  </si>
  <si>
    <t>241632984S</t>
  </si>
  <si>
    <t>241633366S</t>
  </si>
  <si>
    <t>241633577S</t>
  </si>
  <si>
    <t>241633597S</t>
  </si>
  <si>
    <t>241633634S</t>
  </si>
  <si>
    <t>241633681S</t>
  </si>
  <si>
    <t>241633707S</t>
  </si>
  <si>
    <t>241633857S</t>
  </si>
  <si>
    <t>241633861S</t>
  </si>
  <si>
    <t>241634046S</t>
  </si>
  <si>
    <t>241634159S</t>
  </si>
  <si>
    <t>241634230S</t>
  </si>
  <si>
    <t>241634296S</t>
  </si>
  <si>
    <t>241634360S</t>
  </si>
  <si>
    <t>241634861S</t>
  </si>
  <si>
    <t>241635039S</t>
  </si>
  <si>
    <t>241635275S</t>
  </si>
  <si>
    <t>241635543S</t>
  </si>
  <si>
    <t>241635691S</t>
  </si>
  <si>
    <t>241635982S</t>
  </si>
  <si>
    <t>241636372S</t>
  </si>
  <si>
    <t>241636438S</t>
  </si>
  <si>
    <t>241636786S</t>
  </si>
  <si>
    <t>241636818S</t>
  </si>
  <si>
    <t>241637085S</t>
  </si>
  <si>
    <t>241637163S</t>
  </si>
  <si>
    <t>241637537S</t>
  </si>
  <si>
    <t>241637808S</t>
  </si>
  <si>
    <t>241638227S</t>
  </si>
  <si>
    <t>241638383S</t>
  </si>
  <si>
    <t>241638466S</t>
  </si>
  <si>
    <t>241638552S</t>
  </si>
  <si>
    <t>241638702S</t>
  </si>
  <si>
    <t>241638875S</t>
  </si>
  <si>
    <t>241639074S</t>
  </si>
  <si>
    <t>241639136S</t>
  </si>
  <si>
    <t>241639351S</t>
  </si>
  <si>
    <t>241639394S</t>
  </si>
  <si>
    <t>241639545S</t>
  </si>
  <si>
    <t>241639869S</t>
  </si>
  <si>
    <t>241639913S</t>
  </si>
  <si>
    <t>253A91823R</t>
  </si>
  <si>
    <t>253A94282R</t>
  </si>
  <si>
    <t>253A98127R</t>
  </si>
  <si>
    <t>32100-K0B-D100</t>
  </si>
  <si>
    <t>32100-K0R-AF01</t>
  </si>
  <si>
    <t>32100-K0R-AG01</t>
  </si>
  <si>
    <t>32100-K1B-DC01</t>
  </si>
  <si>
    <t>32100-K1B-DD01</t>
  </si>
  <si>
    <t>32100-K1BN-DD05</t>
  </si>
  <si>
    <t>32100-K1W-DK00</t>
  </si>
  <si>
    <t>32100-K2L-DD01</t>
  </si>
  <si>
    <t>32100-K2L-DG01</t>
  </si>
  <si>
    <t>32100-K40-D502</t>
  </si>
  <si>
    <t>32100-K40-D602</t>
  </si>
  <si>
    <t>32100-TV8-G104</t>
  </si>
  <si>
    <t>32101-K1W-DJ00</t>
  </si>
  <si>
    <t>32102-K0R-A000</t>
  </si>
  <si>
    <t>32104-K1W-D200</t>
  </si>
  <si>
    <t>32107-K1B-T001</t>
  </si>
  <si>
    <t>32107-K40-F600</t>
  </si>
  <si>
    <t>32107-TGG-A420</t>
  </si>
  <si>
    <t>32108-K1B-T001</t>
  </si>
  <si>
    <t>32108-K40-F600</t>
  </si>
  <si>
    <t>32117-SWW-S413</t>
  </si>
  <si>
    <t>32117-TEA-P001</t>
  </si>
  <si>
    <t>32200-TFK-P720</t>
  </si>
  <si>
    <t>32200-TGG-C021</t>
  </si>
  <si>
    <t>32200-TGG-E731</t>
  </si>
  <si>
    <t>32200-TGG-F501</t>
  </si>
  <si>
    <t>32200-TGG-L322</t>
  </si>
  <si>
    <t>32200-TGG-L722</t>
  </si>
  <si>
    <t>32200-TGG-S201</t>
  </si>
  <si>
    <t>32251-K0R-D100</t>
  </si>
  <si>
    <t>32251-K0W-JA00</t>
  </si>
  <si>
    <t>32251-K2L-D100</t>
  </si>
  <si>
    <t>32251-K40-F700</t>
  </si>
  <si>
    <t>32600-T1G-G000</t>
  </si>
  <si>
    <t>32600-TV2-E001</t>
  </si>
  <si>
    <t>403880324S</t>
  </si>
  <si>
    <t>403881555S</t>
  </si>
  <si>
    <t>403881814S</t>
  </si>
  <si>
    <t>403882479S</t>
  </si>
  <si>
    <t>403882678S</t>
  </si>
  <si>
    <t>403883836S</t>
  </si>
  <si>
    <t>403883860S</t>
  </si>
  <si>
    <t>403884655S</t>
  </si>
  <si>
    <t>403884756S</t>
  </si>
  <si>
    <t>403884916S</t>
  </si>
  <si>
    <t>403885744S</t>
  </si>
  <si>
    <t>403885847S</t>
  </si>
  <si>
    <t>403886191S</t>
  </si>
  <si>
    <t>403886422S</t>
  </si>
  <si>
    <t>403886511S</t>
  </si>
  <si>
    <t>403886664S</t>
  </si>
  <si>
    <t>403887576S</t>
  </si>
  <si>
    <t>403887706S</t>
  </si>
  <si>
    <t>403887896S</t>
  </si>
  <si>
    <t>403888062S</t>
  </si>
  <si>
    <t>403889088S</t>
  </si>
  <si>
    <t>403889960S</t>
  </si>
  <si>
    <t>451070H01000</t>
  </si>
  <si>
    <t>4898631</t>
  </si>
  <si>
    <t>4898632</t>
  </si>
  <si>
    <t>4898640</t>
  </si>
  <si>
    <t>4898644</t>
  </si>
  <si>
    <t>5755217</t>
  </si>
  <si>
    <t>6718202</t>
  </si>
  <si>
    <t>6718207</t>
  </si>
  <si>
    <t>6718208</t>
  </si>
  <si>
    <t>6718233</t>
  </si>
  <si>
    <t>6718251</t>
  </si>
  <si>
    <t>6737895</t>
  </si>
  <si>
    <t>8211505A3100</t>
  </si>
  <si>
    <t>82119F424000</t>
  </si>
  <si>
    <t>82119F425000</t>
  </si>
  <si>
    <t>82119KK38000</t>
  </si>
  <si>
    <t>82119KK39000</t>
  </si>
  <si>
    <t>8211AKK01000</t>
  </si>
  <si>
    <t>8211AKK03000</t>
  </si>
  <si>
    <t>8211HKKJ3000</t>
  </si>
  <si>
    <t>8211HKKU4000</t>
  </si>
  <si>
    <t>8211HKKU5000</t>
  </si>
  <si>
    <t>821210DX6000</t>
  </si>
  <si>
    <t>821210H55000</t>
  </si>
  <si>
    <t>821210H61000</t>
  </si>
  <si>
    <t>821210U22000</t>
  </si>
  <si>
    <t>821210U23000</t>
  </si>
  <si>
    <t>821210ZJ3000</t>
  </si>
  <si>
    <t>821210ZX3000</t>
  </si>
  <si>
    <t>82121F445000</t>
  </si>
  <si>
    <t>82121K035000</t>
  </si>
  <si>
    <t>821230H03000</t>
  </si>
  <si>
    <t>82123F405000</t>
  </si>
  <si>
    <t>821250D03000</t>
  </si>
  <si>
    <t>82125F402000</t>
  </si>
  <si>
    <t>82126F401000</t>
  </si>
  <si>
    <t>82126K003000</t>
  </si>
  <si>
    <t>82127F401000</t>
  </si>
  <si>
    <t>821390232000</t>
  </si>
  <si>
    <t>821390233000</t>
  </si>
  <si>
    <t>821440216000</t>
  </si>
  <si>
    <t>82146F462000</t>
  </si>
  <si>
    <t>82146F474000</t>
  </si>
  <si>
    <t>82146F477000</t>
  </si>
  <si>
    <t>82146F4E9000</t>
  </si>
  <si>
    <t>82146F4F0000</t>
  </si>
  <si>
    <t>82146F4J2000</t>
  </si>
  <si>
    <t>82146F4J5000</t>
  </si>
  <si>
    <t>82146F4J6000</t>
  </si>
  <si>
    <t>82146F4K3000</t>
  </si>
  <si>
    <t>82146F4K5000</t>
  </si>
  <si>
    <t>82146F4K6000</t>
  </si>
  <si>
    <t>82146F4K6100</t>
  </si>
  <si>
    <t>82146F4K9000</t>
  </si>
  <si>
    <t>82146F4L4000</t>
  </si>
  <si>
    <t>82146F4L5000</t>
  </si>
  <si>
    <t>82146F4L7100</t>
  </si>
  <si>
    <t>82146F4M3000</t>
  </si>
  <si>
    <t>82146F4M8000</t>
  </si>
  <si>
    <t>82153F419000</t>
  </si>
  <si>
    <t>82153F421000</t>
  </si>
  <si>
    <t>82153F435000</t>
  </si>
  <si>
    <t>82154F419000</t>
  </si>
  <si>
    <t>82154F421000</t>
  </si>
  <si>
    <t>82154F422000</t>
  </si>
  <si>
    <t>82154F437000</t>
  </si>
  <si>
    <t>82163K003000</t>
  </si>
  <si>
    <t>82165F405000</t>
  </si>
  <si>
    <t>821710H08000</t>
  </si>
  <si>
    <t>821720H05000</t>
  </si>
  <si>
    <t>821720H06000</t>
  </si>
  <si>
    <t>82183F401000</t>
  </si>
  <si>
    <t>82183F406000</t>
  </si>
  <si>
    <t>82183KK08000</t>
  </si>
  <si>
    <t>82184F4E7000</t>
  </si>
  <si>
    <t>82184F4M1000</t>
  </si>
  <si>
    <t>82219F401000</t>
  </si>
  <si>
    <t>82219K003000</t>
  </si>
  <si>
    <t>82219K004000</t>
  </si>
  <si>
    <t>82412F401000</t>
  </si>
  <si>
    <t>826210D05000</t>
  </si>
  <si>
    <t>828210D08000</t>
  </si>
  <si>
    <t>828240207000</t>
  </si>
  <si>
    <t>828240208000</t>
  </si>
  <si>
    <t>828240H12000</t>
  </si>
  <si>
    <t>861C70201000</t>
  </si>
  <si>
    <t>890C00203000</t>
  </si>
  <si>
    <t>890C00204000</t>
  </si>
  <si>
    <t>890C00H01000</t>
  </si>
  <si>
    <t>890C00H02000</t>
  </si>
  <si>
    <t>890C0F401000</t>
  </si>
  <si>
    <t>890C0F402000</t>
  </si>
  <si>
    <t>890C0F421000</t>
  </si>
  <si>
    <t>890C0F422000</t>
  </si>
  <si>
    <t>890C0K001000</t>
  </si>
  <si>
    <t>890C0K002000</t>
  </si>
  <si>
    <t>895160229000</t>
  </si>
  <si>
    <t>895160230000</t>
  </si>
  <si>
    <t>909800915200</t>
  </si>
  <si>
    <t>940716553</t>
  </si>
  <si>
    <t>940716554</t>
  </si>
  <si>
    <t>CZ246480-7021</t>
  </si>
  <si>
    <t>CZ246510-7400</t>
  </si>
  <si>
    <t>G96B1F402000</t>
  </si>
  <si>
    <t>G96B2F402000</t>
  </si>
  <si>
    <t>G96B3F401000</t>
  </si>
  <si>
    <t>WK20</t>
  </si>
  <si>
    <t>WK21</t>
  </si>
  <si>
    <t>5759549</t>
  </si>
  <si>
    <t>6167996</t>
  </si>
  <si>
    <t>6168001</t>
  </si>
  <si>
    <t>6718227</t>
  </si>
  <si>
    <t>6718248</t>
  </si>
  <si>
    <t>6737904</t>
  </si>
  <si>
    <t>6737910</t>
  </si>
  <si>
    <t>4898626</t>
  </si>
  <si>
    <t>4898628</t>
  </si>
  <si>
    <t>4898629</t>
  </si>
  <si>
    <t>4898638</t>
  </si>
  <si>
    <t>4898643</t>
  </si>
  <si>
    <t>4898645</t>
  </si>
  <si>
    <t>4898647</t>
  </si>
  <si>
    <t>4898611</t>
  </si>
  <si>
    <t>4898633</t>
  </si>
  <si>
    <t>4898635</t>
  </si>
  <si>
    <t>4898648</t>
  </si>
  <si>
    <t>4901370</t>
  </si>
  <si>
    <t>5543427</t>
  </si>
  <si>
    <t>5543428</t>
  </si>
  <si>
    <t>5951382</t>
  </si>
  <si>
    <t>5951384</t>
  </si>
  <si>
    <t>6718211</t>
  </si>
  <si>
    <t>5080198</t>
  </si>
  <si>
    <t>5080375</t>
  </si>
  <si>
    <t>WK 20</t>
  </si>
  <si>
    <t>WK 21</t>
  </si>
  <si>
    <t>WK 22</t>
  </si>
  <si>
    <t>WK 23</t>
  </si>
  <si>
    <t>WK 24</t>
  </si>
  <si>
    <t>WK 25</t>
  </si>
  <si>
    <t>WK 26</t>
  </si>
  <si>
    <t>WK 27</t>
  </si>
  <si>
    <t>WK 28</t>
  </si>
  <si>
    <t>WK 29</t>
  </si>
  <si>
    <t>WK 30</t>
  </si>
  <si>
    <t>WK 31</t>
  </si>
  <si>
    <t>WK 32</t>
  </si>
  <si>
    <t>WK 33</t>
  </si>
  <si>
    <t>WK 34</t>
  </si>
  <si>
    <t>WK 35</t>
  </si>
  <si>
    <t>WK 36</t>
  </si>
  <si>
    <t>WK 37</t>
  </si>
  <si>
    <t>WK 38</t>
  </si>
  <si>
    <t>WK 39</t>
  </si>
  <si>
    <t>WK 40</t>
  </si>
  <si>
    <t>WK 41</t>
  </si>
  <si>
    <t>WK 42</t>
  </si>
  <si>
    <t>WK 43</t>
  </si>
  <si>
    <t>WK 44</t>
  </si>
  <si>
    <t>WK 45</t>
  </si>
  <si>
    <t>WK 46</t>
  </si>
  <si>
    <t>WK 47</t>
  </si>
  <si>
    <t>WK 48</t>
  </si>
  <si>
    <t>WK 49</t>
  </si>
  <si>
    <t>WK 50</t>
  </si>
  <si>
    <t>WK 51</t>
  </si>
  <si>
    <t>WK 52</t>
  </si>
  <si>
    <t>Move to Posa.3</t>
  </si>
  <si>
    <t>Starting Week Col</t>
  </si>
  <si>
    <t>Var Row</t>
  </si>
  <si>
    <t>Working HRS Row</t>
  </si>
  <si>
    <t>Inv Row</t>
  </si>
  <si>
    <t>Pln Row</t>
  </si>
  <si>
    <t>Weeks to Cover</t>
  </si>
  <si>
    <t>Target Eff.</t>
  </si>
  <si>
    <t>wk22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</si>
</sst>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5" x14ac:knownFonts="1">
    <font>
      <sz val="10"/>
      <name val="Tahoma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18"/>
      <name val="Tahoma"/>
      <family val="2"/>
    </font>
    <font>
      <sz val="10"/>
      <color indexed="21"/>
      <name val="Tahoma"/>
    </font>
    <font>
      <sz val="10"/>
      <color indexed="10"/>
      <name val="Tahoma"/>
      <family val="2"/>
    </font>
    <font>
      <b/>
      <sz val="10"/>
      <color indexed="17"/>
      <name val="Tahoma"/>
      <family val="2"/>
    </font>
    <font>
      <b/>
      <sz val="10"/>
      <color indexed="10"/>
      <name val="Tahoma"/>
      <family val="2"/>
    </font>
    <font>
      <b/>
      <sz val="10"/>
      <color indexed="20"/>
      <name val="Tahoma"/>
      <family val="2"/>
    </font>
    <font>
      <b/>
      <sz val="10"/>
      <color indexed="40"/>
      <name val="Tahoma"/>
      <family val="2"/>
    </font>
    <font>
      <b/>
      <sz val="10"/>
      <color indexed="62"/>
      <name val="Tahoma"/>
      <family val="2"/>
    </font>
    <font>
      <sz val="10"/>
      <name val="Tahoma"/>
    </font>
    <font>
      <sz val="10"/>
      <name val="Arial"/>
      <family val="2"/>
    </font>
    <font>
      <b/>
      <sz val="10"/>
      <color indexed="57"/>
      <name val="Arial"/>
      <family val="2"/>
    </font>
    <font>
      <b/>
      <sz val="10"/>
      <color indexed="6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0000"/>
      </patternFill>
    </fill>
    <fill>
      <patternFill patternType="solid">
        <fgColor rgb="FFD3D3D3"/>
      </patternFill>
    </fill>
    <fill>
      <patternFill patternType="solid">
        <fgColor rgb="FFADD8E6"/>
      </patternFill>
    </fill>
    <fill>
      <patternFill patternType="solid">
        <fgColor rgb="FFC6EFCE"/>
      </patternFill>
    </fill>
    <fill>
      <patternFill patternType="solid">
        <fgColor rgb="FFFFD5AA"/>
      </patternFill>
    </fill>
    <fill>
      <patternFill patternType="solid">
        <fgColor rgb="FFFFC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8">
    <xf numFmtId="0" fontId="0" fillId="0" borderId="0" xfId="0"/>
    <xf numFmtId="0" fontId="12" fillId="25" borderId="0" xfId="0" applyFont="1" applyFill="1" applyAlignment="1">
      <alignment wrapText="1"/>
    </xf>
    <xf numFmtId="0" fontId="0" fillId="24" borderId="1" xfId="0" applyFill="1" applyBorder="1"/>
    <xf numFmtId="14" fontId="0" fillId="24" borderId="1" xfId="0" applyNumberFormat="1" applyFill="1" applyBorder="1" applyAlignment="1" applyProtection="1"/>
    <xf numFmtId="0" fontId="1" fillId="24" borderId="1" xfId="0" applyFont="1" applyFill="1" applyBorder="1" applyAlignment="1">
      <alignment horizontal="left"/>
    </xf>
    <xf numFmtId="0" fontId="0" fillId="0" borderId="1" xfId="0" applyBorder="1"/>
    <xf numFmtId="9" fontId="0" fillId="0" borderId="1" xfId="0" applyNumberFormat="1" applyBorder="1"/>
    <xf numFmtId="1" fontId="0" fillId="0" borderId="1" xfId="0" applyNumberForma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/>
    <xf numFmtId="0" fontId="0" fillId="0" borderId="1" xfId="0" applyBorder="1" applyAlignment="1">
      <alignment horizontal="right"/>
    </xf>
    <xf numFmtId="9" fontId="0" fillId="0" borderId="0" xfId="0" applyNumberFormat="1"/>
    <xf numFmtId="0" fontId="0" fillId="2" borderId="1" xfId="0" applyNumberFormat="1" applyFill="1" applyBorder="1" applyAlignment="1" applyProtection="1"/>
    <xf numFmtId="0" fontId="0" fillId="3" borderId="1" xfId="0" applyNumberFormat="1" applyFill="1" applyBorder="1" applyAlignment="1" applyProtection="1"/>
    <xf numFmtId="9" fontId="0" fillId="3" borderId="1" xfId="0" applyNumberFormat="1" applyFill="1" applyBorder="1" applyAlignment="1" applyProtection="1"/>
    <xf numFmtId="0" fontId="0" fillId="3" borderId="1" xfId="0" quotePrefix="1" applyNumberFormat="1" applyFill="1" applyBorder="1" applyAlignment="1" applyProtection="1"/>
    <xf numFmtId="0" fontId="0" fillId="4" borderId="1" xfId="0" applyNumberFormat="1" applyFill="1" applyBorder="1" applyAlignment="1" applyProtection="1">
      <alignment horizontal="center" vertical="center" wrapText="1"/>
    </xf>
    <xf numFmtId="0" fontId="0" fillId="5" borderId="1" xfId="0" applyNumberFormat="1" applyFill="1" applyBorder="1" applyAlignment="1" applyProtection="1">
      <alignment horizontal="center" vertical="center"/>
    </xf>
    <xf numFmtId="0" fontId="0" fillId="6" borderId="1" xfId="0" applyNumberFormat="1" applyFill="1" applyBorder="1" applyAlignment="1" applyProtection="1">
      <alignment horizontal="center" vertical="center"/>
    </xf>
    <xf numFmtId="14" fontId="0" fillId="0" borderId="1" xfId="0" applyNumberFormat="1" applyFill="1" applyBorder="1" applyAlignment="1" applyProtection="1"/>
    <xf numFmtId="0" fontId="0" fillId="10" borderId="1" xfId="0" applyNumberFormat="1" applyFill="1" applyBorder="1" applyAlignment="1" applyProtection="1"/>
    <xf numFmtId="9" fontId="0" fillId="10" borderId="1" xfId="0" applyNumberFormat="1" applyFill="1" applyBorder="1" applyAlignment="1" applyProtection="1"/>
    <xf numFmtId="0" fontId="0" fillId="11" borderId="1" xfId="0" applyNumberFormat="1" applyFill="1" applyBorder="1" applyAlignment="1" applyProtection="1"/>
    <xf numFmtId="9" fontId="0" fillId="11" borderId="1" xfId="0" applyNumberFormat="1" applyFill="1" applyBorder="1" applyAlignment="1" applyProtection="1"/>
    <xf numFmtId="0" fontId="0" fillId="12" borderId="1" xfId="0" applyNumberFormat="1" applyFill="1" applyBorder="1" applyAlignment="1" applyProtection="1"/>
    <xf numFmtId="9" fontId="0" fillId="12" borderId="1" xfId="0" applyNumberFormat="1" applyFill="1" applyBorder="1" applyAlignment="1" applyProtection="1"/>
    <xf numFmtId="0" fontId="0" fillId="13" borderId="1" xfId="0" applyNumberFormat="1" applyFill="1" applyBorder="1" applyAlignment="1" applyProtection="1"/>
    <xf numFmtId="0" fontId="0" fillId="14" borderId="1" xfId="0" applyNumberFormat="1" applyFill="1" applyBorder="1" applyAlignment="1" applyProtection="1"/>
    <xf numFmtId="0" fontId="0" fillId="15" borderId="1" xfId="0" applyNumberFormat="1" applyFill="1" applyBorder="1" applyAlignment="1" applyProtection="1"/>
    <xf numFmtId="0" fontId="0" fillId="16" borderId="1" xfId="0" applyNumberFormat="1" applyFill="1" applyBorder="1" applyAlignment="1" applyProtection="1"/>
    <xf numFmtId="0" fontId="0" fillId="17" borderId="1" xfId="0" applyNumberFormat="1" applyFill="1" applyBorder="1" applyAlignment="1" applyProtection="1"/>
    <xf numFmtId="0" fontId="0" fillId="18" borderId="1" xfId="0" applyNumberFormat="1" applyFill="1" applyBorder="1" applyAlignment="1" applyProtection="1"/>
    <xf numFmtId="9" fontId="0" fillId="18" borderId="1" xfId="0" applyNumberFormat="1" applyFill="1" applyBorder="1" applyAlignment="1" applyProtection="1"/>
    <xf numFmtId="0" fontId="0" fillId="19" borderId="1" xfId="0" applyNumberFormat="1" applyFill="1" applyBorder="1" applyAlignment="1" applyProtection="1"/>
    <xf numFmtId="9" fontId="0" fillId="19" borderId="1" xfId="0" applyNumberFormat="1" applyFill="1" applyBorder="1" applyAlignment="1" applyProtection="1"/>
    <xf numFmtId="0" fontId="0" fillId="7" borderId="1" xfId="0" applyNumberFormat="1" applyFill="1" applyBorder="1" applyAlignment="1" applyProtection="1"/>
    <xf numFmtId="9" fontId="0" fillId="7" borderId="1" xfId="0" applyNumberForma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1" xfId="0" quotePrefix="1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3" fillId="0" borderId="1" xfId="0" quotePrefix="1" applyNumberFormat="1" applyFont="1" applyFill="1" applyBorder="1" applyAlignment="1" applyProtection="1"/>
    <xf numFmtId="49" fontId="2" fillId="4" borderId="2" xfId="0" applyNumberFormat="1" applyFont="1" applyFill="1" applyBorder="1" applyAlignment="1" applyProtection="1"/>
    <xf numFmtId="0" fontId="2" fillId="4" borderId="2" xfId="0" applyNumberFormat="1" applyFont="1" applyFill="1" applyBorder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/>
    <xf numFmtId="165" fontId="7" fillId="0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/>
    <xf numFmtId="164" fontId="2" fillId="0" borderId="1" xfId="0" applyNumberFormat="1" applyFont="1" applyFill="1" applyBorder="1" applyAlignment="1" applyProtection="1"/>
    <xf numFmtId="0" fontId="9" fillId="0" borderId="1" xfId="0" applyNumberFormat="1" applyFont="1" applyFill="1" applyBorder="1" applyAlignment="1" applyProtection="1"/>
    <xf numFmtId="9" fontId="10" fillId="0" borderId="1" xfId="0" applyNumberFormat="1" applyFont="1" applyFill="1" applyBorder="1" applyAlignment="1" applyProtection="1"/>
    <xf numFmtId="1" fontId="0" fillId="10" borderId="1" xfId="0" applyNumberFormat="1" applyFill="1" applyBorder="1" applyAlignment="1" applyProtection="1"/>
    <xf numFmtId="0" fontId="2" fillId="0" borderId="0" xfId="0" applyNumberFormat="1" applyFont="1" applyFill="1" applyAlignment="1" applyProtection="1"/>
    <xf numFmtId="49" fontId="0" fillId="0" borderId="0" xfId="0" applyNumberFormat="1" applyFill="1" applyAlignment="1" applyProtection="1"/>
    <xf numFmtId="0" fontId="0" fillId="20" borderId="1" xfId="0" applyNumberFormat="1" applyFill="1" applyBorder="1" applyAlignment="1" applyProtection="1"/>
    <xf numFmtId="0" fontId="0" fillId="21" borderId="0" xfId="0" applyNumberFormat="1" applyFill="1" applyAlignment="1" applyProtection="1"/>
    <xf numFmtId="0" fontId="0" fillId="22" borderId="0" xfId="0" applyNumberFormat="1" applyFill="1" applyAlignment="1" applyProtection="1"/>
    <xf numFmtId="0" fontId="0" fillId="23" borderId="0" xfId="0" applyNumberFormat="1" applyFill="1" applyAlignment="1" applyProtection="1"/>
    <xf numFmtId="0" fontId="13" fillId="0" borderId="0" xfId="0" applyFont="1"/>
    <xf numFmtId="0" fontId="12" fillId="25" borderId="0" xfId="0" applyFont="1" applyFill="1"/>
    <xf numFmtId="0" fontId="12" fillId="26" borderId="0" xfId="0" applyFont="1" applyFill="1" applyAlignment="1">
      <alignment wrapText="1"/>
    </xf>
    <xf numFmtId="0" fontId="14" fillId="0" borderId="0" xfId="0" applyFont="1"/>
    <xf numFmtId="2" fontId="14" fillId="0" borderId="0" xfId="0" applyNumberFormat="1" applyFont="1"/>
    <xf numFmtId="9" fontId="0" fillId="0" borderId="0" xfId="1" applyFont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/>
    <xf numFmtId="0" fontId="0" fillId="22" borderId="0" xfId="0" applyNumberFormat="1" applyFill="1" applyBorder="1" applyAlignment="1" applyProtection="1"/>
    <xf numFmtId="0" fontId="0" fillId="23" borderId="0" xfId="0" applyNumberFormat="1" applyFill="1" applyBorder="1" applyAlignment="1" applyProtection="1"/>
    <xf numFmtId="0" fontId="0" fillId="21" borderId="0" xfId="0" applyNumberFormat="1" applyFill="1" applyBorder="1" applyAlignment="1" applyProtection="1"/>
    <xf numFmtId="0" fontId="0" fillId="27" borderId="0" xfId="0" applyFill="1" applyBorder="1"/>
    <xf numFmtId="0" fontId="0" fillId="27" borderId="0" xfId="0" applyFill="1"/>
    <xf numFmtId="0" fontId="0" fillId="8" borderId="2" xfId="0" applyNumberFormat="1" applyFill="1" applyBorder="1" applyAlignment="1" applyProtection="1">
      <alignment horizontal="center" vertical="center"/>
    </xf>
    <xf numFmtId="0" fontId="0" fillId="8" borderId="9" xfId="0" applyNumberFormat="1" applyFill="1" applyBorder="1" applyAlignment="1" applyProtection="1">
      <alignment horizontal="center" vertical="center"/>
    </xf>
    <xf numFmtId="0" fontId="0" fillId="0" borderId="1" xfId="0" applyBorder="1"/>
    <xf numFmtId="0" fontId="0" fillId="3" borderId="1" xfId="0" applyNumberFormat="1" applyFill="1" applyBorder="1" applyAlignment="1" applyProtection="1"/>
    <xf numFmtId="0" fontId="0" fillId="3" borderId="1" xfId="0" quotePrefix="1" applyNumberFormat="1" applyFill="1" applyBorder="1" applyAlignment="1" applyProtection="1"/>
    <xf numFmtId="0" fontId="0" fillId="2" borderId="1" xfId="0" quotePrefix="1" applyNumberFormat="1" applyFill="1" applyBorder="1" applyAlignment="1" applyProtection="1"/>
    <xf numFmtId="0" fontId="0" fillId="2" borderId="1" xfId="0" applyNumberFormat="1" applyFill="1" applyBorder="1" applyAlignment="1" applyProtection="1"/>
    <xf numFmtId="0" fontId="2" fillId="9" borderId="6" xfId="0" applyNumberFormat="1" applyFont="1" applyFill="1" applyBorder="1" applyAlignment="1" applyProtection="1">
      <alignment horizontal="center" vertical="center"/>
    </xf>
    <xf numFmtId="0" fontId="2" fillId="9" borderId="7" xfId="0" applyNumberFormat="1" applyFont="1" applyFill="1" applyBorder="1" applyAlignment="1" applyProtection="1">
      <alignment horizontal="center" vertical="center"/>
    </xf>
    <xf numFmtId="0" fontId="2" fillId="9" borderId="8" xfId="0" applyNumberFormat="1" applyFont="1" applyFill="1" applyBorder="1" applyAlignment="1" applyProtection="1">
      <alignment horizontal="center" vertical="center"/>
    </xf>
    <xf numFmtId="0" fontId="0" fillId="0" borderId="4" xfId="0" applyNumberFormat="1" applyFill="1" applyBorder="1" applyAlignment="1" applyProtection="1"/>
    <xf numFmtId="0" fontId="0" fillId="0" borderId="5" xfId="0" applyNumberFormat="1" applyFill="1" applyBorder="1" applyAlignment="1" applyProtection="1"/>
    <xf numFmtId="0" fontId="0" fillId="2" borderId="1" xfId="0" quotePrefix="1" applyNumberForma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87">
    <dxf>
      <font>
        <b/>
        <color indexed="10"/>
      </font>
    </dxf>
    <dxf>
      <fill>
        <patternFill patternType="solid">
          <fgColor auto="1"/>
          <bgColor indexed="23"/>
        </patternFill>
      </fill>
    </dxf>
    <dxf>
      <font>
        <b/>
        <color indexed="10"/>
      </font>
    </dxf>
    <dxf>
      <font>
        <color indexed="9"/>
      </font>
      <fill>
        <patternFill patternType="solid">
          <fgColor auto="1"/>
          <bgColor indexed="10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43"/>
        </patternFill>
      </fill>
    </dxf>
    <dxf>
      <fill>
        <patternFill patternType="solid">
          <fgColor auto="1"/>
          <bgColor indexed="22"/>
        </patternFill>
      </fill>
    </dxf>
    <dxf>
      <font>
        <b/>
        <color indexed="10"/>
      </font>
    </dxf>
    <dxf>
      <fill>
        <patternFill patternType="solid">
          <fgColor auto="1"/>
          <bgColor indexed="23"/>
        </patternFill>
      </fill>
    </dxf>
    <dxf>
      <font>
        <b/>
        <color indexed="10"/>
      </font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43"/>
        </patternFill>
      </fill>
    </dxf>
    <dxf>
      <fill>
        <patternFill patternType="solid">
          <fgColor auto="1"/>
          <bgColor indexed="22"/>
        </patternFill>
      </fill>
    </dxf>
    <dxf>
      <font>
        <b/>
        <color indexed="10"/>
      </font>
    </dxf>
    <dxf>
      <fill>
        <patternFill patternType="solid">
          <fgColor auto="1"/>
          <bgColor indexed="23"/>
        </patternFill>
      </fill>
    </dxf>
    <dxf>
      <font>
        <b/>
        <color indexed="10"/>
      </font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43"/>
        </patternFill>
      </fill>
    </dxf>
    <dxf>
      <fill>
        <patternFill patternType="solid">
          <fgColor auto="1"/>
          <bgColor indexed="22"/>
        </patternFill>
      </fill>
    </dxf>
    <dxf>
      <font>
        <b/>
        <color indexed="10"/>
      </font>
    </dxf>
    <dxf>
      <fill>
        <patternFill patternType="solid">
          <fgColor auto="1"/>
          <bgColor indexed="23"/>
        </patternFill>
      </fill>
    </dxf>
    <dxf>
      <font>
        <b/>
        <color indexed="10"/>
      </font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ont>
        <color indexed="9"/>
      </font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23"/>
        </patternFill>
      </fill>
    </dxf>
    <dxf>
      <fill>
        <patternFill patternType="solid">
          <fgColor auto="1"/>
          <bgColor indexed="10"/>
        </patternFill>
      </fill>
    </dxf>
    <dxf>
      <fill>
        <patternFill patternType="solid">
          <fgColor auto="1"/>
          <bgColor indexed="43"/>
        </patternFill>
      </fill>
    </dxf>
    <dxf>
      <fill>
        <patternFill patternType="solid">
          <fgColor auto="1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C315-7A0E-4DD4-898B-A3D0E54A855C}">
  <sheetPr>
    <tabColor theme="8" tint="0.39997558519241921"/>
  </sheetPr>
  <dimension ref="B1:AI90"/>
  <sheetViews>
    <sheetView tabSelected="1" workbookViewId="0">
      <pane xSplit="13" ySplit="11" topLeftCell="N12" activePane="bottomRight" state="frozen"/>
      <selection pane="topRight" activeCell="N1" sqref="N1"/>
      <selection pane="bottomLeft" activeCell="A12" sqref="A12"/>
      <selection pane="bottomRight" activeCell="N12" sqref="N12"/>
    </sheetView>
  </sheetViews>
  <sheetFormatPr defaultRowHeight="12.75" x14ac:dyDescent="0.2"/>
  <cols>
    <col min="1" max="1" width="9.140625" customWidth="1"/>
    <col min="2" max="2" width="6" bestFit="1" customWidth="1"/>
    <col min="3" max="4" width="10.42578125" bestFit="1" customWidth="1"/>
    <col min="5" max="5" width="7.7109375" bestFit="1" customWidth="1"/>
    <col min="6" max="6" width="8" bestFit="1" customWidth="1"/>
    <col min="7" max="7" width="7.28515625" bestFit="1" customWidth="1"/>
    <col min="8" max="8" width="5" bestFit="1" customWidth="1"/>
    <col min="9" max="9" width="8.7109375" bestFit="1" customWidth="1"/>
    <col min="10" max="10" width="8.42578125" bestFit="1" customWidth="1"/>
    <col min="11" max="11" width="7.7109375" bestFit="1" customWidth="1"/>
    <col min="12" max="12" width="6.7109375" bestFit="1" customWidth="1"/>
    <col min="13" max="13" width="7" bestFit="1" customWidth="1"/>
    <col min="14" max="14" width="5.42578125" bestFit="1" customWidth="1"/>
    <col min="15" max="15" width="8.28515625" bestFit="1" customWidth="1"/>
    <col min="16" max="16" width="13.5703125" bestFit="1" customWidth="1"/>
    <col min="17" max="17" width="8.85546875" bestFit="1" customWidth="1"/>
    <col min="18" max="18" width="9.28515625" bestFit="1" customWidth="1"/>
    <col min="19" max="19" width="6" bestFit="1" customWidth="1"/>
    <col min="20" max="20" width="5.42578125" bestFit="1" customWidth="1"/>
    <col min="21" max="22" width="9" bestFit="1" customWidth="1"/>
    <col min="23" max="23" width="6" bestFit="1" customWidth="1"/>
    <col min="24" max="24" width="5.42578125" bestFit="1" customWidth="1"/>
    <col min="25" max="26" width="9" bestFit="1" customWidth="1"/>
    <col min="27" max="27" width="6" bestFit="1" customWidth="1"/>
    <col min="28" max="28" width="5.42578125" bestFit="1" customWidth="1"/>
    <col min="29" max="30" width="9" bestFit="1" customWidth="1"/>
    <col min="31" max="31" width="8.5703125" bestFit="1" customWidth="1"/>
    <col min="32" max="32" width="9.140625" customWidth="1"/>
    <col min="33" max="33" width="10" bestFit="1" customWidth="1"/>
    <col min="34" max="34" width="10.5703125" bestFit="1" customWidth="1"/>
    <col min="35" max="35" width="5.42578125" bestFit="1" customWidth="1"/>
  </cols>
  <sheetData>
    <row r="1" spans="2:35" x14ac:dyDescent="0.2">
      <c r="B1" s="85" t="s">
        <v>0</v>
      </c>
      <c r="C1" s="86"/>
      <c r="D1" s="81" t="s">
        <v>1</v>
      </c>
      <c r="E1" s="81"/>
      <c r="F1" s="85" t="s">
        <v>2</v>
      </c>
      <c r="G1" s="86"/>
      <c r="H1" s="81" t="s">
        <v>3</v>
      </c>
      <c r="I1" s="81"/>
      <c r="J1" s="85" t="s">
        <v>4</v>
      </c>
      <c r="K1" s="86"/>
      <c r="L1" s="80" t="s">
        <v>5</v>
      </c>
      <c r="M1" s="81"/>
      <c r="N1" s="81"/>
    </row>
    <row r="3" spans="2:35" x14ac:dyDescent="0.2">
      <c r="B3" s="82" t="s">
        <v>6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</row>
    <row r="5" spans="2:35" x14ac:dyDescent="0.2">
      <c r="B5" s="77" t="s">
        <v>7</v>
      </c>
      <c r="C5" s="77"/>
      <c r="D5" s="78" t="s">
        <v>8</v>
      </c>
      <c r="E5" s="78"/>
      <c r="F5" s="78"/>
      <c r="G5" s="78"/>
      <c r="H5" s="78"/>
      <c r="I5" s="78"/>
      <c r="J5" s="77"/>
      <c r="K5" s="77"/>
      <c r="L5" s="77"/>
      <c r="M5" s="77"/>
      <c r="N5" s="77"/>
      <c r="O5" s="77"/>
      <c r="P5" s="77"/>
    </row>
    <row r="6" spans="2:35" x14ac:dyDescent="0.2">
      <c r="B6" s="77" t="s">
        <v>9</v>
      </c>
      <c r="C6" s="77"/>
      <c r="D6" s="78" t="s">
        <v>10</v>
      </c>
      <c r="E6" s="78"/>
      <c r="F6" s="78"/>
      <c r="G6" s="78"/>
      <c r="H6" s="78"/>
      <c r="I6" s="78"/>
      <c r="J6" s="77" t="s">
        <v>11</v>
      </c>
      <c r="K6" s="77"/>
      <c r="L6" s="78" t="s">
        <v>12</v>
      </c>
      <c r="M6" s="78"/>
      <c r="N6" s="77" t="s">
        <v>13</v>
      </c>
      <c r="O6" s="77"/>
      <c r="P6" s="16">
        <v>0.92</v>
      </c>
    </row>
    <row r="7" spans="2:35" x14ac:dyDescent="0.2">
      <c r="B7" s="77" t="s">
        <v>14</v>
      </c>
      <c r="C7" s="77"/>
      <c r="D7" s="78" t="s">
        <v>15</v>
      </c>
      <c r="E7" s="78"/>
      <c r="F7" s="78"/>
      <c r="G7" s="78"/>
      <c r="H7" s="78"/>
      <c r="I7" s="78"/>
      <c r="J7" s="77" t="s">
        <v>16</v>
      </c>
      <c r="K7" s="77"/>
      <c r="L7" s="78" t="s">
        <v>17</v>
      </c>
      <c r="M7" s="78"/>
      <c r="N7" s="77" t="s">
        <v>18</v>
      </c>
      <c r="O7" s="77"/>
      <c r="P7" s="15">
        <v>7</v>
      </c>
    </row>
    <row r="8" spans="2:35" x14ac:dyDescent="0.2">
      <c r="B8" s="77" t="s">
        <v>19</v>
      </c>
      <c r="C8" s="77"/>
      <c r="D8" s="17" t="s">
        <v>20</v>
      </c>
      <c r="E8" s="77" t="s">
        <v>21</v>
      </c>
      <c r="F8" s="77"/>
      <c r="G8" s="79" t="s">
        <v>22</v>
      </c>
      <c r="H8" s="78"/>
      <c r="I8" s="78"/>
      <c r="J8" s="77" t="s">
        <v>23</v>
      </c>
      <c r="K8" s="77"/>
      <c r="L8" s="78">
        <v>78</v>
      </c>
      <c r="M8" s="78"/>
      <c r="N8" s="77" t="s">
        <v>24</v>
      </c>
      <c r="O8" s="77"/>
      <c r="P8" s="5">
        <v>4</v>
      </c>
    </row>
    <row r="9" spans="2:35" x14ac:dyDescent="0.2">
      <c r="B9" s="77" t="s">
        <v>25</v>
      </c>
      <c r="C9" s="77"/>
      <c r="D9" s="15">
        <v>10</v>
      </c>
      <c r="E9" s="77" t="s">
        <v>26</v>
      </c>
      <c r="F9" s="77"/>
      <c r="G9" s="78" t="s">
        <v>27</v>
      </c>
      <c r="H9" s="78"/>
      <c r="I9" s="78"/>
      <c r="J9" s="77" t="s">
        <v>28</v>
      </c>
      <c r="K9" s="77"/>
      <c r="L9" s="78">
        <v>99</v>
      </c>
      <c r="M9" s="78"/>
      <c r="N9" s="77" t="s">
        <v>29</v>
      </c>
      <c r="O9" s="77"/>
      <c r="P9" s="15">
        <v>0.29699999999999999</v>
      </c>
    </row>
    <row r="10" spans="2:35" x14ac:dyDescent="0.2">
      <c r="S10" s="75" t="s">
        <v>30</v>
      </c>
      <c r="T10" s="75"/>
      <c r="U10" s="75"/>
      <c r="V10" s="76"/>
      <c r="W10" s="75" t="s">
        <v>31</v>
      </c>
      <c r="X10" s="75"/>
      <c r="Y10" s="75"/>
      <c r="Z10" s="76"/>
      <c r="AA10" s="75" t="s">
        <v>32</v>
      </c>
      <c r="AB10" s="75"/>
      <c r="AC10" s="75"/>
      <c r="AD10" s="75"/>
    </row>
    <row r="11" spans="2:35" ht="25.5" x14ac:dyDescent="0.2">
      <c r="B11" s="18" t="s">
        <v>33</v>
      </c>
      <c r="C11" s="18" t="s">
        <v>34</v>
      </c>
      <c r="D11" s="18" t="s">
        <v>35</v>
      </c>
      <c r="E11" s="18" t="s">
        <v>36</v>
      </c>
      <c r="F11" s="18" t="s">
        <v>37</v>
      </c>
      <c r="G11" s="18" t="s">
        <v>38</v>
      </c>
      <c r="H11" s="18" t="s">
        <v>39</v>
      </c>
      <c r="I11" s="18" t="s">
        <v>40</v>
      </c>
      <c r="J11" s="18" t="s">
        <v>41</v>
      </c>
      <c r="K11" s="18" t="s">
        <v>42</v>
      </c>
      <c r="L11" s="18" t="s">
        <v>43</v>
      </c>
      <c r="M11" s="18" t="s">
        <v>29</v>
      </c>
      <c r="N11" s="18" t="s">
        <v>44</v>
      </c>
      <c r="O11" s="18" t="s">
        <v>45</v>
      </c>
      <c r="P11" s="18" t="s">
        <v>46</v>
      </c>
      <c r="Q11" s="18" t="s">
        <v>47</v>
      </c>
      <c r="R11" s="18" t="s">
        <v>48</v>
      </c>
      <c r="S11" s="19" t="s">
        <v>49</v>
      </c>
      <c r="T11" s="19" t="s">
        <v>50</v>
      </c>
      <c r="U11" s="19" t="s">
        <v>51</v>
      </c>
      <c r="V11" s="19" t="s">
        <v>52</v>
      </c>
      <c r="W11" s="19" t="s">
        <v>49</v>
      </c>
      <c r="X11" s="19" t="s">
        <v>50</v>
      </c>
      <c r="Y11" s="19" t="s">
        <v>51</v>
      </c>
      <c r="Z11" s="19" t="s">
        <v>52</v>
      </c>
      <c r="AA11" s="19" t="s">
        <v>49</v>
      </c>
      <c r="AB11" s="19" t="s">
        <v>50</v>
      </c>
      <c r="AC11" s="19" t="s">
        <v>51</v>
      </c>
      <c r="AD11" s="19" t="s">
        <v>52</v>
      </c>
      <c r="AE11" s="20" t="s">
        <v>53</v>
      </c>
      <c r="AF11" s="20" t="s">
        <v>54</v>
      </c>
      <c r="AG11" s="20" t="s">
        <v>55</v>
      </c>
      <c r="AH11" s="20" t="s">
        <v>56</v>
      </c>
      <c r="AI11" s="20" t="s">
        <v>50</v>
      </c>
    </row>
    <row r="12" spans="2:35" x14ac:dyDescent="0.2">
      <c r="B12" s="5" t="s">
        <v>57</v>
      </c>
      <c r="C12" s="21">
        <v>46153</v>
      </c>
      <c r="D12" s="5">
        <v>20</v>
      </c>
      <c r="E12" s="5">
        <v>6</v>
      </c>
      <c r="F12" s="5">
        <v>5</v>
      </c>
      <c r="G12" s="7">
        <f>'B-JCI2 RH'!D260</f>
        <v>25017</v>
      </c>
      <c r="H12" s="5">
        <f>'B-JCI2 RH'!D261</f>
        <v>2732</v>
      </c>
      <c r="I12" s="5">
        <f>'B-JCI2 RH'!D263</f>
        <v>320</v>
      </c>
      <c r="J12" s="12">
        <f t="shared" ref="J12:J43" si="0">IF(I12=0,"N/S",ROUND( ( ((G12) * 1)/I12)*F12,1))</f>
        <v>390.9</v>
      </c>
      <c r="K12" s="5">
        <f t="shared" ref="K12:K43" ca="1" si="1">V12+Z12+AD12</f>
        <v>2694</v>
      </c>
      <c r="L12" s="5">
        <f t="array" ref="L12:L89">TRANSPOSE('B-JCI2 RH'!D262:CC262)</f>
        <v>2576</v>
      </c>
      <c r="M12" s="5">
        <f ca="1">'B-JCI2 RH'!$D$295</f>
        <v>0.29630000000000001</v>
      </c>
      <c r="N12" s="5">
        <v>0</v>
      </c>
      <c r="O12" s="5">
        <v>5</v>
      </c>
      <c r="P12" s="5"/>
      <c r="Q12" s="5">
        <v>0</v>
      </c>
      <c r="R12" s="5">
        <f t="shared" ref="R12:R43" si="2">IF(F12=0,0,ROUND(I12/F12,0))</f>
        <v>64</v>
      </c>
      <c r="S12" s="22">
        <v>19</v>
      </c>
      <c r="T12" s="23">
        <v>0.5</v>
      </c>
      <c r="U12" s="22">
        <f t="shared" ref="U12:U51" si="3">E12*7-N12</f>
        <v>42</v>
      </c>
      <c r="V12" s="22">
        <f t="shared" ref="V12:V43" ca="1" si="4">ROUND(((S12*T12*U12)/M12),0)</f>
        <v>1347</v>
      </c>
      <c r="W12" s="22">
        <f t="shared" ref="W12:W43" si="5">S12</f>
        <v>19</v>
      </c>
      <c r="X12" s="23">
        <v>0.5</v>
      </c>
      <c r="Y12" s="22">
        <f t="shared" ref="Y12:Y43" si="6">U12</f>
        <v>42</v>
      </c>
      <c r="Z12" s="22">
        <f t="shared" ref="Z12:Z43" ca="1" si="7">ROUND(((W12*X12*Y12)/M12),0)</f>
        <v>1347</v>
      </c>
      <c r="AA12" s="7">
        <v>0</v>
      </c>
      <c r="AB12" s="6">
        <v>0</v>
      </c>
      <c r="AC12" s="5">
        <f t="shared" ref="AC12:AC43" si="8">E12*7-N12</f>
        <v>42</v>
      </c>
      <c r="AD12" s="5">
        <f t="shared" ref="AD12:AD43" ca="1" si="9">ROUND(((AA12*AB12*AC12)/M12),0)</f>
        <v>0</v>
      </c>
      <c r="AE12" s="7">
        <f t="shared" ref="AE12:AE43" si="10">S12+W12+AA12</f>
        <v>38</v>
      </c>
      <c r="AF12" s="5"/>
      <c r="AG12" s="7">
        <f t="shared" ref="AG12:AG43" ca="1" si="11">K12*M12</f>
        <v>798.23220000000003</v>
      </c>
      <c r="AH12" s="7">
        <f t="shared" ref="AH12:AH43" si="12">S12*U12+W12*Y12+AA12*AC12</f>
        <v>1596</v>
      </c>
      <c r="AI12" s="6">
        <f t="shared" ref="AI12:AI43" ca="1" si="13">IF(AH12=0,0,AG12/AH12)</f>
        <v>0.50014548872180453</v>
      </c>
    </row>
    <row r="13" spans="2:35" x14ac:dyDescent="0.2">
      <c r="B13" s="5" t="s">
        <v>57</v>
      </c>
      <c r="C13" s="21">
        <v>46160</v>
      </c>
      <c r="D13" s="5">
        <v>21</v>
      </c>
      <c r="E13" s="5">
        <v>6</v>
      </c>
      <c r="F13" s="24">
        <v>10</v>
      </c>
      <c r="G13" s="7">
        <f>(G12+H12-I12)</f>
        <v>27429</v>
      </c>
      <c r="H13" s="5">
        <v>0</v>
      </c>
      <c r="I13" s="5">
        <f>'B-JCI2 RH'!E263</f>
        <v>5700</v>
      </c>
      <c r="J13" s="12">
        <f t="shared" si="0"/>
        <v>48.1</v>
      </c>
      <c r="K13" s="5">
        <f t="shared" ca="1" si="1"/>
        <v>3232</v>
      </c>
      <c r="L13" s="5">
        <v>3544</v>
      </c>
      <c r="M13" s="5">
        <f ca="1">'B-JCI2 RH'!$D$295</f>
        <v>0.29630000000000001</v>
      </c>
      <c r="N13" s="5">
        <v>0</v>
      </c>
      <c r="O13" s="5">
        <v>5</v>
      </c>
      <c r="P13" s="5"/>
      <c r="Q13" s="5">
        <v>0</v>
      </c>
      <c r="R13" s="5">
        <f t="shared" si="2"/>
        <v>570</v>
      </c>
      <c r="S13" s="5">
        <v>19</v>
      </c>
      <c r="T13" s="6">
        <v>0.6</v>
      </c>
      <c r="U13" s="5">
        <f t="shared" si="3"/>
        <v>42</v>
      </c>
      <c r="V13" s="5">
        <f t="shared" ca="1" si="4"/>
        <v>1616</v>
      </c>
      <c r="W13" s="5">
        <f t="shared" si="5"/>
        <v>19</v>
      </c>
      <c r="X13" s="6">
        <v>0.6</v>
      </c>
      <c r="Y13" s="5">
        <f t="shared" si="6"/>
        <v>42</v>
      </c>
      <c r="Z13" s="5">
        <f t="shared" ca="1" si="7"/>
        <v>1616</v>
      </c>
      <c r="AA13" s="7">
        <v>0</v>
      </c>
      <c r="AB13" s="6">
        <v>0</v>
      </c>
      <c r="AC13" s="5">
        <f t="shared" si="8"/>
        <v>42</v>
      </c>
      <c r="AD13" s="5">
        <f t="shared" ca="1" si="9"/>
        <v>0</v>
      </c>
      <c r="AE13" s="7">
        <f t="shared" si="10"/>
        <v>38</v>
      </c>
      <c r="AF13" s="5"/>
      <c r="AG13" s="5">
        <f t="shared" ca="1" si="11"/>
        <v>957.64160000000004</v>
      </c>
      <c r="AH13" s="5">
        <f t="shared" si="12"/>
        <v>1596</v>
      </c>
      <c r="AI13" s="6">
        <f t="shared" ca="1" si="13"/>
        <v>0.60002606516290724</v>
      </c>
    </row>
    <row r="14" spans="2:35" x14ac:dyDescent="0.2">
      <c r="B14" s="5" t="s">
        <v>57</v>
      </c>
      <c r="C14" s="21">
        <v>46167</v>
      </c>
      <c r="D14" s="5">
        <v>22</v>
      </c>
      <c r="E14" s="24">
        <v>3</v>
      </c>
      <c r="F14" s="5">
        <v>5</v>
      </c>
      <c r="G14" s="7">
        <f>(G13+H13-I13)</f>
        <v>21729</v>
      </c>
      <c r="H14" s="5">
        <v>0</v>
      </c>
      <c r="I14" s="5">
        <f>'B-JCI2 RH'!F263</f>
        <v>3660</v>
      </c>
      <c r="J14" s="12">
        <f t="shared" si="0"/>
        <v>29.7</v>
      </c>
      <c r="K14" s="5">
        <f t="shared" ca="1" si="1"/>
        <v>1886</v>
      </c>
      <c r="L14" s="5">
        <v>1950</v>
      </c>
      <c r="M14" s="5">
        <f ca="1">'B-JCI2 RH'!$D$295</f>
        <v>0.29630000000000001</v>
      </c>
      <c r="N14" s="5">
        <v>0</v>
      </c>
      <c r="O14" s="5">
        <v>5</v>
      </c>
      <c r="P14" s="5"/>
      <c r="Q14" s="5">
        <v>0</v>
      </c>
      <c r="R14" s="5">
        <f t="shared" si="2"/>
        <v>732</v>
      </c>
      <c r="S14" s="5">
        <v>19</v>
      </c>
      <c r="T14" s="6">
        <v>0.7</v>
      </c>
      <c r="U14" s="5">
        <f t="shared" si="3"/>
        <v>21</v>
      </c>
      <c r="V14" s="5">
        <f t="shared" ca="1" si="4"/>
        <v>943</v>
      </c>
      <c r="W14" s="5">
        <f t="shared" si="5"/>
        <v>19</v>
      </c>
      <c r="X14" s="6">
        <v>0.7</v>
      </c>
      <c r="Y14" s="5">
        <f t="shared" si="6"/>
        <v>21</v>
      </c>
      <c r="Z14" s="5">
        <f t="shared" ca="1" si="7"/>
        <v>943</v>
      </c>
      <c r="AA14" s="5">
        <v>0</v>
      </c>
      <c r="AB14" s="6">
        <v>0</v>
      </c>
      <c r="AC14" s="5">
        <f t="shared" si="8"/>
        <v>21</v>
      </c>
      <c r="AD14" s="5">
        <f t="shared" ca="1" si="9"/>
        <v>0</v>
      </c>
      <c r="AE14" s="7">
        <f t="shared" si="10"/>
        <v>38</v>
      </c>
      <c r="AF14" s="5"/>
      <c r="AG14" s="5">
        <f t="shared" ca="1" si="11"/>
        <v>558.82180000000005</v>
      </c>
      <c r="AH14" s="5">
        <f t="shared" si="12"/>
        <v>798</v>
      </c>
      <c r="AI14" s="6">
        <f t="shared" ca="1" si="13"/>
        <v>0.70027794486215544</v>
      </c>
    </row>
    <row r="15" spans="2:35" x14ac:dyDescent="0.2">
      <c r="B15" s="5" t="s">
        <v>58</v>
      </c>
      <c r="C15" s="21">
        <v>46174</v>
      </c>
      <c r="D15" s="5">
        <v>23</v>
      </c>
      <c r="E15" s="24">
        <v>5</v>
      </c>
      <c r="F15" s="5">
        <v>5</v>
      </c>
      <c r="G15" s="7">
        <f>(G14+H14-I14)</f>
        <v>18069</v>
      </c>
      <c r="H15" s="5">
        <v>0</v>
      </c>
      <c r="I15" s="5">
        <f>'B-JCI2 RH'!G263</f>
        <v>4240</v>
      </c>
      <c r="J15" s="12">
        <f t="shared" si="0"/>
        <v>21.3</v>
      </c>
      <c r="K15" s="5">
        <f t="shared" ca="1" si="1"/>
        <v>3456</v>
      </c>
      <c r="L15" s="5">
        <v>0</v>
      </c>
      <c r="M15" s="5">
        <f ca="1">'B-JCI2 RH'!$D$295</f>
        <v>0.29630000000000001</v>
      </c>
      <c r="N15" s="5">
        <v>0</v>
      </c>
      <c r="O15" s="5">
        <v>6</v>
      </c>
      <c r="P15" s="5"/>
      <c r="Q15" s="5">
        <v>0</v>
      </c>
      <c r="R15" s="5">
        <f t="shared" si="2"/>
        <v>848</v>
      </c>
      <c r="S15" s="5">
        <v>19</v>
      </c>
      <c r="T15" s="6">
        <v>0.77</v>
      </c>
      <c r="U15" s="5">
        <f t="shared" si="3"/>
        <v>35</v>
      </c>
      <c r="V15" s="5">
        <f t="shared" ca="1" si="4"/>
        <v>1728</v>
      </c>
      <c r="W15" s="5">
        <f t="shared" si="5"/>
        <v>19</v>
      </c>
      <c r="X15" s="6">
        <v>0.77</v>
      </c>
      <c r="Y15" s="5">
        <f t="shared" si="6"/>
        <v>35</v>
      </c>
      <c r="Z15" s="5">
        <f t="shared" ca="1" si="7"/>
        <v>1728</v>
      </c>
      <c r="AA15" s="5">
        <v>0</v>
      </c>
      <c r="AB15" s="6">
        <v>0</v>
      </c>
      <c r="AC15" s="5">
        <f t="shared" si="8"/>
        <v>35</v>
      </c>
      <c r="AD15" s="5">
        <f t="shared" ca="1" si="9"/>
        <v>0</v>
      </c>
      <c r="AE15" s="7">
        <f t="shared" si="10"/>
        <v>38</v>
      </c>
      <c r="AF15" s="5"/>
      <c r="AG15" s="5">
        <f t="shared" ca="1" si="11"/>
        <v>1024.0128</v>
      </c>
      <c r="AH15" s="5">
        <f t="shared" si="12"/>
        <v>1330</v>
      </c>
      <c r="AI15" s="6">
        <f t="shared" ca="1" si="13"/>
        <v>0.76993443609022549</v>
      </c>
    </row>
    <row r="16" spans="2:35" x14ac:dyDescent="0.2">
      <c r="B16" s="5" t="s">
        <v>58</v>
      </c>
      <c r="C16" s="21">
        <v>46181</v>
      </c>
      <c r="D16" s="5">
        <v>24</v>
      </c>
      <c r="E16" s="5">
        <v>6</v>
      </c>
      <c r="F16" s="5">
        <v>5</v>
      </c>
      <c r="G16" s="7">
        <f>(G15+H15-I15)</f>
        <v>13829</v>
      </c>
      <c r="H16" s="5">
        <v>0</v>
      </c>
      <c r="I16" s="5">
        <f>'B-JCI2 RH'!H263</f>
        <v>3975</v>
      </c>
      <c r="J16" s="12">
        <f t="shared" si="0"/>
        <v>17.399999999999999</v>
      </c>
      <c r="K16" s="5">
        <f t="shared" ca="1" si="1"/>
        <v>4148</v>
      </c>
      <c r="L16" s="5">
        <v>0</v>
      </c>
      <c r="M16" s="5">
        <f ca="1">'B-JCI2 RH'!$D$295</f>
        <v>0.29630000000000001</v>
      </c>
      <c r="N16" s="5">
        <v>0</v>
      </c>
      <c r="O16" s="5">
        <v>6</v>
      </c>
      <c r="P16" s="5"/>
      <c r="Q16" s="5">
        <v>0</v>
      </c>
      <c r="R16" s="5">
        <f t="shared" si="2"/>
        <v>795</v>
      </c>
      <c r="S16" s="5">
        <v>19</v>
      </c>
      <c r="T16" s="6">
        <v>0.77</v>
      </c>
      <c r="U16" s="5">
        <f t="shared" si="3"/>
        <v>42</v>
      </c>
      <c r="V16" s="5">
        <f t="shared" ca="1" si="4"/>
        <v>2074</v>
      </c>
      <c r="W16" s="5">
        <f t="shared" si="5"/>
        <v>19</v>
      </c>
      <c r="X16" s="6">
        <v>0.77</v>
      </c>
      <c r="Y16" s="5">
        <f t="shared" si="6"/>
        <v>42</v>
      </c>
      <c r="Z16" s="5">
        <f t="shared" ca="1" si="7"/>
        <v>2074</v>
      </c>
      <c r="AA16" s="5">
        <v>0</v>
      </c>
      <c r="AB16" s="6">
        <v>0</v>
      </c>
      <c r="AC16" s="5">
        <f t="shared" si="8"/>
        <v>42</v>
      </c>
      <c r="AD16" s="5">
        <f t="shared" ca="1" si="9"/>
        <v>0</v>
      </c>
      <c r="AE16" s="7">
        <f t="shared" si="10"/>
        <v>38</v>
      </c>
      <c r="AF16" s="5"/>
      <c r="AG16" s="5">
        <f t="shared" ca="1" si="11"/>
        <v>1229.0524</v>
      </c>
      <c r="AH16" s="5">
        <f t="shared" si="12"/>
        <v>1596</v>
      </c>
      <c r="AI16" s="6">
        <f t="shared" ca="1" si="13"/>
        <v>0.77008295739348376</v>
      </c>
    </row>
    <row r="17" spans="2:35" x14ac:dyDescent="0.2">
      <c r="B17" s="5" t="s">
        <v>58</v>
      </c>
      <c r="C17" s="3">
        <v>46188</v>
      </c>
      <c r="D17" s="2">
        <v>25</v>
      </c>
      <c r="E17" s="24">
        <v>3</v>
      </c>
      <c r="F17" s="5">
        <v>5</v>
      </c>
      <c r="G17" s="7">
        <f t="shared" ref="G17:G48" ca="1" si="14">(G16+H16-I16+K12)</f>
        <v>12548</v>
      </c>
      <c r="H17" s="5">
        <v>0</v>
      </c>
      <c r="I17" s="5">
        <f>'B-JCI2 RH'!I263</f>
        <v>3860</v>
      </c>
      <c r="J17" s="12">
        <f t="shared" ca="1" si="0"/>
        <v>16.3</v>
      </c>
      <c r="K17" s="5">
        <f t="shared" ca="1" si="1"/>
        <v>2074</v>
      </c>
      <c r="L17" s="5">
        <v>0</v>
      </c>
      <c r="M17" s="5">
        <f ca="1">'B-JCI2 RH'!$D$295</f>
        <v>0.29630000000000001</v>
      </c>
      <c r="N17" s="5">
        <v>0</v>
      </c>
      <c r="O17" s="5">
        <v>6</v>
      </c>
      <c r="P17" s="4" t="s">
        <v>756</v>
      </c>
      <c r="Q17" s="5">
        <v>0</v>
      </c>
      <c r="R17" s="5">
        <f t="shared" si="2"/>
        <v>772</v>
      </c>
      <c r="S17" s="24">
        <v>19</v>
      </c>
      <c r="T17" s="25">
        <v>0.77</v>
      </c>
      <c r="U17" s="24">
        <f t="shared" si="3"/>
        <v>21</v>
      </c>
      <c r="V17" s="24">
        <f t="shared" ca="1" si="4"/>
        <v>1037</v>
      </c>
      <c r="W17" s="24">
        <f t="shared" si="5"/>
        <v>19</v>
      </c>
      <c r="X17" s="25">
        <v>0.77</v>
      </c>
      <c r="Y17" s="24">
        <f t="shared" si="6"/>
        <v>21</v>
      </c>
      <c r="Z17" s="24">
        <f t="shared" ca="1" si="7"/>
        <v>1037</v>
      </c>
      <c r="AA17" s="26">
        <v>0</v>
      </c>
      <c r="AB17" s="27">
        <v>0</v>
      </c>
      <c r="AC17" s="26">
        <f t="shared" si="8"/>
        <v>21</v>
      </c>
      <c r="AD17" s="26">
        <f t="shared" ca="1" si="9"/>
        <v>0</v>
      </c>
      <c r="AE17" s="7">
        <f t="shared" si="10"/>
        <v>38</v>
      </c>
      <c r="AF17" s="5"/>
      <c r="AG17" s="5">
        <f t="shared" ca="1" si="11"/>
        <v>614.52620000000002</v>
      </c>
      <c r="AH17" s="5">
        <f t="shared" si="12"/>
        <v>798</v>
      </c>
      <c r="AI17" s="6">
        <f t="shared" ca="1" si="13"/>
        <v>0.77008295739348376</v>
      </c>
    </row>
    <row r="18" spans="2:35" x14ac:dyDescent="0.2">
      <c r="B18" s="5" t="s">
        <v>58</v>
      </c>
      <c r="C18" s="21">
        <v>46195</v>
      </c>
      <c r="D18" s="5">
        <v>26</v>
      </c>
      <c r="E18" s="28">
        <v>6</v>
      </c>
      <c r="F18" s="5">
        <v>5</v>
      </c>
      <c r="G18" s="7">
        <f t="shared" ca="1" si="14"/>
        <v>11920</v>
      </c>
      <c r="H18" s="5">
        <v>0</v>
      </c>
      <c r="I18" s="5">
        <f>'B-JCI2 RH'!J263</f>
        <v>3580</v>
      </c>
      <c r="J18" s="12">
        <f t="shared" ca="1" si="0"/>
        <v>16.600000000000001</v>
      </c>
      <c r="K18" s="5">
        <f t="shared" ca="1" si="1"/>
        <v>4148</v>
      </c>
      <c r="L18" s="5">
        <v>0</v>
      </c>
      <c r="M18" s="5">
        <f ca="1">'B-JCI2 RH'!$D$295</f>
        <v>0.29630000000000001</v>
      </c>
      <c r="N18" s="5">
        <v>0</v>
      </c>
      <c r="O18" s="5">
        <v>6</v>
      </c>
      <c r="P18" s="5"/>
      <c r="Q18" s="5">
        <v>0</v>
      </c>
      <c r="R18" s="5">
        <f t="shared" si="2"/>
        <v>716</v>
      </c>
      <c r="S18" s="5">
        <v>19</v>
      </c>
      <c r="T18" s="6">
        <v>0.77</v>
      </c>
      <c r="U18" s="5">
        <f t="shared" si="3"/>
        <v>42</v>
      </c>
      <c r="V18" s="5">
        <f t="shared" ca="1" si="4"/>
        <v>2074</v>
      </c>
      <c r="W18" s="5">
        <f t="shared" si="5"/>
        <v>19</v>
      </c>
      <c r="X18" s="6">
        <v>0.77</v>
      </c>
      <c r="Y18" s="5">
        <f t="shared" si="6"/>
        <v>42</v>
      </c>
      <c r="Z18" s="5">
        <f t="shared" ca="1" si="7"/>
        <v>2074</v>
      </c>
      <c r="AA18" s="5">
        <v>0</v>
      </c>
      <c r="AB18" s="6">
        <v>0</v>
      </c>
      <c r="AC18" s="5">
        <f t="shared" si="8"/>
        <v>42</v>
      </c>
      <c r="AD18" s="5">
        <f t="shared" ca="1" si="9"/>
        <v>0</v>
      </c>
      <c r="AE18" s="7">
        <f t="shared" si="10"/>
        <v>38</v>
      </c>
      <c r="AF18" s="5"/>
      <c r="AG18" s="5">
        <f t="shared" ca="1" si="11"/>
        <v>1229.0524</v>
      </c>
      <c r="AH18" s="5">
        <f t="shared" si="12"/>
        <v>1596</v>
      </c>
      <c r="AI18" s="6">
        <f t="shared" ca="1" si="13"/>
        <v>0.77008295739348376</v>
      </c>
    </row>
    <row r="19" spans="2:35" x14ac:dyDescent="0.2">
      <c r="B19" s="5" t="s">
        <v>58</v>
      </c>
      <c r="C19" s="21">
        <v>46202</v>
      </c>
      <c r="D19" s="5">
        <v>27</v>
      </c>
      <c r="E19" s="5">
        <v>5</v>
      </c>
      <c r="F19" s="5">
        <v>5</v>
      </c>
      <c r="G19" s="7">
        <f t="shared" ca="1" si="14"/>
        <v>10226</v>
      </c>
      <c r="H19" s="5">
        <v>0</v>
      </c>
      <c r="I19" s="5">
        <f>'B-JCI2 RH'!K263</f>
        <v>4000</v>
      </c>
      <c r="J19" s="12">
        <f t="shared" ca="1" si="0"/>
        <v>12.8</v>
      </c>
      <c r="K19" s="5">
        <f t="shared" ca="1" si="1"/>
        <v>3456</v>
      </c>
      <c r="L19" s="5">
        <v>0</v>
      </c>
      <c r="M19" s="5">
        <f ca="1">'B-JCI2 RH'!$D$295</f>
        <v>0.29630000000000001</v>
      </c>
      <c r="N19" s="5">
        <v>0</v>
      </c>
      <c r="O19" s="5">
        <v>6</v>
      </c>
      <c r="P19" s="5"/>
      <c r="Q19" s="5">
        <v>0</v>
      </c>
      <c r="R19" s="5">
        <f t="shared" si="2"/>
        <v>800</v>
      </c>
      <c r="S19" s="5">
        <v>19</v>
      </c>
      <c r="T19" s="6">
        <v>0.77</v>
      </c>
      <c r="U19" s="5">
        <f t="shared" si="3"/>
        <v>35</v>
      </c>
      <c r="V19" s="5">
        <f t="shared" ca="1" si="4"/>
        <v>1728</v>
      </c>
      <c r="W19" s="5">
        <f t="shared" si="5"/>
        <v>19</v>
      </c>
      <c r="X19" s="6">
        <v>0.77</v>
      </c>
      <c r="Y19" s="5">
        <f t="shared" si="6"/>
        <v>35</v>
      </c>
      <c r="Z19" s="5">
        <f t="shared" ca="1" si="7"/>
        <v>1728</v>
      </c>
      <c r="AA19" s="5">
        <v>0</v>
      </c>
      <c r="AB19" s="6">
        <v>0</v>
      </c>
      <c r="AC19" s="5">
        <f t="shared" si="8"/>
        <v>35</v>
      </c>
      <c r="AD19" s="5">
        <f t="shared" ca="1" si="9"/>
        <v>0</v>
      </c>
      <c r="AE19" s="7">
        <f t="shared" si="10"/>
        <v>38</v>
      </c>
      <c r="AF19" s="5"/>
      <c r="AG19" s="5">
        <f t="shared" ca="1" si="11"/>
        <v>1024.0128</v>
      </c>
      <c r="AH19" s="5">
        <f t="shared" si="12"/>
        <v>1330</v>
      </c>
      <c r="AI19" s="6">
        <f t="shared" ca="1" si="13"/>
        <v>0.76993443609022549</v>
      </c>
    </row>
    <row r="20" spans="2:35" x14ac:dyDescent="0.2">
      <c r="B20" s="5" t="s">
        <v>59</v>
      </c>
      <c r="C20" s="21">
        <v>46209</v>
      </c>
      <c r="D20" s="5">
        <v>28</v>
      </c>
      <c r="E20" s="5">
        <v>6</v>
      </c>
      <c r="F20" s="5">
        <v>5</v>
      </c>
      <c r="G20" s="7">
        <f t="shared" ca="1" si="14"/>
        <v>9682</v>
      </c>
      <c r="H20" s="5">
        <v>0</v>
      </c>
      <c r="I20" s="5">
        <f>'B-JCI2 RH'!L263</f>
        <v>5400</v>
      </c>
      <c r="J20" s="12">
        <f t="shared" ca="1" si="0"/>
        <v>9</v>
      </c>
      <c r="K20" s="5">
        <f t="shared" ca="1" si="1"/>
        <v>4148</v>
      </c>
      <c r="L20" s="5">
        <v>0</v>
      </c>
      <c r="M20" s="5">
        <f ca="1">'B-JCI2 RH'!$D$295</f>
        <v>0.29630000000000001</v>
      </c>
      <c r="N20" s="5">
        <v>0</v>
      </c>
      <c r="O20" s="5">
        <v>7</v>
      </c>
      <c r="P20" s="5"/>
      <c r="Q20" s="5">
        <v>0</v>
      </c>
      <c r="R20" s="5">
        <f t="shared" si="2"/>
        <v>1080</v>
      </c>
      <c r="S20" s="5">
        <v>19</v>
      </c>
      <c r="T20" s="6">
        <v>0.77</v>
      </c>
      <c r="U20" s="5">
        <f t="shared" si="3"/>
        <v>42</v>
      </c>
      <c r="V20" s="5">
        <f t="shared" ca="1" si="4"/>
        <v>2074</v>
      </c>
      <c r="W20" s="5">
        <f t="shared" si="5"/>
        <v>19</v>
      </c>
      <c r="X20" s="6">
        <v>0.77</v>
      </c>
      <c r="Y20" s="5">
        <f t="shared" si="6"/>
        <v>42</v>
      </c>
      <c r="Z20" s="5">
        <f t="shared" ca="1" si="7"/>
        <v>2074</v>
      </c>
      <c r="AA20" s="5">
        <v>0</v>
      </c>
      <c r="AB20" s="6">
        <v>0</v>
      </c>
      <c r="AC20" s="5">
        <f t="shared" si="8"/>
        <v>42</v>
      </c>
      <c r="AD20" s="5">
        <f t="shared" ca="1" si="9"/>
        <v>0</v>
      </c>
      <c r="AE20" s="7">
        <f t="shared" si="10"/>
        <v>38</v>
      </c>
      <c r="AF20" s="5"/>
      <c r="AG20" s="5">
        <f t="shared" ca="1" si="11"/>
        <v>1229.0524</v>
      </c>
      <c r="AH20" s="5">
        <f t="shared" si="12"/>
        <v>1596</v>
      </c>
      <c r="AI20" s="6">
        <f t="shared" ca="1" si="13"/>
        <v>0.77008295739348376</v>
      </c>
    </row>
    <row r="21" spans="2:35" x14ac:dyDescent="0.2">
      <c r="B21" s="5" t="s">
        <v>59</v>
      </c>
      <c r="C21" s="21">
        <v>46216</v>
      </c>
      <c r="D21" s="5">
        <v>29</v>
      </c>
      <c r="E21" s="22">
        <v>0</v>
      </c>
      <c r="F21" s="24">
        <v>10</v>
      </c>
      <c r="G21" s="7">
        <f t="shared" ca="1" si="14"/>
        <v>8430</v>
      </c>
      <c r="H21" s="5">
        <v>0</v>
      </c>
      <c r="I21" s="5">
        <f>'B-JCI2 RH'!M263</f>
        <v>6300</v>
      </c>
      <c r="J21" s="12">
        <f t="shared" ca="1" si="0"/>
        <v>13.4</v>
      </c>
      <c r="K21" s="5">
        <f t="shared" ca="1" si="1"/>
        <v>0</v>
      </c>
      <c r="L21" s="5">
        <v>0</v>
      </c>
      <c r="M21" s="5">
        <f ca="1">'B-JCI2 RH'!$D$295</f>
        <v>0.29630000000000001</v>
      </c>
      <c r="N21" s="5">
        <v>0</v>
      </c>
      <c r="O21" s="5">
        <v>7</v>
      </c>
      <c r="P21" s="5"/>
      <c r="Q21" s="5">
        <v>0</v>
      </c>
      <c r="R21" s="5">
        <f t="shared" si="2"/>
        <v>630</v>
      </c>
      <c r="S21" s="5">
        <v>19</v>
      </c>
      <c r="T21" s="6">
        <v>0.77</v>
      </c>
      <c r="U21" s="5">
        <f t="shared" si="3"/>
        <v>0</v>
      </c>
      <c r="V21" s="5">
        <f t="shared" ca="1" si="4"/>
        <v>0</v>
      </c>
      <c r="W21" s="5">
        <f t="shared" si="5"/>
        <v>19</v>
      </c>
      <c r="X21" s="6">
        <v>0.77</v>
      </c>
      <c r="Y21" s="5">
        <f t="shared" si="6"/>
        <v>0</v>
      </c>
      <c r="Z21" s="5">
        <f t="shared" ca="1" si="7"/>
        <v>0</v>
      </c>
      <c r="AA21" s="5">
        <v>0</v>
      </c>
      <c r="AB21" s="6">
        <v>0</v>
      </c>
      <c r="AC21" s="5">
        <f t="shared" si="8"/>
        <v>0</v>
      </c>
      <c r="AD21" s="5">
        <f t="shared" ca="1" si="9"/>
        <v>0</v>
      </c>
      <c r="AE21" s="7">
        <f t="shared" si="10"/>
        <v>38</v>
      </c>
      <c r="AF21" s="5"/>
      <c r="AG21" s="5">
        <f t="shared" ca="1" si="11"/>
        <v>0</v>
      </c>
      <c r="AH21" s="5">
        <f t="shared" si="12"/>
        <v>0</v>
      </c>
      <c r="AI21" s="6">
        <f t="shared" si="13"/>
        <v>0</v>
      </c>
    </row>
    <row r="22" spans="2:35" x14ac:dyDescent="0.2">
      <c r="B22" s="5" t="s">
        <v>59</v>
      </c>
      <c r="C22" s="21">
        <v>46223</v>
      </c>
      <c r="D22" s="5">
        <v>30</v>
      </c>
      <c r="E22" s="22">
        <v>0</v>
      </c>
      <c r="F22" s="29">
        <v>5</v>
      </c>
      <c r="G22" s="7">
        <f t="shared" ca="1" si="14"/>
        <v>4204</v>
      </c>
      <c r="H22" s="5">
        <v>0</v>
      </c>
      <c r="I22" s="5">
        <f>'B-JCI2 RH'!N263</f>
        <v>0</v>
      </c>
      <c r="J22" s="12" t="str">
        <f t="shared" si="0"/>
        <v>N/S</v>
      </c>
      <c r="K22" s="5">
        <f t="shared" ca="1" si="1"/>
        <v>0</v>
      </c>
      <c r="L22" s="5">
        <v>0</v>
      </c>
      <c r="M22" s="5">
        <f ca="1">'B-JCI2 RH'!$D$295</f>
        <v>0.29630000000000001</v>
      </c>
      <c r="N22" s="5">
        <v>0</v>
      </c>
      <c r="O22" s="5">
        <v>7</v>
      </c>
      <c r="P22" s="5"/>
      <c r="Q22" s="5">
        <v>0</v>
      </c>
      <c r="R22" s="5">
        <f t="shared" si="2"/>
        <v>0</v>
      </c>
      <c r="S22" s="5">
        <v>16</v>
      </c>
      <c r="T22" s="6">
        <v>0.77</v>
      </c>
      <c r="U22" s="5">
        <f t="shared" si="3"/>
        <v>0</v>
      </c>
      <c r="V22" s="5">
        <f t="shared" ca="1" si="4"/>
        <v>0</v>
      </c>
      <c r="W22" s="5">
        <f t="shared" si="5"/>
        <v>16</v>
      </c>
      <c r="X22" s="6">
        <v>0.77</v>
      </c>
      <c r="Y22" s="5">
        <f t="shared" si="6"/>
        <v>0</v>
      </c>
      <c r="Z22" s="5">
        <f t="shared" ca="1" si="7"/>
        <v>0</v>
      </c>
      <c r="AA22" s="5">
        <v>0</v>
      </c>
      <c r="AB22" s="6">
        <v>0</v>
      </c>
      <c r="AC22" s="5">
        <f t="shared" si="8"/>
        <v>0</v>
      </c>
      <c r="AD22" s="5">
        <f t="shared" ca="1" si="9"/>
        <v>0</v>
      </c>
      <c r="AE22" s="7">
        <f t="shared" si="10"/>
        <v>32</v>
      </c>
      <c r="AF22" s="5"/>
      <c r="AG22" s="5">
        <f t="shared" ca="1" si="11"/>
        <v>0</v>
      </c>
      <c r="AH22" s="5">
        <f t="shared" si="12"/>
        <v>0</v>
      </c>
      <c r="AI22" s="6">
        <f t="shared" si="13"/>
        <v>0</v>
      </c>
    </row>
    <row r="23" spans="2:35" x14ac:dyDescent="0.2">
      <c r="B23" s="5" t="s">
        <v>59</v>
      </c>
      <c r="C23" s="21">
        <v>46230</v>
      </c>
      <c r="D23" s="5">
        <v>31</v>
      </c>
      <c r="E23" s="5">
        <v>6</v>
      </c>
      <c r="F23" s="29">
        <v>5</v>
      </c>
      <c r="G23" s="7">
        <f t="shared" ca="1" si="14"/>
        <v>8352</v>
      </c>
      <c r="H23" s="5">
        <v>0</v>
      </c>
      <c r="I23" s="5">
        <f>'B-JCI2 RH'!O263</f>
        <v>0</v>
      </c>
      <c r="J23" s="12" t="str">
        <f t="shared" si="0"/>
        <v>N/S</v>
      </c>
      <c r="K23" s="5">
        <f t="shared" ca="1" si="1"/>
        <v>3492</v>
      </c>
      <c r="L23" s="5">
        <v>0</v>
      </c>
      <c r="M23" s="5">
        <f ca="1">'B-JCI2 RH'!$D$295</f>
        <v>0.29630000000000001</v>
      </c>
      <c r="N23" s="5">
        <v>0</v>
      </c>
      <c r="O23" s="5">
        <v>7</v>
      </c>
      <c r="P23" s="5"/>
      <c r="Q23" s="5">
        <v>0</v>
      </c>
      <c r="R23" s="5">
        <f t="shared" si="2"/>
        <v>0</v>
      </c>
      <c r="S23" s="5">
        <v>16</v>
      </c>
      <c r="T23" s="6">
        <v>0.77</v>
      </c>
      <c r="U23" s="5">
        <f t="shared" si="3"/>
        <v>42</v>
      </c>
      <c r="V23" s="5">
        <f t="shared" ca="1" si="4"/>
        <v>1746</v>
      </c>
      <c r="W23" s="5">
        <f t="shared" si="5"/>
        <v>16</v>
      </c>
      <c r="X23" s="6">
        <v>0.77</v>
      </c>
      <c r="Y23" s="5">
        <f t="shared" si="6"/>
        <v>42</v>
      </c>
      <c r="Z23" s="5">
        <f t="shared" ca="1" si="7"/>
        <v>1746</v>
      </c>
      <c r="AA23" s="5">
        <v>0</v>
      </c>
      <c r="AB23" s="6">
        <v>0</v>
      </c>
      <c r="AC23" s="5">
        <f t="shared" si="8"/>
        <v>42</v>
      </c>
      <c r="AD23" s="5">
        <f t="shared" ca="1" si="9"/>
        <v>0</v>
      </c>
      <c r="AE23" s="7">
        <f t="shared" si="10"/>
        <v>32</v>
      </c>
      <c r="AF23" s="5" t="e">
        <f t="shared" ref="AF23:AF54" si="15">ROUND( ((SUM(I22:I23)*1)/SUM(Q22:Q23)*100),1)</f>
        <v>#DIV/0!</v>
      </c>
      <c r="AG23" s="5">
        <f t="shared" ca="1" si="11"/>
        <v>1034.6795999999999</v>
      </c>
      <c r="AH23" s="5">
        <f t="shared" si="12"/>
        <v>1344</v>
      </c>
      <c r="AI23" s="6">
        <f t="shared" ca="1" si="13"/>
        <v>0.76985089285714281</v>
      </c>
    </row>
    <row r="24" spans="2:35" x14ac:dyDescent="0.2">
      <c r="B24" s="5" t="s">
        <v>60</v>
      </c>
      <c r="C24" s="21">
        <v>46237</v>
      </c>
      <c r="D24" s="5">
        <v>32</v>
      </c>
      <c r="E24" s="30">
        <v>6</v>
      </c>
      <c r="F24" s="29">
        <v>5</v>
      </c>
      <c r="G24" s="7">
        <f t="shared" ca="1" si="14"/>
        <v>11808</v>
      </c>
      <c r="H24" s="5">
        <v>0</v>
      </c>
      <c r="I24" s="5">
        <f>'B-JCI2 RH'!P263</f>
        <v>0</v>
      </c>
      <c r="J24" s="12" t="str">
        <f t="shared" si="0"/>
        <v>N/S</v>
      </c>
      <c r="K24" s="5">
        <f t="shared" ca="1" si="1"/>
        <v>3492</v>
      </c>
      <c r="L24" s="5">
        <v>0</v>
      </c>
      <c r="M24" s="5">
        <f ca="1">'B-JCI2 RH'!$D$295</f>
        <v>0.29630000000000001</v>
      </c>
      <c r="N24" s="5">
        <v>0</v>
      </c>
      <c r="O24" s="5">
        <v>8</v>
      </c>
      <c r="P24" s="5"/>
      <c r="Q24" s="5">
        <v>0</v>
      </c>
      <c r="R24" s="5">
        <f t="shared" si="2"/>
        <v>0</v>
      </c>
      <c r="S24" s="5">
        <v>16</v>
      </c>
      <c r="T24" s="6">
        <v>0.77</v>
      </c>
      <c r="U24" s="5">
        <f t="shared" si="3"/>
        <v>42</v>
      </c>
      <c r="V24" s="5">
        <f t="shared" ca="1" si="4"/>
        <v>1746</v>
      </c>
      <c r="W24" s="5">
        <f t="shared" si="5"/>
        <v>16</v>
      </c>
      <c r="X24" s="6">
        <v>0.77</v>
      </c>
      <c r="Y24" s="5">
        <f t="shared" si="6"/>
        <v>42</v>
      </c>
      <c r="Z24" s="5">
        <f t="shared" ca="1" si="7"/>
        <v>1746</v>
      </c>
      <c r="AA24" s="5">
        <v>0</v>
      </c>
      <c r="AB24" s="6">
        <v>0</v>
      </c>
      <c r="AC24" s="5">
        <f t="shared" si="8"/>
        <v>42</v>
      </c>
      <c r="AD24" s="5">
        <f t="shared" ca="1" si="9"/>
        <v>0</v>
      </c>
      <c r="AE24" s="7">
        <f t="shared" si="10"/>
        <v>32</v>
      </c>
      <c r="AF24" s="5" t="e">
        <f t="shared" si="15"/>
        <v>#DIV/0!</v>
      </c>
      <c r="AG24" s="5">
        <f t="shared" ca="1" si="11"/>
        <v>1034.6795999999999</v>
      </c>
      <c r="AH24" s="5">
        <f t="shared" si="12"/>
        <v>1344</v>
      </c>
      <c r="AI24" s="6">
        <f t="shared" ca="1" si="13"/>
        <v>0.76985089285714281</v>
      </c>
    </row>
    <row r="25" spans="2:35" x14ac:dyDescent="0.2">
      <c r="B25" s="5" t="s">
        <v>60</v>
      </c>
      <c r="C25" s="21">
        <v>46244</v>
      </c>
      <c r="D25" s="5">
        <v>33</v>
      </c>
      <c r="E25" s="30">
        <v>6</v>
      </c>
      <c r="F25" s="31">
        <v>4</v>
      </c>
      <c r="G25" s="7">
        <f t="shared" ca="1" si="14"/>
        <v>15956</v>
      </c>
      <c r="H25" s="5">
        <v>0</v>
      </c>
      <c r="I25" s="5">
        <f>'B-JCI2 RH'!Q263</f>
        <v>0</v>
      </c>
      <c r="J25" s="12" t="str">
        <f t="shared" si="0"/>
        <v>N/S</v>
      </c>
      <c r="K25" s="5">
        <f t="shared" ca="1" si="1"/>
        <v>3492</v>
      </c>
      <c r="L25" s="5">
        <v>0</v>
      </c>
      <c r="M25" s="5">
        <f ca="1">'B-JCI2 RH'!$D$295</f>
        <v>0.29630000000000001</v>
      </c>
      <c r="N25" s="5">
        <v>0</v>
      </c>
      <c r="O25" s="5">
        <v>8</v>
      </c>
      <c r="P25" s="5"/>
      <c r="Q25" s="5">
        <v>0</v>
      </c>
      <c r="R25" s="5">
        <f t="shared" si="2"/>
        <v>0</v>
      </c>
      <c r="S25" s="5">
        <v>16</v>
      </c>
      <c r="T25" s="6">
        <v>0.77</v>
      </c>
      <c r="U25" s="5">
        <f t="shared" si="3"/>
        <v>42</v>
      </c>
      <c r="V25" s="5">
        <f t="shared" ca="1" si="4"/>
        <v>1746</v>
      </c>
      <c r="W25" s="5">
        <f t="shared" si="5"/>
        <v>16</v>
      </c>
      <c r="X25" s="6">
        <v>0.77</v>
      </c>
      <c r="Y25" s="5">
        <f t="shared" si="6"/>
        <v>42</v>
      </c>
      <c r="Z25" s="5">
        <f t="shared" ca="1" si="7"/>
        <v>1746</v>
      </c>
      <c r="AA25" s="5">
        <v>0</v>
      </c>
      <c r="AB25" s="6">
        <v>0</v>
      </c>
      <c r="AC25" s="5">
        <f t="shared" si="8"/>
        <v>42</v>
      </c>
      <c r="AD25" s="5">
        <f t="shared" ca="1" si="9"/>
        <v>0</v>
      </c>
      <c r="AE25" s="7">
        <f t="shared" si="10"/>
        <v>32</v>
      </c>
      <c r="AF25" s="5" t="e">
        <f t="shared" si="15"/>
        <v>#DIV/0!</v>
      </c>
      <c r="AG25" s="5">
        <f t="shared" ca="1" si="11"/>
        <v>1034.6795999999999</v>
      </c>
      <c r="AH25" s="5">
        <f t="shared" si="12"/>
        <v>1344</v>
      </c>
      <c r="AI25" s="6">
        <f t="shared" ca="1" si="13"/>
        <v>0.76985089285714281</v>
      </c>
    </row>
    <row r="26" spans="2:35" x14ac:dyDescent="0.2">
      <c r="B26" s="5" t="s">
        <v>60</v>
      </c>
      <c r="C26" s="21">
        <v>46251</v>
      </c>
      <c r="D26" s="5">
        <v>34</v>
      </c>
      <c r="E26" s="5">
        <v>6</v>
      </c>
      <c r="F26" s="5">
        <v>5</v>
      </c>
      <c r="G26" s="7">
        <f t="shared" ca="1" si="14"/>
        <v>15956</v>
      </c>
      <c r="H26" s="5">
        <v>0</v>
      </c>
      <c r="I26" s="5">
        <f>'B-JCI2 RH'!R263</f>
        <v>3740</v>
      </c>
      <c r="J26" s="12">
        <f t="shared" ca="1" si="0"/>
        <v>21.3</v>
      </c>
      <c r="K26" s="5">
        <f t="shared" ca="1" si="1"/>
        <v>3492</v>
      </c>
      <c r="L26" s="5">
        <v>0</v>
      </c>
      <c r="M26" s="5">
        <f ca="1">'B-JCI2 RH'!$D$295</f>
        <v>0.29630000000000001</v>
      </c>
      <c r="N26" s="5">
        <v>0</v>
      </c>
      <c r="O26" s="5">
        <v>8</v>
      </c>
      <c r="P26" s="5"/>
      <c r="Q26" s="5">
        <v>0</v>
      </c>
      <c r="R26" s="5">
        <f t="shared" si="2"/>
        <v>748</v>
      </c>
      <c r="S26" s="5">
        <v>16</v>
      </c>
      <c r="T26" s="6">
        <v>0.77</v>
      </c>
      <c r="U26" s="5">
        <f t="shared" si="3"/>
        <v>42</v>
      </c>
      <c r="V26" s="5">
        <f t="shared" ca="1" si="4"/>
        <v>1746</v>
      </c>
      <c r="W26" s="5">
        <f t="shared" si="5"/>
        <v>16</v>
      </c>
      <c r="X26" s="6">
        <v>0.77</v>
      </c>
      <c r="Y26" s="5">
        <f t="shared" si="6"/>
        <v>42</v>
      </c>
      <c r="Z26" s="5">
        <f t="shared" ca="1" si="7"/>
        <v>1746</v>
      </c>
      <c r="AA26" s="5">
        <v>0</v>
      </c>
      <c r="AB26" s="6">
        <v>0</v>
      </c>
      <c r="AC26" s="5">
        <f t="shared" si="8"/>
        <v>42</v>
      </c>
      <c r="AD26" s="5">
        <f t="shared" ca="1" si="9"/>
        <v>0</v>
      </c>
      <c r="AE26" s="7">
        <f t="shared" si="10"/>
        <v>32</v>
      </c>
      <c r="AF26" s="5" t="e">
        <f t="shared" si="15"/>
        <v>#DIV/0!</v>
      </c>
      <c r="AG26" s="5">
        <f t="shared" ca="1" si="11"/>
        <v>1034.6795999999999</v>
      </c>
      <c r="AH26" s="5">
        <f t="shared" si="12"/>
        <v>1344</v>
      </c>
      <c r="AI26" s="6">
        <f t="shared" ca="1" si="13"/>
        <v>0.76985089285714281</v>
      </c>
    </row>
    <row r="27" spans="2:35" x14ac:dyDescent="0.2">
      <c r="B27" s="5" t="s">
        <v>60</v>
      </c>
      <c r="C27" s="21">
        <v>46258</v>
      </c>
      <c r="D27" s="5">
        <v>35</v>
      </c>
      <c r="E27" s="5">
        <v>5</v>
      </c>
      <c r="F27" s="5">
        <v>5</v>
      </c>
      <c r="G27" s="7">
        <f t="shared" ca="1" si="14"/>
        <v>12216</v>
      </c>
      <c r="H27" s="5">
        <v>0</v>
      </c>
      <c r="I27" s="5">
        <f>'B-JCI2 RH'!S263</f>
        <v>3400</v>
      </c>
      <c r="J27" s="12">
        <f t="shared" ca="1" si="0"/>
        <v>18</v>
      </c>
      <c r="K27" s="5">
        <f t="shared" ca="1" si="1"/>
        <v>2910</v>
      </c>
      <c r="L27" s="5">
        <v>0</v>
      </c>
      <c r="M27" s="5">
        <f ca="1">'B-JCI2 RH'!$D$295</f>
        <v>0.29630000000000001</v>
      </c>
      <c r="N27" s="5">
        <v>0</v>
      </c>
      <c r="O27" s="5">
        <v>8</v>
      </c>
      <c r="P27" s="5"/>
      <c r="Q27" s="5">
        <v>0</v>
      </c>
      <c r="R27" s="5">
        <f t="shared" si="2"/>
        <v>680</v>
      </c>
      <c r="S27" s="5">
        <v>16</v>
      </c>
      <c r="T27" s="6">
        <v>0.77</v>
      </c>
      <c r="U27" s="5">
        <f t="shared" si="3"/>
        <v>35</v>
      </c>
      <c r="V27" s="5">
        <f t="shared" ca="1" si="4"/>
        <v>1455</v>
      </c>
      <c r="W27" s="5">
        <f t="shared" si="5"/>
        <v>16</v>
      </c>
      <c r="X27" s="6">
        <v>0.77</v>
      </c>
      <c r="Y27" s="5">
        <f t="shared" si="6"/>
        <v>35</v>
      </c>
      <c r="Z27" s="5">
        <f t="shared" ca="1" si="7"/>
        <v>1455</v>
      </c>
      <c r="AA27" s="5">
        <v>0</v>
      </c>
      <c r="AB27" s="6">
        <v>0</v>
      </c>
      <c r="AC27" s="5">
        <f t="shared" si="8"/>
        <v>35</v>
      </c>
      <c r="AD27" s="5">
        <f t="shared" ca="1" si="9"/>
        <v>0</v>
      </c>
      <c r="AE27" s="7">
        <f t="shared" si="10"/>
        <v>32</v>
      </c>
      <c r="AF27" s="5" t="e">
        <f t="shared" si="15"/>
        <v>#DIV/0!</v>
      </c>
      <c r="AG27" s="5">
        <f t="shared" ca="1" si="11"/>
        <v>862.23300000000006</v>
      </c>
      <c r="AH27" s="5">
        <f t="shared" si="12"/>
        <v>1120</v>
      </c>
      <c r="AI27" s="6">
        <f t="shared" ca="1" si="13"/>
        <v>0.76985089285714292</v>
      </c>
    </row>
    <row r="28" spans="2:35" x14ac:dyDescent="0.2">
      <c r="B28" s="5" t="s">
        <v>60</v>
      </c>
      <c r="C28" s="21">
        <v>46265</v>
      </c>
      <c r="D28" s="5">
        <v>36</v>
      </c>
      <c r="E28" s="5">
        <v>6</v>
      </c>
      <c r="F28" s="5">
        <v>5</v>
      </c>
      <c r="G28" s="7">
        <f t="shared" ca="1" si="14"/>
        <v>12308</v>
      </c>
      <c r="H28" s="5">
        <v>0</v>
      </c>
      <c r="I28" s="5">
        <f>'B-JCI2 RH'!T263</f>
        <v>3260</v>
      </c>
      <c r="J28" s="12">
        <f t="shared" ca="1" si="0"/>
        <v>18.899999999999999</v>
      </c>
      <c r="K28" s="5">
        <f t="shared" ca="1" si="1"/>
        <v>3492</v>
      </c>
      <c r="L28" s="5">
        <v>0</v>
      </c>
      <c r="M28" s="5">
        <f ca="1">'B-JCI2 RH'!$D$295</f>
        <v>0.29630000000000001</v>
      </c>
      <c r="N28" s="5">
        <v>0</v>
      </c>
      <c r="O28" s="5">
        <v>8</v>
      </c>
      <c r="P28" s="5"/>
      <c r="Q28" s="5">
        <v>0</v>
      </c>
      <c r="R28" s="5">
        <f t="shared" si="2"/>
        <v>652</v>
      </c>
      <c r="S28" s="5">
        <v>16</v>
      </c>
      <c r="T28" s="6">
        <v>0.77</v>
      </c>
      <c r="U28" s="5">
        <f t="shared" si="3"/>
        <v>42</v>
      </c>
      <c r="V28" s="5">
        <f t="shared" ca="1" si="4"/>
        <v>1746</v>
      </c>
      <c r="W28" s="5">
        <f t="shared" si="5"/>
        <v>16</v>
      </c>
      <c r="X28" s="6">
        <v>0.77</v>
      </c>
      <c r="Y28" s="5">
        <f t="shared" si="6"/>
        <v>42</v>
      </c>
      <c r="Z28" s="5">
        <f t="shared" ca="1" si="7"/>
        <v>1746</v>
      </c>
      <c r="AA28" s="5">
        <v>0</v>
      </c>
      <c r="AB28" s="6">
        <v>0</v>
      </c>
      <c r="AC28" s="5">
        <f t="shared" si="8"/>
        <v>42</v>
      </c>
      <c r="AD28" s="5">
        <f t="shared" ca="1" si="9"/>
        <v>0</v>
      </c>
      <c r="AE28" s="7">
        <f t="shared" si="10"/>
        <v>32</v>
      </c>
      <c r="AF28" s="5" t="e">
        <f t="shared" si="15"/>
        <v>#DIV/0!</v>
      </c>
      <c r="AG28" s="5">
        <f t="shared" ca="1" si="11"/>
        <v>1034.6795999999999</v>
      </c>
      <c r="AH28" s="5">
        <f t="shared" si="12"/>
        <v>1344</v>
      </c>
      <c r="AI28" s="6">
        <f t="shared" ca="1" si="13"/>
        <v>0.76985089285714281</v>
      </c>
    </row>
    <row r="29" spans="2:35" x14ac:dyDescent="0.2">
      <c r="B29" s="5" t="s">
        <v>61</v>
      </c>
      <c r="C29" s="21">
        <v>46272</v>
      </c>
      <c r="D29" s="5">
        <v>37</v>
      </c>
      <c r="E29" s="5">
        <v>6</v>
      </c>
      <c r="F29" s="5">
        <v>5</v>
      </c>
      <c r="G29" s="7">
        <f t="shared" ca="1" si="14"/>
        <v>12540</v>
      </c>
      <c r="H29" s="5">
        <v>0</v>
      </c>
      <c r="I29" s="5">
        <f>'B-JCI2 RH'!U263</f>
        <v>3680</v>
      </c>
      <c r="J29" s="12">
        <f t="shared" ca="1" si="0"/>
        <v>17</v>
      </c>
      <c r="K29" s="5">
        <f t="shared" ca="1" si="1"/>
        <v>3056</v>
      </c>
      <c r="L29" s="5">
        <v>0</v>
      </c>
      <c r="M29" s="5">
        <f ca="1">'B-JCI2 RH'!$D$295</f>
        <v>0.29630000000000001</v>
      </c>
      <c r="N29" s="5">
        <v>0</v>
      </c>
      <c r="O29" s="5">
        <v>9</v>
      </c>
      <c r="P29" s="5"/>
      <c r="Q29" s="5">
        <v>0</v>
      </c>
      <c r="R29" s="5">
        <f t="shared" si="2"/>
        <v>736</v>
      </c>
      <c r="S29" s="22">
        <v>14</v>
      </c>
      <c r="T29" s="23">
        <v>0.77</v>
      </c>
      <c r="U29" s="22">
        <f t="shared" si="3"/>
        <v>42</v>
      </c>
      <c r="V29" s="22">
        <f t="shared" ca="1" si="4"/>
        <v>1528</v>
      </c>
      <c r="W29" s="22">
        <f t="shared" si="5"/>
        <v>14</v>
      </c>
      <c r="X29" s="23">
        <v>0.77</v>
      </c>
      <c r="Y29" s="22">
        <f t="shared" si="6"/>
        <v>42</v>
      </c>
      <c r="Z29" s="22">
        <f t="shared" ca="1" si="7"/>
        <v>1528</v>
      </c>
      <c r="AA29" s="5">
        <v>0</v>
      </c>
      <c r="AB29" s="6">
        <v>0</v>
      </c>
      <c r="AC29" s="5">
        <f t="shared" si="8"/>
        <v>42</v>
      </c>
      <c r="AD29" s="5">
        <f t="shared" ca="1" si="9"/>
        <v>0</v>
      </c>
      <c r="AE29" s="7">
        <f t="shared" si="10"/>
        <v>28</v>
      </c>
      <c r="AF29" s="5" t="e">
        <f t="shared" si="15"/>
        <v>#DIV/0!</v>
      </c>
      <c r="AG29" s="5">
        <f t="shared" ca="1" si="11"/>
        <v>905.49279999999999</v>
      </c>
      <c r="AH29" s="5">
        <f t="shared" si="12"/>
        <v>1176</v>
      </c>
      <c r="AI29" s="6">
        <f t="shared" ca="1" si="13"/>
        <v>0.76997687074829935</v>
      </c>
    </row>
    <row r="30" spans="2:35" x14ac:dyDescent="0.2">
      <c r="B30" s="5" t="s">
        <v>61</v>
      </c>
      <c r="C30" s="21">
        <v>46279</v>
      </c>
      <c r="D30" s="5">
        <v>38</v>
      </c>
      <c r="E30" s="5">
        <v>6</v>
      </c>
      <c r="F30" s="5">
        <v>5</v>
      </c>
      <c r="G30" s="7">
        <f t="shared" ca="1" si="14"/>
        <v>12352</v>
      </c>
      <c r="H30" s="5">
        <v>0</v>
      </c>
      <c r="I30" s="5">
        <f>'B-JCI2 RH'!V263</f>
        <v>3680</v>
      </c>
      <c r="J30" s="12">
        <f t="shared" ca="1" si="0"/>
        <v>16.8</v>
      </c>
      <c r="K30" s="5">
        <f t="shared" ca="1" si="1"/>
        <v>3056</v>
      </c>
      <c r="L30" s="5">
        <v>0</v>
      </c>
      <c r="M30" s="5">
        <f ca="1">'B-JCI2 RH'!$D$295</f>
        <v>0.29630000000000001</v>
      </c>
      <c r="N30" s="5">
        <v>0</v>
      </c>
      <c r="O30" s="5">
        <v>9</v>
      </c>
      <c r="P30" s="5"/>
      <c r="Q30" s="5">
        <v>0</v>
      </c>
      <c r="R30" s="5">
        <f t="shared" si="2"/>
        <v>736</v>
      </c>
      <c r="S30" s="5">
        <v>14</v>
      </c>
      <c r="T30" s="6">
        <v>0.77</v>
      </c>
      <c r="U30" s="5">
        <f t="shared" si="3"/>
        <v>42</v>
      </c>
      <c r="V30" s="5">
        <f t="shared" ca="1" si="4"/>
        <v>1528</v>
      </c>
      <c r="W30" s="5">
        <f t="shared" si="5"/>
        <v>14</v>
      </c>
      <c r="X30" s="6">
        <v>0.77</v>
      </c>
      <c r="Y30" s="5">
        <f t="shared" si="6"/>
        <v>42</v>
      </c>
      <c r="Z30" s="5">
        <f t="shared" ca="1" si="7"/>
        <v>1528</v>
      </c>
      <c r="AA30" s="5">
        <v>0</v>
      </c>
      <c r="AB30" s="6">
        <v>0</v>
      </c>
      <c r="AC30" s="5">
        <f t="shared" si="8"/>
        <v>42</v>
      </c>
      <c r="AD30" s="5">
        <f t="shared" ca="1" si="9"/>
        <v>0</v>
      </c>
      <c r="AE30" s="7">
        <f t="shared" si="10"/>
        <v>28</v>
      </c>
      <c r="AF30" s="5" t="e">
        <f t="shared" si="15"/>
        <v>#DIV/0!</v>
      </c>
      <c r="AG30" s="5">
        <f t="shared" ca="1" si="11"/>
        <v>905.49279999999999</v>
      </c>
      <c r="AH30" s="5">
        <f t="shared" si="12"/>
        <v>1176</v>
      </c>
      <c r="AI30" s="6">
        <f t="shared" ca="1" si="13"/>
        <v>0.76997687074829935</v>
      </c>
    </row>
    <row r="31" spans="2:35" x14ac:dyDescent="0.2">
      <c r="B31" s="5" t="s">
        <v>61</v>
      </c>
      <c r="C31" s="21">
        <v>46286</v>
      </c>
      <c r="D31" s="5">
        <v>39</v>
      </c>
      <c r="E31" s="5">
        <v>4</v>
      </c>
      <c r="F31" s="5">
        <v>5</v>
      </c>
      <c r="G31" s="7">
        <f t="shared" ca="1" si="14"/>
        <v>12164</v>
      </c>
      <c r="H31" s="5">
        <v>0</v>
      </c>
      <c r="I31" s="5">
        <f>'B-JCI2 RH'!W263</f>
        <v>3680</v>
      </c>
      <c r="J31" s="12">
        <f t="shared" ca="1" si="0"/>
        <v>16.5</v>
      </c>
      <c r="K31" s="5">
        <f t="shared" ca="1" si="1"/>
        <v>2038</v>
      </c>
      <c r="L31" s="5">
        <v>0</v>
      </c>
      <c r="M31" s="5">
        <f ca="1">'B-JCI2 RH'!$D$295</f>
        <v>0.29630000000000001</v>
      </c>
      <c r="N31" s="5">
        <v>0</v>
      </c>
      <c r="O31" s="5">
        <v>9</v>
      </c>
      <c r="P31" s="5"/>
      <c r="Q31" s="5">
        <v>0</v>
      </c>
      <c r="R31" s="5">
        <f t="shared" si="2"/>
        <v>736</v>
      </c>
      <c r="S31" s="5">
        <v>14</v>
      </c>
      <c r="T31" s="6">
        <v>0.77</v>
      </c>
      <c r="U31" s="5">
        <f t="shared" si="3"/>
        <v>28</v>
      </c>
      <c r="V31" s="5">
        <f t="shared" ca="1" si="4"/>
        <v>1019</v>
      </c>
      <c r="W31" s="5">
        <f t="shared" si="5"/>
        <v>14</v>
      </c>
      <c r="X31" s="6">
        <v>0.77</v>
      </c>
      <c r="Y31" s="5">
        <f t="shared" si="6"/>
        <v>28</v>
      </c>
      <c r="Z31" s="5">
        <f t="shared" ca="1" si="7"/>
        <v>1019</v>
      </c>
      <c r="AA31" s="5">
        <v>0</v>
      </c>
      <c r="AB31" s="6">
        <v>0</v>
      </c>
      <c r="AC31" s="5">
        <f t="shared" si="8"/>
        <v>28</v>
      </c>
      <c r="AD31" s="5">
        <f t="shared" ca="1" si="9"/>
        <v>0</v>
      </c>
      <c r="AE31" s="7">
        <f t="shared" si="10"/>
        <v>28</v>
      </c>
      <c r="AF31" s="5" t="e">
        <f t="shared" si="15"/>
        <v>#DIV/0!</v>
      </c>
      <c r="AG31" s="5">
        <f t="shared" ca="1" si="11"/>
        <v>603.85940000000005</v>
      </c>
      <c r="AH31" s="5">
        <f t="shared" si="12"/>
        <v>784</v>
      </c>
      <c r="AI31" s="6">
        <f t="shared" ca="1" si="13"/>
        <v>0.77022882653061231</v>
      </c>
    </row>
    <row r="32" spans="2:35" x14ac:dyDescent="0.2">
      <c r="B32" s="5" t="s">
        <v>61</v>
      </c>
      <c r="C32" s="21">
        <v>46293</v>
      </c>
      <c r="D32" s="5">
        <v>40</v>
      </c>
      <c r="E32" s="5">
        <v>5</v>
      </c>
      <c r="F32" s="5">
        <v>5</v>
      </c>
      <c r="G32" s="7">
        <f t="shared" ca="1" si="14"/>
        <v>11394</v>
      </c>
      <c r="H32" s="5">
        <v>0</v>
      </c>
      <c r="I32" s="5">
        <f>'B-JCI2 RH'!X263</f>
        <v>3620</v>
      </c>
      <c r="J32" s="12">
        <f t="shared" ca="1" si="0"/>
        <v>15.7</v>
      </c>
      <c r="K32" s="5">
        <f t="shared" ca="1" si="1"/>
        <v>2546</v>
      </c>
      <c r="L32" s="5">
        <v>0</v>
      </c>
      <c r="M32" s="5">
        <f ca="1">'B-JCI2 RH'!$D$295</f>
        <v>0.29630000000000001</v>
      </c>
      <c r="N32" s="5">
        <v>0</v>
      </c>
      <c r="O32" s="5">
        <v>9</v>
      </c>
      <c r="P32" s="5"/>
      <c r="Q32" s="5">
        <v>0</v>
      </c>
      <c r="R32" s="5">
        <f t="shared" si="2"/>
        <v>724</v>
      </c>
      <c r="S32" s="5">
        <v>14</v>
      </c>
      <c r="T32" s="6">
        <v>0.77</v>
      </c>
      <c r="U32" s="5">
        <f t="shared" si="3"/>
        <v>35</v>
      </c>
      <c r="V32" s="5">
        <f t="shared" ca="1" si="4"/>
        <v>1273</v>
      </c>
      <c r="W32" s="5">
        <f t="shared" si="5"/>
        <v>14</v>
      </c>
      <c r="X32" s="6">
        <v>0.77</v>
      </c>
      <c r="Y32" s="5">
        <f t="shared" si="6"/>
        <v>35</v>
      </c>
      <c r="Z32" s="5">
        <f t="shared" ca="1" si="7"/>
        <v>1273</v>
      </c>
      <c r="AA32" s="5">
        <v>0</v>
      </c>
      <c r="AB32" s="6">
        <v>0</v>
      </c>
      <c r="AC32" s="5">
        <f t="shared" si="8"/>
        <v>35</v>
      </c>
      <c r="AD32" s="5">
        <f t="shared" ca="1" si="9"/>
        <v>0</v>
      </c>
      <c r="AE32" s="7">
        <f t="shared" si="10"/>
        <v>28</v>
      </c>
      <c r="AF32" s="5" t="e">
        <f t="shared" si="15"/>
        <v>#DIV/0!</v>
      </c>
      <c r="AG32" s="5">
        <f t="shared" ca="1" si="11"/>
        <v>754.37980000000005</v>
      </c>
      <c r="AH32" s="5">
        <f t="shared" si="12"/>
        <v>980</v>
      </c>
      <c r="AI32" s="6">
        <f t="shared" ca="1" si="13"/>
        <v>0.76977530612244904</v>
      </c>
    </row>
    <row r="33" spans="2:35" x14ac:dyDescent="0.2">
      <c r="B33" s="5" t="s">
        <v>62</v>
      </c>
      <c r="C33" s="21">
        <v>46300</v>
      </c>
      <c r="D33" s="5">
        <v>41</v>
      </c>
      <c r="E33" s="5">
        <v>5</v>
      </c>
      <c r="F33" s="5">
        <v>5</v>
      </c>
      <c r="G33" s="7">
        <f t="shared" ca="1" si="14"/>
        <v>11266</v>
      </c>
      <c r="H33" s="5">
        <v>0</v>
      </c>
      <c r="I33" s="5">
        <f>'B-JCI2 RH'!Y263</f>
        <v>2530</v>
      </c>
      <c r="J33" s="12">
        <f t="shared" ca="1" si="0"/>
        <v>22.3</v>
      </c>
      <c r="K33" s="5">
        <f t="shared" ca="1" si="1"/>
        <v>2546</v>
      </c>
      <c r="L33" s="5">
        <v>0</v>
      </c>
      <c r="M33" s="5">
        <f ca="1">'B-JCI2 RH'!$D$295</f>
        <v>0.29630000000000001</v>
      </c>
      <c r="N33" s="5">
        <v>0</v>
      </c>
      <c r="O33" s="5">
        <v>10</v>
      </c>
      <c r="P33" s="5"/>
      <c r="Q33" s="5">
        <v>0</v>
      </c>
      <c r="R33" s="5">
        <f t="shared" si="2"/>
        <v>506</v>
      </c>
      <c r="S33" s="5">
        <v>14</v>
      </c>
      <c r="T33" s="6">
        <v>0.77</v>
      </c>
      <c r="U33" s="5">
        <f t="shared" si="3"/>
        <v>35</v>
      </c>
      <c r="V33" s="5">
        <f t="shared" ca="1" si="4"/>
        <v>1273</v>
      </c>
      <c r="W33" s="5">
        <f t="shared" si="5"/>
        <v>14</v>
      </c>
      <c r="X33" s="6">
        <v>0.77</v>
      </c>
      <c r="Y33" s="5">
        <f t="shared" si="6"/>
        <v>35</v>
      </c>
      <c r="Z33" s="5">
        <f t="shared" ca="1" si="7"/>
        <v>1273</v>
      </c>
      <c r="AA33" s="5">
        <v>0</v>
      </c>
      <c r="AB33" s="6">
        <v>0</v>
      </c>
      <c r="AC33" s="5">
        <f t="shared" si="8"/>
        <v>35</v>
      </c>
      <c r="AD33" s="5">
        <f t="shared" ca="1" si="9"/>
        <v>0</v>
      </c>
      <c r="AE33" s="7">
        <f t="shared" si="10"/>
        <v>28</v>
      </c>
      <c r="AF33" s="5" t="e">
        <f t="shared" si="15"/>
        <v>#DIV/0!</v>
      </c>
      <c r="AG33" s="5">
        <f t="shared" ca="1" si="11"/>
        <v>754.37980000000005</v>
      </c>
      <c r="AH33" s="5">
        <f t="shared" si="12"/>
        <v>980</v>
      </c>
      <c r="AI33" s="6">
        <f t="shared" ca="1" si="13"/>
        <v>0.76977530612244904</v>
      </c>
    </row>
    <row r="34" spans="2:35" x14ac:dyDescent="0.2">
      <c r="B34" s="5" t="s">
        <v>62</v>
      </c>
      <c r="C34" s="21">
        <v>46307</v>
      </c>
      <c r="D34" s="5">
        <v>42</v>
      </c>
      <c r="E34" s="5">
        <v>6</v>
      </c>
      <c r="F34" s="5">
        <v>5</v>
      </c>
      <c r="G34" s="7">
        <f t="shared" ca="1" si="14"/>
        <v>11792</v>
      </c>
      <c r="H34" s="5">
        <v>0</v>
      </c>
      <c r="I34" s="5">
        <f>'B-JCI2 RH'!Z263</f>
        <v>2530</v>
      </c>
      <c r="J34" s="12">
        <f t="shared" ca="1" si="0"/>
        <v>23.3</v>
      </c>
      <c r="K34" s="5">
        <f t="shared" ca="1" si="1"/>
        <v>3056</v>
      </c>
      <c r="L34" s="5">
        <v>0</v>
      </c>
      <c r="M34" s="5">
        <f ca="1">'B-JCI2 RH'!$D$295</f>
        <v>0.29630000000000001</v>
      </c>
      <c r="N34" s="5">
        <v>0</v>
      </c>
      <c r="O34" s="5">
        <v>10</v>
      </c>
      <c r="P34" s="5"/>
      <c r="Q34" s="5">
        <v>0</v>
      </c>
      <c r="R34" s="5">
        <f t="shared" si="2"/>
        <v>506</v>
      </c>
      <c r="S34" s="5">
        <v>14</v>
      </c>
      <c r="T34" s="6">
        <v>0.77</v>
      </c>
      <c r="U34" s="5">
        <f t="shared" si="3"/>
        <v>42</v>
      </c>
      <c r="V34" s="5">
        <f t="shared" ca="1" si="4"/>
        <v>1528</v>
      </c>
      <c r="W34" s="5">
        <f t="shared" si="5"/>
        <v>14</v>
      </c>
      <c r="X34" s="6">
        <v>0.77</v>
      </c>
      <c r="Y34" s="5">
        <f t="shared" si="6"/>
        <v>42</v>
      </c>
      <c r="Z34" s="5">
        <f t="shared" ca="1" si="7"/>
        <v>1528</v>
      </c>
      <c r="AA34" s="5">
        <v>0</v>
      </c>
      <c r="AB34" s="6">
        <v>0</v>
      </c>
      <c r="AC34" s="5">
        <f t="shared" si="8"/>
        <v>42</v>
      </c>
      <c r="AD34" s="5">
        <f t="shared" ca="1" si="9"/>
        <v>0</v>
      </c>
      <c r="AE34" s="7">
        <f t="shared" si="10"/>
        <v>28</v>
      </c>
      <c r="AF34" s="5" t="e">
        <f t="shared" si="15"/>
        <v>#DIV/0!</v>
      </c>
      <c r="AG34" s="5">
        <f t="shared" ca="1" si="11"/>
        <v>905.49279999999999</v>
      </c>
      <c r="AH34" s="5">
        <f t="shared" si="12"/>
        <v>1176</v>
      </c>
      <c r="AI34" s="6">
        <f t="shared" ca="1" si="13"/>
        <v>0.76997687074829935</v>
      </c>
    </row>
    <row r="35" spans="2:35" x14ac:dyDescent="0.2">
      <c r="B35" s="5" t="s">
        <v>62</v>
      </c>
      <c r="C35" s="21">
        <v>46314</v>
      </c>
      <c r="D35" s="5">
        <v>43</v>
      </c>
      <c r="E35" s="5">
        <v>6</v>
      </c>
      <c r="F35" s="5">
        <v>5</v>
      </c>
      <c r="G35" s="7">
        <f t="shared" ca="1" si="14"/>
        <v>12318</v>
      </c>
      <c r="H35" s="5">
        <v>0</v>
      </c>
      <c r="I35" s="5">
        <f>'B-JCI2 RH'!AA263</f>
        <v>2530</v>
      </c>
      <c r="J35" s="12">
        <f t="shared" ca="1" si="0"/>
        <v>24.3</v>
      </c>
      <c r="K35" s="5">
        <f t="shared" ca="1" si="1"/>
        <v>3056</v>
      </c>
      <c r="L35" s="5">
        <v>0</v>
      </c>
      <c r="M35" s="5">
        <f ca="1">'B-JCI2 RH'!$D$295</f>
        <v>0.29630000000000001</v>
      </c>
      <c r="N35" s="5">
        <v>0</v>
      </c>
      <c r="O35" s="5">
        <v>10</v>
      </c>
      <c r="P35" s="5"/>
      <c r="Q35" s="5">
        <v>0</v>
      </c>
      <c r="R35" s="5">
        <f t="shared" si="2"/>
        <v>506</v>
      </c>
      <c r="S35" s="5">
        <v>14</v>
      </c>
      <c r="T35" s="6">
        <v>0.77</v>
      </c>
      <c r="U35" s="5">
        <f t="shared" si="3"/>
        <v>42</v>
      </c>
      <c r="V35" s="5">
        <f t="shared" ca="1" si="4"/>
        <v>1528</v>
      </c>
      <c r="W35" s="5">
        <f t="shared" si="5"/>
        <v>14</v>
      </c>
      <c r="X35" s="6">
        <v>0.77</v>
      </c>
      <c r="Y35" s="5">
        <f t="shared" si="6"/>
        <v>42</v>
      </c>
      <c r="Z35" s="5">
        <f t="shared" ca="1" si="7"/>
        <v>1528</v>
      </c>
      <c r="AA35" s="5">
        <v>0</v>
      </c>
      <c r="AB35" s="6">
        <v>0</v>
      </c>
      <c r="AC35" s="5">
        <f t="shared" si="8"/>
        <v>42</v>
      </c>
      <c r="AD35" s="5">
        <f t="shared" ca="1" si="9"/>
        <v>0</v>
      </c>
      <c r="AE35" s="7">
        <f t="shared" si="10"/>
        <v>28</v>
      </c>
      <c r="AF35" s="5" t="e">
        <f t="shared" si="15"/>
        <v>#DIV/0!</v>
      </c>
      <c r="AG35" s="5">
        <f t="shared" ca="1" si="11"/>
        <v>905.49279999999999</v>
      </c>
      <c r="AH35" s="5">
        <f t="shared" si="12"/>
        <v>1176</v>
      </c>
      <c r="AI35" s="6">
        <f t="shared" ca="1" si="13"/>
        <v>0.76997687074829935</v>
      </c>
    </row>
    <row r="36" spans="2:35" x14ac:dyDescent="0.2">
      <c r="B36" s="5" t="s">
        <v>62</v>
      </c>
      <c r="C36" s="21">
        <v>46321</v>
      </c>
      <c r="D36" s="5">
        <v>44</v>
      </c>
      <c r="E36" s="5">
        <v>6</v>
      </c>
      <c r="F36" s="5">
        <v>5</v>
      </c>
      <c r="G36" s="7">
        <f t="shared" ca="1" si="14"/>
        <v>11826</v>
      </c>
      <c r="H36" s="5">
        <v>0</v>
      </c>
      <c r="I36" s="5">
        <f>'B-JCI2 RH'!AB263</f>
        <v>2470</v>
      </c>
      <c r="J36" s="12">
        <f t="shared" ca="1" si="0"/>
        <v>23.9</v>
      </c>
      <c r="K36" s="5">
        <f t="shared" ca="1" si="1"/>
        <v>3056</v>
      </c>
      <c r="L36" s="5">
        <v>0</v>
      </c>
      <c r="M36" s="5">
        <f ca="1">'B-JCI2 RH'!$D$295</f>
        <v>0.29630000000000001</v>
      </c>
      <c r="N36" s="5">
        <v>0</v>
      </c>
      <c r="O36" s="5">
        <v>10</v>
      </c>
      <c r="P36" s="5"/>
      <c r="Q36" s="5">
        <v>0</v>
      </c>
      <c r="R36" s="5">
        <f t="shared" si="2"/>
        <v>494</v>
      </c>
      <c r="S36" s="5">
        <v>14</v>
      </c>
      <c r="T36" s="6">
        <v>0.77</v>
      </c>
      <c r="U36" s="5">
        <f t="shared" si="3"/>
        <v>42</v>
      </c>
      <c r="V36" s="5">
        <f t="shared" ca="1" si="4"/>
        <v>1528</v>
      </c>
      <c r="W36" s="5">
        <f t="shared" si="5"/>
        <v>14</v>
      </c>
      <c r="X36" s="6">
        <v>0.77</v>
      </c>
      <c r="Y36" s="5">
        <f t="shared" si="6"/>
        <v>42</v>
      </c>
      <c r="Z36" s="5">
        <f t="shared" ca="1" si="7"/>
        <v>1528</v>
      </c>
      <c r="AA36" s="5">
        <v>0</v>
      </c>
      <c r="AB36" s="6">
        <v>0</v>
      </c>
      <c r="AC36" s="5">
        <f t="shared" si="8"/>
        <v>42</v>
      </c>
      <c r="AD36" s="5">
        <f t="shared" ca="1" si="9"/>
        <v>0</v>
      </c>
      <c r="AE36" s="7">
        <f t="shared" si="10"/>
        <v>28</v>
      </c>
      <c r="AF36" s="5" t="e">
        <f t="shared" si="15"/>
        <v>#DIV/0!</v>
      </c>
      <c r="AG36" s="5">
        <f t="shared" ca="1" si="11"/>
        <v>905.49279999999999</v>
      </c>
      <c r="AH36" s="5">
        <f t="shared" si="12"/>
        <v>1176</v>
      </c>
      <c r="AI36" s="6">
        <f t="shared" ca="1" si="13"/>
        <v>0.76997687074829935</v>
      </c>
    </row>
    <row r="37" spans="2:35" x14ac:dyDescent="0.2">
      <c r="B37" s="5" t="s">
        <v>63</v>
      </c>
      <c r="C37" s="21">
        <v>46328</v>
      </c>
      <c r="D37" s="5">
        <v>45</v>
      </c>
      <c r="E37" s="5">
        <v>6</v>
      </c>
      <c r="F37" s="5">
        <v>5</v>
      </c>
      <c r="G37" s="7">
        <f t="shared" ca="1" si="14"/>
        <v>11902</v>
      </c>
      <c r="H37" s="5">
        <v>0</v>
      </c>
      <c r="I37" s="5">
        <f>'B-JCI2 RH'!AC263</f>
        <v>3790</v>
      </c>
      <c r="J37" s="12">
        <f t="shared" ca="1" si="0"/>
        <v>15.7</v>
      </c>
      <c r="K37" s="5">
        <f t="shared" ca="1" si="1"/>
        <v>3056</v>
      </c>
      <c r="L37" s="5">
        <v>0</v>
      </c>
      <c r="M37" s="5">
        <f ca="1">'B-JCI2 RH'!$D$295</f>
        <v>0.29630000000000001</v>
      </c>
      <c r="N37" s="5">
        <v>0</v>
      </c>
      <c r="O37" s="5">
        <v>11</v>
      </c>
      <c r="P37" s="5"/>
      <c r="Q37" s="5">
        <v>0</v>
      </c>
      <c r="R37" s="5">
        <f t="shared" si="2"/>
        <v>758</v>
      </c>
      <c r="S37" s="5">
        <v>14</v>
      </c>
      <c r="T37" s="6">
        <v>0.77</v>
      </c>
      <c r="U37" s="5">
        <f t="shared" si="3"/>
        <v>42</v>
      </c>
      <c r="V37" s="5">
        <f t="shared" ca="1" si="4"/>
        <v>1528</v>
      </c>
      <c r="W37" s="5">
        <f t="shared" si="5"/>
        <v>14</v>
      </c>
      <c r="X37" s="6">
        <v>0.77</v>
      </c>
      <c r="Y37" s="5">
        <f t="shared" si="6"/>
        <v>42</v>
      </c>
      <c r="Z37" s="5">
        <f t="shared" ca="1" si="7"/>
        <v>1528</v>
      </c>
      <c r="AA37" s="5">
        <v>0</v>
      </c>
      <c r="AB37" s="6">
        <v>0</v>
      </c>
      <c r="AC37" s="5">
        <f t="shared" si="8"/>
        <v>42</v>
      </c>
      <c r="AD37" s="5">
        <f t="shared" ca="1" si="9"/>
        <v>0</v>
      </c>
      <c r="AE37" s="7">
        <f t="shared" si="10"/>
        <v>28</v>
      </c>
      <c r="AF37" s="5" t="e">
        <f t="shared" si="15"/>
        <v>#DIV/0!</v>
      </c>
      <c r="AG37" s="5">
        <f t="shared" ca="1" si="11"/>
        <v>905.49279999999999</v>
      </c>
      <c r="AH37" s="5">
        <f t="shared" si="12"/>
        <v>1176</v>
      </c>
      <c r="AI37" s="6">
        <f t="shared" ca="1" si="13"/>
        <v>0.76997687074829935</v>
      </c>
    </row>
    <row r="38" spans="2:35" x14ac:dyDescent="0.2">
      <c r="B38" s="5" t="s">
        <v>63</v>
      </c>
      <c r="C38" s="21">
        <v>46335</v>
      </c>
      <c r="D38" s="5">
        <v>46</v>
      </c>
      <c r="E38" s="5">
        <v>6</v>
      </c>
      <c r="F38" s="31">
        <v>4</v>
      </c>
      <c r="G38" s="7">
        <f t="shared" ca="1" si="14"/>
        <v>10658</v>
      </c>
      <c r="H38" s="5">
        <v>0</v>
      </c>
      <c r="I38" s="5">
        <f>'B-JCI2 RH'!AD263</f>
        <v>3790</v>
      </c>
      <c r="J38" s="12">
        <f t="shared" ca="1" si="0"/>
        <v>11.2</v>
      </c>
      <c r="K38" s="5">
        <f t="shared" ca="1" si="1"/>
        <v>3056</v>
      </c>
      <c r="L38" s="5">
        <v>0</v>
      </c>
      <c r="M38" s="5">
        <f ca="1">'B-JCI2 RH'!$D$295</f>
        <v>0.29630000000000001</v>
      </c>
      <c r="N38" s="5">
        <v>0</v>
      </c>
      <c r="O38" s="5">
        <v>11</v>
      </c>
      <c r="P38" s="5"/>
      <c r="Q38" s="5">
        <v>0</v>
      </c>
      <c r="R38" s="5">
        <f t="shared" si="2"/>
        <v>948</v>
      </c>
      <c r="S38" s="5">
        <v>14</v>
      </c>
      <c r="T38" s="6">
        <v>0.77</v>
      </c>
      <c r="U38" s="5">
        <f t="shared" si="3"/>
        <v>42</v>
      </c>
      <c r="V38" s="5">
        <f t="shared" ca="1" si="4"/>
        <v>1528</v>
      </c>
      <c r="W38" s="5">
        <f t="shared" si="5"/>
        <v>14</v>
      </c>
      <c r="X38" s="6">
        <v>0.77</v>
      </c>
      <c r="Y38" s="5">
        <f t="shared" si="6"/>
        <v>42</v>
      </c>
      <c r="Z38" s="5">
        <f t="shared" ca="1" si="7"/>
        <v>1528</v>
      </c>
      <c r="AA38" s="5">
        <v>0</v>
      </c>
      <c r="AB38" s="6">
        <v>0</v>
      </c>
      <c r="AC38" s="5">
        <f t="shared" si="8"/>
        <v>42</v>
      </c>
      <c r="AD38" s="5">
        <f t="shared" ca="1" si="9"/>
        <v>0</v>
      </c>
      <c r="AE38" s="7">
        <f t="shared" si="10"/>
        <v>28</v>
      </c>
      <c r="AF38" s="5" t="e">
        <f t="shared" si="15"/>
        <v>#DIV/0!</v>
      </c>
      <c r="AG38" s="5">
        <f t="shared" ca="1" si="11"/>
        <v>905.49279999999999</v>
      </c>
      <c r="AH38" s="5">
        <f t="shared" si="12"/>
        <v>1176</v>
      </c>
      <c r="AI38" s="6">
        <f t="shared" ca="1" si="13"/>
        <v>0.76997687074829935</v>
      </c>
    </row>
    <row r="39" spans="2:35" x14ac:dyDescent="0.2">
      <c r="B39" s="5" t="s">
        <v>63</v>
      </c>
      <c r="C39" s="21">
        <v>46342</v>
      </c>
      <c r="D39" s="5">
        <v>47</v>
      </c>
      <c r="E39" s="5">
        <v>6</v>
      </c>
      <c r="F39" s="5">
        <v>5</v>
      </c>
      <c r="G39" s="7">
        <f t="shared" ca="1" si="14"/>
        <v>9924</v>
      </c>
      <c r="H39" s="5">
        <v>0</v>
      </c>
      <c r="I39" s="5">
        <f>'B-JCI2 RH'!AE263</f>
        <v>3780</v>
      </c>
      <c r="J39" s="12">
        <f t="shared" ca="1" si="0"/>
        <v>13.1</v>
      </c>
      <c r="K39" s="5">
        <f t="shared" ca="1" si="1"/>
        <v>3056</v>
      </c>
      <c r="L39" s="5">
        <v>0</v>
      </c>
      <c r="M39" s="5">
        <f ca="1">'B-JCI2 RH'!$D$295</f>
        <v>0.29630000000000001</v>
      </c>
      <c r="N39" s="5">
        <v>0</v>
      </c>
      <c r="O39" s="5">
        <v>11</v>
      </c>
      <c r="P39" s="5"/>
      <c r="Q39" s="5">
        <v>0</v>
      </c>
      <c r="R39" s="5">
        <f t="shared" si="2"/>
        <v>756</v>
      </c>
      <c r="S39" s="5">
        <v>14</v>
      </c>
      <c r="T39" s="6">
        <v>0.77</v>
      </c>
      <c r="U39" s="5">
        <f t="shared" si="3"/>
        <v>42</v>
      </c>
      <c r="V39" s="5">
        <f t="shared" ca="1" si="4"/>
        <v>1528</v>
      </c>
      <c r="W39" s="5">
        <f t="shared" si="5"/>
        <v>14</v>
      </c>
      <c r="X39" s="6">
        <v>0.77</v>
      </c>
      <c r="Y39" s="5">
        <f t="shared" si="6"/>
        <v>42</v>
      </c>
      <c r="Z39" s="5">
        <f t="shared" ca="1" si="7"/>
        <v>1528</v>
      </c>
      <c r="AA39" s="5">
        <v>0</v>
      </c>
      <c r="AB39" s="6">
        <v>0</v>
      </c>
      <c r="AC39" s="5">
        <f t="shared" si="8"/>
        <v>42</v>
      </c>
      <c r="AD39" s="5">
        <f t="shared" ca="1" si="9"/>
        <v>0</v>
      </c>
      <c r="AE39" s="7">
        <f t="shared" si="10"/>
        <v>28</v>
      </c>
      <c r="AF39" s="5" t="e">
        <f t="shared" si="15"/>
        <v>#DIV/0!</v>
      </c>
      <c r="AG39" s="5">
        <f t="shared" ca="1" si="11"/>
        <v>905.49279999999999</v>
      </c>
      <c r="AH39" s="5">
        <f t="shared" si="12"/>
        <v>1176</v>
      </c>
      <c r="AI39" s="6">
        <f t="shared" ca="1" si="13"/>
        <v>0.76997687074829935</v>
      </c>
    </row>
    <row r="40" spans="2:35" x14ac:dyDescent="0.2">
      <c r="B40" s="5" t="s">
        <v>63</v>
      </c>
      <c r="C40" s="21">
        <v>46349</v>
      </c>
      <c r="D40" s="5">
        <v>48</v>
      </c>
      <c r="E40" s="5">
        <v>6</v>
      </c>
      <c r="F40" s="5">
        <v>5</v>
      </c>
      <c r="G40" s="7">
        <f t="shared" ca="1" si="14"/>
        <v>9200</v>
      </c>
      <c r="H40" s="5">
        <v>0</v>
      </c>
      <c r="I40" s="5">
        <f>'B-JCI2 RH'!AF263</f>
        <v>3780</v>
      </c>
      <c r="J40" s="12">
        <f t="shared" ca="1" si="0"/>
        <v>12.2</v>
      </c>
      <c r="K40" s="5">
        <f t="shared" ca="1" si="1"/>
        <v>3056</v>
      </c>
      <c r="L40" s="5">
        <v>0</v>
      </c>
      <c r="M40" s="5">
        <f ca="1">'B-JCI2 RH'!$D$295</f>
        <v>0.29630000000000001</v>
      </c>
      <c r="N40" s="5">
        <v>0</v>
      </c>
      <c r="O40" s="5">
        <v>11</v>
      </c>
      <c r="P40" s="5"/>
      <c r="Q40" s="5">
        <v>0</v>
      </c>
      <c r="R40" s="5">
        <f t="shared" si="2"/>
        <v>756</v>
      </c>
      <c r="S40" s="5">
        <v>14</v>
      </c>
      <c r="T40" s="6">
        <v>0.77</v>
      </c>
      <c r="U40" s="5">
        <f t="shared" si="3"/>
        <v>42</v>
      </c>
      <c r="V40" s="5">
        <f t="shared" ca="1" si="4"/>
        <v>1528</v>
      </c>
      <c r="W40" s="5">
        <f t="shared" si="5"/>
        <v>14</v>
      </c>
      <c r="X40" s="6">
        <v>0.77</v>
      </c>
      <c r="Y40" s="5">
        <f t="shared" si="6"/>
        <v>42</v>
      </c>
      <c r="Z40" s="5">
        <f t="shared" ca="1" si="7"/>
        <v>1528</v>
      </c>
      <c r="AA40" s="5">
        <v>0</v>
      </c>
      <c r="AB40" s="6">
        <v>0</v>
      </c>
      <c r="AC40" s="5">
        <f t="shared" si="8"/>
        <v>42</v>
      </c>
      <c r="AD40" s="5">
        <f t="shared" ca="1" si="9"/>
        <v>0</v>
      </c>
      <c r="AE40" s="7">
        <f t="shared" si="10"/>
        <v>28</v>
      </c>
      <c r="AF40" s="5" t="e">
        <f t="shared" si="15"/>
        <v>#DIV/0!</v>
      </c>
      <c r="AG40" s="5">
        <f t="shared" ca="1" si="11"/>
        <v>905.49279999999999</v>
      </c>
      <c r="AH40" s="5">
        <f t="shared" si="12"/>
        <v>1176</v>
      </c>
      <c r="AI40" s="6">
        <f t="shared" ca="1" si="13"/>
        <v>0.76997687074829935</v>
      </c>
    </row>
    <row r="41" spans="2:35" x14ac:dyDescent="0.2">
      <c r="B41" s="5" t="s">
        <v>63</v>
      </c>
      <c r="C41" s="21">
        <v>46356</v>
      </c>
      <c r="D41" s="5">
        <v>49</v>
      </c>
      <c r="E41" s="5">
        <v>6</v>
      </c>
      <c r="F41" s="5">
        <v>5</v>
      </c>
      <c r="G41" s="7">
        <f t="shared" ca="1" si="14"/>
        <v>8476</v>
      </c>
      <c r="H41" s="5">
        <v>0</v>
      </c>
      <c r="I41" s="5">
        <f>'B-JCI2 RH'!AG263</f>
        <v>3480</v>
      </c>
      <c r="J41" s="12">
        <f t="shared" ca="1" si="0"/>
        <v>12.2</v>
      </c>
      <c r="K41" s="5">
        <f t="shared" ca="1" si="1"/>
        <v>3056</v>
      </c>
      <c r="L41" s="5">
        <v>0</v>
      </c>
      <c r="M41" s="5">
        <f ca="1">'B-JCI2 RH'!$D$295</f>
        <v>0.29630000000000001</v>
      </c>
      <c r="N41" s="5">
        <v>0</v>
      </c>
      <c r="O41" s="5">
        <v>11</v>
      </c>
      <c r="P41" s="5"/>
      <c r="Q41" s="5">
        <v>0</v>
      </c>
      <c r="R41" s="5">
        <f t="shared" si="2"/>
        <v>696</v>
      </c>
      <c r="S41" s="5">
        <v>14</v>
      </c>
      <c r="T41" s="6">
        <v>0.77</v>
      </c>
      <c r="U41" s="5">
        <f t="shared" si="3"/>
        <v>42</v>
      </c>
      <c r="V41" s="5">
        <f t="shared" ca="1" si="4"/>
        <v>1528</v>
      </c>
      <c r="W41" s="5">
        <f t="shared" si="5"/>
        <v>14</v>
      </c>
      <c r="X41" s="6">
        <v>0.77</v>
      </c>
      <c r="Y41" s="5">
        <f t="shared" si="6"/>
        <v>42</v>
      </c>
      <c r="Z41" s="5">
        <f t="shared" ca="1" si="7"/>
        <v>1528</v>
      </c>
      <c r="AA41" s="5">
        <v>0</v>
      </c>
      <c r="AB41" s="6">
        <v>0</v>
      </c>
      <c r="AC41" s="5">
        <f t="shared" si="8"/>
        <v>42</v>
      </c>
      <c r="AD41" s="5">
        <f t="shared" ca="1" si="9"/>
        <v>0</v>
      </c>
      <c r="AE41" s="7">
        <f t="shared" si="10"/>
        <v>28</v>
      </c>
      <c r="AF41" s="5" t="e">
        <f t="shared" si="15"/>
        <v>#DIV/0!</v>
      </c>
      <c r="AG41" s="5">
        <f t="shared" ca="1" si="11"/>
        <v>905.49279999999999</v>
      </c>
      <c r="AH41" s="5">
        <f t="shared" si="12"/>
        <v>1176</v>
      </c>
      <c r="AI41" s="6">
        <f t="shared" ca="1" si="13"/>
        <v>0.76997687074829935</v>
      </c>
    </row>
    <row r="42" spans="2:35" x14ac:dyDescent="0.2">
      <c r="B42" s="5" t="s">
        <v>64</v>
      </c>
      <c r="C42" s="21">
        <v>46363</v>
      </c>
      <c r="D42" s="5">
        <v>50</v>
      </c>
      <c r="E42" s="5">
        <v>6</v>
      </c>
      <c r="F42" s="5">
        <v>5</v>
      </c>
      <c r="G42" s="7">
        <f t="shared" ca="1" si="14"/>
        <v>8052</v>
      </c>
      <c r="H42" s="5">
        <v>0</v>
      </c>
      <c r="I42" s="5">
        <f>'B-JCI2 RH'!AH263</f>
        <v>3810</v>
      </c>
      <c r="J42" s="12">
        <f t="shared" ca="1" si="0"/>
        <v>10.6</v>
      </c>
      <c r="K42" s="5">
        <f t="shared" ca="1" si="1"/>
        <v>3056</v>
      </c>
      <c r="L42" s="5">
        <v>0</v>
      </c>
      <c r="M42" s="5">
        <f ca="1">'B-JCI2 RH'!$D$295</f>
        <v>0.29630000000000001</v>
      </c>
      <c r="N42" s="5">
        <v>0</v>
      </c>
      <c r="O42" s="5">
        <v>12</v>
      </c>
      <c r="P42" s="5"/>
      <c r="Q42" s="5">
        <v>0</v>
      </c>
      <c r="R42" s="5">
        <f t="shared" si="2"/>
        <v>762</v>
      </c>
      <c r="S42" s="5">
        <v>14</v>
      </c>
      <c r="T42" s="6">
        <v>0.77</v>
      </c>
      <c r="U42" s="5">
        <f t="shared" si="3"/>
        <v>42</v>
      </c>
      <c r="V42" s="5">
        <f t="shared" ca="1" si="4"/>
        <v>1528</v>
      </c>
      <c r="W42" s="5">
        <f t="shared" si="5"/>
        <v>14</v>
      </c>
      <c r="X42" s="6">
        <v>0.77</v>
      </c>
      <c r="Y42" s="5">
        <f t="shared" si="6"/>
        <v>42</v>
      </c>
      <c r="Z42" s="5">
        <f t="shared" ca="1" si="7"/>
        <v>1528</v>
      </c>
      <c r="AA42" s="5">
        <v>0</v>
      </c>
      <c r="AB42" s="6">
        <v>0</v>
      </c>
      <c r="AC42" s="5">
        <f t="shared" si="8"/>
        <v>42</v>
      </c>
      <c r="AD42" s="5">
        <f t="shared" ca="1" si="9"/>
        <v>0</v>
      </c>
      <c r="AE42" s="7">
        <f t="shared" si="10"/>
        <v>28</v>
      </c>
      <c r="AF42" s="5" t="e">
        <f t="shared" si="15"/>
        <v>#DIV/0!</v>
      </c>
      <c r="AG42" s="5">
        <f t="shared" ca="1" si="11"/>
        <v>905.49279999999999</v>
      </c>
      <c r="AH42" s="5">
        <f t="shared" si="12"/>
        <v>1176</v>
      </c>
      <c r="AI42" s="6">
        <f t="shared" ca="1" si="13"/>
        <v>0.76997687074829935</v>
      </c>
    </row>
    <row r="43" spans="2:35" x14ac:dyDescent="0.2">
      <c r="B43" s="5" t="s">
        <v>64</v>
      </c>
      <c r="C43" s="21">
        <v>46370</v>
      </c>
      <c r="D43" s="5">
        <v>51</v>
      </c>
      <c r="E43" s="5">
        <v>6</v>
      </c>
      <c r="F43" s="24">
        <v>10</v>
      </c>
      <c r="G43" s="7">
        <f t="shared" ca="1" si="14"/>
        <v>7298</v>
      </c>
      <c r="H43" s="5">
        <v>0</v>
      </c>
      <c r="I43" s="5">
        <f>'B-JCI2 RH'!AI263</f>
        <v>3810</v>
      </c>
      <c r="J43" s="12">
        <f t="shared" ca="1" si="0"/>
        <v>19.2</v>
      </c>
      <c r="K43" s="5">
        <f t="shared" ca="1" si="1"/>
        <v>3056</v>
      </c>
      <c r="L43" s="5">
        <v>0</v>
      </c>
      <c r="M43" s="5">
        <f ca="1">'B-JCI2 RH'!$D$295</f>
        <v>0.29630000000000001</v>
      </c>
      <c r="N43" s="5">
        <v>0</v>
      </c>
      <c r="O43" s="5">
        <v>12</v>
      </c>
      <c r="P43" s="5"/>
      <c r="Q43" s="5">
        <v>0</v>
      </c>
      <c r="R43" s="5">
        <f t="shared" si="2"/>
        <v>381</v>
      </c>
      <c r="S43" s="5">
        <v>14</v>
      </c>
      <c r="T43" s="6">
        <v>0.77</v>
      </c>
      <c r="U43" s="5">
        <f t="shared" si="3"/>
        <v>42</v>
      </c>
      <c r="V43" s="5">
        <f t="shared" ca="1" si="4"/>
        <v>1528</v>
      </c>
      <c r="W43" s="5">
        <f t="shared" si="5"/>
        <v>14</v>
      </c>
      <c r="X43" s="6">
        <v>0.77</v>
      </c>
      <c r="Y43" s="5">
        <f t="shared" si="6"/>
        <v>42</v>
      </c>
      <c r="Z43" s="5">
        <f t="shared" ca="1" si="7"/>
        <v>1528</v>
      </c>
      <c r="AA43" s="5">
        <v>0</v>
      </c>
      <c r="AB43" s="6">
        <v>0</v>
      </c>
      <c r="AC43" s="5">
        <f t="shared" si="8"/>
        <v>42</v>
      </c>
      <c r="AD43" s="5">
        <f t="shared" ca="1" si="9"/>
        <v>0</v>
      </c>
      <c r="AE43" s="7">
        <f t="shared" si="10"/>
        <v>28</v>
      </c>
      <c r="AF43" s="5" t="e">
        <f t="shared" si="15"/>
        <v>#DIV/0!</v>
      </c>
      <c r="AG43" s="5">
        <f t="shared" ca="1" si="11"/>
        <v>905.49279999999999</v>
      </c>
      <c r="AH43" s="5">
        <f t="shared" si="12"/>
        <v>1176</v>
      </c>
      <c r="AI43" s="6">
        <f t="shared" ca="1" si="13"/>
        <v>0.76997687074829935</v>
      </c>
    </row>
    <row r="44" spans="2:35" x14ac:dyDescent="0.2">
      <c r="B44" s="5" t="s">
        <v>64</v>
      </c>
      <c r="C44" s="21">
        <v>46377</v>
      </c>
      <c r="D44" s="5">
        <v>52</v>
      </c>
      <c r="E44" s="5">
        <v>6</v>
      </c>
      <c r="F44" s="32">
        <v>0</v>
      </c>
      <c r="G44" s="7">
        <f t="shared" ca="1" si="14"/>
        <v>6544</v>
      </c>
      <c r="H44" s="5">
        <v>0</v>
      </c>
      <c r="I44" s="5">
        <f>'B-JCI2 RH'!AJ263</f>
        <v>0</v>
      </c>
      <c r="J44" s="12" t="str">
        <f t="shared" ref="J44:J75" si="16">IF(I44=0,"N/S",ROUND( ( ((G44) * 1)/I44)*F44,1))</f>
        <v>N/S</v>
      </c>
      <c r="K44" s="5">
        <f t="shared" ref="K44:K75" ca="1" si="17">V44+Z44+AD44</f>
        <v>3056</v>
      </c>
      <c r="L44" s="5">
        <v>0</v>
      </c>
      <c r="M44" s="5">
        <f ca="1">'B-JCI2 RH'!$D$295</f>
        <v>0.29630000000000001</v>
      </c>
      <c r="N44" s="5">
        <v>0</v>
      </c>
      <c r="O44" s="5">
        <v>12</v>
      </c>
      <c r="P44" s="5"/>
      <c r="Q44" s="5">
        <v>0</v>
      </c>
      <c r="R44" s="5">
        <f t="shared" ref="R44:R75" si="18">IF(F44=0,0,ROUND(I44/F44,0))</f>
        <v>0</v>
      </c>
      <c r="S44" s="5">
        <v>14</v>
      </c>
      <c r="T44" s="6">
        <v>0.77</v>
      </c>
      <c r="U44" s="5">
        <f t="shared" si="3"/>
        <v>42</v>
      </c>
      <c r="V44" s="5">
        <f t="shared" ref="V44:V75" ca="1" si="19">ROUND(((S44*T44*U44)/M44),0)</f>
        <v>1528</v>
      </c>
      <c r="W44" s="5">
        <f t="shared" ref="W44:W67" si="20">S44</f>
        <v>14</v>
      </c>
      <c r="X44" s="6">
        <v>0.77</v>
      </c>
      <c r="Y44" s="5">
        <f t="shared" ref="Y44:Y75" si="21">U44</f>
        <v>42</v>
      </c>
      <c r="Z44" s="5">
        <f t="shared" ref="Z44:Z75" ca="1" si="22">ROUND(((W44*X44*Y44)/M44),0)</f>
        <v>1528</v>
      </c>
      <c r="AA44" s="5">
        <v>0</v>
      </c>
      <c r="AB44" s="6">
        <v>0</v>
      </c>
      <c r="AC44" s="5">
        <f t="shared" ref="AC44:AC75" si="23">E44*7-N44</f>
        <v>42</v>
      </c>
      <c r="AD44" s="5">
        <f t="shared" ref="AD44:AD75" ca="1" si="24">ROUND(((AA44*AB44*AC44)/M44),0)</f>
        <v>0</v>
      </c>
      <c r="AE44" s="7">
        <f t="shared" ref="AE44:AE75" si="25">S44+W44+AA44</f>
        <v>28</v>
      </c>
      <c r="AF44" s="5" t="e">
        <f t="shared" si="15"/>
        <v>#DIV/0!</v>
      </c>
      <c r="AG44" s="5">
        <f t="shared" ref="AG44:AG75" ca="1" si="26">K44*M44</f>
        <v>905.49279999999999</v>
      </c>
      <c r="AH44" s="5">
        <f t="shared" ref="AH44:AH75" si="27">S44*U44+W44*Y44+AA44*AC44</f>
        <v>1176</v>
      </c>
      <c r="AI44" s="6">
        <f t="shared" ref="AI44:AI75" ca="1" si="28">IF(AH44=0,0,AG44/AH44)</f>
        <v>0.76997687074829935</v>
      </c>
    </row>
    <row r="45" spans="2:35" x14ac:dyDescent="0.2">
      <c r="B45" s="5" t="s">
        <v>64</v>
      </c>
      <c r="C45" s="21">
        <v>46384</v>
      </c>
      <c r="D45" s="5">
        <v>53</v>
      </c>
      <c r="E45" s="5">
        <v>0</v>
      </c>
      <c r="F45" s="32">
        <v>0</v>
      </c>
      <c r="G45" s="7">
        <f t="shared" ca="1" si="14"/>
        <v>9600</v>
      </c>
      <c r="H45" s="5">
        <v>0</v>
      </c>
      <c r="I45" s="5">
        <f>'B-JCI2 RH'!AK263</f>
        <v>0</v>
      </c>
      <c r="J45" s="12" t="str">
        <f t="shared" si="16"/>
        <v>N/S</v>
      </c>
      <c r="K45" s="5">
        <f t="shared" ca="1" si="17"/>
        <v>0</v>
      </c>
      <c r="L45" s="5">
        <v>0</v>
      </c>
      <c r="M45" s="5">
        <f ca="1">'B-JCI2 RH'!$D$295</f>
        <v>0.29630000000000001</v>
      </c>
      <c r="N45" s="5">
        <v>0</v>
      </c>
      <c r="O45" s="5">
        <v>12</v>
      </c>
      <c r="P45" s="5"/>
      <c r="Q45" s="5">
        <v>0</v>
      </c>
      <c r="R45" s="5">
        <f t="shared" si="18"/>
        <v>0</v>
      </c>
      <c r="S45" s="5">
        <v>14</v>
      </c>
      <c r="T45" s="6">
        <v>0.77</v>
      </c>
      <c r="U45" s="5">
        <f t="shared" si="3"/>
        <v>0</v>
      </c>
      <c r="V45" s="5">
        <f t="shared" ca="1" si="19"/>
        <v>0</v>
      </c>
      <c r="W45" s="5">
        <f t="shared" si="20"/>
        <v>14</v>
      </c>
      <c r="X45" s="6">
        <v>0.77</v>
      </c>
      <c r="Y45" s="5">
        <f t="shared" si="21"/>
        <v>0</v>
      </c>
      <c r="Z45" s="5">
        <f t="shared" ca="1" si="22"/>
        <v>0</v>
      </c>
      <c r="AA45" s="5">
        <v>0</v>
      </c>
      <c r="AB45" s="6">
        <v>0</v>
      </c>
      <c r="AC45" s="5">
        <f t="shared" si="23"/>
        <v>0</v>
      </c>
      <c r="AD45" s="5">
        <f t="shared" ca="1" si="24"/>
        <v>0</v>
      </c>
      <c r="AE45" s="7">
        <f t="shared" si="25"/>
        <v>28</v>
      </c>
      <c r="AF45" s="5" t="e">
        <f t="shared" si="15"/>
        <v>#DIV/0!</v>
      </c>
      <c r="AG45" s="5">
        <f t="shared" ca="1" si="26"/>
        <v>0</v>
      </c>
      <c r="AH45" s="5">
        <f t="shared" si="27"/>
        <v>0</v>
      </c>
      <c r="AI45" s="6">
        <f t="shared" si="28"/>
        <v>0</v>
      </c>
    </row>
    <row r="46" spans="2:35" x14ac:dyDescent="0.2">
      <c r="B46" s="5" t="s">
        <v>65</v>
      </c>
      <c r="C46" s="21">
        <v>46391</v>
      </c>
      <c r="D46" s="5">
        <v>1</v>
      </c>
      <c r="E46" s="5">
        <v>6</v>
      </c>
      <c r="F46" s="29">
        <v>0</v>
      </c>
      <c r="G46" s="7">
        <f t="shared" ca="1" si="14"/>
        <v>12656</v>
      </c>
      <c r="H46" s="5">
        <v>0</v>
      </c>
      <c r="I46" s="5">
        <f>'B-JCI2 RH'!AL263</f>
        <v>0</v>
      </c>
      <c r="J46" s="12" t="str">
        <f t="shared" si="16"/>
        <v>N/S</v>
      </c>
      <c r="K46" s="5">
        <f t="shared" ca="1" si="17"/>
        <v>3056</v>
      </c>
      <c r="L46" s="5">
        <v>0</v>
      </c>
      <c r="M46" s="5">
        <f ca="1">'B-JCI2 RH'!$D$295</f>
        <v>0.29630000000000001</v>
      </c>
      <c r="N46" s="5">
        <v>0</v>
      </c>
      <c r="O46" s="5">
        <v>1</v>
      </c>
      <c r="P46" s="5"/>
      <c r="Q46" s="5">
        <v>0</v>
      </c>
      <c r="R46" s="5">
        <f t="shared" si="18"/>
        <v>0</v>
      </c>
      <c r="S46" s="5">
        <v>14</v>
      </c>
      <c r="T46" s="6">
        <v>0.77</v>
      </c>
      <c r="U46" s="5">
        <f t="shared" si="3"/>
        <v>42</v>
      </c>
      <c r="V46" s="5">
        <f t="shared" ca="1" si="19"/>
        <v>1528</v>
      </c>
      <c r="W46" s="5">
        <f t="shared" si="20"/>
        <v>14</v>
      </c>
      <c r="X46" s="6">
        <v>0.77</v>
      </c>
      <c r="Y46" s="5">
        <f t="shared" si="21"/>
        <v>42</v>
      </c>
      <c r="Z46" s="5">
        <f t="shared" ca="1" si="22"/>
        <v>1528</v>
      </c>
      <c r="AA46" s="5">
        <v>0</v>
      </c>
      <c r="AB46" s="6">
        <v>0</v>
      </c>
      <c r="AC46" s="5">
        <f t="shared" si="23"/>
        <v>42</v>
      </c>
      <c r="AD46" s="5">
        <f t="shared" ca="1" si="24"/>
        <v>0</v>
      </c>
      <c r="AE46" s="7">
        <f t="shared" si="25"/>
        <v>28</v>
      </c>
      <c r="AF46" s="5" t="e">
        <f t="shared" si="15"/>
        <v>#DIV/0!</v>
      </c>
      <c r="AG46" s="5">
        <f t="shared" ca="1" si="26"/>
        <v>905.49279999999999</v>
      </c>
      <c r="AH46" s="5">
        <f t="shared" si="27"/>
        <v>1176</v>
      </c>
      <c r="AI46" s="6">
        <f t="shared" ca="1" si="28"/>
        <v>0.76997687074829935</v>
      </c>
    </row>
    <row r="47" spans="2:35" x14ac:dyDescent="0.2">
      <c r="B47" s="5" t="s">
        <v>65</v>
      </c>
      <c r="C47" s="21">
        <v>46398</v>
      </c>
      <c r="D47" s="5">
        <v>2</v>
      </c>
      <c r="E47" s="5">
        <v>4</v>
      </c>
      <c r="F47" s="5">
        <v>0</v>
      </c>
      <c r="G47" s="7">
        <f t="shared" ca="1" si="14"/>
        <v>15712</v>
      </c>
      <c r="H47" s="5">
        <v>0</v>
      </c>
      <c r="I47" s="5">
        <f>'B-JCI2 RH'!AM263</f>
        <v>0</v>
      </c>
      <c r="J47" s="12" t="str">
        <f t="shared" si="16"/>
        <v>N/S</v>
      </c>
      <c r="K47" s="5">
        <f t="shared" ca="1" si="17"/>
        <v>2038</v>
      </c>
      <c r="L47" s="5">
        <v>0</v>
      </c>
      <c r="M47" s="5">
        <f ca="1">'B-JCI2 RH'!$D$295</f>
        <v>0.29630000000000001</v>
      </c>
      <c r="N47" s="5">
        <v>0</v>
      </c>
      <c r="O47" s="5">
        <v>1</v>
      </c>
      <c r="P47" s="5"/>
      <c r="Q47" s="5">
        <v>0</v>
      </c>
      <c r="R47" s="5">
        <f t="shared" si="18"/>
        <v>0</v>
      </c>
      <c r="S47" s="5">
        <v>14</v>
      </c>
      <c r="T47" s="6">
        <v>0.77</v>
      </c>
      <c r="U47" s="5">
        <f t="shared" si="3"/>
        <v>28</v>
      </c>
      <c r="V47" s="5">
        <f t="shared" ca="1" si="19"/>
        <v>1019</v>
      </c>
      <c r="W47" s="5">
        <f t="shared" si="20"/>
        <v>14</v>
      </c>
      <c r="X47" s="6">
        <v>0.77</v>
      </c>
      <c r="Y47" s="5">
        <f t="shared" si="21"/>
        <v>28</v>
      </c>
      <c r="Z47" s="5">
        <f t="shared" ca="1" si="22"/>
        <v>1019</v>
      </c>
      <c r="AA47" s="5">
        <v>0</v>
      </c>
      <c r="AB47" s="6">
        <v>0</v>
      </c>
      <c r="AC47" s="5">
        <f t="shared" si="23"/>
        <v>28</v>
      </c>
      <c r="AD47" s="5">
        <f t="shared" ca="1" si="24"/>
        <v>0</v>
      </c>
      <c r="AE47" s="7">
        <f t="shared" si="25"/>
        <v>28</v>
      </c>
      <c r="AF47" s="5" t="e">
        <f t="shared" si="15"/>
        <v>#DIV/0!</v>
      </c>
      <c r="AG47" s="5">
        <f t="shared" ca="1" si="26"/>
        <v>603.85940000000005</v>
      </c>
      <c r="AH47" s="5">
        <f t="shared" si="27"/>
        <v>784</v>
      </c>
      <c r="AI47" s="6">
        <f t="shared" ca="1" si="28"/>
        <v>0.77022882653061231</v>
      </c>
    </row>
    <row r="48" spans="2:35" x14ac:dyDescent="0.2">
      <c r="B48" s="5" t="s">
        <v>65</v>
      </c>
      <c r="C48" s="21">
        <v>46405</v>
      </c>
      <c r="D48" s="5">
        <v>3</v>
      </c>
      <c r="E48" s="5">
        <v>6</v>
      </c>
      <c r="F48" s="5">
        <v>5</v>
      </c>
      <c r="G48" s="7">
        <f t="shared" ca="1" si="14"/>
        <v>18768</v>
      </c>
      <c r="H48" s="5">
        <v>0</v>
      </c>
      <c r="I48" s="5">
        <f>'B-JCI2 RH'!AN263</f>
        <v>2724</v>
      </c>
      <c r="J48" s="12">
        <f t="shared" ca="1" si="16"/>
        <v>34.4</v>
      </c>
      <c r="K48" s="5">
        <f t="shared" ca="1" si="17"/>
        <v>3056</v>
      </c>
      <c r="L48" s="5">
        <v>0</v>
      </c>
      <c r="M48" s="5">
        <f ca="1">'B-JCI2 RH'!$D$295</f>
        <v>0.29630000000000001</v>
      </c>
      <c r="N48" s="5">
        <v>0</v>
      </c>
      <c r="O48" s="5">
        <v>1</v>
      </c>
      <c r="P48" s="5"/>
      <c r="Q48" s="5">
        <v>0</v>
      </c>
      <c r="R48" s="5">
        <f t="shared" si="18"/>
        <v>545</v>
      </c>
      <c r="S48" s="5">
        <v>14</v>
      </c>
      <c r="T48" s="6">
        <v>0.77</v>
      </c>
      <c r="U48" s="5">
        <f t="shared" si="3"/>
        <v>42</v>
      </c>
      <c r="V48" s="5">
        <f t="shared" ca="1" si="19"/>
        <v>1528</v>
      </c>
      <c r="W48" s="5">
        <f t="shared" si="20"/>
        <v>14</v>
      </c>
      <c r="X48" s="6">
        <v>0.77</v>
      </c>
      <c r="Y48" s="5">
        <f t="shared" si="21"/>
        <v>42</v>
      </c>
      <c r="Z48" s="5">
        <f t="shared" ca="1" si="22"/>
        <v>1528</v>
      </c>
      <c r="AA48" s="5">
        <v>0</v>
      </c>
      <c r="AB48" s="6">
        <v>0</v>
      </c>
      <c r="AC48" s="5">
        <f t="shared" si="23"/>
        <v>42</v>
      </c>
      <c r="AD48" s="5">
        <f t="shared" ca="1" si="24"/>
        <v>0</v>
      </c>
      <c r="AE48" s="7">
        <f t="shared" si="25"/>
        <v>28</v>
      </c>
      <c r="AF48" s="5" t="e">
        <f t="shared" si="15"/>
        <v>#DIV/0!</v>
      </c>
      <c r="AG48" s="5">
        <f t="shared" ca="1" si="26"/>
        <v>905.49279999999999</v>
      </c>
      <c r="AH48" s="5">
        <f t="shared" si="27"/>
        <v>1176</v>
      </c>
      <c r="AI48" s="6">
        <f t="shared" ca="1" si="28"/>
        <v>0.76997687074829935</v>
      </c>
    </row>
    <row r="49" spans="2:35" x14ac:dyDescent="0.2">
      <c r="B49" s="5" t="s">
        <v>65</v>
      </c>
      <c r="C49" s="21">
        <v>46412</v>
      </c>
      <c r="D49" s="5">
        <v>4</v>
      </c>
      <c r="E49" s="5">
        <v>6</v>
      </c>
      <c r="F49" s="5">
        <v>5</v>
      </c>
      <c r="G49" s="7">
        <f t="shared" ref="G49:G80" ca="1" si="29">(G48+H48-I48+K44)</f>
        <v>19100</v>
      </c>
      <c r="H49" s="5">
        <v>0</v>
      </c>
      <c r="I49" s="5">
        <f>'B-JCI2 RH'!AO263</f>
        <v>2724</v>
      </c>
      <c r="J49" s="12">
        <f t="shared" ca="1" si="16"/>
        <v>35.1</v>
      </c>
      <c r="K49" s="5">
        <f t="shared" ca="1" si="17"/>
        <v>3056</v>
      </c>
      <c r="L49" s="5">
        <v>0</v>
      </c>
      <c r="M49" s="5">
        <f ca="1">'B-JCI2 RH'!$D$295</f>
        <v>0.29630000000000001</v>
      </c>
      <c r="N49" s="5">
        <v>0</v>
      </c>
      <c r="O49" s="5">
        <v>1</v>
      </c>
      <c r="P49" s="5"/>
      <c r="Q49" s="5">
        <v>0</v>
      </c>
      <c r="R49" s="5">
        <f t="shared" si="18"/>
        <v>545</v>
      </c>
      <c r="S49" s="5">
        <v>14</v>
      </c>
      <c r="T49" s="6">
        <v>0.77</v>
      </c>
      <c r="U49" s="5">
        <f t="shared" si="3"/>
        <v>42</v>
      </c>
      <c r="V49" s="5">
        <f t="shared" ca="1" si="19"/>
        <v>1528</v>
      </c>
      <c r="W49" s="5">
        <f t="shared" si="20"/>
        <v>14</v>
      </c>
      <c r="X49" s="6">
        <v>0.77</v>
      </c>
      <c r="Y49" s="5">
        <f t="shared" si="21"/>
        <v>42</v>
      </c>
      <c r="Z49" s="5">
        <f t="shared" ca="1" si="22"/>
        <v>1528</v>
      </c>
      <c r="AA49" s="5">
        <v>0</v>
      </c>
      <c r="AB49" s="6">
        <v>0</v>
      </c>
      <c r="AC49" s="5">
        <f t="shared" si="23"/>
        <v>42</v>
      </c>
      <c r="AD49" s="5">
        <f t="shared" ca="1" si="24"/>
        <v>0</v>
      </c>
      <c r="AE49" s="7">
        <f t="shared" si="25"/>
        <v>28</v>
      </c>
      <c r="AF49" s="5" t="e">
        <f t="shared" si="15"/>
        <v>#DIV/0!</v>
      </c>
      <c r="AG49" s="5">
        <f t="shared" ca="1" si="26"/>
        <v>905.49279999999999</v>
      </c>
      <c r="AH49" s="5">
        <f t="shared" si="27"/>
        <v>1176</v>
      </c>
      <c r="AI49" s="6">
        <f t="shared" ca="1" si="28"/>
        <v>0.76997687074829935</v>
      </c>
    </row>
    <row r="50" spans="2:35" x14ac:dyDescent="0.2">
      <c r="B50" s="5" t="s">
        <v>66</v>
      </c>
      <c r="C50" s="21">
        <v>46419</v>
      </c>
      <c r="D50" s="5">
        <v>5</v>
      </c>
      <c r="E50" s="5">
        <v>5</v>
      </c>
      <c r="F50" s="5">
        <v>5</v>
      </c>
      <c r="G50" s="7">
        <f t="shared" ca="1" si="29"/>
        <v>16376</v>
      </c>
      <c r="H50" s="5">
        <v>0</v>
      </c>
      <c r="I50" s="5">
        <f>'B-JCI2 RH'!AP263</f>
        <v>2724</v>
      </c>
      <c r="J50" s="12">
        <f t="shared" ca="1" si="16"/>
        <v>30.1</v>
      </c>
      <c r="K50" s="5">
        <f t="shared" ca="1" si="17"/>
        <v>2546</v>
      </c>
      <c r="L50" s="5">
        <v>0</v>
      </c>
      <c r="M50" s="5">
        <f ca="1">'B-JCI2 RH'!$D$295</f>
        <v>0.29630000000000001</v>
      </c>
      <c r="N50" s="5">
        <v>0</v>
      </c>
      <c r="O50" s="5">
        <v>2</v>
      </c>
      <c r="P50" s="5"/>
      <c r="Q50" s="5">
        <v>0</v>
      </c>
      <c r="R50" s="5">
        <f t="shared" si="18"/>
        <v>545</v>
      </c>
      <c r="S50" s="5">
        <v>14</v>
      </c>
      <c r="T50" s="6">
        <v>0.77</v>
      </c>
      <c r="U50" s="5">
        <f t="shared" si="3"/>
        <v>35</v>
      </c>
      <c r="V50" s="5">
        <f t="shared" ca="1" si="19"/>
        <v>1273</v>
      </c>
      <c r="W50" s="5">
        <f t="shared" si="20"/>
        <v>14</v>
      </c>
      <c r="X50" s="6">
        <v>0.77</v>
      </c>
      <c r="Y50" s="5">
        <f t="shared" si="21"/>
        <v>35</v>
      </c>
      <c r="Z50" s="5">
        <f t="shared" ca="1" si="22"/>
        <v>1273</v>
      </c>
      <c r="AA50" s="5">
        <v>0</v>
      </c>
      <c r="AB50" s="6">
        <v>0</v>
      </c>
      <c r="AC50" s="5">
        <f t="shared" si="23"/>
        <v>35</v>
      </c>
      <c r="AD50" s="5">
        <f t="shared" ca="1" si="24"/>
        <v>0</v>
      </c>
      <c r="AE50" s="7">
        <f t="shared" si="25"/>
        <v>28</v>
      </c>
      <c r="AF50" s="5" t="e">
        <f t="shared" si="15"/>
        <v>#DIV/0!</v>
      </c>
      <c r="AG50" s="5">
        <f t="shared" ca="1" si="26"/>
        <v>754.37980000000005</v>
      </c>
      <c r="AH50" s="5">
        <f t="shared" si="27"/>
        <v>980</v>
      </c>
      <c r="AI50" s="6">
        <f t="shared" ca="1" si="28"/>
        <v>0.76977530612244904</v>
      </c>
    </row>
    <row r="51" spans="2:35" x14ac:dyDescent="0.2">
      <c r="B51" s="5" t="s">
        <v>66</v>
      </c>
      <c r="C51" s="21">
        <v>46426</v>
      </c>
      <c r="D51" s="5">
        <v>6</v>
      </c>
      <c r="E51" s="5">
        <v>6</v>
      </c>
      <c r="F51" s="5">
        <v>5</v>
      </c>
      <c r="G51" s="7">
        <f t="shared" ca="1" si="29"/>
        <v>16708</v>
      </c>
      <c r="H51" s="5">
        <v>0</v>
      </c>
      <c r="I51" s="5">
        <f>'B-JCI2 RH'!AQ263</f>
        <v>3285</v>
      </c>
      <c r="J51" s="12">
        <f t="shared" ca="1" si="16"/>
        <v>25.4</v>
      </c>
      <c r="K51" s="5">
        <f t="shared" ca="1" si="17"/>
        <v>3056</v>
      </c>
      <c r="L51" s="5">
        <v>0</v>
      </c>
      <c r="M51" s="5">
        <f ca="1">'B-JCI2 RH'!$D$295</f>
        <v>0.29630000000000001</v>
      </c>
      <c r="N51" s="5">
        <v>0</v>
      </c>
      <c r="O51" s="5">
        <v>2</v>
      </c>
      <c r="P51" s="5"/>
      <c r="Q51" s="5">
        <v>0</v>
      </c>
      <c r="R51" s="5">
        <f t="shared" si="18"/>
        <v>657</v>
      </c>
      <c r="S51" s="5">
        <v>14</v>
      </c>
      <c r="T51" s="6">
        <v>0.77</v>
      </c>
      <c r="U51" s="5">
        <f t="shared" si="3"/>
        <v>42</v>
      </c>
      <c r="V51" s="5">
        <f t="shared" ca="1" si="19"/>
        <v>1528</v>
      </c>
      <c r="W51" s="5">
        <f t="shared" si="20"/>
        <v>14</v>
      </c>
      <c r="X51" s="6">
        <v>0.77</v>
      </c>
      <c r="Y51" s="5">
        <f t="shared" si="21"/>
        <v>42</v>
      </c>
      <c r="Z51" s="5">
        <f t="shared" ca="1" si="22"/>
        <v>1528</v>
      </c>
      <c r="AA51" s="5">
        <v>0</v>
      </c>
      <c r="AB51" s="6">
        <v>0</v>
      </c>
      <c r="AC51" s="5">
        <f t="shared" si="23"/>
        <v>42</v>
      </c>
      <c r="AD51" s="5">
        <f t="shared" ca="1" si="24"/>
        <v>0</v>
      </c>
      <c r="AE51" s="7">
        <f t="shared" si="25"/>
        <v>28</v>
      </c>
      <c r="AF51" s="5" t="e">
        <f t="shared" si="15"/>
        <v>#DIV/0!</v>
      </c>
      <c r="AG51" s="5">
        <f t="shared" ca="1" si="26"/>
        <v>905.49279999999999</v>
      </c>
      <c r="AH51" s="5">
        <f t="shared" si="27"/>
        <v>1176</v>
      </c>
      <c r="AI51" s="6">
        <f t="shared" ca="1" si="28"/>
        <v>0.76997687074829935</v>
      </c>
    </row>
    <row r="52" spans="2:35" x14ac:dyDescent="0.2">
      <c r="B52" s="5" t="s">
        <v>66</v>
      </c>
      <c r="C52" s="21">
        <v>46433</v>
      </c>
      <c r="D52" s="5">
        <v>7</v>
      </c>
      <c r="E52" s="33">
        <v>5</v>
      </c>
      <c r="F52" s="5">
        <v>5</v>
      </c>
      <c r="G52" s="7">
        <f t="shared" ca="1" si="29"/>
        <v>15461</v>
      </c>
      <c r="H52" s="5">
        <v>0</v>
      </c>
      <c r="I52" s="5">
        <f>'B-JCI2 RH'!AR263</f>
        <v>3285</v>
      </c>
      <c r="J52" s="12">
        <f t="shared" ca="1" si="16"/>
        <v>23.5</v>
      </c>
      <c r="K52" s="5">
        <f t="shared" ca="1" si="17"/>
        <v>1274</v>
      </c>
      <c r="L52" s="5">
        <v>0</v>
      </c>
      <c r="M52" s="5">
        <f ca="1">'B-JCI2 RH'!$D$295</f>
        <v>0.29630000000000001</v>
      </c>
      <c r="N52" s="5">
        <v>0</v>
      </c>
      <c r="O52" s="5">
        <v>2</v>
      </c>
      <c r="P52" s="5"/>
      <c r="Q52" s="5">
        <v>0</v>
      </c>
      <c r="R52" s="5">
        <f t="shared" si="18"/>
        <v>657</v>
      </c>
      <c r="S52" s="33">
        <v>14</v>
      </c>
      <c r="T52" s="34">
        <v>0.77</v>
      </c>
      <c r="U52" s="33">
        <f>E52*3.5-N52</f>
        <v>17.5</v>
      </c>
      <c r="V52" s="33">
        <f t="shared" ca="1" si="19"/>
        <v>637</v>
      </c>
      <c r="W52" s="33">
        <f t="shared" si="20"/>
        <v>14</v>
      </c>
      <c r="X52" s="34">
        <v>0.77</v>
      </c>
      <c r="Y52" s="33">
        <f t="shared" si="21"/>
        <v>17.5</v>
      </c>
      <c r="Z52" s="33">
        <f t="shared" ca="1" si="22"/>
        <v>637</v>
      </c>
      <c r="AA52" s="5">
        <v>0</v>
      </c>
      <c r="AB52" s="6">
        <v>0</v>
      </c>
      <c r="AC52" s="5">
        <f t="shared" si="23"/>
        <v>35</v>
      </c>
      <c r="AD52" s="5">
        <f t="shared" ca="1" si="24"/>
        <v>0</v>
      </c>
      <c r="AE52" s="7">
        <f t="shared" si="25"/>
        <v>28</v>
      </c>
      <c r="AF52" s="5" t="e">
        <f t="shared" si="15"/>
        <v>#DIV/0!</v>
      </c>
      <c r="AG52" s="5">
        <f t="shared" ca="1" si="26"/>
        <v>377.4862</v>
      </c>
      <c r="AH52" s="5">
        <f t="shared" si="27"/>
        <v>490</v>
      </c>
      <c r="AI52" s="6">
        <f t="shared" ca="1" si="28"/>
        <v>0.77037999999999995</v>
      </c>
    </row>
    <row r="53" spans="2:35" x14ac:dyDescent="0.2">
      <c r="B53" s="5" t="s">
        <v>66</v>
      </c>
      <c r="C53" s="21">
        <v>46440</v>
      </c>
      <c r="D53" s="5">
        <v>8</v>
      </c>
      <c r="E53" s="33">
        <v>6</v>
      </c>
      <c r="F53" s="31">
        <v>4</v>
      </c>
      <c r="G53" s="7">
        <f t="shared" ca="1" si="29"/>
        <v>15232</v>
      </c>
      <c r="H53" s="5">
        <v>0</v>
      </c>
      <c r="I53" s="5">
        <f>'B-JCI2 RH'!AS263</f>
        <v>2634</v>
      </c>
      <c r="J53" s="12">
        <f t="shared" ca="1" si="16"/>
        <v>23.1</v>
      </c>
      <c r="K53" s="5">
        <f t="shared" ca="1" si="17"/>
        <v>1528</v>
      </c>
      <c r="L53" s="5">
        <v>0</v>
      </c>
      <c r="M53" s="5">
        <f ca="1">'B-JCI2 RH'!$D$295</f>
        <v>0.29630000000000001</v>
      </c>
      <c r="N53" s="5">
        <v>0</v>
      </c>
      <c r="O53" s="5">
        <v>2</v>
      </c>
      <c r="P53" s="5"/>
      <c r="Q53" s="5">
        <v>0</v>
      </c>
      <c r="R53" s="5">
        <f t="shared" si="18"/>
        <v>659</v>
      </c>
      <c r="S53" s="33">
        <v>14</v>
      </c>
      <c r="T53" s="34">
        <v>0.77</v>
      </c>
      <c r="U53" s="33">
        <f>E53*3.5-N53</f>
        <v>21</v>
      </c>
      <c r="V53" s="33">
        <f t="shared" ca="1" si="19"/>
        <v>764</v>
      </c>
      <c r="W53" s="33">
        <f t="shared" si="20"/>
        <v>14</v>
      </c>
      <c r="X53" s="34">
        <v>0.77</v>
      </c>
      <c r="Y53" s="33">
        <f t="shared" si="21"/>
        <v>21</v>
      </c>
      <c r="Z53" s="33">
        <f t="shared" ca="1" si="22"/>
        <v>764</v>
      </c>
      <c r="AA53" s="5">
        <v>0</v>
      </c>
      <c r="AB53" s="6">
        <v>0</v>
      </c>
      <c r="AC53" s="5">
        <f t="shared" si="23"/>
        <v>42</v>
      </c>
      <c r="AD53" s="5">
        <f t="shared" ca="1" si="24"/>
        <v>0</v>
      </c>
      <c r="AE53" s="7">
        <f t="shared" si="25"/>
        <v>28</v>
      </c>
      <c r="AF53" s="5" t="e">
        <f t="shared" si="15"/>
        <v>#DIV/0!</v>
      </c>
      <c r="AG53" s="5">
        <f t="shared" ca="1" si="26"/>
        <v>452.74639999999999</v>
      </c>
      <c r="AH53" s="5">
        <f t="shared" si="27"/>
        <v>588</v>
      </c>
      <c r="AI53" s="6">
        <f t="shared" ca="1" si="28"/>
        <v>0.76997687074829935</v>
      </c>
    </row>
    <row r="54" spans="2:35" x14ac:dyDescent="0.2">
      <c r="B54" s="5" t="s">
        <v>67</v>
      </c>
      <c r="C54" s="21">
        <v>46447</v>
      </c>
      <c r="D54" s="5">
        <v>9</v>
      </c>
      <c r="E54" s="33">
        <v>6</v>
      </c>
      <c r="F54" s="5">
        <v>5</v>
      </c>
      <c r="G54" s="7">
        <f t="shared" ca="1" si="29"/>
        <v>15654</v>
      </c>
      <c r="H54" s="5">
        <v>0</v>
      </c>
      <c r="I54" s="5">
        <f>'B-JCI2 RH'!AT263</f>
        <v>3285</v>
      </c>
      <c r="J54" s="12">
        <f t="shared" ca="1" si="16"/>
        <v>23.8</v>
      </c>
      <c r="K54" s="5">
        <f t="shared" ca="1" si="17"/>
        <v>1528</v>
      </c>
      <c r="L54" s="5">
        <v>0</v>
      </c>
      <c r="M54" s="5">
        <f ca="1">'B-JCI2 RH'!$D$295</f>
        <v>0.29630000000000001</v>
      </c>
      <c r="N54" s="5">
        <v>0</v>
      </c>
      <c r="O54" s="5">
        <v>3</v>
      </c>
      <c r="P54" s="5"/>
      <c r="Q54" s="5">
        <v>0</v>
      </c>
      <c r="R54" s="5">
        <f t="shared" si="18"/>
        <v>657</v>
      </c>
      <c r="S54" s="33">
        <v>14</v>
      </c>
      <c r="T54" s="34">
        <v>0.77</v>
      </c>
      <c r="U54" s="33">
        <f>E54*3.5-N54</f>
        <v>21</v>
      </c>
      <c r="V54" s="33">
        <f t="shared" ca="1" si="19"/>
        <v>764</v>
      </c>
      <c r="W54" s="33">
        <f t="shared" si="20"/>
        <v>14</v>
      </c>
      <c r="X54" s="34">
        <v>0.77</v>
      </c>
      <c r="Y54" s="33">
        <f t="shared" si="21"/>
        <v>21</v>
      </c>
      <c r="Z54" s="33">
        <f t="shared" ca="1" si="22"/>
        <v>764</v>
      </c>
      <c r="AA54" s="5">
        <v>0</v>
      </c>
      <c r="AB54" s="6">
        <v>0</v>
      </c>
      <c r="AC54" s="5">
        <f t="shared" si="23"/>
        <v>42</v>
      </c>
      <c r="AD54" s="5">
        <f t="shared" ca="1" si="24"/>
        <v>0</v>
      </c>
      <c r="AE54" s="7">
        <f t="shared" si="25"/>
        <v>28</v>
      </c>
      <c r="AF54" s="5" t="e">
        <f t="shared" si="15"/>
        <v>#DIV/0!</v>
      </c>
      <c r="AG54" s="5">
        <f t="shared" ca="1" si="26"/>
        <v>452.74639999999999</v>
      </c>
      <c r="AH54" s="5">
        <f t="shared" si="27"/>
        <v>588</v>
      </c>
      <c r="AI54" s="6">
        <f t="shared" ca="1" si="28"/>
        <v>0.76997687074829935</v>
      </c>
    </row>
    <row r="55" spans="2:35" x14ac:dyDescent="0.2">
      <c r="B55" s="5" t="s">
        <v>67</v>
      </c>
      <c r="C55" s="21">
        <v>46454</v>
      </c>
      <c r="D55" s="5">
        <v>10</v>
      </c>
      <c r="E55" s="33">
        <v>6</v>
      </c>
      <c r="F55" s="5">
        <v>5</v>
      </c>
      <c r="G55" s="7">
        <f t="shared" ca="1" si="29"/>
        <v>14915</v>
      </c>
      <c r="H55" s="5">
        <v>0</v>
      </c>
      <c r="I55" s="5">
        <f>'B-JCI2 RH'!AU263</f>
        <v>3124</v>
      </c>
      <c r="J55" s="12">
        <f t="shared" ca="1" si="16"/>
        <v>23.9</v>
      </c>
      <c r="K55" s="5">
        <f t="shared" ca="1" si="17"/>
        <v>1528</v>
      </c>
      <c r="L55" s="5">
        <v>0</v>
      </c>
      <c r="M55" s="5">
        <f ca="1">'B-JCI2 RH'!$D$295</f>
        <v>0.29630000000000001</v>
      </c>
      <c r="N55" s="5">
        <v>0</v>
      </c>
      <c r="O55" s="5">
        <v>3</v>
      </c>
      <c r="P55" s="5"/>
      <c r="Q55" s="5">
        <v>0</v>
      </c>
      <c r="R55" s="5">
        <f t="shared" si="18"/>
        <v>625</v>
      </c>
      <c r="S55" s="33">
        <v>14</v>
      </c>
      <c r="T55" s="34">
        <v>0.77</v>
      </c>
      <c r="U55" s="33">
        <f>E55*3.5-N55</f>
        <v>21</v>
      </c>
      <c r="V55" s="33">
        <f t="shared" ca="1" si="19"/>
        <v>764</v>
      </c>
      <c r="W55" s="33">
        <f t="shared" si="20"/>
        <v>14</v>
      </c>
      <c r="X55" s="34">
        <v>0.77</v>
      </c>
      <c r="Y55" s="33">
        <f t="shared" si="21"/>
        <v>21</v>
      </c>
      <c r="Z55" s="33">
        <f t="shared" ca="1" si="22"/>
        <v>764</v>
      </c>
      <c r="AA55" s="5">
        <v>0</v>
      </c>
      <c r="AB55" s="6">
        <v>0</v>
      </c>
      <c r="AC55" s="5">
        <f t="shared" si="23"/>
        <v>42</v>
      </c>
      <c r="AD55" s="5">
        <f t="shared" ca="1" si="24"/>
        <v>0</v>
      </c>
      <c r="AE55" s="7">
        <f t="shared" si="25"/>
        <v>28</v>
      </c>
      <c r="AF55" s="5" t="e">
        <f t="shared" ref="AF55:AF89" si="30">ROUND( ((SUM(I54:I55)*1)/SUM(Q54:Q55)*100),1)</f>
        <v>#DIV/0!</v>
      </c>
      <c r="AG55" s="5">
        <f t="shared" ca="1" si="26"/>
        <v>452.74639999999999</v>
      </c>
      <c r="AH55" s="5">
        <f t="shared" si="27"/>
        <v>588</v>
      </c>
      <c r="AI55" s="6">
        <f t="shared" ca="1" si="28"/>
        <v>0.76997687074829935</v>
      </c>
    </row>
    <row r="56" spans="2:35" x14ac:dyDescent="0.2">
      <c r="B56" s="5" t="s">
        <v>67</v>
      </c>
      <c r="C56" s="21">
        <v>46461</v>
      </c>
      <c r="D56" s="5">
        <v>11</v>
      </c>
      <c r="E56" s="33">
        <v>3</v>
      </c>
      <c r="F56" s="5">
        <v>5</v>
      </c>
      <c r="G56" s="7">
        <f t="shared" ca="1" si="29"/>
        <v>14847</v>
      </c>
      <c r="H56" s="5">
        <v>0</v>
      </c>
      <c r="I56" s="5">
        <f>'B-JCI2 RH'!AV263</f>
        <v>3124</v>
      </c>
      <c r="J56" s="12">
        <f t="shared" ca="1" si="16"/>
        <v>23.8</v>
      </c>
      <c r="K56" s="5">
        <f t="shared" ca="1" si="17"/>
        <v>764</v>
      </c>
      <c r="L56" s="5">
        <v>0</v>
      </c>
      <c r="M56" s="5">
        <f ca="1">'B-JCI2 RH'!$D$295</f>
        <v>0.29630000000000001</v>
      </c>
      <c r="N56" s="5">
        <v>0</v>
      </c>
      <c r="O56" s="5">
        <v>3</v>
      </c>
      <c r="P56" s="5"/>
      <c r="Q56" s="5">
        <v>0</v>
      </c>
      <c r="R56" s="5">
        <f t="shared" si="18"/>
        <v>625</v>
      </c>
      <c r="S56" s="33">
        <v>14</v>
      </c>
      <c r="T56" s="34">
        <v>0.77</v>
      </c>
      <c r="U56" s="33">
        <f>E56*3.5-N56</f>
        <v>10.5</v>
      </c>
      <c r="V56" s="33">
        <f t="shared" ca="1" si="19"/>
        <v>382</v>
      </c>
      <c r="W56" s="33">
        <f t="shared" si="20"/>
        <v>14</v>
      </c>
      <c r="X56" s="34">
        <v>0.77</v>
      </c>
      <c r="Y56" s="33">
        <f t="shared" si="21"/>
        <v>10.5</v>
      </c>
      <c r="Z56" s="33">
        <f t="shared" ca="1" si="22"/>
        <v>382</v>
      </c>
      <c r="AA56" s="5">
        <v>0</v>
      </c>
      <c r="AB56" s="6">
        <v>0</v>
      </c>
      <c r="AC56" s="5">
        <f t="shared" si="23"/>
        <v>21</v>
      </c>
      <c r="AD56" s="5">
        <f t="shared" ca="1" si="24"/>
        <v>0</v>
      </c>
      <c r="AE56" s="7">
        <f t="shared" si="25"/>
        <v>28</v>
      </c>
      <c r="AF56" s="5" t="e">
        <f t="shared" si="30"/>
        <v>#DIV/0!</v>
      </c>
      <c r="AG56" s="5">
        <f t="shared" ca="1" si="26"/>
        <v>226.3732</v>
      </c>
      <c r="AH56" s="5">
        <f t="shared" si="27"/>
        <v>294</v>
      </c>
      <c r="AI56" s="6">
        <f t="shared" ca="1" si="28"/>
        <v>0.76997687074829935</v>
      </c>
    </row>
    <row r="57" spans="2:35" x14ac:dyDescent="0.2">
      <c r="B57" s="5" t="s">
        <v>67</v>
      </c>
      <c r="C57" s="21">
        <v>46468</v>
      </c>
      <c r="D57" s="5">
        <v>12</v>
      </c>
      <c r="E57" s="5">
        <v>4</v>
      </c>
      <c r="F57" s="5">
        <v>5</v>
      </c>
      <c r="G57" s="7">
        <f t="shared" ca="1" si="29"/>
        <v>12997</v>
      </c>
      <c r="H57" s="5">
        <v>0</v>
      </c>
      <c r="I57" s="5">
        <f>'B-JCI2 RH'!AW263</f>
        <v>3124</v>
      </c>
      <c r="J57" s="12">
        <f t="shared" ca="1" si="16"/>
        <v>20.8</v>
      </c>
      <c r="K57" s="5">
        <f t="shared" ca="1" si="17"/>
        <v>2038</v>
      </c>
      <c r="L57" s="5">
        <v>0</v>
      </c>
      <c r="M57" s="5">
        <f ca="1">'B-JCI2 RH'!$D$295</f>
        <v>0.29630000000000001</v>
      </c>
      <c r="N57" s="5">
        <v>0</v>
      </c>
      <c r="O57" s="5">
        <v>3</v>
      </c>
      <c r="P57" s="5"/>
      <c r="Q57" s="5">
        <v>0</v>
      </c>
      <c r="R57" s="5">
        <f t="shared" si="18"/>
        <v>625</v>
      </c>
      <c r="S57" s="5">
        <v>14</v>
      </c>
      <c r="T57" s="6">
        <v>0.77</v>
      </c>
      <c r="U57" s="5">
        <f t="shared" ref="U57:U89" si="31">E57*7-N57</f>
        <v>28</v>
      </c>
      <c r="V57" s="5">
        <f t="shared" ca="1" si="19"/>
        <v>1019</v>
      </c>
      <c r="W57" s="5">
        <f t="shared" si="20"/>
        <v>14</v>
      </c>
      <c r="X57" s="6">
        <v>0.77</v>
      </c>
      <c r="Y57" s="5">
        <f t="shared" si="21"/>
        <v>28</v>
      </c>
      <c r="Z57" s="5">
        <f t="shared" ca="1" si="22"/>
        <v>1019</v>
      </c>
      <c r="AA57" s="5">
        <v>0</v>
      </c>
      <c r="AB57" s="6">
        <v>0</v>
      </c>
      <c r="AC57" s="5">
        <f t="shared" si="23"/>
        <v>28</v>
      </c>
      <c r="AD57" s="5">
        <f t="shared" ca="1" si="24"/>
        <v>0</v>
      </c>
      <c r="AE57" s="7">
        <f t="shared" si="25"/>
        <v>28</v>
      </c>
      <c r="AF57" s="5" t="e">
        <f t="shared" si="30"/>
        <v>#DIV/0!</v>
      </c>
      <c r="AG57" s="5">
        <f t="shared" ca="1" si="26"/>
        <v>603.85940000000005</v>
      </c>
      <c r="AH57" s="5">
        <f t="shared" si="27"/>
        <v>784</v>
      </c>
      <c r="AI57" s="6">
        <f t="shared" ca="1" si="28"/>
        <v>0.77022882653061231</v>
      </c>
    </row>
    <row r="58" spans="2:35" x14ac:dyDescent="0.2">
      <c r="B58" s="5" t="s">
        <v>67</v>
      </c>
      <c r="C58" s="21">
        <v>46475</v>
      </c>
      <c r="D58" s="5">
        <v>13</v>
      </c>
      <c r="E58" s="5">
        <v>6</v>
      </c>
      <c r="F58" s="5">
        <v>5</v>
      </c>
      <c r="G58" s="7">
        <f t="shared" ca="1" si="29"/>
        <v>11401</v>
      </c>
      <c r="H58" s="5">
        <v>0</v>
      </c>
      <c r="I58" s="5">
        <f>'B-JCI2 RH'!AX263</f>
        <v>3124</v>
      </c>
      <c r="J58" s="12">
        <f t="shared" ca="1" si="16"/>
        <v>18.2</v>
      </c>
      <c r="K58" s="5">
        <f t="shared" ca="1" si="17"/>
        <v>3056</v>
      </c>
      <c r="L58" s="5">
        <v>0</v>
      </c>
      <c r="M58" s="5">
        <f ca="1">'B-JCI2 RH'!$D$295</f>
        <v>0.29630000000000001</v>
      </c>
      <c r="N58" s="5">
        <v>0</v>
      </c>
      <c r="O58" s="5">
        <v>3</v>
      </c>
      <c r="P58" s="5"/>
      <c r="Q58" s="5">
        <v>0</v>
      </c>
      <c r="R58" s="5">
        <f t="shared" si="18"/>
        <v>625</v>
      </c>
      <c r="S58" s="5">
        <v>14</v>
      </c>
      <c r="T58" s="6">
        <v>0.77</v>
      </c>
      <c r="U58" s="5">
        <f t="shared" si="31"/>
        <v>42</v>
      </c>
      <c r="V58" s="5">
        <f t="shared" ca="1" si="19"/>
        <v>1528</v>
      </c>
      <c r="W58" s="5">
        <f t="shared" si="20"/>
        <v>14</v>
      </c>
      <c r="X58" s="6">
        <v>0.77</v>
      </c>
      <c r="Y58" s="5">
        <f t="shared" si="21"/>
        <v>42</v>
      </c>
      <c r="Z58" s="5">
        <f t="shared" ca="1" si="22"/>
        <v>1528</v>
      </c>
      <c r="AA58" s="5">
        <v>0</v>
      </c>
      <c r="AB58" s="6">
        <v>0</v>
      </c>
      <c r="AC58" s="5">
        <f t="shared" si="23"/>
        <v>42</v>
      </c>
      <c r="AD58" s="5">
        <f t="shared" ca="1" si="24"/>
        <v>0</v>
      </c>
      <c r="AE58" s="7">
        <f t="shared" si="25"/>
        <v>28</v>
      </c>
      <c r="AF58" s="5" t="e">
        <f t="shared" si="30"/>
        <v>#DIV/0!</v>
      </c>
      <c r="AG58" s="5">
        <f t="shared" ca="1" si="26"/>
        <v>905.49279999999999</v>
      </c>
      <c r="AH58" s="5">
        <f t="shared" si="27"/>
        <v>1176</v>
      </c>
      <c r="AI58" s="6">
        <f t="shared" ca="1" si="28"/>
        <v>0.76997687074829935</v>
      </c>
    </row>
    <row r="59" spans="2:35" x14ac:dyDescent="0.2">
      <c r="B59" s="5" t="s">
        <v>68</v>
      </c>
      <c r="C59" s="21">
        <v>46482</v>
      </c>
      <c r="D59" s="5">
        <v>14</v>
      </c>
      <c r="E59" s="5">
        <v>4</v>
      </c>
      <c r="F59" s="31">
        <v>4</v>
      </c>
      <c r="G59" s="7">
        <f t="shared" ca="1" si="29"/>
        <v>9805</v>
      </c>
      <c r="H59" s="5">
        <v>0</v>
      </c>
      <c r="I59" s="5">
        <f>'B-JCI2 RH'!AY263</f>
        <v>2500</v>
      </c>
      <c r="J59" s="12">
        <f t="shared" ca="1" si="16"/>
        <v>15.7</v>
      </c>
      <c r="K59" s="5">
        <f t="shared" ca="1" si="17"/>
        <v>2038</v>
      </c>
      <c r="L59" s="5">
        <v>0</v>
      </c>
      <c r="M59" s="5">
        <f ca="1">'B-JCI2 RH'!$D$295</f>
        <v>0.29630000000000001</v>
      </c>
      <c r="N59" s="5">
        <v>0</v>
      </c>
      <c r="O59" s="5">
        <v>4</v>
      </c>
      <c r="P59" s="5"/>
      <c r="Q59" s="5">
        <v>0</v>
      </c>
      <c r="R59" s="5">
        <f t="shared" si="18"/>
        <v>625</v>
      </c>
      <c r="S59" s="5">
        <v>14</v>
      </c>
      <c r="T59" s="6">
        <v>0.77</v>
      </c>
      <c r="U59" s="5">
        <f t="shared" si="31"/>
        <v>28</v>
      </c>
      <c r="V59" s="5">
        <f t="shared" ca="1" si="19"/>
        <v>1019</v>
      </c>
      <c r="W59" s="5">
        <f t="shared" si="20"/>
        <v>14</v>
      </c>
      <c r="X59" s="6">
        <v>0.77</v>
      </c>
      <c r="Y59" s="5">
        <f t="shared" si="21"/>
        <v>28</v>
      </c>
      <c r="Z59" s="5">
        <f t="shared" ca="1" si="22"/>
        <v>1019</v>
      </c>
      <c r="AA59" s="5">
        <v>0</v>
      </c>
      <c r="AB59" s="6">
        <v>0</v>
      </c>
      <c r="AC59" s="5">
        <f t="shared" si="23"/>
        <v>28</v>
      </c>
      <c r="AD59" s="5">
        <f t="shared" ca="1" si="24"/>
        <v>0</v>
      </c>
      <c r="AE59" s="7">
        <f t="shared" si="25"/>
        <v>28</v>
      </c>
      <c r="AF59" s="5" t="e">
        <f t="shared" si="30"/>
        <v>#DIV/0!</v>
      </c>
      <c r="AG59" s="5">
        <f t="shared" ca="1" si="26"/>
        <v>603.85940000000005</v>
      </c>
      <c r="AH59" s="5">
        <f t="shared" si="27"/>
        <v>784</v>
      </c>
      <c r="AI59" s="6">
        <f t="shared" ca="1" si="28"/>
        <v>0.77022882653061231</v>
      </c>
    </row>
    <row r="60" spans="2:35" x14ac:dyDescent="0.2">
      <c r="B60" s="5" t="s">
        <v>68</v>
      </c>
      <c r="C60" s="21">
        <v>46489</v>
      </c>
      <c r="D60" s="5">
        <v>15</v>
      </c>
      <c r="E60" s="5">
        <v>6</v>
      </c>
      <c r="F60" s="5">
        <v>5</v>
      </c>
      <c r="G60" s="7">
        <f t="shared" ca="1" si="29"/>
        <v>8833</v>
      </c>
      <c r="H60" s="5">
        <v>0</v>
      </c>
      <c r="I60" s="5">
        <f>'B-JCI2 RH'!AZ263</f>
        <v>2227</v>
      </c>
      <c r="J60" s="12">
        <f t="shared" ca="1" si="16"/>
        <v>19.8</v>
      </c>
      <c r="K60" s="5">
        <f t="shared" ca="1" si="17"/>
        <v>3056</v>
      </c>
      <c r="L60" s="5">
        <v>0</v>
      </c>
      <c r="M60" s="5">
        <f ca="1">'B-JCI2 RH'!$D$295</f>
        <v>0.29630000000000001</v>
      </c>
      <c r="N60" s="5">
        <v>0</v>
      </c>
      <c r="O60" s="5">
        <v>4</v>
      </c>
      <c r="P60" s="5"/>
      <c r="Q60" s="5">
        <v>0</v>
      </c>
      <c r="R60" s="5">
        <f t="shared" si="18"/>
        <v>445</v>
      </c>
      <c r="S60" s="5">
        <v>14</v>
      </c>
      <c r="T60" s="6">
        <v>0.77</v>
      </c>
      <c r="U60" s="5">
        <f t="shared" si="31"/>
        <v>42</v>
      </c>
      <c r="V60" s="5">
        <f t="shared" ca="1" si="19"/>
        <v>1528</v>
      </c>
      <c r="W60" s="5">
        <f t="shared" si="20"/>
        <v>14</v>
      </c>
      <c r="X60" s="6">
        <v>0.77</v>
      </c>
      <c r="Y60" s="5">
        <f t="shared" si="21"/>
        <v>42</v>
      </c>
      <c r="Z60" s="5">
        <f t="shared" ca="1" si="22"/>
        <v>1528</v>
      </c>
      <c r="AA60" s="5">
        <v>0</v>
      </c>
      <c r="AB60" s="6">
        <v>0</v>
      </c>
      <c r="AC60" s="5">
        <f t="shared" si="23"/>
        <v>42</v>
      </c>
      <c r="AD60" s="5">
        <f t="shared" ca="1" si="24"/>
        <v>0</v>
      </c>
      <c r="AE60" s="7">
        <f t="shared" si="25"/>
        <v>28</v>
      </c>
      <c r="AF60" s="5" t="e">
        <f t="shared" si="30"/>
        <v>#DIV/0!</v>
      </c>
      <c r="AG60" s="5">
        <f t="shared" ca="1" si="26"/>
        <v>905.49279999999999</v>
      </c>
      <c r="AH60" s="5">
        <f t="shared" si="27"/>
        <v>1176</v>
      </c>
      <c r="AI60" s="6">
        <f t="shared" ca="1" si="28"/>
        <v>0.76997687074829935</v>
      </c>
    </row>
    <row r="61" spans="2:35" x14ac:dyDescent="0.2">
      <c r="B61" s="5" t="s">
        <v>68</v>
      </c>
      <c r="C61" s="21">
        <v>46496</v>
      </c>
      <c r="D61" s="5">
        <v>16</v>
      </c>
      <c r="E61" s="5">
        <v>6</v>
      </c>
      <c r="F61" s="5">
        <v>5</v>
      </c>
      <c r="G61" s="7">
        <f t="shared" ca="1" si="29"/>
        <v>7370</v>
      </c>
      <c r="H61" s="5">
        <v>0</v>
      </c>
      <c r="I61" s="5">
        <f>'B-JCI2 RH'!BA263</f>
        <v>2227</v>
      </c>
      <c r="J61" s="12">
        <f t="shared" ca="1" si="16"/>
        <v>16.5</v>
      </c>
      <c r="K61" s="5">
        <f t="shared" ca="1" si="17"/>
        <v>3056</v>
      </c>
      <c r="L61" s="5">
        <v>0</v>
      </c>
      <c r="M61" s="5">
        <f ca="1">'B-JCI2 RH'!$D$295</f>
        <v>0.29630000000000001</v>
      </c>
      <c r="N61" s="5">
        <v>0</v>
      </c>
      <c r="O61" s="5">
        <v>4</v>
      </c>
      <c r="P61" s="5"/>
      <c r="Q61" s="5">
        <v>0</v>
      </c>
      <c r="R61" s="5">
        <f t="shared" si="18"/>
        <v>445</v>
      </c>
      <c r="S61" s="5">
        <v>14</v>
      </c>
      <c r="T61" s="6">
        <v>0.77</v>
      </c>
      <c r="U61" s="5">
        <f t="shared" si="31"/>
        <v>42</v>
      </c>
      <c r="V61" s="5">
        <f t="shared" ca="1" si="19"/>
        <v>1528</v>
      </c>
      <c r="W61" s="5">
        <f t="shared" si="20"/>
        <v>14</v>
      </c>
      <c r="X61" s="6">
        <v>0.77</v>
      </c>
      <c r="Y61" s="5">
        <f t="shared" si="21"/>
        <v>42</v>
      </c>
      <c r="Z61" s="5">
        <f t="shared" ca="1" si="22"/>
        <v>1528</v>
      </c>
      <c r="AA61" s="5">
        <v>0</v>
      </c>
      <c r="AB61" s="6">
        <v>0</v>
      </c>
      <c r="AC61" s="5">
        <f t="shared" si="23"/>
        <v>42</v>
      </c>
      <c r="AD61" s="5">
        <f t="shared" ca="1" si="24"/>
        <v>0</v>
      </c>
      <c r="AE61" s="7">
        <f t="shared" si="25"/>
        <v>28</v>
      </c>
      <c r="AF61" s="5" t="e">
        <f t="shared" si="30"/>
        <v>#DIV/0!</v>
      </c>
      <c r="AG61" s="5">
        <f t="shared" ca="1" si="26"/>
        <v>905.49279999999999</v>
      </c>
      <c r="AH61" s="5">
        <f t="shared" si="27"/>
        <v>1176</v>
      </c>
      <c r="AI61" s="6">
        <f t="shared" ca="1" si="28"/>
        <v>0.76997687074829935</v>
      </c>
    </row>
    <row r="62" spans="2:35" x14ac:dyDescent="0.2">
      <c r="B62" s="5" t="s">
        <v>68</v>
      </c>
      <c r="C62" s="21">
        <v>46503</v>
      </c>
      <c r="D62" s="5">
        <v>17</v>
      </c>
      <c r="E62" s="5">
        <v>3</v>
      </c>
      <c r="F62" s="5">
        <v>5</v>
      </c>
      <c r="G62" s="7">
        <f t="shared" ca="1" si="29"/>
        <v>7181</v>
      </c>
      <c r="H62" s="5">
        <v>0</v>
      </c>
      <c r="I62" s="5">
        <f>'B-JCI2 RH'!BB263</f>
        <v>2227</v>
      </c>
      <c r="J62" s="12">
        <f t="shared" ca="1" si="16"/>
        <v>16.100000000000001</v>
      </c>
      <c r="K62" s="5">
        <f t="shared" ca="1" si="17"/>
        <v>1528</v>
      </c>
      <c r="L62" s="5">
        <v>0</v>
      </c>
      <c r="M62" s="5">
        <f ca="1">'B-JCI2 RH'!$D$295</f>
        <v>0.29630000000000001</v>
      </c>
      <c r="N62" s="5">
        <v>0</v>
      </c>
      <c r="O62" s="5">
        <v>4</v>
      </c>
      <c r="P62" s="5"/>
      <c r="Q62" s="5">
        <v>0</v>
      </c>
      <c r="R62" s="5">
        <f t="shared" si="18"/>
        <v>445</v>
      </c>
      <c r="S62" s="5">
        <v>14</v>
      </c>
      <c r="T62" s="6">
        <v>0.77</v>
      </c>
      <c r="U62" s="5">
        <f t="shared" si="31"/>
        <v>21</v>
      </c>
      <c r="V62" s="5">
        <f t="shared" ca="1" si="19"/>
        <v>764</v>
      </c>
      <c r="W62" s="5">
        <f t="shared" si="20"/>
        <v>14</v>
      </c>
      <c r="X62" s="6">
        <v>0.77</v>
      </c>
      <c r="Y62" s="5">
        <f t="shared" si="21"/>
        <v>21</v>
      </c>
      <c r="Z62" s="5">
        <f t="shared" ca="1" si="22"/>
        <v>764</v>
      </c>
      <c r="AA62" s="5">
        <v>0</v>
      </c>
      <c r="AB62" s="6">
        <v>0</v>
      </c>
      <c r="AC62" s="5">
        <f t="shared" si="23"/>
        <v>21</v>
      </c>
      <c r="AD62" s="5">
        <f t="shared" ca="1" si="24"/>
        <v>0</v>
      </c>
      <c r="AE62" s="7">
        <f t="shared" si="25"/>
        <v>28</v>
      </c>
      <c r="AF62" s="5" t="e">
        <f t="shared" si="30"/>
        <v>#DIV/0!</v>
      </c>
      <c r="AG62" s="5">
        <f t="shared" ca="1" si="26"/>
        <v>452.74639999999999</v>
      </c>
      <c r="AH62" s="5">
        <f t="shared" si="27"/>
        <v>588</v>
      </c>
      <c r="AI62" s="6">
        <f t="shared" ca="1" si="28"/>
        <v>0.76997687074829935</v>
      </c>
    </row>
    <row r="63" spans="2:35" x14ac:dyDescent="0.2">
      <c r="B63" s="5" t="s">
        <v>57</v>
      </c>
      <c r="C63" s="21">
        <v>46510</v>
      </c>
      <c r="D63" s="5">
        <v>18</v>
      </c>
      <c r="E63" s="5">
        <v>6</v>
      </c>
      <c r="F63" s="31">
        <v>4</v>
      </c>
      <c r="G63" s="7">
        <f t="shared" ca="1" si="29"/>
        <v>8010</v>
      </c>
      <c r="H63" s="5">
        <v>0</v>
      </c>
      <c r="I63" s="5">
        <f>'B-JCI2 RH'!BC263</f>
        <v>2500</v>
      </c>
      <c r="J63" s="12">
        <f t="shared" ca="1" si="16"/>
        <v>12.8</v>
      </c>
      <c r="K63" s="5">
        <f t="shared" ca="1" si="17"/>
        <v>3056</v>
      </c>
      <c r="L63" s="5">
        <v>0</v>
      </c>
      <c r="M63" s="5">
        <f ca="1">'B-JCI2 RH'!$D$295</f>
        <v>0.29630000000000001</v>
      </c>
      <c r="N63" s="5">
        <v>0</v>
      </c>
      <c r="O63" s="5">
        <v>5</v>
      </c>
      <c r="P63" s="5"/>
      <c r="Q63" s="5">
        <v>0</v>
      </c>
      <c r="R63" s="5">
        <f t="shared" si="18"/>
        <v>625</v>
      </c>
      <c r="S63" s="5">
        <v>14</v>
      </c>
      <c r="T63" s="6">
        <v>0.77</v>
      </c>
      <c r="U63" s="5">
        <f t="shared" si="31"/>
        <v>42</v>
      </c>
      <c r="V63" s="5">
        <f t="shared" ca="1" si="19"/>
        <v>1528</v>
      </c>
      <c r="W63" s="5">
        <f t="shared" si="20"/>
        <v>14</v>
      </c>
      <c r="X63" s="6">
        <v>0.77</v>
      </c>
      <c r="Y63" s="5">
        <f t="shared" si="21"/>
        <v>42</v>
      </c>
      <c r="Z63" s="5">
        <f t="shared" ca="1" si="22"/>
        <v>1528</v>
      </c>
      <c r="AA63" s="5">
        <v>0</v>
      </c>
      <c r="AB63" s="6">
        <v>0</v>
      </c>
      <c r="AC63" s="5">
        <f t="shared" si="23"/>
        <v>42</v>
      </c>
      <c r="AD63" s="5">
        <f t="shared" ca="1" si="24"/>
        <v>0</v>
      </c>
      <c r="AE63" s="7">
        <f t="shared" si="25"/>
        <v>28</v>
      </c>
      <c r="AF63" s="5" t="e">
        <f t="shared" si="30"/>
        <v>#DIV/0!</v>
      </c>
      <c r="AG63" s="5">
        <f t="shared" ca="1" si="26"/>
        <v>905.49279999999999</v>
      </c>
      <c r="AH63" s="5">
        <f t="shared" si="27"/>
        <v>1176</v>
      </c>
      <c r="AI63" s="6">
        <f t="shared" ca="1" si="28"/>
        <v>0.76997687074829935</v>
      </c>
    </row>
    <row r="64" spans="2:35" x14ac:dyDescent="0.2">
      <c r="B64" s="5" t="s">
        <v>57</v>
      </c>
      <c r="C64" s="21">
        <v>46517</v>
      </c>
      <c r="D64" s="5">
        <v>19</v>
      </c>
      <c r="E64" s="5">
        <v>3</v>
      </c>
      <c r="F64" s="5">
        <v>5</v>
      </c>
      <c r="G64" s="7">
        <f t="shared" ca="1" si="29"/>
        <v>7548</v>
      </c>
      <c r="H64" s="5">
        <v>0</v>
      </c>
      <c r="I64" s="5">
        <f>'B-JCI2 RH'!BD263</f>
        <v>2500</v>
      </c>
      <c r="J64" s="12">
        <f t="shared" ca="1" si="16"/>
        <v>15.1</v>
      </c>
      <c r="K64" s="5">
        <f t="shared" ca="1" si="17"/>
        <v>1528</v>
      </c>
      <c r="L64" s="5">
        <v>0</v>
      </c>
      <c r="M64" s="5">
        <f ca="1">'B-JCI2 RH'!$D$295</f>
        <v>0.29630000000000001</v>
      </c>
      <c r="N64" s="5">
        <v>0</v>
      </c>
      <c r="O64" s="5">
        <v>5</v>
      </c>
      <c r="P64" s="5"/>
      <c r="Q64" s="5">
        <v>0</v>
      </c>
      <c r="R64" s="5">
        <f t="shared" si="18"/>
        <v>500</v>
      </c>
      <c r="S64" s="5">
        <v>14</v>
      </c>
      <c r="T64" s="6">
        <v>0.77</v>
      </c>
      <c r="U64" s="5">
        <f t="shared" si="31"/>
        <v>21</v>
      </c>
      <c r="V64" s="5">
        <f t="shared" ca="1" si="19"/>
        <v>764</v>
      </c>
      <c r="W64" s="5">
        <f t="shared" si="20"/>
        <v>14</v>
      </c>
      <c r="X64" s="6">
        <v>0.77</v>
      </c>
      <c r="Y64" s="5">
        <f t="shared" si="21"/>
        <v>21</v>
      </c>
      <c r="Z64" s="5">
        <f t="shared" ca="1" si="22"/>
        <v>764</v>
      </c>
      <c r="AA64" s="5">
        <v>0</v>
      </c>
      <c r="AB64" s="6">
        <v>0</v>
      </c>
      <c r="AC64" s="5">
        <f t="shared" si="23"/>
        <v>21</v>
      </c>
      <c r="AD64" s="5">
        <f t="shared" ca="1" si="24"/>
        <v>0</v>
      </c>
      <c r="AE64" s="7">
        <f t="shared" si="25"/>
        <v>28</v>
      </c>
      <c r="AF64" s="5" t="e">
        <f t="shared" si="30"/>
        <v>#DIV/0!</v>
      </c>
      <c r="AG64" s="5">
        <f t="shared" ca="1" si="26"/>
        <v>452.74639999999999</v>
      </c>
      <c r="AH64" s="5">
        <f t="shared" si="27"/>
        <v>588</v>
      </c>
      <c r="AI64" s="6">
        <f t="shared" ca="1" si="28"/>
        <v>0.76997687074829935</v>
      </c>
    </row>
    <row r="65" spans="2:35" x14ac:dyDescent="0.2">
      <c r="B65" s="5" t="s">
        <v>57</v>
      </c>
      <c r="C65" s="21">
        <v>46524</v>
      </c>
      <c r="D65" s="5">
        <v>20</v>
      </c>
      <c r="E65" s="5">
        <v>6</v>
      </c>
      <c r="F65" s="31">
        <v>3</v>
      </c>
      <c r="G65" s="7">
        <f t="shared" ca="1" si="29"/>
        <v>8104</v>
      </c>
      <c r="H65" s="5">
        <v>0</v>
      </c>
      <c r="I65" s="5">
        <f>'B-JCI2 RH'!BE263</f>
        <v>2500</v>
      </c>
      <c r="J65" s="12">
        <f t="shared" ca="1" si="16"/>
        <v>9.6999999999999993</v>
      </c>
      <c r="K65" s="5">
        <f t="shared" ca="1" si="17"/>
        <v>3056</v>
      </c>
      <c r="L65" s="5">
        <v>0</v>
      </c>
      <c r="M65" s="5">
        <f ca="1">'B-JCI2 RH'!$D$295</f>
        <v>0.29630000000000001</v>
      </c>
      <c r="N65" s="5">
        <v>0</v>
      </c>
      <c r="O65" s="5">
        <v>5</v>
      </c>
      <c r="P65" s="5"/>
      <c r="Q65" s="5">
        <v>0</v>
      </c>
      <c r="R65" s="5">
        <f t="shared" si="18"/>
        <v>833</v>
      </c>
      <c r="S65" s="5">
        <v>14</v>
      </c>
      <c r="T65" s="6">
        <v>0.77</v>
      </c>
      <c r="U65" s="5">
        <f t="shared" si="31"/>
        <v>42</v>
      </c>
      <c r="V65" s="5">
        <f t="shared" ca="1" si="19"/>
        <v>1528</v>
      </c>
      <c r="W65" s="5">
        <f t="shared" si="20"/>
        <v>14</v>
      </c>
      <c r="X65" s="6">
        <v>0.77</v>
      </c>
      <c r="Y65" s="5">
        <f t="shared" si="21"/>
        <v>42</v>
      </c>
      <c r="Z65" s="5">
        <f t="shared" ca="1" si="22"/>
        <v>1528</v>
      </c>
      <c r="AA65" s="5">
        <v>0</v>
      </c>
      <c r="AB65" s="6">
        <v>0</v>
      </c>
      <c r="AC65" s="5">
        <f t="shared" si="23"/>
        <v>42</v>
      </c>
      <c r="AD65" s="5">
        <f t="shared" ca="1" si="24"/>
        <v>0</v>
      </c>
      <c r="AE65" s="7">
        <f t="shared" si="25"/>
        <v>28</v>
      </c>
      <c r="AF65" s="5" t="e">
        <f t="shared" si="30"/>
        <v>#DIV/0!</v>
      </c>
      <c r="AG65" s="5">
        <f t="shared" ca="1" si="26"/>
        <v>905.49279999999999</v>
      </c>
      <c r="AH65" s="5">
        <f t="shared" si="27"/>
        <v>1176</v>
      </c>
      <c r="AI65" s="6">
        <f t="shared" ca="1" si="28"/>
        <v>0.76997687074829935</v>
      </c>
    </row>
    <row r="66" spans="2:35" x14ac:dyDescent="0.2">
      <c r="B66" s="5" t="s">
        <v>57</v>
      </c>
      <c r="C66" s="21">
        <v>46531</v>
      </c>
      <c r="D66" s="5">
        <v>21</v>
      </c>
      <c r="E66" s="5">
        <v>6</v>
      </c>
      <c r="F66" s="5">
        <v>5</v>
      </c>
      <c r="G66" s="7">
        <f t="shared" ca="1" si="29"/>
        <v>8660</v>
      </c>
      <c r="H66" s="5">
        <v>0</v>
      </c>
      <c r="I66" s="5">
        <f>'B-JCI2 RH'!BF263</f>
        <v>2500</v>
      </c>
      <c r="J66" s="12">
        <f t="shared" ca="1" si="16"/>
        <v>17.3</v>
      </c>
      <c r="K66" s="5">
        <f t="shared" ca="1" si="17"/>
        <v>3056</v>
      </c>
      <c r="L66" s="5">
        <v>0</v>
      </c>
      <c r="M66" s="5">
        <f ca="1">'B-JCI2 RH'!$D$295</f>
        <v>0.29630000000000001</v>
      </c>
      <c r="N66" s="5">
        <v>0</v>
      </c>
      <c r="O66" s="5">
        <v>5</v>
      </c>
      <c r="P66" s="5"/>
      <c r="Q66" s="5">
        <v>0</v>
      </c>
      <c r="R66" s="5">
        <f t="shared" si="18"/>
        <v>500</v>
      </c>
      <c r="S66" s="5">
        <v>14</v>
      </c>
      <c r="T66" s="6">
        <v>0.77</v>
      </c>
      <c r="U66" s="5">
        <f t="shared" si="31"/>
        <v>42</v>
      </c>
      <c r="V66" s="5">
        <f t="shared" ca="1" si="19"/>
        <v>1528</v>
      </c>
      <c r="W66" s="5">
        <f t="shared" si="20"/>
        <v>14</v>
      </c>
      <c r="X66" s="6">
        <v>0.77</v>
      </c>
      <c r="Y66" s="5">
        <f t="shared" si="21"/>
        <v>42</v>
      </c>
      <c r="Z66" s="5">
        <f t="shared" ca="1" si="22"/>
        <v>1528</v>
      </c>
      <c r="AA66" s="5">
        <v>0</v>
      </c>
      <c r="AB66" s="6">
        <v>0</v>
      </c>
      <c r="AC66" s="5">
        <f t="shared" si="23"/>
        <v>42</v>
      </c>
      <c r="AD66" s="5">
        <f t="shared" ca="1" si="24"/>
        <v>0</v>
      </c>
      <c r="AE66" s="7">
        <f t="shared" si="25"/>
        <v>28</v>
      </c>
      <c r="AF66" s="5" t="e">
        <f t="shared" si="30"/>
        <v>#DIV/0!</v>
      </c>
      <c r="AG66" s="5">
        <f t="shared" ca="1" si="26"/>
        <v>905.49279999999999</v>
      </c>
      <c r="AH66" s="5">
        <f t="shared" si="27"/>
        <v>1176</v>
      </c>
      <c r="AI66" s="6">
        <f t="shared" ca="1" si="28"/>
        <v>0.76997687074829935</v>
      </c>
    </row>
    <row r="67" spans="2:35" x14ac:dyDescent="0.2">
      <c r="B67" s="5" t="s">
        <v>57</v>
      </c>
      <c r="C67" s="21">
        <v>46538</v>
      </c>
      <c r="D67" s="5">
        <v>22</v>
      </c>
      <c r="E67" s="5">
        <v>6</v>
      </c>
      <c r="F67" s="31">
        <v>4</v>
      </c>
      <c r="G67" s="7">
        <f t="shared" ca="1" si="29"/>
        <v>7688</v>
      </c>
      <c r="H67" s="5">
        <v>0</v>
      </c>
      <c r="I67" s="5">
        <f>'B-JCI2 RH'!BG263</f>
        <v>2500</v>
      </c>
      <c r="J67" s="12">
        <f t="shared" ca="1" si="16"/>
        <v>12.3</v>
      </c>
      <c r="K67" s="5">
        <f t="shared" ca="1" si="17"/>
        <v>3056</v>
      </c>
      <c r="L67" s="5">
        <v>0</v>
      </c>
      <c r="M67" s="5">
        <f ca="1">'B-JCI2 RH'!$D$295</f>
        <v>0.29630000000000001</v>
      </c>
      <c r="N67" s="5">
        <v>0</v>
      </c>
      <c r="O67" s="5">
        <v>5</v>
      </c>
      <c r="P67" s="5"/>
      <c r="Q67" s="5">
        <v>0</v>
      </c>
      <c r="R67" s="5">
        <f t="shared" si="18"/>
        <v>625</v>
      </c>
      <c r="S67" s="5">
        <v>14</v>
      </c>
      <c r="T67" s="6">
        <v>0.77</v>
      </c>
      <c r="U67" s="5">
        <f t="shared" si="31"/>
        <v>42</v>
      </c>
      <c r="V67" s="5">
        <f t="shared" ca="1" si="19"/>
        <v>1528</v>
      </c>
      <c r="W67" s="5">
        <f t="shared" si="20"/>
        <v>14</v>
      </c>
      <c r="X67" s="6">
        <v>0.77</v>
      </c>
      <c r="Y67" s="5">
        <f t="shared" si="21"/>
        <v>42</v>
      </c>
      <c r="Z67" s="5">
        <f t="shared" ca="1" si="22"/>
        <v>1528</v>
      </c>
      <c r="AA67" s="5">
        <v>0</v>
      </c>
      <c r="AB67" s="6">
        <v>0</v>
      </c>
      <c r="AC67" s="5">
        <f t="shared" si="23"/>
        <v>42</v>
      </c>
      <c r="AD67" s="5">
        <f t="shared" ca="1" si="24"/>
        <v>0</v>
      </c>
      <c r="AE67" s="7">
        <f t="shared" si="25"/>
        <v>28</v>
      </c>
      <c r="AF67" s="5" t="e">
        <f t="shared" si="30"/>
        <v>#DIV/0!</v>
      </c>
      <c r="AG67" s="5">
        <f t="shared" ca="1" si="26"/>
        <v>905.49279999999999</v>
      </c>
      <c r="AH67" s="5">
        <f t="shared" si="27"/>
        <v>1176</v>
      </c>
      <c r="AI67" s="6">
        <f t="shared" ca="1" si="28"/>
        <v>0.76997687074829935</v>
      </c>
    </row>
    <row r="68" spans="2:35" x14ac:dyDescent="0.2">
      <c r="B68" s="5" t="s">
        <v>58</v>
      </c>
      <c r="C68" s="21">
        <v>46545</v>
      </c>
      <c r="D68" s="5">
        <v>23</v>
      </c>
      <c r="E68" s="5">
        <v>6</v>
      </c>
      <c r="F68" s="5">
        <v>5</v>
      </c>
      <c r="G68" s="7">
        <f t="shared" ca="1" si="29"/>
        <v>8244</v>
      </c>
      <c r="H68" s="5">
        <v>0</v>
      </c>
      <c r="I68" s="5">
        <f>'B-JCI2 RH'!BH263</f>
        <v>2500</v>
      </c>
      <c r="J68" s="12">
        <f t="shared" ca="1" si="16"/>
        <v>16.5</v>
      </c>
      <c r="K68" s="5">
        <f t="shared" ca="1" si="17"/>
        <v>3056</v>
      </c>
      <c r="L68" s="5">
        <v>0</v>
      </c>
      <c r="M68" s="5">
        <f ca="1">'B-JCI2 RH'!$D$295</f>
        <v>0.29630000000000001</v>
      </c>
      <c r="N68" s="5">
        <v>0</v>
      </c>
      <c r="O68" s="5">
        <v>6</v>
      </c>
      <c r="P68" s="5"/>
      <c r="Q68" s="5">
        <v>0</v>
      </c>
      <c r="R68" s="5">
        <f t="shared" si="18"/>
        <v>500</v>
      </c>
      <c r="S68" s="5">
        <v>14</v>
      </c>
      <c r="T68" s="6">
        <v>0.77</v>
      </c>
      <c r="U68" s="5">
        <f t="shared" si="31"/>
        <v>42</v>
      </c>
      <c r="V68" s="5">
        <f t="shared" ca="1" si="19"/>
        <v>1528</v>
      </c>
      <c r="W68" s="5">
        <v>14</v>
      </c>
      <c r="X68" s="6">
        <v>0.77</v>
      </c>
      <c r="Y68" s="5">
        <f t="shared" si="21"/>
        <v>42</v>
      </c>
      <c r="Z68" s="5">
        <f t="shared" ca="1" si="22"/>
        <v>1528</v>
      </c>
      <c r="AA68" s="5">
        <v>0</v>
      </c>
      <c r="AB68" s="6">
        <v>0</v>
      </c>
      <c r="AC68" s="5">
        <f t="shared" si="23"/>
        <v>42</v>
      </c>
      <c r="AD68" s="5">
        <f t="shared" ca="1" si="24"/>
        <v>0</v>
      </c>
      <c r="AE68" s="7">
        <f t="shared" si="25"/>
        <v>28</v>
      </c>
      <c r="AF68" s="5" t="e">
        <f t="shared" si="30"/>
        <v>#DIV/0!</v>
      </c>
      <c r="AG68" s="5">
        <f t="shared" ca="1" si="26"/>
        <v>905.49279999999999</v>
      </c>
      <c r="AH68" s="5">
        <f t="shared" si="27"/>
        <v>1176</v>
      </c>
      <c r="AI68" s="6">
        <f t="shared" ca="1" si="28"/>
        <v>0.76997687074829935</v>
      </c>
    </row>
    <row r="69" spans="2:35" x14ac:dyDescent="0.2">
      <c r="B69" s="5" t="s">
        <v>58</v>
      </c>
      <c r="C69" s="21">
        <v>46552</v>
      </c>
      <c r="D69" s="5">
        <v>24</v>
      </c>
      <c r="E69" s="5">
        <v>5</v>
      </c>
      <c r="F69" s="5">
        <v>5</v>
      </c>
      <c r="G69" s="7">
        <f t="shared" ca="1" si="29"/>
        <v>7272</v>
      </c>
      <c r="H69" s="5">
        <v>0</v>
      </c>
      <c r="I69" s="5">
        <f>'B-JCI2 RH'!BI263</f>
        <v>2500</v>
      </c>
      <c r="J69" s="12">
        <f t="shared" ca="1" si="16"/>
        <v>14.5</v>
      </c>
      <c r="K69" s="5">
        <f t="shared" ca="1" si="17"/>
        <v>2546</v>
      </c>
      <c r="L69" s="5">
        <v>0</v>
      </c>
      <c r="M69" s="5">
        <f ca="1">'B-JCI2 RH'!$D$295</f>
        <v>0.29630000000000001</v>
      </c>
      <c r="N69" s="5">
        <v>0</v>
      </c>
      <c r="O69" s="5">
        <v>6</v>
      </c>
      <c r="P69" s="5"/>
      <c r="Q69" s="5">
        <v>0</v>
      </c>
      <c r="R69" s="5">
        <f t="shared" si="18"/>
        <v>500</v>
      </c>
      <c r="S69" s="5">
        <v>14</v>
      </c>
      <c r="T69" s="6">
        <v>0.77</v>
      </c>
      <c r="U69" s="5">
        <f t="shared" si="31"/>
        <v>35</v>
      </c>
      <c r="V69" s="5">
        <f t="shared" ca="1" si="19"/>
        <v>1273</v>
      </c>
      <c r="W69" s="5">
        <v>14</v>
      </c>
      <c r="X69" s="6">
        <v>0.77</v>
      </c>
      <c r="Y69" s="5">
        <f t="shared" si="21"/>
        <v>35</v>
      </c>
      <c r="Z69" s="5">
        <f t="shared" ca="1" si="22"/>
        <v>1273</v>
      </c>
      <c r="AA69" s="5">
        <v>0</v>
      </c>
      <c r="AB69" s="6">
        <v>0</v>
      </c>
      <c r="AC69" s="5">
        <f t="shared" si="23"/>
        <v>35</v>
      </c>
      <c r="AD69" s="5">
        <f t="shared" ca="1" si="24"/>
        <v>0</v>
      </c>
      <c r="AE69" s="7">
        <f t="shared" si="25"/>
        <v>28</v>
      </c>
      <c r="AF69" s="5" t="e">
        <f t="shared" si="30"/>
        <v>#DIV/0!</v>
      </c>
      <c r="AG69" s="5">
        <f t="shared" ca="1" si="26"/>
        <v>754.37980000000005</v>
      </c>
      <c r="AH69" s="5">
        <f t="shared" si="27"/>
        <v>980</v>
      </c>
      <c r="AI69" s="6">
        <f t="shared" ca="1" si="28"/>
        <v>0.76977530612244904</v>
      </c>
    </row>
    <row r="70" spans="2:35" x14ac:dyDescent="0.2">
      <c r="B70" s="5" t="s">
        <v>58</v>
      </c>
      <c r="C70" s="21">
        <v>46559</v>
      </c>
      <c r="D70" s="5">
        <v>25</v>
      </c>
      <c r="E70" s="5">
        <v>6</v>
      </c>
      <c r="F70" s="5">
        <v>5</v>
      </c>
      <c r="G70" s="7">
        <f t="shared" ca="1" si="29"/>
        <v>7828</v>
      </c>
      <c r="H70" s="5">
        <v>0</v>
      </c>
      <c r="I70" s="5">
        <f>'B-JCI2 RH'!BJ263</f>
        <v>2500</v>
      </c>
      <c r="J70" s="12">
        <f t="shared" ca="1" si="16"/>
        <v>15.7</v>
      </c>
      <c r="K70" s="5">
        <f t="shared" ca="1" si="17"/>
        <v>3056</v>
      </c>
      <c r="L70" s="5">
        <v>0</v>
      </c>
      <c r="M70" s="5">
        <f ca="1">'B-JCI2 RH'!$D$295</f>
        <v>0.29630000000000001</v>
      </c>
      <c r="N70" s="5">
        <v>0</v>
      </c>
      <c r="O70" s="5">
        <v>6</v>
      </c>
      <c r="P70" s="5"/>
      <c r="Q70" s="5">
        <v>0</v>
      </c>
      <c r="R70" s="5">
        <f t="shared" si="18"/>
        <v>500</v>
      </c>
      <c r="S70" s="5">
        <v>14</v>
      </c>
      <c r="T70" s="6">
        <v>0.77</v>
      </c>
      <c r="U70" s="5">
        <f t="shared" si="31"/>
        <v>42</v>
      </c>
      <c r="V70" s="5">
        <f t="shared" ca="1" si="19"/>
        <v>1528</v>
      </c>
      <c r="W70" s="35">
        <v>14</v>
      </c>
      <c r="X70" s="36">
        <v>0.77</v>
      </c>
      <c r="Y70" s="35">
        <f t="shared" si="21"/>
        <v>42</v>
      </c>
      <c r="Z70" s="35">
        <f t="shared" ca="1" si="22"/>
        <v>1528</v>
      </c>
      <c r="AA70" s="5">
        <v>0</v>
      </c>
      <c r="AB70" s="6">
        <v>0</v>
      </c>
      <c r="AC70" s="5">
        <f t="shared" si="23"/>
        <v>42</v>
      </c>
      <c r="AD70" s="5">
        <f t="shared" ca="1" si="24"/>
        <v>0</v>
      </c>
      <c r="AE70" s="7">
        <f t="shared" si="25"/>
        <v>28</v>
      </c>
      <c r="AF70" s="5" t="e">
        <f t="shared" si="30"/>
        <v>#DIV/0!</v>
      </c>
      <c r="AG70" s="5">
        <f t="shared" ca="1" si="26"/>
        <v>905.49279999999999</v>
      </c>
      <c r="AH70" s="5">
        <f t="shared" si="27"/>
        <v>1176</v>
      </c>
      <c r="AI70" s="6">
        <f t="shared" ca="1" si="28"/>
        <v>0.76997687074829935</v>
      </c>
    </row>
    <row r="71" spans="2:35" x14ac:dyDescent="0.2">
      <c r="B71" s="5" t="s">
        <v>58</v>
      </c>
      <c r="C71" s="21">
        <v>46566</v>
      </c>
      <c r="D71" s="5">
        <v>26</v>
      </c>
      <c r="E71" s="5">
        <v>4</v>
      </c>
      <c r="F71" s="5">
        <v>5</v>
      </c>
      <c r="G71" s="7">
        <f t="shared" ca="1" si="29"/>
        <v>8384</v>
      </c>
      <c r="H71" s="5">
        <v>0</v>
      </c>
      <c r="I71" s="5">
        <f>'B-JCI2 RH'!BK263</f>
        <v>2500</v>
      </c>
      <c r="J71" s="12">
        <f t="shared" ca="1" si="16"/>
        <v>16.8</v>
      </c>
      <c r="K71" s="5">
        <f t="shared" ca="1" si="17"/>
        <v>1019</v>
      </c>
      <c r="L71" s="5">
        <v>0</v>
      </c>
      <c r="M71" s="5">
        <f ca="1">'B-JCI2 RH'!$D$295</f>
        <v>0.29630000000000001</v>
      </c>
      <c r="N71" s="5">
        <v>0</v>
      </c>
      <c r="O71" s="5">
        <v>6</v>
      </c>
      <c r="P71" s="5"/>
      <c r="Q71" s="5">
        <v>0</v>
      </c>
      <c r="R71" s="5">
        <f t="shared" si="18"/>
        <v>500</v>
      </c>
      <c r="S71" s="5">
        <v>14</v>
      </c>
      <c r="T71" s="6">
        <v>0.77</v>
      </c>
      <c r="U71" s="5">
        <f t="shared" si="31"/>
        <v>28</v>
      </c>
      <c r="V71" s="5">
        <f t="shared" ca="1" si="19"/>
        <v>1019</v>
      </c>
      <c r="W71" s="5">
        <v>0</v>
      </c>
      <c r="X71" s="6">
        <v>0.77</v>
      </c>
      <c r="Y71" s="5">
        <f t="shared" si="21"/>
        <v>28</v>
      </c>
      <c r="Z71" s="5">
        <f t="shared" ca="1" si="22"/>
        <v>0</v>
      </c>
      <c r="AA71" s="5">
        <v>0</v>
      </c>
      <c r="AB71" s="6">
        <v>0</v>
      </c>
      <c r="AC71" s="5">
        <f t="shared" si="23"/>
        <v>28</v>
      </c>
      <c r="AD71" s="5">
        <f t="shared" ca="1" si="24"/>
        <v>0</v>
      </c>
      <c r="AE71" s="7">
        <f t="shared" si="25"/>
        <v>14</v>
      </c>
      <c r="AF71" s="5" t="e">
        <f t="shared" si="30"/>
        <v>#DIV/0!</v>
      </c>
      <c r="AG71" s="5">
        <f t="shared" ca="1" si="26"/>
        <v>301.92970000000003</v>
      </c>
      <c r="AH71" s="5">
        <f t="shared" si="27"/>
        <v>392</v>
      </c>
      <c r="AI71" s="6">
        <f t="shared" ca="1" si="28"/>
        <v>0.77022882653061231</v>
      </c>
    </row>
    <row r="72" spans="2:35" x14ac:dyDescent="0.2">
      <c r="B72" s="5" t="s">
        <v>59</v>
      </c>
      <c r="C72" s="21">
        <v>46573</v>
      </c>
      <c r="D72" s="5">
        <v>27</v>
      </c>
      <c r="E72" s="5">
        <v>1</v>
      </c>
      <c r="F72" s="5">
        <v>5</v>
      </c>
      <c r="G72" s="7">
        <f t="shared" ca="1" si="29"/>
        <v>8940</v>
      </c>
      <c r="H72" s="5">
        <v>0</v>
      </c>
      <c r="I72" s="5">
        <f>'B-JCI2 RH'!BL263</f>
        <v>2485</v>
      </c>
      <c r="J72" s="12">
        <f t="shared" ca="1" si="16"/>
        <v>18</v>
      </c>
      <c r="K72" s="5">
        <f t="shared" ca="1" si="17"/>
        <v>255</v>
      </c>
      <c r="L72" s="5">
        <v>0</v>
      </c>
      <c r="M72" s="5">
        <f ca="1">'B-JCI2 RH'!$D$295</f>
        <v>0.29630000000000001</v>
      </c>
      <c r="N72" s="5">
        <v>0</v>
      </c>
      <c r="O72" s="5">
        <v>7</v>
      </c>
      <c r="P72" s="5"/>
      <c r="Q72" s="5">
        <v>0</v>
      </c>
      <c r="R72" s="5">
        <f t="shared" si="18"/>
        <v>497</v>
      </c>
      <c r="S72" s="5">
        <v>14</v>
      </c>
      <c r="T72" s="6">
        <v>0.77</v>
      </c>
      <c r="U72" s="5">
        <f t="shared" si="31"/>
        <v>7</v>
      </c>
      <c r="V72" s="5">
        <f t="shared" ca="1" si="19"/>
        <v>255</v>
      </c>
      <c r="W72" s="5">
        <v>0</v>
      </c>
      <c r="X72" s="6">
        <v>0.77</v>
      </c>
      <c r="Y72" s="5">
        <f t="shared" si="21"/>
        <v>7</v>
      </c>
      <c r="Z72" s="5">
        <f t="shared" ca="1" si="22"/>
        <v>0</v>
      </c>
      <c r="AA72" s="5">
        <v>0</v>
      </c>
      <c r="AB72" s="6">
        <v>0</v>
      </c>
      <c r="AC72" s="5">
        <f t="shared" si="23"/>
        <v>7</v>
      </c>
      <c r="AD72" s="5">
        <f t="shared" ca="1" si="24"/>
        <v>0</v>
      </c>
      <c r="AE72" s="7">
        <f t="shared" si="25"/>
        <v>14</v>
      </c>
      <c r="AF72" s="5" t="e">
        <f t="shared" si="30"/>
        <v>#DIV/0!</v>
      </c>
      <c r="AG72" s="5">
        <f t="shared" ca="1" si="26"/>
        <v>75.5565</v>
      </c>
      <c r="AH72" s="5">
        <f t="shared" si="27"/>
        <v>98</v>
      </c>
      <c r="AI72" s="6">
        <f t="shared" ca="1" si="28"/>
        <v>0.77098469387755098</v>
      </c>
    </row>
    <row r="73" spans="2:35" x14ac:dyDescent="0.2">
      <c r="B73" s="5" t="s">
        <v>59</v>
      </c>
      <c r="C73" s="21">
        <v>46580</v>
      </c>
      <c r="D73" s="5">
        <v>28</v>
      </c>
      <c r="E73" s="5">
        <v>6</v>
      </c>
      <c r="F73" s="5">
        <v>5</v>
      </c>
      <c r="G73" s="7">
        <f t="shared" ca="1" si="29"/>
        <v>9511</v>
      </c>
      <c r="H73" s="5">
        <v>0</v>
      </c>
      <c r="I73" s="5">
        <f>'B-JCI2 RH'!BM263</f>
        <v>2485</v>
      </c>
      <c r="J73" s="12">
        <f t="shared" ca="1" si="16"/>
        <v>19.100000000000001</v>
      </c>
      <c r="K73" s="5">
        <f t="shared" ca="1" si="17"/>
        <v>1528</v>
      </c>
      <c r="L73" s="5">
        <v>0</v>
      </c>
      <c r="M73" s="5">
        <f ca="1">'B-JCI2 RH'!$D$295</f>
        <v>0.29630000000000001</v>
      </c>
      <c r="N73" s="5">
        <v>0</v>
      </c>
      <c r="O73" s="5">
        <v>7</v>
      </c>
      <c r="P73" s="5"/>
      <c r="Q73" s="5">
        <v>0</v>
      </c>
      <c r="R73" s="5">
        <f t="shared" si="18"/>
        <v>497</v>
      </c>
      <c r="S73" s="5">
        <v>14</v>
      </c>
      <c r="T73" s="6">
        <v>0.77</v>
      </c>
      <c r="U73" s="5">
        <f t="shared" si="31"/>
        <v>42</v>
      </c>
      <c r="V73" s="5">
        <f t="shared" ca="1" si="19"/>
        <v>1528</v>
      </c>
      <c r="W73" s="5">
        <v>0</v>
      </c>
      <c r="X73" s="6">
        <v>0.77</v>
      </c>
      <c r="Y73" s="5">
        <f t="shared" si="21"/>
        <v>42</v>
      </c>
      <c r="Z73" s="5">
        <f t="shared" ca="1" si="22"/>
        <v>0</v>
      </c>
      <c r="AA73" s="5">
        <v>0</v>
      </c>
      <c r="AB73" s="6">
        <v>0</v>
      </c>
      <c r="AC73" s="5">
        <f t="shared" si="23"/>
        <v>42</v>
      </c>
      <c r="AD73" s="5">
        <f t="shared" ca="1" si="24"/>
        <v>0</v>
      </c>
      <c r="AE73" s="7">
        <f t="shared" si="25"/>
        <v>14</v>
      </c>
      <c r="AF73" s="5" t="e">
        <f t="shared" si="30"/>
        <v>#DIV/0!</v>
      </c>
      <c r="AG73" s="5">
        <f t="shared" ca="1" si="26"/>
        <v>452.74639999999999</v>
      </c>
      <c r="AH73" s="5">
        <f t="shared" si="27"/>
        <v>588</v>
      </c>
      <c r="AI73" s="6">
        <f t="shared" ca="1" si="28"/>
        <v>0.76997687074829935</v>
      </c>
    </row>
    <row r="74" spans="2:35" x14ac:dyDescent="0.2">
      <c r="B74" s="5" t="s">
        <v>59</v>
      </c>
      <c r="C74" s="21">
        <v>46587</v>
      </c>
      <c r="D74" s="5">
        <v>29</v>
      </c>
      <c r="E74" s="5">
        <v>6</v>
      </c>
      <c r="F74" s="24">
        <v>9</v>
      </c>
      <c r="G74" s="7">
        <f t="shared" ca="1" si="29"/>
        <v>9572</v>
      </c>
      <c r="H74" s="5">
        <v>0</v>
      </c>
      <c r="I74" s="5">
        <f>'B-JCI2 RH'!BN263</f>
        <v>4526</v>
      </c>
      <c r="J74" s="12">
        <f t="shared" ca="1" si="16"/>
        <v>19</v>
      </c>
      <c r="K74" s="5">
        <f t="shared" ca="1" si="17"/>
        <v>1528</v>
      </c>
      <c r="L74" s="5">
        <v>0</v>
      </c>
      <c r="M74" s="5">
        <f ca="1">'B-JCI2 RH'!$D$295</f>
        <v>0.29630000000000001</v>
      </c>
      <c r="N74" s="5">
        <v>0</v>
      </c>
      <c r="O74" s="5">
        <v>7</v>
      </c>
      <c r="P74" s="5"/>
      <c r="Q74" s="5">
        <v>0</v>
      </c>
      <c r="R74" s="5">
        <f t="shared" si="18"/>
        <v>503</v>
      </c>
      <c r="S74" s="5">
        <v>14</v>
      </c>
      <c r="T74" s="6">
        <v>0.77</v>
      </c>
      <c r="U74" s="5">
        <f t="shared" si="31"/>
        <v>42</v>
      </c>
      <c r="V74" s="5">
        <f t="shared" ca="1" si="19"/>
        <v>1528</v>
      </c>
      <c r="W74" s="5">
        <v>0</v>
      </c>
      <c r="X74" s="6">
        <v>0.77</v>
      </c>
      <c r="Y74" s="5">
        <f t="shared" si="21"/>
        <v>42</v>
      </c>
      <c r="Z74" s="5">
        <f t="shared" ca="1" si="22"/>
        <v>0</v>
      </c>
      <c r="AA74" s="5">
        <v>0</v>
      </c>
      <c r="AB74" s="6">
        <v>0</v>
      </c>
      <c r="AC74" s="5">
        <f t="shared" si="23"/>
        <v>42</v>
      </c>
      <c r="AD74" s="5">
        <f t="shared" ca="1" si="24"/>
        <v>0</v>
      </c>
      <c r="AE74" s="7">
        <f t="shared" si="25"/>
        <v>14</v>
      </c>
      <c r="AF74" s="5" t="e">
        <f t="shared" si="30"/>
        <v>#DIV/0!</v>
      </c>
      <c r="AG74" s="5">
        <f t="shared" ca="1" si="26"/>
        <v>452.74639999999999</v>
      </c>
      <c r="AH74" s="5">
        <f t="shared" si="27"/>
        <v>588</v>
      </c>
      <c r="AI74" s="6">
        <f t="shared" ca="1" si="28"/>
        <v>0.76997687074829935</v>
      </c>
    </row>
    <row r="75" spans="2:35" x14ac:dyDescent="0.2">
      <c r="B75" s="5" t="s">
        <v>59</v>
      </c>
      <c r="C75" s="21">
        <v>46594</v>
      </c>
      <c r="D75" s="5">
        <v>30</v>
      </c>
      <c r="E75" s="5">
        <v>5</v>
      </c>
      <c r="F75" s="29">
        <v>0</v>
      </c>
      <c r="G75" s="7">
        <f t="shared" ca="1" si="29"/>
        <v>8102</v>
      </c>
      <c r="H75" s="5">
        <v>0</v>
      </c>
      <c r="I75" s="5">
        <f>'B-JCI2 RH'!BO263</f>
        <v>0</v>
      </c>
      <c r="J75" s="12" t="str">
        <f t="shared" si="16"/>
        <v>N/S</v>
      </c>
      <c r="K75" s="5">
        <f t="shared" ca="1" si="17"/>
        <v>1273</v>
      </c>
      <c r="L75" s="5">
        <v>0</v>
      </c>
      <c r="M75" s="5">
        <f ca="1">'B-JCI2 RH'!$D$295</f>
        <v>0.29630000000000001</v>
      </c>
      <c r="N75" s="5">
        <v>0</v>
      </c>
      <c r="O75" s="5">
        <v>7</v>
      </c>
      <c r="P75" s="5"/>
      <c r="Q75" s="5">
        <v>0</v>
      </c>
      <c r="R75" s="5">
        <f t="shared" si="18"/>
        <v>0</v>
      </c>
      <c r="S75" s="5">
        <v>14</v>
      </c>
      <c r="T75" s="6">
        <v>0.77</v>
      </c>
      <c r="U75" s="5">
        <f t="shared" si="31"/>
        <v>35</v>
      </c>
      <c r="V75" s="5">
        <f t="shared" ca="1" si="19"/>
        <v>1273</v>
      </c>
      <c r="W75" s="5">
        <v>0</v>
      </c>
      <c r="X75" s="6">
        <v>0.77</v>
      </c>
      <c r="Y75" s="5">
        <f t="shared" si="21"/>
        <v>35</v>
      </c>
      <c r="Z75" s="5">
        <f t="shared" ca="1" si="22"/>
        <v>0</v>
      </c>
      <c r="AA75" s="5">
        <v>0</v>
      </c>
      <c r="AB75" s="6">
        <v>0</v>
      </c>
      <c r="AC75" s="5">
        <f t="shared" si="23"/>
        <v>35</v>
      </c>
      <c r="AD75" s="5">
        <f t="shared" ca="1" si="24"/>
        <v>0</v>
      </c>
      <c r="AE75" s="7">
        <f t="shared" si="25"/>
        <v>14</v>
      </c>
      <c r="AF75" s="5" t="e">
        <f t="shared" si="30"/>
        <v>#DIV/0!</v>
      </c>
      <c r="AG75" s="5">
        <f t="shared" ca="1" si="26"/>
        <v>377.18990000000002</v>
      </c>
      <c r="AH75" s="5">
        <f t="shared" si="27"/>
        <v>490</v>
      </c>
      <c r="AI75" s="6">
        <f t="shared" ca="1" si="28"/>
        <v>0.76977530612244904</v>
      </c>
    </row>
    <row r="76" spans="2:35" x14ac:dyDescent="0.2">
      <c r="B76" s="5" t="s">
        <v>60</v>
      </c>
      <c r="C76" s="21">
        <v>46601</v>
      </c>
      <c r="D76" s="5">
        <v>31</v>
      </c>
      <c r="E76" s="5">
        <v>6</v>
      </c>
      <c r="F76" s="29">
        <v>0</v>
      </c>
      <c r="G76" s="7">
        <f t="shared" ca="1" si="29"/>
        <v>9121</v>
      </c>
      <c r="H76" s="5">
        <v>0</v>
      </c>
      <c r="I76" s="5">
        <f>'B-JCI2 RH'!BP263</f>
        <v>0</v>
      </c>
      <c r="J76" s="12" t="str">
        <f t="shared" ref="J76:J89" si="32">IF(I76=0,"N/S",ROUND( ( ((G76) * 1)/I76)*F76,1))</f>
        <v>N/S</v>
      </c>
      <c r="K76" s="5">
        <f t="shared" ref="K76:K89" ca="1" si="33">V76+Z76+AD76</f>
        <v>1528</v>
      </c>
      <c r="L76" s="5">
        <v>0</v>
      </c>
      <c r="M76" s="5">
        <f ca="1">'B-JCI2 RH'!$D$295</f>
        <v>0.29630000000000001</v>
      </c>
      <c r="N76" s="5">
        <v>0</v>
      </c>
      <c r="O76" s="5">
        <v>8</v>
      </c>
      <c r="P76" s="5"/>
      <c r="Q76" s="5">
        <v>0</v>
      </c>
      <c r="R76" s="5">
        <f t="shared" ref="R76:R89" si="34">IF(F76=0,0,ROUND(I76/F76,0))</f>
        <v>0</v>
      </c>
      <c r="S76" s="5">
        <v>14</v>
      </c>
      <c r="T76" s="6">
        <v>0.77</v>
      </c>
      <c r="U76" s="5">
        <f t="shared" si="31"/>
        <v>42</v>
      </c>
      <c r="V76" s="5">
        <f t="shared" ref="V76:V89" ca="1" si="35">ROUND(((S76*T76*U76)/M76),0)</f>
        <v>1528</v>
      </c>
      <c r="W76" s="5">
        <v>0</v>
      </c>
      <c r="X76" s="6">
        <v>0.77</v>
      </c>
      <c r="Y76" s="5">
        <f t="shared" ref="Y76:Y89" si="36">U76</f>
        <v>42</v>
      </c>
      <c r="Z76" s="5">
        <f t="shared" ref="Z76:Z89" ca="1" si="37">ROUND(((W76*X76*Y76)/M76),0)</f>
        <v>0</v>
      </c>
      <c r="AA76" s="5">
        <v>0</v>
      </c>
      <c r="AB76" s="6">
        <v>0</v>
      </c>
      <c r="AC76" s="5">
        <f t="shared" ref="AC76:AC89" si="38">E76*7-N76</f>
        <v>42</v>
      </c>
      <c r="AD76" s="5">
        <f t="shared" ref="AD76:AD89" ca="1" si="39">ROUND(((AA76*AB76*AC76)/M76),0)</f>
        <v>0</v>
      </c>
      <c r="AE76" s="7">
        <f t="shared" ref="AE76:AE89" si="40">S76+W76+AA76</f>
        <v>14</v>
      </c>
      <c r="AF76" s="5" t="e">
        <f t="shared" si="30"/>
        <v>#DIV/0!</v>
      </c>
      <c r="AG76" s="5">
        <f t="shared" ref="AG76:AG89" ca="1" si="41">K76*M76</f>
        <v>452.74639999999999</v>
      </c>
      <c r="AH76" s="5">
        <f t="shared" ref="AH76:AH89" si="42">S76*U76+W76*Y76+AA76*AC76</f>
        <v>588</v>
      </c>
      <c r="AI76" s="6">
        <f t="shared" ref="AI76:AI89" ca="1" si="43">IF(AH76=0,0,AG76/AH76)</f>
        <v>0.76997687074829935</v>
      </c>
    </row>
    <row r="77" spans="2:35" x14ac:dyDescent="0.2">
      <c r="B77" s="5" t="s">
        <v>60</v>
      </c>
      <c r="C77" s="21">
        <v>46608</v>
      </c>
      <c r="D77" s="5">
        <v>32</v>
      </c>
      <c r="E77" s="5">
        <v>0</v>
      </c>
      <c r="F77" s="29">
        <v>0</v>
      </c>
      <c r="G77" s="7">
        <f t="shared" ca="1" si="29"/>
        <v>9376</v>
      </c>
      <c r="H77" s="5">
        <v>0</v>
      </c>
      <c r="I77" s="5">
        <f>'B-JCI2 RH'!BQ263</f>
        <v>0</v>
      </c>
      <c r="J77" s="12" t="str">
        <f t="shared" si="32"/>
        <v>N/S</v>
      </c>
      <c r="K77" s="5">
        <f t="shared" ca="1" si="33"/>
        <v>0</v>
      </c>
      <c r="L77" s="5">
        <v>0</v>
      </c>
      <c r="M77" s="5">
        <f ca="1">'B-JCI2 RH'!$D$295</f>
        <v>0.29630000000000001</v>
      </c>
      <c r="N77" s="5">
        <v>0</v>
      </c>
      <c r="O77" s="5">
        <v>8</v>
      </c>
      <c r="P77" s="5"/>
      <c r="Q77" s="5">
        <v>0</v>
      </c>
      <c r="R77" s="5">
        <f t="shared" si="34"/>
        <v>0</v>
      </c>
      <c r="S77" s="5">
        <v>14</v>
      </c>
      <c r="T77" s="6">
        <v>0.77</v>
      </c>
      <c r="U77" s="5">
        <f t="shared" si="31"/>
        <v>0</v>
      </c>
      <c r="V77" s="5">
        <f t="shared" ca="1" si="35"/>
        <v>0</v>
      </c>
      <c r="W77" s="5">
        <v>0</v>
      </c>
      <c r="X77" s="6">
        <v>0.77</v>
      </c>
      <c r="Y77" s="5">
        <f t="shared" si="36"/>
        <v>0</v>
      </c>
      <c r="Z77" s="5">
        <f t="shared" ca="1" si="37"/>
        <v>0</v>
      </c>
      <c r="AA77" s="5">
        <v>0</v>
      </c>
      <c r="AB77" s="6">
        <v>0</v>
      </c>
      <c r="AC77" s="5">
        <f t="shared" si="38"/>
        <v>0</v>
      </c>
      <c r="AD77" s="5">
        <f t="shared" ca="1" si="39"/>
        <v>0</v>
      </c>
      <c r="AE77" s="7">
        <f t="shared" si="40"/>
        <v>14</v>
      </c>
      <c r="AF77" s="5" t="e">
        <f t="shared" si="30"/>
        <v>#DIV/0!</v>
      </c>
      <c r="AG77" s="5">
        <f t="shared" ca="1" si="41"/>
        <v>0</v>
      </c>
      <c r="AH77" s="5">
        <f t="shared" si="42"/>
        <v>0</v>
      </c>
      <c r="AI77" s="6">
        <f t="shared" si="43"/>
        <v>0</v>
      </c>
    </row>
    <row r="78" spans="2:35" x14ac:dyDescent="0.2">
      <c r="B78" s="5" t="s">
        <v>60</v>
      </c>
      <c r="C78" s="21">
        <v>46615</v>
      </c>
      <c r="D78" s="5">
        <v>33</v>
      </c>
      <c r="E78" s="5">
        <v>0</v>
      </c>
      <c r="F78" s="31">
        <v>0</v>
      </c>
      <c r="G78" s="7">
        <f t="shared" ca="1" si="29"/>
        <v>10904</v>
      </c>
      <c r="H78" s="5">
        <v>0</v>
      </c>
      <c r="I78" s="5">
        <f>'B-JCI2 RH'!BR263</f>
        <v>0</v>
      </c>
      <c r="J78" s="12" t="str">
        <f t="shared" si="32"/>
        <v>N/S</v>
      </c>
      <c r="K78" s="5">
        <f t="shared" ca="1" si="33"/>
        <v>0</v>
      </c>
      <c r="L78" s="5">
        <v>0</v>
      </c>
      <c r="M78" s="5">
        <f ca="1">'B-JCI2 RH'!$D$295</f>
        <v>0.29630000000000001</v>
      </c>
      <c r="N78" s="5">
        <v>0</v>
      </c>
      <c r="O78" s="5">
        <v>8</v>
      </c>
      <c r="P78" s="5"/>
      <c r="Q78" s="5">
        <v>0</v>
      </c>
      <c r="R78" s="5">
        <f t="shared" si="34"/>
        <v>0</v>
      </c>
      <c r="S78" s="5">
        <v>14</v>
      </c>
      <c r="T78" s="6">
        <v>0.77</v>
      </c>
      <c r="U78" s="5">
        <f t="shared" si="31"/>
        <v>0</v>
      </c>
      <c r="V78" s="5">
        <f t="shared" ca="1" si="35"/>
        <v>0</v>
      </c>
      <c r="W78" s="5">
        <v>0</v>
      </c>
      <c r="X78" s="6">
        <v>0.77</v>
      </c>
      <c r="Y78" s="5">
        <f t="shared" si="36"/>
        <v>0</v>
      </c>
      <c r="Z78" s="5">
        <f t="shared" ca="1" si="37"/>
        <v>0</v>
      </c>
      <c r="AA78" s="5">
        <v>0</v>
      </c>
      <c r="AB78" s="6">
        <v>0</v>
      </c>
      <c r="AC78" s="5">
        <f t="shared" si="38"/>
        <v>0</v>
      </c>
      <c r="AD78" s="5">
        <f t="shared" ca="1" si="39"/>
        <v>0</v>
      </c>
      <c r="AE78" s="7">
        <f t="shared" si="40"/>
        <v>14</v>
      </c>
      <c r="AF78" s="5" t="e">
        <f t="shared" si="30"/>
        <v>#DIV/0!</v>
      </c>
      <c r="AG78" s="5">
        <f t="shared" ca="1" si="41"/>
        <v>0</v>
      </c>
      <c r="AH78" s="5">
        <f t="shared" si="42"/>
        <v>0</v>
      </c>
      <c r="AI78" s="6">
        <f t="shared" si="43"/>
        <v>0</v>
      </c>
    </row>
    <row r="79" spans="2:35" x14ac:dyDescent="0.2">
      <c r="B79" s="5" t="s">
        <v>60</v>
      </c>
      <c r="C79" s="21">
        <v>46622</v>
      </c>
      <c r="D79" s="5">
        <v>34</v>
      </c>
      <c r="E79" s="5">
        <v>5</v>
      </c>
      <c r="F79" s="5">
        <v>5</v>
      </c>
      <c r="G79" s="7">
        <f t="shared" ca="1" si="29"/>
        <v>12432</v>
      </c>
      <c r="H79" s="5">
        <v>0</v>
      </c>
      <c r="I79" s="5">
        <f>'B-JCI2 RH'!BS263</f>
        <v>2051</v>
      </c>
      <c r="J79" s="12">
        <f t="shared" ca="1" si="32"/>
        <v>30.3</v>
      </c>
      <c r="K79" s="5">
        <f t="shared" ca="1" si="33"/>
        <v>1273</v>
      </c>
      <c r="L79" s="5">
        <v>0</v>
      </c>
      <c r="M79" s="5">
        <f ca="1">'B-JCI2 RH'!$D$295</f>
        <v>0.29630000000000001</v>
      </c>
      <c r="N79" s="5">
        <v>0</v>
      </c>
      <c r="O79" s="5">
        <v>8</v>
      </c>
      <c r="P79" s="5"/>
      <c r="Q79" s="5">
        <v>0</v>
      </c>
      <c r="R79" s="5">
        <f t="shared" si="34"/>
        <v>410</v>
      </c>
      <c r="S79" s="5">
        <v>14</v>
      </c>
      <c r="T79" s="6">
        <v>0.77</v>
      </c>
      <c r="U79" s="5">
        <f t="shared" si="31"/>
        <v>35</v>
      </c>
      <c r="V79" s="5">
        <f t="shared" ca="1" si="35"/>
        <v>1273</v>
      </c>
      <c r="W79" s="5">
        <v>0</v>
      </c>
      <c r="X79" s="6">
        <v>0.77</v>
      </c>
      <c r="Y79" s="5">
        <f t="shared" si="36"/>
        <v>35</v>
      </c>
      <c r="Z79" s="5">
        <f t="shared" ca="1" si="37"/>
        <v>0</v>
      </c>
      <c r="AA79" s="5">
        <v>0</v>
      </c>
      <c r="AB79" s="6">
        <v>0</v>
      </c>
      <c r="AC79" s="5">
        <f t="shared" si="38"/>
        <v>35</v>
      </c>
      <c r="AD79" s="5">
        <f t="shared" ca="1" si="39"/>
        <v>0</v>
      </c>
      <c r="AE79" s="7">
        <f t="shared" si="40"/>
        <v>14</v>
      </c>
      <c r="AF79" s="5" t="e">
        <f t="shared" si="30"/>
        <v>#DIV/0!</v>
      </c>
      <c r="AG79" s="5">
        <f t="shared" ca="1" si="41"/>
        <v>377.18990000000002</v>
      </c>
      <c r="AH79" s="5">
        <f t="shared" si="42"/>
        <v>490</v>
      </c>
      <c r="AI79" s="6">
        <f t="shared" ca="1" si="43"/>
        <v>0.76977530612244904</v>
      </c>
    </row>
    <row r="80" spans="2:35" x14ac:dyDescent="0.2">
      <c r="B80" s="5" t="s">
        <v>60</v>
      </c>
      <c r="C80" s="21">
        <v>46629</v>
      </c>
      <c r="D80" s="5">
        <v>35</v>
      </c>
      <c r="E80" s="5">
        <v>6</v>
      </c>
      <c r="F80" s="5">
        <v>5</v>
      </c>
      <c r="G80" s="7">
        <f t="shared" ca="1" si="29"/>
        <v>11654</v>
      </c>
      <c r="H80" s="5">
        <v>0</v>
      </c>
      <c r="I80" s="5">
        <f>'B-JCI2 RH'!BT263</f>
        <v>2051</v>
      </c>
      <c r="J80" s="12">
        <f t="shared" ca="1" si="32"/>
        <v>28.4</v>
      </c>
      <c r="K80" s="5">
        <f t="shared" ca="1" si="33"/>
        <v>1528</v>
      </c>
      <c r="L80" s="5">
        <v>0</v>
      </c>
      <c r="M80" s="5">
        <f ca="1">'B-JCI2 RH'!$D$295</f>
        <v>0.29630000000000001</v>
      </c>
      <c r="N80" s="5">
        <v>0</v>
      </c>
      <c r="O80" s="5">
        <v>8</v>
      </c>
      <c r="P80" s="5"/>
      <c r="Q80" s="5">
        <v>0</v>
      </c>
      <c r="R80" s="5">
        <f t="shared" si="34"/>
        <v>410</v>
      </c>
      <c r="S80" s="5">
        <v>14</v>
      </c>
      <c r="T80" s="6">
        <v>0.77</v>
      </c>
      <c r="U80" s="5">
        <f t="shared" si="31"/>
        <v>42</v>
      </c>
      <c r="V80" s="5">
        <f t="shared" ca="1" si="35"/>
        <v>1528</v>
      </c>
      <c r="W80" s="5">
        <v>0</v>
      </c>
      <c r="X80" s="6">
        <v>0.77</v>
      </c>
      <c r="Y80" s="5">
        <f t="shared" si="36"/>
        <v>42</v>
      </c>
      <c r="Z80" s="5">
        <f t="shared" ca="1" si="37"/>
        <v>0</v>
      </c>
      <c r="AA80" s="5">
        <v>0</v>
      </c>
      <c r="AB80" s="6">
        <v>0</v>
      </c>
      <c r="AC80" s="5">
        <f t="shared" si="38"/>
        <v>42</v>
      </c>
      <c r="AD80" s="5">
        <f t="shared" ca="1" si="39"/>
        <v>0</v>
      </c>
      <c r="AE80" s="7">
        <f t="shared" si="40"/>
        <v>14</v>
      </c>
      <c r="AF80" s="5" t="e">
        <f t="shared" si="30"/>
        <v>#DIV/0!</v>
      </c>
      <c r="AG80" s="5">
        <f t="shared" ca="1" si="41"/>
        <v>452.74639999999999</v>
      </c>
      <c r="AH80" s="5">
        <f t="shared" si="42"/>
        <v>588</v>
      </c>
      <c r="AI80" s="6">
        <f t="shared" ca="1" si="43"/>
        <v>0.76997687074829935</v>
      </c>
    </row>
    <row r="81" spans="2:35" x14ac:dyDescent="0.2">
      <c r="B81" s="5" t="s">
        <v>61</v>
      </c>
      <c r="C81" s="21">
        <v>46636</v>
      </c>
      <c r="D81" s="5">
        <v>36</v>
      </c>
      <c r="E81" s="5">
        <v>6</v>
      </c>
      <c r="F81" s="5">
        <v>5</v>
      </c>
      <c r="G81" s="7">
        <f t="shared" ref="G81:G89" ca="1" si="44">(G80+H80-I80+K76)</f>
        <v>11131</v>
      </c>
      <c r="H81" s="5">
        <v>0</v>
      </c>
      <c r="I81" s="5">
        <f>'B-JCI2 RH'!BU263</f>
        <v>2051</v>
      </c>
      <c r="J81" s="12">
        <f t="shared" ca="1" si="32"/>
        <v>27.1</v>
      </c>
      <c r="K81" s="5">
        <f t="shared" ca="1" si="33"/>
        <v>1528</v>
      </c>
      <c r="L81" s="5">
        <v>0</v>
      </c>
      <c r="M81" s="5">
        <f ca="1">'B-JCI2 RH'!$D$295</f>
        <v>0.29630000000000001</v>
      </c>
      <c r="N81" s="5">
        <v>0</v>
      </c>
      <c r="O81" s="5">
        <v>9</v>
      </c>
      <c r="P81" s="5"/>
      <c r="Q81" s="5">
        <v>0</v>
      </c>
      <c r="R81" s="5">
        <f t="shared" si="34"/>
        <v>410</v>
      </c>
      <c r="S81" s="5">
        <v>14</v>
      </c>
      <c r="T81" s="6">
        <v>0.77</v>
      </c>
      <c r="U81" s="5">
        <f t="shared" si="31"/>
        <v>42</v>
      </c>
      <c r="V81" s="5">
        <f t="shared" ca="1" si="35"/>
        <v>1528</v>
      </c>
      <c r="W81" s="5">
        <v>0</v>
      </c>
      <c r="X81" s="6">
        <v>0.77</v>
      </c>
      <c r="Y81" s="5">
        <f t="shared" si="36"/>
        <v>42</v>
      </c>
      <c r="Z81" s="5">
        <f t="shared" ca="1" si="37"/>
        <v>0</v>
      </c>
      <c r="AA81" s="5">
        <v>0</v>
      </c>
      <c r="AB81" s="6">
        <v>0</v>
      </c>
      <c r="AC81" s="5">
        <f t="shared" si="38"/>
        <v>42</v>
      </c>
      <c r="AD81" s="5">
        <f t="shared" ca="1" si="39"/>
        <v>0</v>
      </c>
      <c r="AE81" s="7">
        <f t="shared" si="40"/>
        <v>14</v>
      </c>
      <c r="AF81" s="5" t="e">
        <f t="shared" si="30"/>
        <v>#DIV/0!</v>
      </c>
      <c r="AG81" s="5">
        <f t="shared" ca="1" si="41"/>
        <v>452.74639999999999</v>
      </c>
      <c r="AH81" s="5">
        <f t="shared" si="42"/>
        <v>588</v>
      </c>
      <c r="AI81" s="6">
        <f t="shared" ca="1" si="43"/>
        <v>0.76997687074829935</v>
      </c>
    </row>
    <row r="82" spans="2:35" x14ac:dyDescent="0.2">
      <c r="B82" s="5" t="s">
        <v>61</v>
      </c>
      <c r="C82" s="21">
        <v>46643</v>
      </c>
      <c r="D82" s="5">
        <v>37</v>
      </c>
      <c r="E82" s="5">
        <v>6</v>
      </c>
      <c r="F82" s="5">
        <v>5</v>
      </c>
      <c r="G82" s="7">
        <f t="shared" ca="1" si="44"/>
        <v>9080</v>
      </c>
      <c r="H82" s="5">
        <v>0</v>
      </c>
      <c r="I82" s="5">
        <f>'B-JCI2 RH'!BV263</f>
        <v>2051</v>
      </c>
      <c r="J82" s="12">
        <f t="shared" ca="1" si="32"/>
        <v>22.1</v>
      </c>
      <c r="K82" s="5">
        <f t="shared" ca="1" si="33"/>
        <v>1528</v>
      </c>
      <c r="L82" s="5">
        <v>0</v>
      </c>
      <c r="M82" s="5">
        <f ca="1">'B-JCI2 RH'!$D$295</f>
        <v>0.29630000000000001</v>
      </c>
      <c r="N82" s="5">
        <v>0</v>
      </c>
      <c r="O82" s="5">
        <v>9</v>
      </c>
      <c r="P82" s="5"/>
      <c r="Q82" s="5">
        <v>0</v>
      </c>
      <c r="R82" s="5">
        <f t="shared" si="34"/>
        <v>410</v>
      </c>
      <c r="S82" s="5">
        <v>14</v>
      </c>
      <c r="T82" s="6">
        <v>0.77</v>
      </c>
      <c r="U82" s="5">
        <f t="shared" si="31"/>
        <v>42</v>
      </c>
      <c r="V82" s="5">
        <f t="shared" ca="1" si="35"/>
        <v>1528</v>
      </c>
      <c r="W82" s="5">
        <v>0</v>
      </c>
      <c r="X82" s="6">
        <v>0.77</v>
      </c>
      <c r="Y82" s="5">
        <f t="shared" si="36"/>
        <v>42</v>
      </c>
      <c r="Z82" s="5">
        <f t="shared" ca="1" si="37"/>
        <v>0</v>
      </c>
      <c r="AA82" s="5">
        <v>0</v>
      </c>
      <c r="AB82" s="6">
        <v>0</v>
      </c>
      <c r="AC82" s="5">
        <f t="shared" si="38"/>
        <v>42</v>
      </c>
      <c r="AD82" s="5">
        <f t="shared" ca="1" si="39"/>
        <v>0</v>
      </c>
      <c r="AE82" s="7">
        <f t="shared" si="40"/>
        <v>14</v>
      </c>
      <c r="AF82" s="5" t="e">
        <f t="shared" si="30"/>
        <v>#DIV/0!</v>
      </c>
      <c r="AG82" s="5">
        <f t="shared" ca="1" si="41"/>
        <v>452.74639999999999</v>
      </c>
      <c r="AH82" s="5">
        <f t="shared" si="42"/>
        <v>588</v>
      </c>
      <c r="AI82" s="6">
        <f t="shared" ca="1" si="43"/>
        <v>0.76997687074829935</v>
      </c>
    </row>
    <row r="83" spans="2:35" x14ac:dyDescent="0.2">
      <c r="B83" s="5" t="s">
        <v>61</v>
      </c>
      <c r="C83" s="21">
        <v>46650</v>
      </c>
      <c r="D83" s="5">
        <v>38</v>
      </c>
      <c r="E83" s="5">
        <v>6</v>
      </c>
      <c r="F83" s="5">
        <v>5</v>
      </c>
      <c r="G83" s="7">
        <f t="shared" ca="1" si="44"/>
        <v>7029</v>
      </c>
      <c r="H83" s="5">
        <v>0</v>
      </c>
      <c r="I83" s="5">
        <f>'B-JCI2 RH'!BW263</f>
        <v>2051</v>
      </c>
      <c r="J83" s="12">
        <f t="shared" ca="1" si="32"/>
        <v>17.100000000000001</v>
      </c>
      <c r="K83" s="5">
        <f t="shared" ca="1" si="33"/>
        <v>1528</v>
      </c>
      <c r="L83" s="5">
        <v>0</v>
      </c>
      <c r="M83" s="5">
        <f ca="1">'B-JCI2 RH'!$D$295</f>
        <v>0.29630000000000001</v>
      </c>
      <c r="N83" s="5">
        <v>0</v>
      </c>
      <c r="O83" s="5">
        <v>9</v>
      </c>
      <c r="P83" s="5"/>
      <c r="Q83" s="5">
        <v>0</v>
      </c>
      <c r="R83" s="5">
        <f t="shared" si="34"/>
        <v>410</v>
      </c>
      <c r="S83" s="5">
        <v>14</v>
      </c>
      <c r="T83" s="6">
        <v>0.77</v>
      </c>
      <c r="U83" s="5">
        <f t="shared" si="31"/>
        <v>42</v>
      </c>
      <c r="V83" s="5">
        <f t="shared" ca="1" si="35"/>
        <v>1528</v>
      </c>
      <c r="W83" s="5">
        <v>0</v>
      </c>
      <c r="X83" s="6">
        <v>0.77</v>
      </c>
      <c r="Y83" s="5">
        <f t="shared" si="36"/>
        <v>42</v>
      </c>
      <c r="Z83" s="5">
        <f t="shared" ca="1" si="37"/>
        <v>0</v>
      </c>
      <c r="AA83" s="5">
        <v>0</v>
      </c>
      <c r="AB83" s="6">
        <v>0</v>
      </c>
      <c r="AC83" s="5">
        <f t="shared" si="38"/>
        <v>42</v>
      </c>
      <c r="AD83" s="5">
        <f t="shared" ca="1" si="39"/>
        <v>0</v>
      </c>
      <c r="AE83" s="7">
        <f t="shared" si="40"/>
        <v>14</v>
      </c>
      <c r="AF83" s="5" t="e">
        <f t="shared" si="30"/>
        <v>#DIV/0!</v>
      </c>
      <c r="AG83" s="5">
        <f t="shared" ca="1" si="41"/>
        <v>452.74639999999999</v>
      </c>
      <c r="AH83" s="5">
        <f t="shared" si="42"/>
        <v>588</v>
      </c>
      <c r="AI83" s="6">
        <f t="shared" ca="1" si="43"/>
        <v>0.76997687074829935</v>
      </c>
    </row>
    <row r="84" spans="2:35" x14ac:dyDescent="0.2">
      <c r="B84" s="5" t="s">
        <v>61</v>
      </c>
      <c r="C84" s="21">
        <v>46657</v>
      </c>
      <c r="D84" s="5">
        <v>39</v>
      </c>
      <c r="E84" s="5">
        <v>4</v>
      </c>
      <c r="F84" s="5">
        <v>5</v>
      </c>
      <c r="G84" s="7">
        <f t="shared" ca="1" si="44"/>
        <v>6251</v>
      </c>
      <c r="H84" s="5">
        <v>0</v>
      </c>
      <c r="I84" s="5">
        <f>'B-JCI2 RH'!BX263</f>
        <v>2051</v>
      </c>
      <c r="J84" s="12">
        <f t="shared" ca="1" si="32"/>
        <v>15.2</v>
      </c>
      <c r="K84" s="5">
        <f t="shared" ca="1" si="33"/>
        <v>1019</v>
      </c>
      <c r="L84" s="5">
        <v>0</v>
      </c>
      <c r="M84" s="5">
        <f ca="1">'B-JCI2 RH'!$D$295</f>
        <v>0.29630000000000001</v>
      </c>
      <c r="N84" s="5">
        <v>0</v>
      </c>
      <c r="O84" s="5">
        <v>9</v>
      </c>
      <c r="P84" s="5"/>
      <c r="Q84" s="5">
        <v>0</v>
      </c>
      <c r="R84" s="5">
        <f t="shared" si="34"/>
        <v>410</v>
      </c>
      <c r="S84" s="5">
        <v>14</v>
      </c>
      <c r="T84" s="6">
        <v>0.77</v>
      </c>
      <c r="U84" s="5">
        <f t="shared" si="31"/>
        <v>28</v>
      </c>
      <c r="V84" s="5">
        <f t="shared" ca="1" si="35"/>
        <v>1019</v>
      </c>
      <c r="W84" s="5">
        <v>0</v>
      </c>
      <c r="X84" s="6">
        <v>0.77</v>
      </c>
      <c r="Y84" s="5">
        <f t="shared" si="36"/>
        <v>28</v>
      </c>
      <c r="Z84" s="5">
        <f t="shared" ca="1" si="37"/>
        <v>0</v>
      </c>
      <c r="AA84" s="5">
        <v>0</v>
      </c>
      <c r="AB84" s="6">
        <v>0</v>
      </c>
      <c r="AC84" s="5">
        <f t="shared" si="38"/>
        <v>28</v>
      </c>
      <c r="AD84" s="5">
        <f t="shared" ca="1" si="39"/>
        <v>0</v>
      </c>
      <c r="AE84" s="7">
        <f t="shared" si="40"/>
        <v>14</v>
      </c>
      <c r="AF84" s="5" t="e">
        <f t="shared" si="30"/>
        <v>#DIV/0!</v>
      </c>
      <c r="AG84" s="5">
        <f t="shared" ca="1" si="41"/>
        <v>301.92970000000003</v>
      </c>
      <c r="AH84" s="5">
        <f t="shared" si="42"/>
        <v>392</v>
      </c>
      <c r="AI84" s="6">
        <f t="shared" ca="1" si="43"/>
        <v>0.77022882653061231</v>
      </c>
    </row>
    <row r="85" spans="2:35" x14ac:dyDescent="0.2">
      <c r="B85" s="5" t="s">
        <v>62</v>
      </c>
      <c r="C85" s="21">
        <v>46664</v>
      </c>
      <c r="D85" s="5">
        <v>40</v>
      </c>
      <c r="E85" s="5">
        <v>6</v>
      </c>
      <c r="F85" s="5">
        <v>5</v>
      </c>
      <c r="G85" s="7">
        <f t="shared" ca="1" si="44"/>
        <v>5728</v>
      </c>
      <c r="H85" s="5">
        <v>0</v>
      </c>
      <c r="I85" s="5">
        <f>'B-JCI2 RH'!BY263</f>
        <v>2051</v>
      </c>
      <c r="J85" s="12">
        <f t="shared" ca="1" si="32"/>
        <v>14</v>
      </c>
      <c r="K85" s="5">
        <f t="shared" ca="1" si="33"/>
        <v>1528</v>
      </c>
      <c r="L85" s="5">
        <v>0</v>
      </c>
      <c r="M85" s="5">
        <f ca="1">'B-JCI2 RH'!$D$295</f>
        <v>0.29630000000000001</v>
      </c>
      <c r="N85" s="5">
        <v>0</v>
      </c>
      <c r="O85" s="5">
        <v>10</v>
      </c>
      <c r="P85" s="5"/>
      <c r="Q85" s="5">
        <v>0</v>
      </c>
      <c r="R85" s="5">
        <f t="shared" si="34"/>
        <v>410</v>
      </c>
      <c r="S85" s="5">
        <v>14</v>
      </c>
      <c r="T85" s="6">
        <v>0.77</v>
      </c>
      <c r="U85" s="5">
        <f t="shared" si="31"/>
        <v>42</v>
      </c>
      <c r="V85" s="5">
        <f t="shared" ca="1" si="35"/>
        <v>1528</v>
      </c>
      <c r="W85" s="5">
        <v>0</v>
      </c>
      <c r="X85" s="6">
        <v>0.77</v>
      </c>
      <c r="Y85" s="5">
        <f t="shared" si="36"/>
        <v>42</v>
      </c>
      <c r="Z85" s="5">
        <f t="shared" ca="1" si="37"/>
        <v>0</v>
      </c>
      <c r="AA85" s="5">
        <v>0</v>
      </c>
      <c r="AB85" s="6">
        <v>0</v>
      </c>
      <c r="AC85" s="5">
        <f t="shared" si="38"/>
        <v>42</v>
      </c>
      <c r="AD85" s="5">
        <f t="shared" ca="1" si="39"/>
        <v>0</v>
      </c>
      <c r="AE85" s="7">
        <f t="shared" si="40"/>
        <v>14</v>
      </c>
      <c r="AF85" s="5" t="e">
        <f t="shared" si="30"/>
        <v>#DIV/0!</v>
      </c>
      <c r="AG85" s="5">
        <f t="shared" ca="1" si="41"/>
        <v>452.74639999999999</v>
      </c>
      <c r="AH85" s="5">
        <f t="shared" si="42"/>
        <v>588</v>
      </c>
      <c r="AI85" s="6">
        <f t="shared" ca="1" si="43"/>
        <v>0.76997687074829935</v>
      </c>
    </row>
    <row r="86" spans="2:35" x14ac:dyDescent="0.2">
      <c r="B86" s="5" t="s">
        <v>62</v>
      </c>
      <c r="C86" s="21">
        <v>46671</v>
      </c>
      <c r="D86" s="5">
        <v>41</v>
      </c>
      <c r="E86" s="5">
        <v>5</v>
      </c>
      <c r="F86" s="5">
        <v>5</v>
      </c>
      <c r="G86" s="7">
        <f t="shared" ca="1" si="44"/>
        <v>5205</v>
      </c>
      <c r="H86" s="5">
        <v>0</v>
      </c>
      <c r="I86" s="5">
        <f>'B-JCI2 RH'!BZ263</f>
        <v>2051</v>
      </c>
      <c r="J86" s="12">
        <f t="shared" ca="1" si="32"/>
        <v>12.7</v>
      </c>
      <c r="K86" s="5">
        <f t="shared" ca="1" si="33"/>
        <v>1273</v>
      </c>
      <c r="L86" s="5">
        <v>0</v>
      </c>
      <c r="M86" s="5">
        <f ca="1">'B-JCI2 RH'!$D$295</f>
        <v>0.29630000000000001</v>
      </c>
      <c r="N86" s="5">
        <v>0</v>
      </c>
      <c r="O86" s="5">
        <v>10</v>
      </c>
      <c r="P86" s="5"/>
      <c r="Q86" s="5">
        <v>0</v>
      </c>
      <c r="R86" s="5">
        <f t="shared" si="34"/>
        <v>410</v>
      </c>
      <c r="S86" s="5">
        <v>14</v>
      </c>
      <c r="T86" s="6">
        <v>0.77</v>
      </c>
      <c r="U86" s="5">
        <f t="shared" si="31"/>
        <v>35</v>
      </c>
      <c r="V86" s="5">
        <f t="shared" ca="1" si="35"/>
        <v>1273</v>
      </c>
      <c r="W86" s="5">
        <v>0</v>
      </c>
      <c r="X86" s="6">
        <v>0.77</v>
      </c>
      <c r="Y86" s="5">
        <f t="shared" si="36"/>
        <v>35</v>
      </c>
      <c r="Z86" s="5">
        <f t="shared" ca="1" si="37"/>
        <v>0</v>
      </c>
      <c r="AA86" s="5">
        <v>0</v>
      </c>
      <c r="AB86" s="6">
        <v>0</v>
      </c>
      <c r="AC86" s="5">
        <f t="shared" si="38"/>
        <v>35</v>
      </c>
      <c r="AD86" s="5">
        <f t="shared" ca="1" si="39"/>
        <v>0</v>
      </c>
      <c r="AE86" s="7">
        <f t="shared" si="40"/>
        <v>14</v>
      </c>
      <c r="AF86" s="5" t="e">
        <f t="shared" si="30"/>
        <v>#DIV/0!</v>
      </c>
      <c r="AG86" s="5">
        <f t="shared" ca="1" si="41"/>
        <v>377.18990000000002</v>
      </c>
      <c r="AH86" s="5">
        <f t="shared" si="42"/>
        <v>490</v>
      </c>
      <c r="AI86" s="6">
        <f t="shared" ca="1" si="43"/>
        <v>0.76977530612244904</v>
      </c>
    </row>
    <row r="87" spans="2:35" x14ac:dyDescent="0.2">
      <c r="B87" s="5" t="s">
        <v>62</v>
      </c>
      <c r="C87" s="21">
        <v>46678</v>
      </c>
      <c r="D87" s="5">
        <v>42</v>
      </c>
      <c r="E87" s="5">
        <v>6</v>
      </c>
      <c r="F87" s="5">
        <v>5</v>
      </c>
      <c r="G87" s="7">
        <f t="shared" ca="1" si="44"/>
        <v>4682</v>
      </c>
      <c r="H87" s="5">
        <v>0</v>
      </c>
      <c r="I87" s="5">
        <f>'B-JCI2 RH'!CA263</f>
        <v>2051</v>
      </c>
      <c r="J87" s="12">
        <f t="shared" ca="1" si="32"/>
        <v>11.4</v>
      </c>
      <c r="K87" s="5">
        <f t="shared" ca="1" si="33"/>
        <v>1528</v>
      </c>
      <c r="L87" s="5">
        <v>0</v>
      </c>
      <c r="M87" s="5">
        <f ca="1">'B-JCI2 RH'!$D$295</f>
        <v>0.29630000000000001</v>
      </c>
      <c r="N87" s="5">
        <v>0</v>
      </c>
      <c r="O87" s="5">
        <v>10</v>
      </c>
      <c r="P87" s="5"/>
      <c r="Q87" s="5">
        <v>0</v>
      </c>
      <c r="R87" s="5">
        <f t="shared" si="34"/>
        <v>410</v>
      </c>
      <c r="S87" s="5">
        <v>14</v>
      </c>
      <c r="T87" s="6">
        <v>0.77</v>
      </c>
      <c r="U87" s="5">
        <f t="shared" si="31"/>
        <v>42</v>
      </c>
      <c r="V87" s="5">
        <f t="shared" ca="1" si="35"/>
        <v>1528</v>
      </c>
      <c r="W87" s="5">
        <v>0</v>
      </c>
      <c r="X87" s="6">
        <v>0.77</v>
      </c>
      <c r="Y87" s="5">
        <f t="shared" si="36"/>
        <v>42</v>
      </c>
      <c r="Z87" s="5">
        <f t="shared" ca="1" si="37"/>
        <v>0</v>
      </c>
      <c r="AA87" s="5">
        <v>0</v>
      </c>
      <c r="AB87" s="6">
        <v>0</v>
      </c>
      <c r="AC87" s="5">
        <f t="shared" si="38"/>
        <v>42</v>
      </c>
      <c r="AD87" s="5">
        <f t="shared" ca="1" si="39"/>
        <v>0</v>
      </c>
      <c r="AE87" s="7">
        <f t="shared" si="40"/>
        <v>14</v>
      </c>
      <c r="AF87" s="5" t="e">
        <f t="shared" si="30"/>
        <v>#DIV/0!</v>
      </c>
      <c r="AG87" s="5">
        <f t="shared" ca="1" si="41"/>
        <v>452.74639999999999</v>
      </c>
      <c r="AH87" s="5">
        <f t="shared" si="42"/>
        <v>588</v>
      </c>
      <c r="AI87" s="6">
        <f t="shared" ca="1" si="43"/>
        <v>0.76997687074829935</v>
      </c>
    </row>
    <row r="88" spans="2:35" x14ac:dyDescent="0.2">
      <c r="B88" s="5" t="s">
        <v>62</v>
      </c>
      <c r="C88" s="21">
        <v>46685</v>
      </c>
      <c r="D88" s="5">
        <v>43</v>
      </c>
      <c r="E88" s="5">
        <v>6</v>
      </c>
      <c r="F88" s="5">
        <v>5</v>
      </c>
      <c r="G88" s="7">
        <f t="shared" ca="1" si="44"/>
        <v>4159</v>
      </c>
      <c r="H88" s="5">
        <v>0</v>
      </c>
      <c r="I88" s="5">
        <f>'B-JCI2 RH'!CB263</f>
        <v>2051</v>
      </c>
      <c r="J88" s="12">
        <f t="shared" ca="1" si="32"/>
        <v>10.1</v>
      </c>
      <c r="K88" s="5">
        <f t="shared" ca="1" si="33"/>
        <v>1528</v>
      </c>
      <c r="L88" s="5">
        <v>0</v>
      </c>
      <c r="M88" s="5">
        <f ca="1">'B-JCI2 RH'!$D$295</f>
        <v>0.29630000000000001</v>
      </c>
      <c r="N88" s="5">
        <v>0</v>
      </c>
      <c r="O88" s="5">
        <v>10</v>
      </c>
      <c r="P88" s="5"/>
      <c r="Q88" s="5">
        <v>0</v>
      </c>
      <c r="R88" s="5">
        <f t="shared" si="34"/>
        <v>410</v>
      </c>
      <c r="S88" s="5">
        <v>14</v>
      </c>
      <c r="T88" s="6">
        <v>0.77</v>
      </c>
      <c r="U88" s="5">
        <f t="shared" si="31"/>
        <v>42</v>
      </c>
      <c r="V88" s="5">
        <f t="shared" ca="1" si="35"/>
        <v>1528</v>
      </c>
      <c r="W88" s="5">
        <v>0</v>
      </c>
      <c r="X88" s="6">
        <v>0.77</v>
      </c>
      <c r="Y88" s="5">
        <f t="shared" si="36"/>
        <v>42</v>
      </c>
      <c r="Z88" s="5">
        <f t="shared" ca="1" si="37"/>
        <v>0</v>
      </c>
      <c r="AA88" s="5">
        <v>0</v>
      </c>
      <c r="AB88" s="6">
        <v>0</v>
      </c>
      <c r="AC88" s="5">
        <f t="shared" si="38"/>
        <v>42</v>
      </c>
      <c r="AD88" s="5">
        <f t="shared" ca="1" si="39"/>
        <v>0</v>
      </c>
      <c r="AE88" s="7">
        <f t="shared" si="40"/>
        <v>14</v>
      </c>
      <c r="AF88" s="5" t="e">
        <f t="shared" si="30"/>
        <v>#DIV/0!</v>
      </c>
      <c r="AG88" s="5">
        <f t="shared" ca="1" si="41"/>
        <v>452.74639999999999</v>
      </c>
      <c r="AH88" s="5">
        <f t="shared" si="42"/>
        <v>588</v>
      </c>
      <c r="AI88" s="6">
        <f t="shared" ca="1" si="43"/>
        <v>0.76997687074829935</v>
      </c>
    </row>
    <row r="89" spans="2:35" x14ac:dyDescent="0.2">
      <c r="B89" s="5" t="s">
        <v>63</v>
      </c>
      <c r="C89" s="21">
        <v>46692</v>
      </c>
      <c r="D89" s="5">
        <v>44</v>
      </c>
      <c r="E89" s="5">
        <v>6</v>
      </c>
      <c r="F89" s="5">
        <v>5</v>
      </c>
      <c r="G89" s="7">
        <f t="shared" ca="1" si="44"/>
        <v>3127</v>
      </c>
      <c r="H89" s="5">
        <v>0</v>
      </c>
      <c r="I89" s="5">
        <f>'B-JCI2 RH'!CC263</f>
        <v>2051</v>
      </c>
      <c r="J89" s="12">
        <f t="shared" ca="1" si="32"/>
        <v>7.6</v>
      </c>
      <c r="K89" s="5">
        <f t="shared" ca="1" si="33"/>
        <v>1528</v>
      </c>
      <c r="L89" s="5">
        <v>0</v>
      </c>
      <c r="M89" s="5">
        <f ca="1">'B-JCI2 RH'!$D$295</f>
        <v>0.29630000000000001</v>
      </c>
      <c r="N89" s="5">
        <v>0</v>
      </c>
      <c r="O89" s="5">
        <v>11</v>
      </c>
      <c r="P89" s="5"/>
      <c r="Q89" s="5">
        <v>0</v>
      </c>
      <c r="R89" s="5">
        <f t="shared" si="34"/>
        <v>410</v>
      </c>
      <c r="S89" s="5">
        <v>14</v>
      </c>
      <c r="T89" s="6">
        <v>0.77</v>
      </c>
      <c r="U89" s="5">
        <f t="shared" si="31"/>
        <v>42</v>
      </c>
      <c r="V89" s="5">
        <f t="shared" ca="1" si="35"/>
        <v>1528</v>
      </c>
      <c r="W89" s="5">
        <v>0</v>
      </c>
      <c r="X89" s="6">
        <v>0.77</v>
      </c>
      <c r="Y89" s="5">
        <f t="shared" si="36"/>
        <v>42</v>
      </c>
      <c r="Z89" s="5">
        <f t="shared" ca="1" si="37"/>
        <v>0</v>
      </c>
      <c r="AA89" s="5">
        <v>0</v>
      </c>
      <c r="AB89" s="6">
        <v>0</v>
      </c>
      <c r="AC89" s="5">
        <f t="shared" si="38"/>
        <v>42</v>
      </c>
      <c r="AD89" s="5">
        <f t="shared" ca="1" si="39"/>
        <v>0</v>
      </c>
      <c r="AE89" s="7">
        <f t="shared" si="40"/>
        <v>14</v>
      </c>
      <c r="AF89" s="5" t="e">
        <f t="shared" si="30"/>
        <v>#DIV/0!</v>
      </c>
      <c r="AG89" s="5">
        <f t="shared" ca="1" si="41"/>
        <v>452.74639999999999</v>
      </c>
      <c r="AH89" s="5">
        <f t="shared" si="42"/>
        <v>588</v>
      </c>
      <c r="AI89" s="6">
        <f t="shared" ca="1" si="43"/>
        <v>0.76997687074829935</v>
      </c>
    </row>
    <row r="90" spans="2:35" x14ac:dyDescent="0.2">
      <c r="T90" s="13"/>
      <c r="X90" s="13"/>
      <c r="AB90" s="13"/>
    </row>
  </sheetData>
  <mergeCells count="35">
    <mergeCell ref="L1:N1"/>
    <mergeCell ref="B3:P3"/>
    <mergeCell ref="B5:C5"/>
    <mergeCell ref="D5:I5"/>
    <mergeCell ref="J5:P5"/>
    <mergeCell ref="B1:C1"/>
    <mergeCell ref="D1:E1"/>
    <mergeCell ref="F1:G1"/>
    <mergeCell ref="H1:I1"/>
    <mergeCell ref="J1:K1"/>
    <mergeCell ref="B6:C6"/>
    <mergeCell ref="D6:I6"/>
    <mergeCell ref="J6:K6"/>
    <mergeCell ref="L6:M6"/>
    <mergeCell ref="N6:O6"/>
    <mergeCell ref="B7:C7"/>
    <mergeCell ref="D7:I7"/>
    <mergeCell ref="J7:K7"/>
    <mergeCell ref="L7:M7"/>
    <mergeCell ref="N7:O7"/>
    <mergeCell ref="S10:V10"/>
    <mergeCell ref="W10:Z10"/>
    <mergeCell ref="AA10:AD10"/>
    <mergeCell ref="N8:O8"/>
    <mergeCell ref="B9:C9"/>
    <mergeCell ref="E9:F9"/>
    <mergeCell ref="G9:I9"/>
    <mergeCell ref="J9:K9"/>
    <mergeCell ref="L9:M9"/>
    <mergeCell ref="N9:O9"/>
    <mergeCell ref="B8:C8"/>
    <mergeCell ref="E8:F8"/>
    <mergeCell ref="G8:I8"/>
    <mergeCell ref="J8:K8"/>
    <mergeCell ref="L8:M8"/>
  </mergeCells>
  <conditionalFormatting sqref="J12:J89">
    <cfRule type="cellIs" dxfId="186" priority="1" stopIfTrue="1" operator="equal">
      <formula>"N/S"</formula>
    </cfRule>
    <cfRule type="cellIs" dxfId="185" priority="2" stopIfTrue="1" operator="greaterThanOrEqual">
      <formula>$D$9</formula>
    </cfRule>
    <cfRule type="cellIs" dxfId="184" priority="3" stopIfTrue="1" operator="lessThan">
      <formula>$D$9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317C-B9A0-4006-83BE-FF5D4AE5155A}">
  <dimension ref="A1:CC301"/>
  <sheetViews>
    <sheetView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G15" sqref="G15"/>
    </sheetView>
  </sheetViews>
  <sheetFormatPr defaultRowHeight="12.75" x14ac:dyDescent="0.2"/>
  <cols>
    <col min="1" max="1" width="26.85546875" bestFit="1" customWidth="1"/>
    <col min="2" max="2" width="12.140625" bestFit="1" customWidth="1"/>
    <col min="3" max="3" width="16" bestFit="1" customWidth="1"/>
    <col min="4" max="4" width="16.5703125" bestFit="1" customWidth="1"/>
    <col min="5" max="5" width="10.42578125" bestFit="1" customWidth="1"/>
    <col min="6" max="10" width="7.85546875" bestFit="1" customWidth="1"/>
    <col min="11" max="12" width="7" bestFit="1" customWidth="1"/>
    <col min="13" max="18" width="7.5703125" bestFit="1" customWidth="1"/>
    <col min="19" max="81" width="8.7109375" bestFit="1" customWidth="1"/>
  </cols>
  <sheetData>
    <row r="1" spans="1:81" x14ac:dyDescent="0.2">
      <c r="B1" s="5" t="s">
        <v>0</v>
      </c>
      <c r="C1" s="14" t="s">
        <v>1</v>
      </c>
      <c r="D1" s="5" t="s">
        <v>2</v>
      </c>
      <c r="E1" s="14" t="s">
        <v>3</v>
      </c>
      <c r="F1" s="85" t="s">
        <v>4</v>
      </c>
      <c r="G1" s="86"/>
      <c r="H1" s="87" t="s">
        <v>5</v>
      </c>
      <c r="I1" s="87"/>
      <c r="J1" s="87"/>
    </row>
    <row r="2" spans="1:81" x14ac:dyDescent="0.2"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</row>
    <row r="3" spans="1:81" ht="38.25" x14ac:dyDescent="0.2">
      <c r="B3" s="82" t="s">
        <v>69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" t="s">
        <v>757</v>
      </c>
      <c r="O3" s="62">
        <v>37</v>
      </c>
    </row>
    <row r="4" spans="1:81" x14ac:dyDescent="0.2">
      <c r="D4">
        <v>2</v>
      </c>
      <c r="E4">
        <v>3</v>
      </c>
      <c r="F4">
        <v>4</v>
      </c>
      <c r="N4" s="63" t="s">
        <v>758</v>
      </c>
      <c r="O4" s="62">
        <v>10</v>
      </c>
    </row>
    <row r="5" spans="1:81" ht="38.25" x14ac:dyDescent="0.2">
      <c r="B5" s="5" t="s">
        <v>7</v>
      </c>
      <c r="C5" s="78" t="s">
        <v>8</v>
      </c>
      <c r="D5" s="78"/>
      <c r="E5" s="78"/>
      <c r="F5" s="78"/>
      <c r="G5" s="77" t="s">
        <v>70</v>
      </c>
      <c r="H5" s="77"/>
      <c r="I5" s="78">
        <v>1</v>
      </c>
      <c r="J5" s="78"/>
      <c r="K5" s="77" t="s">
        <v>71</v>
      </c>
      <c r="L5" s="77"/>
      <c r="M5" s="15">
        <v>4</v>
      </c>
      <c r="N5" s="1" t="s">
        <v>759</v>
      </c>
      <c r="O5" s="62">
        <v>291</v>
      </c>
      <c r="AK5">
        <v>0</v>
      </c>
      <c r="AL5">
        <v>0</v>
      </c>
      <c r="AM5">
        <v>0</v>
      </c>
      <c r="AN5">
        <v>2709</v>
      </c>
      <c r="AO5">
        <v>2709</v>
      </c>
      <c r="AP5">
        <v>2709</v>
      </c>
      <c r="AQ5">
        <v>3271</v>
      </c>
      <c r="AR5">
        <v>3271</v>
      </c>
      <c r="AS5">
        <v>2617</v>
      </c>
      <c r="AT5">
        <v>3271</v>
      </c>
      <c r="AU5">
        <v>3108</v>
      </c>
      <c r="AV5">
        <v>3108</v>
      </c>
      <c r="AW5">
        <v>3108</v>
      </c>
      <c r="AX5">
        <v>3108</v>
      </c>
      <c r="AY5">
        <v>2487</v>
      </c>
      <c r="AZ5">
        <v>2214</v>
      </c>
      <c r="BA5">
        <v>2214</v>
      </c>
      <c r="BB5">
        <v>2214</v>
      </c>
      <c r="BC5">
        <v>2487</v>
      </c>
      <c r="BD5">
        <v>2487</v>
      </c>
      <c r="BE5">
        <v>2487</v>
      </c>
      <c r="BF5">
        <v>2487</v>
      </c>
      <c r="BG5">
        <v>2487</v>
      </c>
      <c r="BH5">
        <v>2487</v>
      </c>
      <c r="BI5">
        <v>2487</v>
      </c>
      <c r="BJ5">
        <v>2487</v>
      </c>
      <c r="BK5">
        <v>2487</v>
      </c>
      <c r="BL5">
        <v>2473</v>
      </c>
      <c r="BM5">
        <v>2473</v>
      </c>
      <c r="BN5">
        <v>4514</v>
      </c>
      <c r="BO5">
        <v>0</v>
      </c>
      <c r="BP5">
        <v>0</v>
      </c>
      <c r="BQ5">
        <v>0</v>
      </c>
      <c r="BR5">
        <v>0</v>
      </c>
      <c r="BS5">
        <v>2041</v>
      </c>
      <c r="BT5">
        <v>2041</v>
      </c>
      <c r="BU5">
        <v>2041</v>
      </c>
      <c r="BV5">
        <v>2041</v>
      </c>
      <c r="BW5">
        <v>2041</v>
      </c>
      <c r="BX5">
        <v>2041</v>
      </c>
      <c r="BY5">
        <v>2041</v>
      </c>
      <c r="BZ5">
        <v>2041</v>
      </c>
      <c r="CA5">
        <v>2041</v>
      </c>
      <c r="CB5">
        <v>2041</v>
      </c>
      <c r="CC5">
        <v>2041</v>
      </c>
    </row>
    <row r="6" spans="1:81" x14ac:dyDescent="0.2">
      <c r="B6" s="5" t="s">
        <v>9</v>
      </c>
      <c r="C6" s="78" t="s">
        <v>10</v>
      </c>
      <c r="D6" s="78"/>
      <c r="E6" s="78"/>
      <c r="F6" s="78"/>
      <c r="G6" s="77" t="s">
        <v>11</v>
      </c>
      <c r="H6" s="77"/>
      <c r="I6" s="78" t="s">
        <v>12</v>
      </c>
      <c r="J6" s="78"/>
      <c r="K6" s="77" t="s">
        <v>13</v>
      </c>
      <c r="L6" s="77"/>
      <c r="M6" s="16">
        <v>0.92</v>
      </c>
      <c r="N6" s="63" t="s">
        <v>760</v>
      </c>
      <c r="O6" s="62">
        <v>14</v>
      </c>
    </row>
    <row r="7" spans="1:81" x14ac:dyDescent="0.2">
      <c r="B7" s="5" t="s">
        <v>14</v>
      </c>
      <c r="C7" s="78" t="s">
        <v>15</v>
      </c>
      <c r="D7" s="78"/>
      <c r="E7" s="78"/>
      <c r="F7" s="78"/>
      <c r="G7" s="77" t="s">
        <v>16</v>
      </c>
      <c r="H7" s="77"/>
      <c r="I7" s="78" t="s">
        <v>17</v>
      </c>
      <c r="J7" s="78"/>
      <c r="K7" s="77" t="s">
        <v>18</v>
      </c>
      <c r="L7" s="77"/>
      <c r="M7" s="15">
        <v>7</v>
      </c>
      <c r="N7" s="63" t="s">
        <v>761</v>
      </c>
      <c r="O7" s="62">
        <v>16</v>
      </c>
    </row>
    <row r="8" spans="1:81" ht="38.25" x14ac:dyDescent="0.2">
      <c r="B8" s="5" t="s">
        <v>19</v>
      </c>
      <c r="C8" s="17" t="s">
        <v>20</v>
      </c>
      <c r="D8" s="5" t="s">
        <v>21</v>
      </c>
      <c r="E8" s="79" t="s">
        <v>22</v>
      </c>
      <c r="F8" s="78"/>
      <c r="G8" s="77" t="s">
        <v>23</v>
      </c>
      <c r="H8" s="77"/>
      <c r="I8" s="78">
        <v>78</v>
      </c>
      <c r="J8" s="78"/>
      <c r="K8" s="77" t="s">
        <v>24</v>
      </c>
      <c r="L8" s="77"/>
      <c r="M8" s="5">
        <v>4</v>
      </c>
      <c r="N8" s="64" t="s">
        <v>762</v>
      </c>
      <c r="O8" s="65">
        <v>5</v>
      </c>
    </row>
    <row r="9" spans="1:81" ht="25.5" x14ac:dyDescent="0.2">
      <c r="B9" s="5" t="s">
        <v>25</v>
      </c>
      <c r="C9" s="15">
        <v>10</v>
      </c>
      <c r="D9" s="5" t="s">
        <v>26</v>
      </c>
      <c r="E9" s="78" t="s">
        <v>27</v>
      </c>
      <c r="F9" s="78"/>
      <c r="G9" s="77" t="s">
        <v>28</v>
      </c>
      <c r="H9" s="77"/>
      <c r="I9" s="78">
        <v>99</v>
      </c>
      <c r="J9" s="78"/>
      <c r="K9" s="77" t="s">
        <v>29</v>
      </c>
      <c r="L9" s="77"/>
      <c r="M9" s="15">
        <v>0.29699999999999999</v>
      </c>
      <c r="N9" s="64" t="s">
        <v>763</v>
      </c>
      <c r="O9" s="66">
        <v>-0.01</v>
      </c>
    </row>
    <row r="10" spans="1:81" x14ac:dyDescent="0.2">
      <c r="C10" s="37" t="s">
        <v>72</v>
      </c>
      <c r="D10" s="38">
        <f t="shared" ref="D10:AI10" ca="1" si="0">D286-D265</f>
        <v>-4.8545112781954725E-3</v>
      </c>
      <c r="E10" s="38">
        <f t="shared" ca="1" si="0"/>
        <v>-2.597393483709276E-2</v>
      </c>
      <c r="F10" s="38">
        <f t="shared" ca="1" si="0"/>
        <v>-2.7220551378445146E-3</v>
      </c>
      <c r="G10" s="38">
        <f t="shared" ca="1" si="0"/>
        <v>0.76993443609022549</v>
      </c>
      <c r="H10" s="38">
        <f t="shared" ca="1" si="0"/>
        <v>0.77008295739348376</v>
      </c>
      <c r="I10" s="38">
        <f t="shared" ca="1" si="0"/>
        <v>0.77008295739348376</v>
      </c>
      <c r="J10" s="38">
        <f t="shared" ca="1" si="0"/>
        <v>0.77008295739348376</v>
      </c>
      <c r="K10" s="38">
        <f t="shared" ca="1" si="0"/>
        <v>0.76993443609022549</v>
      </c>
      <c r="L10" s="38">
        <f t="shared" ca="1" si="0"/>
        <v>0.77008295739348376</v>
      </c>
      <c r="M10" s="38">
        <f t="shared" si="0"/>
        <v>0</v>
      </c>
      <c r="N10" s="38">
        <f t="shared" si="0"/>
        <v>0</v>
      </c>
      <c r="O10" s="38">
        <f t="shared" ca="1" si="0"/>
        <v>0.76985089285714281</v>
      </c>
      <c r="P10" s="38">
        <f t="shared" ca="1" si="0"/>
        <v>0.76985089285714281</v>
      </c>
      <c r="Q10" s="38">
        <f t="shared" ca="1" si="0"/>
        <v>0.76985089285714281</v>
      </c>
      <c r="R10" s="38">
        <f t="shared" ca="1" si="0"/>
        <v>0.76985089285714281</v>
      </c>
      <c r="S10" s="38">
        <f t="shared" ca="1" si="0"/>
        <v>0.76985089285714292</v>
      </c>
      <c r="T10" s="38">
        <f t="shared" ca="1" si="0"/>
        <v>0.76985089285714281</v>
      </c>
      <c r="U10" s="38">
        <f t="shared" ca="1" si="0"/>
        <v>0.76997687074829935</v>
      </c>
      <c r="V10" s="38">
        <f t="shared" ca="1" si="0"/>
        <v>0.76997687074829935</v>
      </c>
      <c r="W10" s="38">
        <f t="shared" ca="1" si="0"/>
        <v>0.77022882653061231</v>
      </c>
      <c r="X10" s="38">
        <f t="shared" ca="1" si="0"/>
        <v>0.76977530612244904</v>
      </c>
      <c r="Y10" s="38">
        <f t="shared" ca="1" si="0"/>
        <v>0.76977530612244904</v>
      </c>
      <c r="Z10" s="38">
        <f t="shared" ca="1" si="0"/>
        <v>0.76997687074829935</v>
      </c>
      <c r="AA10" s="38">
        <f t="shared" ca="1" si="0"/>
        <v>0.76997687074829935</v>
      </c>
      <c r="AB10" s="38">
        <f t="shared" ca="1" si="0"/>
        <v>0.76997687074829935</v>
      </c>
      <c r="AC10" s="38">
        <f t="shared" ca="1" si="0"/>
        <v>0.76997687074829935</v>
      </c>
      <c r="AD10" s="38">
        <f t="shared" ca="1" si="0"/>
        <v>0.76997687074829935</v>
      </c>
      <c r="AE10" s="38">
        <f t="shared" ca="1" si="0"/>
        <v>0.76997687074829935</v>
      </c>
      <c r="AF10" s="38">
        <f t="shared" ca="1" si="0"/>
        <v>0.76997687074829935</v>
      </c>
      <c r="AG10" s="38">
        <f t="shared" ca="1" si="0"/>
        <v>0.76997687074829935</v>
      </c>
      <c r="AH10" s="38">
        <f t="shared" ca="1" si="0"/>
        <v>0.76997687074829935</v>
      </c>
      <c r="AI10" s="38">
        <f t="shared" ca="1" si="0"/>
        <v>0.76997687074829935</v>
      </c>
      <c r="AJ10" s="38">
        <f t="shared" ref="AJ10:BO10" ca="1" si="1">AJ286-AJ265</f>
        <v>0.76997687074829935</v>
      </c>
      <c r="AK10" s="38">
        <f t="shared" si="1"/>
        <v>0</v>
      </c>
      <c r="AL10" s="38">
        <f t="shared" ca="1" si="1"/>
        <v>0.76997687074829935</v>
      </c>
      <c r="AM10" s="38">
        <f t="shared" ca="1" si="1"/>
        <v>0.77022882653061231</v>
      </c>
      <c r="AN10" s="38">
        <f t="shared" ca="1" si="1"/>
        <v>0.76997687074829935</v>
      </c>
      <c r="AO10" s="38">
        <f t="shared" ca="1" si="1"/>
        <v>0.76997687074829935</v>
      </c>
      <c r="AP10" s="38">
        <f t="shared" ca="1" si="1"/>
        <v>0.76977530612244904</v>
      </c>
      <c r="AQ10" s="38">
        <f t="shared" ca="1" si="1"/>
        <v>0.76997687074829935</v>
      </c>
      <c r="AR10" s="38">
        <f t="shared" ca="1" si="1"/>
        <v>0.77037999999999995</v>
      </c>
      <c r="AS10" s="38">
        <f t="shared" ca="1" si="1"/>
        <v>0.76997687074829935</v>
      </c>
      <c r="AT10" s="38">
        <f t="shared" ca="1" si="1"/>
        <v>0.76997687074829935</v>
      </c>
      <c r="AU10" s="38">
        <f t="shared" ca="1" si="1"/>
        <v>0.76997687074829935</v>
      </c>
      <c r="AV10" s="38">
        <f t="shared" ca="1" si="1"/>
        <v>0.76997687074829935</v>
      </c>
      <c r="AW10" s="38">
        <f t="shared" ca="1" si="1"/>
        <v>0.77022882653061231</v>
      </c>
      <c r="AX10" s="38">
        <f t="shared" ca="1" si="1"/>
        <v>0.76997687074829935</v>
      </c>
      <c r="AY10" s="38">
        <f t="shared" ca="1" si="1"/>
        <v>0.77022882653061231</v>
      </c>
      <c r="AZ10" s="38">
        <f t="shared" ca="1" si="1"/>
        <v>0.76997687074829935</v>
      </c>
      <c r="BA10" s="38">
        <f t="shared" ca="1" si="1"/>
        <v>0.76997687074829935</v>
      </c>
      <c r="BB10" s="38">
        <f t="shared" ca="1" si="1"/>
        <v>0.76997687074829935</v>
      </c>
      <c r="BC10" s="38">
        <f t="shared" ca="1" si="1"/>
        <v>0.76997687074829935</v>
      </c>
      <c r="BD10" s="38">
        <f t="shared" ca="1" si="1"/>
        <v>0.76997687074829935</v>
      </c>
      <c r="BE10" s="38">
        <f t="shared" ca="1" si="1"/>
        <v>0.76997687074829935</v>
      </c>
      <c r="BF10" s="38">
        <f t="shared" ca="1" si="1"/>
        <v>0.76997687074829935</v>
      </c>
      <c r="BG10" s="38">
        <f t="shared" ca="1" si="1"/>
        <v>0.76997687074829935</v>
      </c>
      <c r="BH10" s="38">
        <f t="shared" ca="1" si="1"/>
        <v>0.76997687074829935</v>
      </c>
      <c r="BI10" s="38">
        <f t="shared" ca="1" si="1"/>
        <v>0.76977530612244904</v>
      </c>
      <c r="BJ10" s="38">
        <f t="shared" ca="1" si="1"/>
        <v>0.76997687074829935</v>
      </c>
      <c r="BK10" s="38">
        <f t="shared" ca="1" si="1"/>
        <v>0.77022882653061231</v>
      </c>
      <c r="BL10" s="38">
        <f t="shared" ca="1" si="1"/>
        <v>0.77098469387755098</v>
      </c>
      <c r="BM10" s="38">
        <f t="shared" ca="1" si="1"/>
        <v>0.76997687074829935</v>
      </c>
      <c r="BN10" s="38">
        <f t="shared" ca="1" si="1"/>
        <v>0.76997687074829935</v>
      </c>
      <c r="BO10" s="38">
        <f t="shared" ca="1" si="1"/>
        <v>0.76977530612244904</v>
      </c>
      <c r="BP10" s="38">
        <f t="shared" ref="BP10:CC10" ca="1" si="2">BP286-BP265</f>
        <v>0.76997687074829935</v>
      </c>
      <c r="BQ10" s="38">
        <f t="shared" si="2"/>
        <v>0</v>
      </c>
      <c r="BR10" s="38">
        <f t="shared" si="2"/>
        <v>0</v>
      </c>
      <c r="BS10" s="38">
        <f t="shared" ca="1" si="2"/>
        <v>0.76977530612244904</v>
      </c>
      <c r="BT10" s="38">
        <f t="shared" ca="1" si="2"/>
        <v>0.76997687074829935</v>
      </c>
      <c r="BU10" s="38">
        <f t="shared" ca="1" si="2"/>
        <v>0.76997687074829935</v>
      </c>
      <c r="BV10" s="38">
        <f t="shared" ca="1" si="2"/>
        <v>0.76997687074829935</v>
      </c>
      <c r="BW10" s="38">
        <f t="shared" ca="1" si="2"/>
        <v>0.76997687074829935</v>
      </c>
      <c r="BX10" s="38">
        <f t="shared" ca="1" si="2"/>
        <v>0.77022882653061231</v>
      </c>
      <c r="BY10" s="38">
        <f t="shared" ca="1" si="2"/>
        <v>0.76997687074829935</v>
      </c>
      <c r="BZ10" s="38">
        <f t="shared" ca="1" si="2"/>
        <v>0.76977530612244904</v>
      </c>
      <c r="CA10" s="38">
        <f t="shared" ca="1" si="2"/>
        <v>0.76997687074829935</v>
      </c>
      <c r="CB10" s="38">
        <f t="shared" ca="1" si="2"/>
        <v>0.76997687074829935</v>
      </c>
      <c r="CC10" s="38">
        <f t="shared" ca="1" si="2"/>
        <v>0.76997687074829935</v>
      </c>
    </row>
    <row r="11" spans="1:81" x14ac:dyDescent="0.2">
      <c r="A11" s="39" t="s">
        <v>73</v>
      </c>
      <c r="B11" s="39" t="s">
        <v>74</v>
      </c>
      <c r="C11" s="39" t="s">
        <v>34</v>
      </c>
      <c r="D11" s="40" t="s">
        <v>75</v>
      </c>
      <c r="E11" s="40" t="s">
        <v>76</v>
      </c>
      <c r="F11" s="40" t="s">
        <v>77</v>
      </c>
      <c r="G11" s="40" t="s">
        <v>78</v>
      </c>
      <c r="H11" s="40" t="s">
        <v>79</v>
      </c>
      <c r="I11" s="40" t="s">
        <v>80</v>
      </c>
      <c r="J11" s="40" t="s">
        <v>81</v>
      </c>
      <c r="K11" s="40" t="s">
        <v>82</v>
      </c>
      <c r="L11" s="40" t="s">
        <v>83</v>
      </c>
      <c r="M11" s="40" t="s">
        <v>84</v>
      </c>
      <c r="N11" s="40" t="s">
        <v>85</v>
      </c>
      <c r="O11" s="40" t="s">
        <v>86</v>
      </c>
      <c r="P11" s="40" t="s">
        <v>87</v>
      </c>
      <c r="Q11" s="40" t="s">
        <v>88</v>
      </c>
      <c r="R11" s="40" t="s">
        <v>89</v>
      </c>
      <c r="S11" s="40" t="s">
        <v>90</v>
      </c>
      <c r="T11" s="40" t="s">
        <v>91</v>
      </c>
      <c r="U11" s="40" t="s">
        <v>92</v>
      </c>
      <c r="V11" s="40" t="s">
        <v>93</v>
      </c>
      <c r="W11" s="40" t="s">
        <v>94</v>
      </c>
      <c r="X11" s="40" t="s">
        <v>95</v>
      </c>
      <c r="Y11" s="40" t="s">
        <v>96</v>
      </c>
      <c r="Z11" s="40" t="s">
        <v>97</v>
      </c>
      <c r="AA11" s="40" t="s">
        <v>98</v>
      </c>
      <c r="AB11" s="40" t="s">
        <v>99</v>
      </c>
      <c r="AC11" s="40" t="s">
        <v>100</v>
      </c>
      <c r="AD11" s="40" t="s">
        <v>101</v>
      </c>
      <c r="AE11" s="40" t="s">
        <v>102</v>
      </c>
      <c r="AF11" s="40" t="s">
        <v>103</v>
      </c>
      <c r="AG11" s="40" t="s">
        <v>104</v>
      </c>
      <c r="AH11" s="40" t="s">
        <v>105</v>
      </c>
      <c r="AI11" s="40" t="s">
        <v>106</v>
      </c>
      <c r="AJ11" s="40" t="s">
        <v>107</v>
      </c>
      <c r="AK11" s="40" t="s">
        <v>108</v>
      </c>
      <c r="AL11" s="40" t="s">
        <v>109</v>
      </c>
      <c r="AM11" s="40" t="s">
        <v>110</v>
      </c>
      <c r="AN11" s="40" t="s">
        <v>111</v>
      </c>
      <c r="AO11" s="40" t="s">
        <v>112</v>
      </c>
      <c r="AP11" s="40" t="s">
        <v>113</v>
      </c>
      <c r="AQ11" s="40" t="s">
        <v>114</v>
      </c>
      <c r="AR11" s="40" t="s">
        <v>115</v>
      </c>
      <c r="AS11" s="40" t="s">
        <v>116</v>
      </c>
      <c r="AT11" s="40" t="s">
        <v>117</v>
      </c>
      <c r="AU11" s="40" t="s">
        <v>118</v>
      </c>
      <c r="AV11" s="40" t="s">
        <v>119</v>
      </c>
      <c r="AW11" s="40" t="s">
        <v>120</v>
      </c>
      <c r="AX11" s="40" t="s">
        <v>121</v>
      </c>
      <c r="AY11" s="40" t="s">
        <v>122</v>
      </c>
      <c r="AZ11" s="40" t="s">
        <v>123</v>
      </c>
      <c r="BA11" s="40" t="s">
        <v>124</v>
      </c>
      <c r="BB11" s="40" t="s">
        <v>125</v>
      </c>
      <c r="BC11" s="40" t="s">
        <v>126</v>
      </c>
      <c r="BD11" s="40" t="s">
        <v>127</v>
      </c>
      <c r="BE11" s="40" t="s">
        <v>128</v>
      </c>
      <c r="BF11" s="40" t="s">
        <v>129</v>
      </c>
      <c r="BG11" s="40" t="s">
        <v>130</v>
      </c>
      <c r="BH11" s="40" t="s">
        <v>131</v>
      </c>
      <c r="BI11" s="40" t="s">
        <v>132</v>
      </c>
      <c r="BJ11" s="40" t="s">
        <v>133</v>
      </c>
      <c r="BK11" s="40" t="s">
        <v>134</v>
      </c>
      <c r="BL11" s="40" t="s">
        <v>135</v>
      </c>
      <c r="BM11" s="40" t="s">
        <v>136</v>
      </c>
      <c r="BN11" s="40" t="s">
        <v>137</v>
      </c>
      <c r="BO11" s="40" t="s">
        <v>138</v>
      </c>
      <c r="BP11" s="40" t="s">
        <v>139</v>
      </c>
      <c r="BQ11" s="40" t="s">
        <v>140</v>
      </c>
      <c r="BR11" s="40" t="s">
        <v>141</v>
      </c>
      <c r="BS11" s="40" t="s">
        <v>142</v>
      </c>
      <c r="BT11" s="40" t="s">
        <v>143</v>
      </c>
      <c r="BU11" s="40" t="s">
        <v>144</v>
      </c>
      <c r="BV11" s="40" t="s">
        <v>145</v>
      </c>
      <c r="BW11" s="40" t="s">
        <v>146</v>
      </c>
      <c r="BX11" s="40" t="s">
        <v>147</v>
      </c>
      <c r="BY11" s="40" t="s">
        <v>148</v>
      </c>
      <c r="BZ11" s="40" t="s">
        <v>149</v>
      </c>
      <c r="CA11" s="40" t="s">
        <v>150</v>
      </c>
      <c r="CB11" s="40" t="s">
        <v>151</v>
      </c>
      <c r="CC11" s="40" t="s">
        <v>152</v>
      </c>
    </row>
    <row r="12" spans="1:81" x14ac:dyDescent="0.2">
      <c r="C12" s="41" t="s">
        <v>35</v>
      </c>
      <c r="D12" s="42" t="s">
        <v>153</v>
      </c>
      <c r="E12" s="42" t="s">
        <v>154</v>
      </c>
      <c r="F12" s="42" t="s">
        <v>155</v>
      </c>
      <c r="G12" s="42" t="s">
        <v>156</v>
      </c>
      <c r="H12" s="42" t="s">
        <v>157</v>
      </c>
      <c r="I12" s="42" t="s">
        <v>158</v>
      </c>
      <c r="J12" s="42" t="s">
        <v>159</v>
      </c>
      <c r="K12" s="42" t="s">
        <v>160</v>
      </c>
      <c r="L12" s="42" t="s">
        <v>161</v>
      </c>
      <c r="M12" s="42" t="s">
        <v>162</v>
      </c>
      <c r="N12" s="42" t="s">
        <v>163</v>
      </c>
      <c r="O12" s="42" t="s">
        <v>164</v>
      </c>
      <c r="P12" s="42" t="s">
        <v>165</v>
      </c>
      <c r="Q12" s="42" t="s">
        <v>166</v>
      </c>
      <c r="R12" s="42" t="s">
        <v>167</v>
      </c>
      <c r="S12" s="42" t="s">
        <v>168</v>
      </c>
      <c r="T12" s="42" t="s">
        <v>169</v>
      </c>
      <c r="U12" s="42" t="s">
        <v>170</v>
      </c>
      <c r="V12" s="42" t="s">
        <v>171</v>
      </c>
      <c r="W12" s="42" t="s">
        <v>172</v>
      </c>
      <c r="X12" s="42" t="s">
        <v>173</v>
      </c>
      <c r="Y12" s="42" t="s">
        <v>174</v>
      </c>
      <c r="Z12" s="42" t="s">
        <v>175</v>
      </c>
      <c r="AA12" s="42" t="s">
        <v>176</v>
      </c>
      <c r="AB12" s="42" t="s">
        <v>177</v>
      </c>
      <c r="AC12" s="42" t="s">
        <v>178</v>
      </c>
      <c r="AD12" s="42" t="s">
        <v>179</v>
      </c>
      <c r="AE12" s="42" t="s">
        <v>180</v>
      </c>
      <c r="AF12" s="42" t="s">
        <v>181</v>
      </c>
      <c r="AG12" s="42" t="s">
        <v>182</v>
      </c>
      <c r="AH12" s="42" t="s">
        <v>183</v>
      </c>
      <c r="AI12" s="42" t="s">
        <v>184</v>
      </c>
      <c r="AJ12" s="42" t="s">
        <v>185</v>
      </c>
      <c r="AK12" s="42" t="s">
        <v>186</v>
      </c>
      <c r="AL12" s="42" t="s">
        <v>187</v>
      </c>
      <c r="AM12" s="42" t="s">
        <v>188</v>
      </c>
      <c r="AN12" s="42" t="s">
        <v>189</v>
      </c>
      <c r="AO12" s="42" t="s">
        <v>190</v>
      </c>
      <c r="AP12" s="42" t="s">
        <v>191</v>
      </c>
      <c r="AQ12" s="42" t="s">
        <v>192</v>
      </c>
      <c r="AR12" s="42" t="s">
        <v>193</v>
      </c>
      <c r="AS12" s="42" t="s">
        <v>194</v>
      </c>
      <c r="AT12" s="42" t="s">
        <v>195</v>
      </c>
      <c r="AU12" s="42" t="s">
        <v>196</v>
      </c>
      <c r="AV12" s="42" t="s">
        <v>197</v>
      </c>
      <c r="AW12" s="42" t="s">
        <v>198</v>
      </c>
      <c r="AX12" s="42" t="s">
        <v>199</v>
      </c>
      <c r="AY12" s="42" t="s">
        <v>200</v>
      </c>
      <c r="AZ12" s="42" t="s">
        <v>201</v>
      </c>
      <c r="BA12" s="42" t="s">
        <v>202</v>
      </c>
      <c r="BB12" s="42" t="s">
        <v>203</v>
      </c>
      <c r="BC12" s="42" t="s">
        <v>204</v>
      </c>
      <c r="BD12" s="42" t="s">
        <v>205</v>
      </c>
      <c r="BE12" s="42" t="s">
        <v>153</v>
      </c>
      <c r="BF12" s="42" t="s">
        <v>154</v>
      </c>
      <c r="BG12" s="42" t="s">
        <v>155</v>
      </c>
      <c r="BH12" s="42" t="s">
        <v>156</v>
      </c>
      <c r="BI12" s="42" t="s">
        <v>157</v>
      </c>
      <c r="BJ12" s="42" t="s">
        <v>158</v>
      </c>
      <c r="BK12" s="42" t="s">
        <v>159</v>
      </c>
      <c r="BL12" s="42" t="s">
        <v>160</v>
      </c>
      <c r="BM12" s="42" t="s">
        <v>161</v>
      </c>
      <c r="BN12" s="42" t="s">
        <v>162</v>
      </c>
      <c r="BO12" s="42" t="s">
        <v>163</v>
      </c>
      <c r="BP12" s="42" t="s">
        <v>164</v>
      </c>
      <c r="BQ12" s="42" t="s">
        <v>165</v>
      </c>
      <c r="BR12" s="42" t="s">
        <v>166</v>
      </c>
      <c r="BS12" s="42" t="s">
        <v>167</v>
      </c>
      <c r="BT12" s="42" t="s">
        <v>168</v>
      </c>
      <c r="BU12" s="42" t="s">
        <v>169</v>
      </c>
      <c r="BV12" s="42" t="s">
        <v>170</v>
      </c>
      <c r="BW12" s="42" t="s">
        <v>171</v>
      </c>
      <c r="BX12" s="42" t="s">
        <v>172</v>
      </c>
      <c r="BY12" s="42" t="s">
        <v>173</v>
      </c>
      <c r="BZ12" s="42" t="s">
        <v>174</v>
      </c>
      <c r="CA12" s="42" t="s">
        <v>175</v>
      </c>
      <c r="CB12" s="42" t="s">
        <v>176</v>
      </c>
      <c r="CC12" s="42" t="s">
        <v>177</v>
      </c>
    </row>
    <row r="13" spans="1:81" x14ac:dyDescent="0.2">
      <c r="B13" s="67">
        <f>SUM(D17:AJ17)/SUM($D$263:$AJ$263)</f>
        <v>0</v>
      </c>
      <c r="C13" s="39" t="s">
        <v>206</v>
      </c>
      <c r="D13" s="39">
        <v>5</v>
      </c>
      <c r="E13" s="39">
        <v>5</v>
      </c>
      <c r="F13" s="39">
        <v>5</v>
      </c>
      <c r="G13" s="39">
        <v>5</v>
      </c>
      <c r="H13" s="39">
        <v>5</v>
      </c>
      <c r="I13" s="39">
        <v>5</v>
      </c>
      <c r="J13" s="39">
        <v>5</v>
      </c>
      <c r="K13" s="39">
        <v>5</v>
      </c>
      <c r="L13" s="39">
        <v>5</v>
      </c>
      <c r="M13" s="39">
        <v>5</v>
      </c>
      <c r="N13" s="39">
        <v>5</v>
      </c>
      <c r="O13" s="39">
        <v>5</v>
      </c>
      <c r="P13" s="39">
        <v>5</v>
      </c>
      <c r="Q13" s="39">
        <v>5</v>
      </c>
      <c r="R13" s="39">
        <v>5</v>
      </c>
      <c r="S13" s="39">
        <v>5</v>
      </c>
      <c r="T13" s="39">
        <v>5</v>
      </c>
      <c r="U13" s="39">
        <v>5</v>
      </c>
      <c r="V13" s="39">
        <v>5</v>
      </c>
      <c r="W13" s="39">
        <v>5</v>
      </c>
      <c r="X13" s="39">
        <v>5</v>
      </c>
      <c r="Y13" s="39">
        <v>5</v>
      </c>
      <c r="Z13" s="39">
        <v>5</v>
      </c>
      <c r="AA13" s="39">
        <v>5</v>
      </c>
      <c r="AB13" s="39">
        <v>5</v>
      </c>
      <c r="AC13" s="39">
        <v>5</v>
      </c>
      <c r="AD13" s="39">
        <v>5</v>
      </c>
      <c r="AE13" s="39">
        <v>5</v>
      </c>
      <c r="AF13" s="39">
        <v>5</v>
      </c>
      <c r="AG13" s="39">
        <v>5</v>
      </c>
      <c r="AH13" s="39">
        <v>5</v>
      </c>
      <c r="AI13" s="39">
        <v>5</v>
      </c>
      <c r="AJ13" s="39">
        <v>5</v>
      </c>
      <c r="AK13" s="39">
        <v>5</v>
      </c>
      <c r="AL13" s="39">
        <v>5</v>
      </c>
      <c r="AM13" s="39">
        <v>5</v>
      </c>
      <c r="AN13" s="39">
        <v>5</v>
      </c>
      <c r="AO13" s="39">
        <v>5</v>
      </c>
      <c r="AP13" s="39">
        <v>5</v>
      </c>
      <c r="AQ13" s="39">
        <v>5</v>
      </c>
      <c r="AR13" s="39">
        <v>5</v>
      </c>
      <c r="AS13" s="39">
        <v>5</v>
      </c>
      <c r="AT13" s="39">
        <v>5</v>
      </c>
      <c r="AU13" s="39">
        <v>5</v>
      </c>
      <c r="AV13" s="39">
        <v>5</v>
      </c>
      <c r="AW13" s="39">
        <v>5</v>
      </c>
      <c r="AX13" s="39">
        <v>5</v>
      </c>
      <c r="AY13" s="39">
        <v>5</v>
      </c>
      <c r="AZ13" s="39">
        <v>5</v>
      </c>
      <c r="BA13" s="39">
        <v>5</v>
      </c>
      <c r="BB13" s="39">
        <v>5</v>
      </c>
      <c r="BC13" s="39">
        <v>5</v>
      </c>
      <c r="BD13" s="39">
        <v>5</v>
      </c>
      <c r="BE13" s="39">
        <v>5</v>
      </c>
      <c r="BF13" s="39">
        <v>5</v>
      </c>
      <c r="BG13" s="39">
        <v>5</v>
      </c>
      <c r="BH13" s="39">
        <v>5</v>
      </c>
      <c r="BI13" s="39">
        <v>5</v>
      </c>
      <c r="BJ13" s="39">
        <v>5</v>
      </c>
      <c r="BK13" s="39">
        <v>5</v>
      </c>
      <c r="BL13" s="39">
        <v>5</v>
      </c>
      <c r="BM13" s="39">
        <v>5</v>
      </c>
      <c r="BN13" s="39">
        <v>5</v>
      </c>
      <c r="BO13" s="39">
        <v>5</v>
      </c>
      <c r="BP13" s="39">
        <v>5</v>
      </c>
      <c r="BQ13" s="39">
        <v>5</v>
      </c>
      <c r="BR13" s="39">
        <v>5</v>
      </c>
      <c r="BS13" s="39">
        <v>5</v>
      </c>
      <c r="BT13" s="39">
        <v>5</v>
      </c>
      <c r="BU13" s="39">
        <v>5</v>
      </c>
      <c r="BV13" s="39">
        <v>5</v>
      </c>
      <c r="BW13" s="39">
        <v>5</v>
      </c>
      <c r="BX13" s="39">
        <v>5</v>
      </c>
      <c r="BY13" s="39">
        <v>5</v>
      </c>
      <c r="BZ13" s="39">
        <v>5</v>
      </c>
      <c r="CA13" s="39">
        <v>5</v>
      </c>
      <c r="CB13" s="39">
        <v>5</v>
      </c>
      <c r="CC13" s="39">
        <v>5</v>
      </c>
    </row>
    <row r="14" spans="1:81" x14ac:dyDescent="0.2">
      <c r="A14" s="43" t="s">
        <v>207</v>
      </c>
      <c r="B14" s="44" t="s">
        <v>208</v>
      </c>
      <c r="C14" s="9" t="s">
        <v>38</v>
      </c>
      <c r="D14" s="58">
        <f>IFERROR(VLOOKUP(A14,OS!$A:$B,2,0),0)</f>
        <v>0</v>
      </c>
      <c r="E14" s="5">
        <f>(D14+D15-D17)</f>
        <v>0</v>
      </c>
      <c r="F14" s="5">
        <f>(E14+E15-E17)</f>
        <v>0</v>
      </c>
      <c r="G14" s="5">
        <f>(F14+F15-F17)</f>
        <v>0</v>
      </c>
      <c r="H14" s="5">
        <f>(G14+G15-G17)</f>
        <v>0</v>
      </c>
      <c r="I14" s="5">
        <f t="shared" ref="I14:AN14" si="3">(H14+H15-H17+D16)</f>
        <v>0</v>
      </c>
      <c r="J14" s="5">
        <f t="shared" si="3"/>
        <v>0</v>
      </c>
      <c r="K14" s="5">
        <f t="shared" si="3"/>
        <v>0</v>
      </c>
      <c r="L14" s="5">
        <f t="shared" si="3"/>
        <v>0</v>
      </c>
      <c r="M14" s="5">
        <f t="shared" si="3"/>
        <v>0</v>
      </c>
      <c r="N14" s="5">
        <f t="shared" si="3"/>
        <v>0</v>
      </c>
      <c r="O14" s="5">
        <f t="shared" si="3"/>
        <v>0</v>
      </c>
      <c r="P14" s="5">
        <f t="shared" si="3"/>
        <v>0</v>
      </c>
      <c r="Q14" s="5">
        <f t="shared" si="3"/>
        <v>0</v>
      </c>
      <c r="R14" s="5">
        <f t="shared" si="3"/>
        <v>0</v>
      </c>
      <c r="S14" s="5">
        <f t="shared" si="3"/>
        <v>0</v>
      </c>
      <c r="T14" s="5">
        <f t="shared" si="3"/>
        <v>0</v>
      </c>
      <c r="U14" s="5">
        <f t="shared" si="3"/>
        <v>0</v>
      </c>
      <c r="V14" s="5">
        <f t="shared" si="3"/>
        <v>0</v>
      </c>
      <c r="W14" s="5">
        <f t="shared" si="3"/>
        <v>0</v>
      </c>
      <c r="X14" s="5">
        <f t="shared" si="3"/>
        <v>0</v>
      </c>
      <c r="Y14" s="5">
        <f t="shared" si="3"/>
        <v>0</v>
      </c>
      <c r="Z14" s="5">
        <f t="shared" si="3"/>
        <v>0</v>
      </c>
      <c r="AA14" s="5">
        <f t="shared" si="3"/>
        <v>0</v>
      </c>
      <c r="AB14" s="5">
        <f t="shared" si="3"/>
        <v>0</v>
      </c>
      <c r="AC14" s="5">
        <f t="shared" si="3"/>
        <v>0</v>
      </c>
      <c r="AD14" s="5">
        <f t="shared" si="3"/>
        <v>0</v>
      </c>
      <c r="AE14" s="5">
        <f t="shared" si="3"/>
        <v>0</v>
      </c>
      <c r="AF14" s="5">
        <f t="shared" si="3"/>
        <v>0</v>
      </c>
      <c r="AG14" s="5">
        <f t="shared" si="3"/>
        <v>0</v>
      </c>
      <c r="AH14" s="5">
        <f t="shared" si="3"/>
        <v>0</v>
      </c>
      <c r="AI14" s="5">
        <f t="shared" si="3"/>
        <v>0</v>
      </c>
      <c r="AJ14" s="5">
        <f t="shared" si="3"/>
        <v>0</v>
      </c>
      <c r="AK14" s="5">
        <f t="shared" si="3"/>
        <v>0</v>
      </c>
      <c r="AL14" s="5">
        <f t="shared" si="3"/>
        <v>0</v>
      </c>
      <c r="AM14" s="5">
        <f t="shared" si="3"/>
        <v>0</v>
      </c>
      <c r="AN14" s="5">
        <f t="shared" si="3"/>
        <v>0</v>
      </c>
      <c r="AO14" s="5">
        <f t="shared" ref="AO14:BT14" si="4">(AN14+AN15-AN17+AJ16)</f>
        <v>0</v>
      </c>
      <c r="AP14" s="5">
        <f t="shared" si="4"/>
        <v>0</v>
      </c>
      <c r="AQ14" s="5">
        <f t="shared" si="4"/>
        <v>0</v>
      </c>
      <c r="AR14" s="5">
        <f t="shared" si="4"/>
        <v>0</v>
      </c>
      <c r="AS14" s="5">
        <f t="shared" si="4"/>
        <v>0</v>
      </c>
      <c r="AT14" s="5">
        <f t="shared" si="4"/>
        <v>0</v>
      </c>
      <c r="AU14" s="5">
        <f t="shared" si="4"/>
        <v>0</v>
      </c>
      <c r="AV14" s="5">
        <f t="shared" si="4"/>
        <v>0</v>
      </c>
      <c r="AW14" s="5">
        <f t="shared" si="4"/>
        <v>0</v>
      </c>
      <c r="AX14" s="5">
        <f t="shared" si="4"/>
        <v>0</v>
      </c>
      <c r="AY14" s="5">
        <f t="shared" si="4"/>
        <v>0</v>
      </c>
      <c r="AZ14" s="5">
        <f t="shared" si="4"/>
        <v>0</v>
      </c>
      <c r="BA14" s="5">
        <f t="shared" si="4"/>
        <v>0</v>
      </c>
      <c r="BB14" s="5">
        <f t="shared" si="4"/>
        <v>0</v>
      </c>
      <c r="BC14" s="5">
        <f t="shared" si="4"/>
        <v>0</v>
      </c>
      <c r="BD14" s="5">
        <f t="shared" si="4"/>
        <v>0</v>
      </c>
      <c r="BE14" s="5">
        <f t="shared" si="4"/>
        <v>0</v>
      </c>
      <c r="BF14" s="5">
        <f t="shared" si="4"/>
        <v>0</v>
      </c>
      <c r="BG14" s="5">
        <f t="shared" si="4"/>
        <v>0</v>
      </c>
      <c r="BH14" s="5">
        <f t="shared" si="4"/>
        <v>0</v>
      </c>
      <c r="BI14" s="5">
        <f t="shared" si="4"/>
        <v>0</v>
      </c>
      <c r="BJ14" s="5">
        <f t="shared" si="4"/>
        <v>0</v>
      </c>
      <c r="BK14" s="5">
        <f t="shared" si="4"/>
        <v>0</v>
      </c>
      <c r="BL14" s="5">
        <f t="shared" si="4"/>
        <v>0</v>
      </c>
      <c r="BM14" s="5">
        <f t="shared" si="4"/>
        <v>0</v>
      </c>
      <c r="BN14" s="5">
        <f t="shared" si="4"/>
        <v>0</v>
      </c>
      <c r="BO14" s="5">
        <f t="shared" si="4"/>
        <v>0</v>
      </c>
      <c r="BP14" s="5">
        <f t="shared" si="4"/>
        <v>0</v>
      </c>
      <c r="BQ14" s="5">
        <f t="shared" si="4"/>
        <v>0</v>
      </c>
      <c r="BR14" s="5">
        <f t="shared" si="4"/>
        <v>0</v>
      </c>
      <c r="BS14" s="5">
        <f t="shared" si="4"/>
        <v>0</v>
      </c>
      <c r="BT14" s="5">
        <f t="shared" si="4"/>
        <v>0</v>
      </c>
      <c r="BU14" s="5">
        <f t="shared" ref="BU14:CZ14" si="5">(BT14+BT15-BT17+BP16)</f>
        <v>0</v>
      </c>
      <c r="BV14" s="5">
        <f t="shared" si="5"/>
        <v>0</v>
      </c>
      <c r="BW14" s="5">
        <f t="shared" si="5"/>
        <v>0</v>
      </c>
      <c r="BX14" s="5">
        <f t="shared" si="5"/>
        <v>0</v>
      </c>
      <c r="BY14" s="5">
        <f t="shared" si="5"/>
        <v>0</v>
      </c>
      <c r="BZ14" s="5">
        <f t="shared" si="5"/>
        <v>0</v>
      </c>
      <c r="CA14" s="5">
        <f t="shared" si="5"/>
        <v>0</v>
      </c>
      <c r="CB14" s="5">
        <f t="shared" si="5"/>
        <v>0</v>
      </c>
      <c r="CC14" s="5">
        <f t="shared" si="5"/>
        <v>0</v>
      </c>
    </row>
    <row r="15" spans="1:81" x14ac:dyDescent="0.2">
      <c r="A15" s="5" t="s">
        <v>209</v>
      </c>
      <c r="B15" s="5">
        <v>0</v>
      </c>
      <c r="C15" s="45" t="s">
        <v>39</v>
      </c>
      <c r="D15" s="72">
        <f>IFERROR(VLOOKUP(A14,WIP!$A:$B,2,0),0)</f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</row>
    <row r="16" spans="1:81" x14ac:dyDescent="0.2">
      <c r="A16" s="5" t="s">
        <v>210</v>
      </c>
      <c r="B16" s="5">
        <v>0</v>
      </c>
      <c r="C16" s="9" t="s">
        <v>211</v>
      </c>
      <c r="D16" s="70">
        <f>IFERROR(VLOOKUP($A14,Plan!$A:B,D$4,0),0)</f>
        <v>0</v>
      </c>
      <c r="E16" s="70">
        <f>IFERROR(VLOOKUP($A14,Plan!$A:C,E$4,0),0)</f>
        <v>0</v>
      </c>
      <c r="F16" s="70">
        <f>IFERROR(VLOOKUP($A14,Plan!$A:D,F$4,0),0)</f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</row>
    <row r="17" spans="1:81" x14ac:dyDescent="0.2">
      <c r="A17" s="5" t="s">
        <v>212</v>
      </c>
      <c r="B17" s="5">
        <v>0</v>
      </c>
      <c r="C17" s="9" t="s">
        <v>213</v>
      </c>
      <c r="D17" s="71">
        <f>IFERROR(VLOOKUP($A14,Sales!$A:B,D$2,0),0)</f>
        <v>0</v>
      </c>
      <c r="E17" s="71">
        <f>IFERROR(VLOOKUP($A14,Sales!$A:C,E$2,0),0)</f>
        <v>0</v>
      </c>
      <c r="F17" s="71">
        <f>IFERROR(VLOOKUP($A14,Sales!$A:D,F$2,0),0)</f>
        <v>0</v>
      </c>
      <c r="G17" s="71">
        <f>IFERROR(VLOOKUP($A14,Sales!$A:E,G$2,0),0)</f>
        <v>0</v>
      </c>
      <c r="H17" s="71">
        <f>IFERROR(VLOOKUP($A14,Sales!$A:F,H$2,0),0)</f>
        <v>0</v>
      </c>
      <c r="I17" s="71">
        <f>IFERROR(VLOOKUP($A14,Sales!$A:G,I$2,0),0)</f>
        <v>0</v>
      </c>
      <c r="J17" s="71">
        <f>IFERROR(VLOOKUP($A14,Sales!$A:H,J$2,0),0)</f>
        <v>0</v>
      </c>
      <c r="K17" s="71">
        <f>IFERROR(VLOOKUP($A14,Sales!$A:I,K$2,0),0)</f>
        <v>0</v>
      </c>
      <c r="L17" s="71">
        <f>IFERROR(VLOOKUP($A14,Sales!$A:J,L$2,0),0)</f>
        <v>0</v>
      </c>
      <c r="M17" s="71">
        <f>IFERROR(VLOOKUP($A14,Sales!$A:K,M$2,0),0)</f>
        <v>0</v>
      </c>
      <c r="N17" s="71">
        <f>IFERROR(VLOOKUP($A14,Sales!$A:L,N$2,0),0)</f>
        <v>0</v>
      </c>
      <c r="O17" s="71">
        <f>IFERROR(VLOOKUP($A14,Sales!$A:M,O$2,0),0)</f>
        <v>0</v>
      </c>
      <c r="P17" s="71">
        <f>IFERROR(VLOOKUP($A14,Sales!$A:N,P$2,0),0)</f>
        <v>0</v>
      </c>
      <c r="Q17" s="71">
        <f>IFERROR(VLOOKUP($A14,Sales!$A:O,Q$2,0),0)</f>
        <v>0</v>
      </c>
      <c r="R17" s="71">
        <f>IFERROR(VLOOKUP($A14,Sales!$A:P,R$2,0),0)</f>
        <v>0</v>
      </c>
      <c r="S17" s="71">
        <f>IFERROR(VLOOKUP($A14,Sales!$A:Q,S$2,0),0)</f>
        <v>0</v>
      </c>
      <c r="T17" s="71">
        <f>IFERROR(VLOOKUP($A14,Sales!$A:R,T$2,0),0)</f>
        <v>0</v>
      </c>
      <c r="U17" s="71">
        <f>IFERROR(VLOOKUP($A14,Sales!$A:S,U$2,0),0)</f>
        <v>0</v>
      </c>
      <c r="V17" s="71">
        <f>IFERROR(VLOOKUP($A14,Sales!$A:T,V$2,0),0)</f>
        <v>0</v>
      </c>
      <c r="W17" s="71">
        <f>IFERROR(VLOOKUP($A14,Sales!$A:U,W$2,0),0)</f>
        <v>0</v>
      </c>
      <c r="X17" s="71">
        <f>IFERROR(VLOOKUP($A14,Sales!$A:V,X$2,0),0)</f>
        <v>0</v>
      </c>
      <c r="Y17" s="71">
        <f>IFERROR(VLOOKUP($A14,Sales!$A:W,Y$2,0),0)</f>
        <v>0</v>
      </c>
      <c r="Z17" s="71">
        <f>IFERROR(VLOOKUP($A14,Sales!$A:X,Z$2,0),0)</f>
        <v>0</v>
      </c>
      <c r="AA17" s="71">
        <f>IFERROR(VLOOKUP($A14,Sales!$A:Y,AA$2,0),0)</f>
        <v>0</v>
      </c>
      <c r="AB17" s="71">
        <f>IFERROR(VLOOKUP($A14,Sales!$A:Z,AB$2,0),0)</f>
        <v>0</v>
      </c>
      <c r="AC17" s="71">
        <f>IFERROR(VLOOKUP($A14,Sales!$A:AA,AC$2,0),0)</f>
        <v>0</v>
      </c>
      <c r="AD17" s="71">
        <f>IFERROR(VLOOKUP($A14,Sales!$A:AB,AD$2,0),0)</f>
        <v>0</v>
      </c>
      <c r="AE17" s="71">
        <f>IFERROR(VLOOKUP($A14,Sales!$A:AC,AE$2,0),0)</f>
        <v>0</v>
      </c>
      <c r="AF17" s="71">
        <f>IFERROR(VLOOKUP($A14,Sales!$A:AD,AF$2,0),0)</f>
        <v>0</v>
      </c>
      <c r="AG17" s="71">
        <f>IFERROR(VLOOKUP($A14,Sales!$A:AE,AG$2,0),0)</f>
        <v>0</v>
      </c>
      <c r="AH17" s="71">
        <f>IFERROR(VLOOKUP($A14,Sales!$A:AF,AH$2,0),0)</f>
        <v>0</v>
      </c>
      <c r="AI17" s="71">
        <f>IFERROR(VLOOKUP($A14,Sales!$A:AG,AI$2,0),0)</f>
        <v>0</v>
      </c>
      <c r="AJ17" s="71">
        <f>IFERROR(VLOOKUP($A14,Sales!$A:AH,AJ$2,0),0)</f>
        <v>0</v>
      </c>
      <c r="AK17" s="73">
        <f t="shared" ref="AK17:CC17" si="6">CEILING(AK$5*$B13,1)</f>
        <v>0</v>
      </c>
      <c r="AL17" s="73">
        <f t="shared" si="6"/>
        <v>0</v>
      </c>
      <c r="AM17" s="73">
        <f t="shared" si="6"/>
        <v>0</v>
      </c>
      <c r="AN17" s="73">
        <f t="shared" si="6"/>
        <v>0</v>
      </c>
      <c r="AO17" s="73">
        <f t="shared" si="6"/>
        <v>0</v>
      </c>
      <c r="AP17" s="73">
        <f t="shared" si="6"/>
        <v>0</v>
      </c>
      <c r="AQ17" s="73">
        <f t="shared" si="6"/>
        <v>0</v>
      </c>
      <c r="AR17" s="73">
        <f t="shared" si="6"/>
        <v>0</v>
      </c>
      <c r="AS17" s="73">
        <f t="shared" si="6"/>
        <v>0</v>
      </c>
      <c r="AT17" s="73">
        <f t="shared" si="6"/>
        <v>0</v>
      </c>
      <c r="AU17" s="73">
        <f t="shared" si="6"/>
        <v>0</v>
      </c>
      <c r="AV17" s="73">
        <f t="shared" si="6"/>
        <v>0</v>
      </c>
      <c r="AW17" s="73">
        <f t="shared" si="6"/>
        <v>0</v>
      </c>
      <c r="AX17" s="73">
        <f t="shared" si="6"/>
        <v>0</v>
      </c>
      <c r="AY17" s="73">
        <f t="shared" si="6"/>
        <v>0</v>
      </c>
      <c r="AZ17" s="73">
        <f t="shared" si="6"/>
        <v>0</v>
      </c>
      <c r="BA17" s="73">
        <f t="shared" si="6"/>
        <v>0</v>
      </c>
      <c r="BB17" s="73">
        <f t="shared" si="6"/>
        <v>0</v>
      </c>
      <c r="BC17" s="73">
        <f t="shared" si="6"/>
        <v>0</v>
      </c>
      <c r="BD17" s="73">
        <f t="shared" si="6"/>
        <v>0</v>
      </c>
      <c r="BE17" s="73">
        <f t="shared" si="6"/>
        <v>0</v>
      </c>
      <c r="BF17" s="73">
        <f t="shared" si="6"/>
        <v>0</v>
      </c>
      <c r="BG17" s="73">
        <f t="shared" si="6"/>
        <v>0</v>
      </c>
      <c r="BH17" s="73">
        <f t="shared" si="6"/>
        <v>0</v>
      </c>
      <c r="BI17" s="73">
        <f t="shared" si="6"/>
        <v>0</v>
      </c>
      <c r="BJ17" s="73">
        <f t="shared" si="6"/>
        <v>0</v>
      </c>
      <c r="BK17" s="73">
        <f t="shared" si="6"/>
        <v>0</v>
      </c>
      <c r="BL17" s="73">
        <f t="shared" si="6"/>
        <v>0</v>
      </c>
      <c r="BM17" s="73">
        <f t="shared" si="6"/>
        <v>0</v>
      </c>
      <c r="BN17" s="73">
        <f t="shared" si="6"/>
        <v>0</v>
      </c>
      <c r="BO17" s="73">
        <f t="shared" si="6"/>
        <v>0</v>
      </c>
      <c r="BP17" s="73">
        <f t="shared" si="6"/>
        <v>0</v>
      </c>
      <c r="BQ17" s="73">
        <f t="shared" si="6"/>
        <v>0</v>
      </c>
      <c r="BR17" s="73">
        <f t="shared" si="6"/>
        <v>0</v>
      </c>
      <c r="BS17" s="73">
        <f t="shared" si="6"/>
        <v>0</v>
      </c>
      <c r="BT17" s="73">
        <f t="shared" si="6"/>
        <v>0</v>
      </c>
      <c r="BU17" s="73">
        <f t="shared" si="6"/>
        <v>0</v>
      </c>
      <c r="BV17" s="73">
        <f t="shared" si="6"/>
        <v>0</v>
      </c>
      <c r="BW17" s="73">
        <f t="shared" si="6"/>
        <v>0</v>
      </c>
      <c r="BX17" s="73">
        <f t="shared" si="6"/>
        <v>0</v>
      </c>
      <c r="BY17" s="73">
        <f t="shared" si="6"/>
        <v>0</v>
      </c>
      <c r="BZ17" s="73">
        <f t="shared" si="6"/>
        <v>0</v>
      </c>
      <c r="CA17" s="73">
        <f t="shared" si="6"/>
        <v>0</v>
      </c>
      <c r="CB17" s="73">
        <f t="shared" si="6"/>
        <v>0</v>
      </c>
      <c r="CC17" s="73">
        <f t="shared" si="6"/>
        <v>0</v>
      </c>
    </row>
    <row r="18" spans="1:81" x14ac:dyDescent="0.2">
      <c r="A18" s="5" t="s">
        <v>214</v>
      </c>
      <c r="B18" s="5">
        <v>0</v>
      </c>
      <c r="C18" s="46" t="s">
        <v>215</v>
      </c>
      <c r="D18" s="69">
        <f t="shared" ref="D18:AI18" si="7">IF(D17=0,0, ROUND(D14 * 1/D17* D$13,1))</f>
        <v>0</v>
      </c>
      <c r="E18" s="69">
        <f t="shared" si="7"/>
        <v>0</v>
      </c>
      <c r="F18" s="69">
        <f t="shared" si="7"/>
        <v>0</v>
      </c>
      <c r="G18" s="69">
        <f t="shared" si="7"/>
        <v>0</v>
      </c>
      <c r="H18" s="69">
        <f t="shared" si="7"/>
        <v>0</v>
      </c>
      <c r="I18" s="69">
        <f t="shared" si="7"/>
        <v>0</v>
      </c>
      <c r="J18" s="69">
        <f t="shared" si="7"/>
        <v>0</v>
      </c>
      <c r="K18" s="69">
        <f t="shared" si="7"/>
        <v>0</v>
      </c>
      <c r="L18" s="69">
        <f t="shared" si="7"/>
        <v>0</v>
      </c>
      <c r="M18" s="69">
        <f t="shared" si="7"/>
        <v>0</v>
      </c>
      <c r="N18" s="69">
        <f t="shared" si="7"/>
        <v>0</v>
      </c>
      <c r="O18" s="69">
        <f t="shared" si="7"/>
        <v>0</v>
      </c>
      <c r="P18" s="69">
        <f t="shared" si="7"/>
        <v>0</v>
      </c>
      <c r="Q18" s="69">
        <f t="shared" si="7"/>
        <v>0</v>
      </c>
      <c r="R18" s="69">
        <f t="shared" si="7"/>
        <v>0</v>
      </c>
      <c r="S18" s="69">
        <f t="shared" si="7"/>
        <v>0</v>
      </c>
      <c r="T18" s="69">
        <f t="shared" si="7"/>
        <v>0</v>
      </c>
      <c r="U18" s="69">
        <f t="shared" si="7"/>
        <v>0</v>
      </c>
      <c r="V18" s="69">
        <f t="shared" si="7"/>
        <v>0</v>
      </c>
      <c r="W18" s="69">
        <f t="shared" si="7"/>
        <v>0</v>
      </c>
      <c r="X18" s="69">
        <f t="shared" si="7"/>
        <v>0</v>
      </c>
      <c r="Y18" s="69">
        <f t="shared" si="7"/>
        <v>0</v>
      </c>
      <c r="Z18" s="69">
        <f t="shared" si="7"/>
        <v>0</v>
      </c>
      <c r="AA18" s="69">
        <f t="shared" si="7"/>
        <v>0</v>
      </c>
      <c r="AB18" s="69">
        <f t="shared" si="7"/>
        <v>0</v>
      </c>
      <c r="AC18" s="69">
        <f t="shared" si="7"/>
        <v>0</v>
      </c>
      <c r="AD18" s="69">
        <f t="shared" si="7"/>
        <v>0</v>
      </c>
      <c r="AE18" s="69">
        <f t="shared" si="7"/>
        <v>0</v>
      </c>
      <c r="AF18" s="69">
        <f t="shared" si="7"/>
        <v>0</v>
      </c>
      <c r="AG18" s="69">
        <f t="shared" si="7"/>
        <v>0</v>
      </c>
      <c r="AH18" s="69">
        <f t="shared" si="7"/>
        <v>0</v>
      </c>
      <c r="AI18" s="69">
        <f t="shared" si="7"/>
        <v>0</v>
      </c>
      <c r="AJ18" s="69">
        <f t="shared" ref="AJ18:BO18" si="8">IF(AJ17=0,0, ROUND(AJ14 * 1/AJ17* AJ$13,1))</f>
        <v>0</v>
      </c>
      <c r="AK18" s="69">
        <f t="shared" si="8"/>
        <v>0</v>
      </c>
      <c r="AL18" s="69">
        <f t="shared" si="8"/>
        <v>0</v>
      </c>
      <c r="AM18" s="69">
        <f t="shared" si="8"/>
        <v>0</v>
      </c>
      <c r="AN18" s="69">
        <f t="shared" si="8"/>
        <v>0</v>
      </c>
      <c r="AO18" s="69">
        <f t="shared" si="8"/>
        <v>0</v>
      </c>
      <c r="AP18" s="69">
        <f t="shared" si="8"/>
        <v>0</v>
      </c>
      <c r="AQ18" s="69">
        <f t="shared" si="8"/>
        <v>0</v>
      </c>
      <c r="AR18" s="69">
        <f t="shared" si="8"/>
        <v>0</v>
      </c>
      <c r="AS18" s="69">
        <f t="shared" si="8"/>
        <v>0</v>
      </c>
      <c r="AT18" s="69">
        <f t="shared" si="8"/>
        <v>0</v>
      </c>
      <c r="AU18" s="69">
        <f t="shared" si="8"/>
        <v>0</v>
      </c>
      <c r="AV18" s="69">
        <f t="shared" si="8"/>
        <v>0</v>
      </c>
      <c r="AW18" s="69">
        <f t="shared" si="8"/>
        <v>0</v>
      </c>
      <c r="AX18" s="69">
        <f t="shared" si="8"/>
        <v>0</v>
      </c>
      <c r="AY18" s="69">
        <f t="shared" si="8"/>
        <v>0</v>
      </c>
      <c r="AZ18" s="69">
        <f t="shared" si="8"/>
        <v>0</v>
      </c>
      <c r="BA18" s="69">
        <f t="shared" si="8"/>
        <v>0</v>
      </c>
      <c r="BB18" s="69">
        <f t="shared" si="8"/>
        <v>0</v>
      </c>
      <c r="BC18" s="69">
        <f t="shared" si="8"/>
        <v>0</v>
      </c>
      <c r="BD18" s="69">
        <f t="shared" si="8"/>
        <v>0</v>
      </c>
      <c r="BE18" s="69">
        <f t="shared" si="8"/>
        <v>0</v>
      </c>
      <c r="BF18" s="69">
        <f t="shared" si="8"/>
        <v>0</v>
      </c>
      <c r="BG18" s="69">
        <f t="shared" si="8"/>
        <v>0</v>
      </c>
      <c r="BH18" s="69">
        <f t="shared" si="8"/>
        <v>0</v>
      </c>
      <c r="BI18" s="69">
        <f t="shared" si="8"/>
        <v>0</v>
      </c>
      <c r="BJ18" s="69">
        <f t="shared" si="8"/>
        <v>0</v>
      </c>
      <c r="BK18" s="69">
        <f t="shared" si="8"/>
        <v>0</v>
      </c>
      <c r="BL18" s="69">
        <f t="shared" si="8"/>
        <v>0</v>
      </c>
      <c r="BM18" s="69">
        <f t="shared" si="8"/>
        <v>0</v>
      </c>
      <c r="BN18" s="69">
        <f t="shared" si="8"/>
        <v>0</v>
      </c>
      <c r="BO18" s="69">
        <f t="shared" si="8"/>
        <v>0</v>
      </c>
      <c r="BP18" s="69">
        <f t="shared" ref="BP18:CU18" si="9">IF(BP17=0,0, ROUND(BP14 * 1/BP17* BP$13,1))</f>
        <v>0</v>
      </c>
      <c r="BQ18" s="69">
        <f t="shared" si="9"/>
        <v>0</v>
      </c>
      <c r="BR18" s="69">
        <f t="shared" si="9"/>
        <v>0</v>
      </c>
      <c r="BS18" s="69">
        <f t="shared" si="9"/>
        <v>0</v>
      </c>
      <c r="BT18" s="69">
        <f t="shared" si="9"/>
        <v>0</v>
      </c>
      <c r="BU18" s="69">
        <f t="shared" si="9"/>
        <v>0</v>
      </c>
      <c r="BV18" s="69">
        <f t="shared" si="9"/>
        <v>0</v>
      </c>
      <c r="BW18" s="69">
        <f t="shared" si="9"/>
        <v>0</v>
      </c>
      <c r="BX18" s="69">
        <f t="shared" si="9"/>
        <v>0</v>
      </c>
      <c r="BY18" s="69">
        <f t="shared" si="9"/>
        <v>0</v>
      </c>
      <c r="BZ18" s="69">
        <f t="shared" si="9"/>
        <v>0</v>
      </c>
      <c r="CA18" s="69">
        <f t="shared" si="9"/>
        <v>0</v>
      </c>
      <c r="CB18" s="69">
        <f t="shared" si="9"/>
        <v>0</v>
      </c>
      <c r="CC18" s="69">
        <f t="shared" si="9"/>
        <v>0</v>
      </c>
    </row>
    <row r="19" spans="1:81" x14ac:dyDescent="0.2">
      <c r="A19" s="10">
        <v>1</v>
      </c>
      <c r="B19" s="10">
        <v>1</v>
      </c>
      <c r="C19" s="68">
        <v>0</v>
      </c>
      <c r="D19" s="10">
        <f t="shared" ref="D19:AI19" si="10">D16/$B19</f>
        <v>0</v>
      </c>
      <c r="E19" s="10">
        <f t="shared" si="10"/>
        <v>0</v>
      </c>
      <c r="F19" s="10">
        <f t="shared" si="10"/>
        <v>0</v>
      </c>
      <c r="G19" s="10">
        <f t="shared" si="10"/>
        <v>0</v>
      </c>
      <c r="H19" s="10">
        <f t="shared" si="10"/>
        <v>0</v>
      </c>
      <c r="I19" s="10">
        <f t="shared" si="10"/>
        <v>0</v>
      </c>
      <c r="J19" s="10">
        <f t="shared" si="10"/>
        <v>0</v>
      </c>
      <c r="K19" s="10">
        <f t="shared" si="10"/>
        <v>0</v>
      </c>
      <c r="L19" s="10">
        <f t="shared" si="10"/>
        <v>0</v>
      </c>
      <c r="M19" s="10">
        <f t="shared" si="10"/>
        <v>0</v>
      </c>
      <c r="N19" s="10">
        <f t="shared" si="10"/>
        <v>0</v>
      </c>
      <c r="O19" s="10">
        <f t="shared" si="10"/>
        <v>0</v>
      </c>
      <c r="P19" s="10">
        <f t="shared" si="10"/>
        <v>0</v>
      </c>
      <c r="Q19" s="10">
        <f t="shared" si="10"/>
        <v>0</v>
      </c>
      <c r="R19" s="10">
        <f t="shared" si="10"/>
        <v>0</v>
      </c>
      <c r="S19" s="10">
        <f t="shared" si="10"/>
        <v>0</v>
      </c>
      <c r="T19" s="10">
        <f t="shared" si="10"/>
        <v>0</v>
      </c>
      <c r="U19" s="10">
        <f t="shared" si="10"/>
        <v>0</v>
      </c>
      <c r="V19" s="10">
        <f t="shared" si="10"/>
        <v>0</v>
      </c>
      <c r="W19" s="10">
        <f t="shared" si="10"/>
        <v>0</v>
      </c>
      <c r="X19" s="10">
        <f t="shared" si="10"/>
        <v>0</v>
      </c>
      <c r="Y19" s="10">
        <f t="shared" si="10"/>
        <v>0</v>
      </c>
      <c r="Z19" s="10">
        <f t="shared" si="10"/>
        <v>0</v>
      </c>
      <c r="AA19" s="10">
        <f t="shared" si="10"/>
        <v>0</v>
      </c>
      <c r="AB19" s="10">
        <f t="shared" si="10"/>
        <v>0</v>
      </c>
      <c r="AC19" s="10">
        <f t="shared" si="10"/>
        <v>0</v>
      </c>
      <c r="AD19" s="10">
        <f t="shared" si="10"/>
        <v>0</v>
      </c>
      <c r="AE19" s="10">
        <f t="shared" si="10"/>
        <v>0</v>
      </c>
      <c r="AF19" s="10">
        <f t="shared" si="10"/>
        <v>0</v>
      </c>
      <c r="AG19" s="10">
        <f t="shared" si="10"/>
        <v>0</v>
      </c>
      <c r="AH19" s="10">
        <f t="shared" si="10"/>
        <v>0</v>
      </c>
      <c r="AI19" s="10">
        <f t="shared" si="10"/>
        <v>0</v>
      </c>
      <c r="AJ19" s="10">
        <f t="shared" ref="AJ19:BO19" si="11">AJ16/$B19</f>
        <v>0</v>
      </c>
      <c r="AK19" s="10">
        <f t="shared" si="11"/>
        <v>0</v>
      </c>
      <c r="AL19" s="10">
        <f t="shared" si="11"/>
        <v>0</v>
      </c>
      <c r="AM19" s="10">
        <f t="shared" si="11"/>
        <v>0</v>
      </c>
      <c r="AN19" s="10">
        <f t="shared" si="11"/>
        <v>0</v>
      </c>
      <c r="AO19" s="10">
        <f t="shared" si="11"/>
        <v>0</v>
      </c>
      <c r="AP19" s="10">
        <f t="shared" si="11"/>
        <v>0</v>
      </c>
      <c r="AQ19" s="10">
        <f t="shared" si="11"/>
        <v>0</v>
      </c>
      <c r="AR19" s="10">
        <f t="shared" si="11"/>
        <v>0</v>
      </c>
      <c r="AS19" s="10">
        <f t="shared" si="11"/>
        <v>0</v>
      </c>
      <c r="AT19" s="10">
        <f t="shared" si="11"/>
        <v>0</v>
      </c>
      <c r="AU19" s="10">
        <f t="shared" si="11"/>
        <v>0</v>
      </c>
      <c r="AV19" s="10">
        <f t="shared" si="11"/>
        <v>0</v>
      </c>
      <c r="AW19" s="10">
        <f t="shared" si="11"/>
        <v>0</v>
      </c>
      <c r="AX19" s="10">
        <f t="shared" si="11"/>
        <v>0</v>
      </c>
      <c r="AY19" s="10">
        <f t="shared" si="11"/>
        <v>0</v>
      </c>
      <c r="AZ19" s="10">
        <f t="shared" si="11"/>
        <v>0</v>
      </c>
      <c r="BA19" s="10">
        <f t="shared" si="11"/>
        <v>0</v>
      </c>
      <c r="BB19" s="10">
        <f t="shared" si="11"/>
        <v>0</v>
      </c>
      <c r="BC19" s="10">
        <f t="shared" si="11"/>
        <v>0</v>
      </c>
      <c r="BD19" s="10">
        <f t="shared" si="11"/>
        <v>0</v>
      </c>
      <c r="BE19" s="10">
        <f t="shared" si="11"/>
        <v>0</v>
      </c>
      <c r="BF19" s="10">
        <f t="shared" si="11"/>
        <v>0</v>
      </c>
      <c r="BG19" s="10">
        <f t="shared" si="11"/>
        <v>0</v>
      </c>
      <c r="BH19" s="10">
        <f t="shared" si="11"/>
        <v>0</v>
      </c>
      <c r="BI19" s="10">
        <f t="shared" si="11"/>
        <v>0</v>
      </c>
      <c r="BJ19" s="10">
        <f t="shared" si="11"/>
        <v>0</v>
      </c>
      <c r="BK19" s="10">
        <f t="shared" si="11"/>
        <v>0</v>
      </c>
      <c r="BL19" s="10">
        <f t="shared" si="11"/>
        <v>0</v>
      </c>
      <c r="BM19" s="10">
        <f t="shared" si="11"/>
        <v>0</v>
      </c>
      <c r="BN19" s="10">
        <f t="shared" si="11"/>
        <v>0</v>
      </c>
      <c r="BO19" s="10">
        <f t="shared" si="11"/>
        <v>0</v>
      </c>
      <c r="BP19" s="10">
        <f t="shared" ref="BP19:CC19" si="12">BP16/$B19</f>
        <v>0</v>
      </c>
      <c r="BQ19" s="10">
        <f t="shared" si="12"/>
        <v>0</v>
      </c>
      <c r="BR19" s="10">
        <f t="shared" si="12"/>
        <v>0</v>
      </c>
      <c r="BS19" s="10">
        <f t="shared" si="12"/>
        <v>0</v>
      </c>
      <c r="BT19" s="10">
        <f t="shared" si="12"/>
        <v>0</v>
      </c>
      <c r="BU19" s="10">
        <f t="shared" si="12"/>
        <v>0</v>
      </c>
      <c r="BV19" s="10">
        <f t="shared" si="12"/>
        <v>0</v>
      </c>
      <c r="BW19" s="10">
        <f t="shared" si="12"/>
        <v>0</v>
      </c>
      <c r="BX19" s="10">
        <f t="shared" si="12"/>
        <v>0</v>
      </c>
      <c r="BY19" s="10">
        <f t="shared" si="12"/>
        <v>0</v>
      </c>
      <c r="BZ19" s="10">
        <f t="shared" si="12"/>
        <v>0</v>
      </c>
      <c r="CA19" s="10">
        <f t="shared" si="12"/>
        <v>0</v>
      </c>
      <c r="CB19" s="10">
        <f t="shared" si="12"/>
        <v>0</v>
      </c>
      <c r="CC19" s="10">
        <f t="shared" si="12"/>
        <v>0</v>
      </c>
    </row>
    <row r="20" spans="1:81" x14ac:dyDescent="0.2">
      <c r="A20" s="10"/>
      <c r="B20" s="67">
        <f>SUM(D24:AJ24)/SUM($D$263:$AJ$263)</f>
        <v>0</v>
      </c>
      <c r="C20" s="9" t="s">
        <v>216</v>
      </c>
      <c r="D20" s="10">
        <f t="shared" ref="D20:AI20" si="13">D14-D17</f>
        <v>0</v>
      </c>
      <c r="E20" s="10">
        <f t="shared" si="13"/>
        <v>0</v>
      </c>
      <c r="F20" s="10">
        <f t="shared" si="13"/>
        <v>0</v>
      </c>
      <c r="G20" s="10">
        <f t="shared" si="13"/>
        <v>0</v>
      </c>
      <c r="H20" s="10">
        <f t="shared" si="13"/>
        <v>0</v>
      </c>
      <c r="I20" s="10">
        <f t="shared" si="13"/>
        <v>0</v>
      </c>
      <c r="J20" s="10">
        <f t="shared" si="13"/>
        <v>0</v>
      </c>
      <c r="K20" s="10">
        <f t="shared" si="13"/>
        <v>0</v>
      </c>
      <c r="L20" s="10">
        <f t="shared" si="13"/>
        <v>0</v>
      </c>
      <c r="M20" s="10">
        <f t="shared" si="13"/>
        <v>0</v>
      </c>
      <c r="N20" s="10">
        <f t="shared" si="13"/>
        <v>0</v>
      </c>
      <c r="O20" s="10">
        <f t="shared" si="13"/>
        <v>0</v>
      </c>
      <c r="P20" s="10">
        <f t="shared" si="13"/>
        <v>0</v>
      </c>
      <c r="Q20" s="10">
        <f t="shared" si="13"/>
        <v>0</v>
      </c>
      <c r="R20" s="10">
        <f t="shared" si="13"/>
        <v>0</v>
      </c>
      <c r="S20" s="10">
        <f t="shared" si="13"/>
        <v>0</v>
      </c>
      <c r="T20" s="10">
        <f t="shared" si="13"/>
        <v>0</v>
      </c>
      <c r="U20" s="10">
        <f t="shared" si="13"/>
        <v>0</v>
      </c>
      <c r="V20" s="10">
        <f t="shared" si="13"/>
        <v>0</v>
      </c>
      <c r="W20" s="10">
        <f t="shared" si="13"/>
        <v>0</v>
      </c>
      <c r="X20" s="10">
        <f t="shared" si="13"/>
        <v>0</v>
      </c>
      <c r="Y20" s="10">
        <f t="shared" si="13"/>
        <v>0</v>
      </c>
      <c r="Z20" s="10">
        <f t="shared" si="13"/>
        <v>0</v>
      </c>
      <c r="AA20" s="10">
        <f t="shared" si="13"/>
        <v>0</v>
      </c>
      <c r="AB20" s="10">
        <f t="shared" si="13"/>
        <v>0</v>
      </c>
      <c r="AC20" s="10">
        <f t="shared" si="13"/>
        <v>0</v>
      </c>
      <c r="AD20" s="10">
        <f t="shared" si="13"/>
        <v>0</v>
      </c>
      <c r="AE20" s="10">
        <f t="shared" si="13"/>
        <v>0</v>
      </c>
      <c r="AF20" s="10">
        <f t="shared" si="13"/>
        <v>0</v>
      </c>
      <c r="AG20" s="10">
        <f t="shared" si="13"/>
        <v>0</v>
      </c>
      <c r="AH20" s="10">
        <f t="shared" si="13"/>
        <v>0</v>
      </c>
      <c r="AI20" s="10">
        <f t="shared" si="13"/>
        <v>0</v>
      </c>
      <c r="AJ20" s="10">
        <f t="shared" ref="AJ20:BO20" si="14">AJ14-AJ17</f>
        <v>0</v>
      </c>
      <c r="AK20" s="10">
        <f t="shared" si="14"/>
        <v>0</v>
      </c>
      <c r="AL20" s="10">
        <f t="shared" si="14"/>
        <v>0</v>
      </c>
      <c r="AM20" s="10">
        <f t="shared" si="14"/>
        <v>0</v>
      </c>
      <c r="AN20" s="10">
        <f t="shared" si="14"/>
        <v>0</v>
      </c>
      <c r="AO20" s="10">
        <f t="shared" si="14"/>
        <v>0</v>
      </c>
      <c r="AP20" s="10">
        <f t="shared" si="14"/>
        <v>0</v>
      </c>
      <c r="AQ20" s="10">
        <f t="shared" si="14"/>
        <v>0</v>
      </c>
      <c r="AR20" s="10">
        <f t="shared" si="14"/>
        <v>0</v>
      </c>
      <c r="AS20" s="10">
        <f t="shared" si="14"/>
        <v>0</v>
      </c>
      <c r="AT20" s="10">
        <f t="shared" si="14"/>
        <v>0</v>
      </c>
      <c r="AU20" s="10">
        <f t="shared" si="14"/>
        <v>0</v>
      </c>
      <c r="AV20" s="10">
        <f t="shared" si="14"/>
        <v>0</v>
      </c>
      <c r="AW20" s="10">
        <f t="shared" si="14"/>
        <v>0</v>
      </c>
      <c r="AX20" s="10">
        <f t="shared" si="14"/>
        <v>0</v>
      </c>
      <c r="AY20" s="10">
        <f t="shared" si="14"/>
        <v>0</v>
      </c>
      <c r="AZ20" s="10">
        <f t="shared" si="14"/>
        <v>0</v>
      </c>
      <c r="BA20" s="10">
        <f t="shared" si="14"/>
        <v>0</v>
      </c>
      <c r="BB20" s="10">
        <f t="shared" si="14"/>
        <v>0</v>
      </c>
      <c r="BC20" s="10">
        <f t="shared" si="14"/>
        <v>0</v>
      </c>
      <c r="BD20" s="10">
        <f t="shared" si="14"/>
        <v>0</v>
      </c>
      <c r="BE20" s="10">
        <f t="shared" si="14"/>
        <v>0</v>
      </c>
      <c r="BF20" s="10">
        <f t="shared" si="14"/>
        <v>0</v>
      </c>
      <c r="BG20" s="10">
        <f t="shared" si="14"/>
        <v>0</v>
      </c>
      <c r="BH20" s="10">
        <f t="shared" si="14"/>
        <v>0</v>
      </c>
      <c r="BI20" s="10">
        <f t="shared" si="14"/>
        <v>0</v>
      </c>
      <c r="BJ20" s="10">
        <f t="shared" si="14"/>
        <v>0</v>
      </c>
      <c r="BK20" s="10">
        <f t="shared" si="14"/>
        <v>0</v>
      </c>
      <c r="BL20" s="10">
        <f t="shared" si="14"/>
        <v>0</v>
      </c>
      <c r="BM20" s="10">
        <f t="shared" si="14"/>
        <v>0</v>
      </c>
      <c r="BN20" s="10">
        <f t="shared" si="14"/>
        <v>0</v>
      </c>
      <c r="BO20" s="10">
        <f t="shared" si="14"/>
        <v>0</v>
      </c>
      <c r="BP20" s="10">
        <f t="shared" ref="BP20:CC20" si="15">BP14-BP17</f>
        <v>0</v>
      </c>
      <c r="BQ20" s="10">
        <f t="shared" si="15"/>
        <v>0</v>
      </c>
      <c r="BR20" s="10">
        <f t="shared" si="15"/>
        <v>0</v>
      </c>
      <c r="BS20" s="10">
        <f t="shared" si="15"/>
        <v>0</v>
      </c>
      <c r="BT20" s="10">
        <f t="shared" si="15"/>
        <v>0</v>
      </c>
      <c r="BU20" s="10">
        <f t="shared" si="15"/>
        <v>0</v>
      </c>
      <c r="BV20" s="10">
        <f t="shared" si="15"/>
        <v>0</v>
      </c>
      <c r="BW20" s="10">
        <f t="shared" si="15"/>
        <v>0</v>
      </c>
      <c r="BX20" s="10">
        <f t="shared" si="15"/>
        <v>0</v>
      </c>
      <c r="BY20" s="10">
        <f t="shared" si="15"/>
        <v>0</v>
      </c>
      <c r="BZ20" s="10">
        <f t="shared" si="15"/>
        <v>0</v>
      </c>
      <c r="CA20" s="10">
        <f t="shared" si="15"/>
        <v>0</v>
      </c>
      <c r="CB20" s="10">
        <f t="shared" si="15"/>
        <v>0</v>
      </c>
      <c r="CC20" s="10">
        <f t="shared" si="15"/>
        <v>0</v>
      </c>
    </row>
    <row r="21" spans="1:81" x14ac:dyDescent="0.2">
      <c r="A21" s="43" t="s">
        <v>217</v>
      </c>
      <c r="B21" s="44" t="s">
        <v>208</v>
      </c>
      <c r="C21" s="9" t="s">
        <v>38</v>
      </c>
      <c r="D21" s="58">
        <f>IFERROR(VLOOKUP(A21,OS!$A:$B,2,0),0)</f>
        <v>0</v>
      </c>
      <c r="E21" s="5">
        <f>(D21+D22-D24)</f>
        <v>0</v>
      </c>
      <c r="F21" s="5">
        <f>(E21+E22-E24)</f>
        <v>0</v>
      </c>
      <c r="G21" s="5">
        <f>(F21+F22-F24)</f>
        <v>0</v>
      </c>
      <c r="H21" s="5">
        <f>(G21+G22-G24)</f>
        <v>0</v>
      </c>
      <c r="I21" s="5">
        <f t="shared" ref="I21:AN21" si="16">(H21+H22-H24+D23)</f>
        <v>0</v>
      </c>
      <c r="J21" s="5">
        <f t="shared" si="16"/>
        <v>0</v>
      </c>
      <c r="K21" s="5">
        <f t="shared" si="16"/>
        <v>0</v>
      </c>
      <c r="L21" s="5">
        <f t="shared" si="16"/>
        <v>0</v>
      </c>
      <c r="M21" s="5">
        <f t="shared" si="16"/>
        <v>0</v>
      </c>
      <c r="N21" s="5">
        <f t="shared" si="16"/>
        <v>0</v>
      </c>
      <c r="O21" s="5">
        <f t="shared" si="16"/>
        <v>0</v>
      </c>
      <c r="P21" s="5">
        <f t="shared" si="16"/>
        <v>0</v>
      </c>
      <c r="Q21" s="5">
        <f t="shared" si="16"/>
        <v>0</v>
      </c>
      <c r="R21" s="5">
        <f t="shared" si="16"/>
        <v>0</v>
      </c>
      <c r="S21" s="5">
        <f t="shared" si="16"/>
        <v>0</v>
      </c>
      <c r="T21" s="5">
        <f t="shared" si="16"/>
        <v>0</v>
      </c>
      <c r="U21" s="5">
        <f t="shared" si="16"/>
        <v>0</v>
      </c>
      <c r="V21" s="5">
        <f t="shared" si="16"/>
        <v>0</v>
      </c>
      <c r="W21" s="5">
        <f t="shared" si="16"/>
        <v>0</v>
      </c>
      <c r="X21" s="5">
        <f t="shared" si="16"/>
        <v>0</v>
      </c>
      <c r="Y21" s="5">
        <f t="shared" si="16"/>
        <v>0</v>
      </c>
      <c r="Z21" s="5">
        <f t="shared" si="16"/>
        <v>0</v>
      </c>
      <c r="AA21" s="5">
        <f t="shared" si="16"/>
        <v>0</v>
      </c>
      <c r="AB21" s="5">
        <f t="shared" si="16"/>
        <v>0</v>
      </c>
      <c r="AC21" s="5">
        <f t="shared" si="16"/>
        <v>0</v>
      </c>
      <c r="AD21" s="5">
        <f t="shared" si="16"/>
        <v>0</v>
      </c>
      <c r="AE21" s="5">
        <f t="shared" si="16"/>
        <v>0</v>
      </c>
      <c r="AF21" s="5">
        <f t="shared" si="16"/>
        <v>0</v>
      </c>
      <c r="AG21" s="5">
        <f t="shared" si="16"/>
        <v>0</v>
      </c>
      <c r="AH21" s="5">
        <f t="shared" si="16"/>
        <v>0</v>
      </c>
      <c r="AI21" s="5">
        <f t="shared" si="16"/>
        <v>0</v>
      </c>
      <c r="AJ21" s="5">
        <f t="shared" si="16"/>
        <v>0</v>
      </c>
      <c r="AK21" s="5">
        <f t="shared" si="16"/>
        <v>0</v>
      </c>
      <c r="AL21" s="5">
        <f t="shared" si="16"/>
        <v>0</v>
      </c>
      <c r="AM21" s="5">
        <f t="shared" si="16"/>
        <v>0</v>
      </c>
      <c r="AN21" s="5">
        <f t="shared" si="16"/>
        <v>0</v>
      </c>
      <c r="AO21" s="5">
        <f t="shared" ref="AO21:BT21" si="17">(AN21+AN22-AN24+AJ23)</f>
        <v>0</v>
      </c>
      <c r="AP21" s="5">
        <f t="shared" si="17"/>
        <v>0</v>
      </c>
      <c r="AQ21" s="5">
        <f t="shared" si="17"/>
        <v>0</v>
      </c>
      <c r="AR21" s="5">
        <f t="shared" si="17"/>
        <v>0</v>
      </c>
      <c r="AS21" s="5">
        <f t="shared" si="17"/>
        <v>0</v>
      </c>
      <c r="AT21" s="5">
        <f t="shared" si="17"/>
        <v>0</v>
      </c>
      <c r="AU21" s="5">
        <f t="shared" si="17"/>
        <v>0</v>
      </c>
      <c r="AV21" s="5">
        <f t="shared" si="17"/>
        <v>0</v>
      </c>
      <c r="AW21" s="5">
        <f t="shared" si="17"/>
        <v>0</v>
      </c>
      <c r="AX21" s="5">
        <f t="shared" si="17"/>
        <v>0</v>
      </c>
      <c r="AY21" s="5">
        <f t="shared" si="17"/>
        <v>0</v>
      </c>
      <c r="AZ21" s="5">
        <f t="shared" si="17"/>
        <v>0</v>
      </c>
      <c r="BA21" s="5">
        <f t="shared" si="17"/>
        <v>0</v>
      </c>
      <c r="BB21" s="5">
        <f t="shared" si="17"/>
        <v>0</v>
      </c>
      <c r="BC21" s="5">
        <f t="shared" si="17"/>
        <v>0</v>
      </c>
      <c r="BD21" s="5">
        <f t="shared" si="17"/>
        <v>0</v>
      </c>
      <c r="BE21" s="5">
        <f t="shared" si="17"/>
        <v>0</v>
      </c>
      <c r="BF21" s="5">
        <f t="shared" si="17"/>
        <v>0</v>
      </c>
      <c r="BG21" s="5">
        <f t="shared" si="17"/>
        <v>0</v>
      </c>
      <c r="BH21" s="5">
        <f t="shared" si="17"/>
        <v>0</v>
      </c>
      <c r="BI21" s="5">
        <f t="shared" si="17"/>
        <v>0</v>
      </c>
      <c r="BJ21" s="5">
        <f t="shared" si="17"/>
        <v>0</v>
      </c>
      <c r="BK21" s="5">
        <f t="shared" si="17"/>
        <v>0</v>
      </c>
      <c r="BL21" s="5">
        <f t="shared" si="17"/>
        <v>0</v>
      </c>
      <c r="BM21" s="5">
        <f t="shared" si="17"/>
        <v>0</v>
      </c>
      <c r="BN21" s="5">
        <f t="shared" si="17"/>
        <v>0</v>
      </c>
      <c r="BO21" s="5">
        <f t="shared" si="17"/>
        <v>0</v>
      </c>
      <c r="BP21" s="5">
        <f t="shared" si="17"/>
        <v>0</v>
      </c>
      <c r="BQ21" s="5">
        <f t="shared" si="17"/>
        <v>0</v>
      </c>
      <c r="BR21" s="5">
        <f t="shared" si="17"/>
        <v>0</v>
      </c>
      <c r="BS21" s="5">
        <f t="shared" si="17"/>
        <v>0</v>
      </c>
      <c r="BT21" s="5">
        <f t="shared" si="17"/>
        <v>0</v>
      </c>
      <c r="BU21" s="5">
        <f t="shared" ref="BU21:CZ21" si="18">(BT21+BT22-BT24+BP23)</f>
        <v>0</v>
      </c>
      <c r="BV21" s="5">
        <f t="shared" si="18"/>
        <v>0</v>
      </c>
      <c r="BW21" s="5">
        <f t="shared" si="18"/>
        <v>0</v>
      </c>
      <c r="BX21" s="5">
        <f t="shared" si="18"/>
        <v>0</v>
      </c>
      <c r="BY21" s="5">
        <f t="shared" si="18"/>
        <v>0</v>
      </c>
      <c r="BZ21" s="5">
        <f t="shared" si="18"/>
        <v>0</v>
      </c>
      <c r="CA21" s="5">
        <f t="shared" si="18"/>
        <v>0</v>
      </c>
      <c r="CB21" s="5">
        <f t="shared" si="18"/>
        <v>0</v>
      </c>
      <c r="CC21" s="5">
        <f t="shared" si="18"/>
        <v>0</v>
      </c>
    </row>
    <row r="22" spans="1:81" x14ac:dyDescent="0.2">
      <c r="A22" s="5" t="s">
        <v>209</v>
      </c>
      <c r="B22" s="5">
        <v>0</v>
      </c>
      <c r="C22" s="45" t="s">
        <v>39</v>
      </c>
      <c r="D22" s="59">
        <f>IFERROR(VLOOKUP(A21,WIP!$A:$B,2,0),0)</f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">
      <c r="A23" s="5" t="s">
        <v>210</v>
      </c>
      <c r="B23" s="5">
        <v>0</v>
      </c>
      <c r="C23" s="9" t="s">
        <v>211</v>
      </c>
      <c r="D23" s="60">
        <f>IFERROR(VLOOKUP($A21,Plan!$A:B,D$4,0),0)</f>
        <v>0</v>
      </c>
      <c r="E23" s="70">
        <f>IFERROR(VLOOKUP($A21,Plan!$A:C,E$4,0),0)</f>
        <v>0</v>
      </c>
      <c r="F23" s="70">
        <f>IFERROR(VLOOKUP($A21,Plan!$A:D,F$4,0),0)</f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">
      <c r="A24" s="5" t="s">
        <v>212</v>
      </c>
      <c r="B24" s="5">
        <v>0</v>
      </c>
      <c r="C24" s="9" t="s">
        <v>213</v>
      </c>
      <c r="D24" s="61">
        <f>IFERROR(VLOOKUP($A21,Sales!$A:B,D$2,0),0)</f>
        <v>0</v>
      </c>
      <c r="E24" s="61">
        <f>IFERROR(VLOOKUP($A21,Sales!$A:C,E$2,0),0)</f>
        <v>0</v>
      </c>
      <c r="F24" s="61">
        <f>IFERROR(VLOOKUP($A21,Sales!$A:D,F$2,0),0)</f>
        <v>0</v>
      </c>
      <c r="G24" s="61">
        <f>IFERROR(VLOOKUP($A21,Sales!$A:E,G$2,0),0)</f>
        <v>0</v>
      </c>
      <c r="H24" s="61">
        <f>IFERROR(VLOOKUP($A21,Sales!$A:F,H$2,0),0)</f>
        <v>0</v>
      </c>
      <c r="I24" s="61">
        <f>IFERROR(VLOOKUP($A21,Sales!$A:G,I$2,0),0)</f>
        <v>0</v>
      </c>
      <c r="J24" s="61">
        <f>IFERROR(VLOOKUP($A21,Sales!$A:H,J$2,0),0)</f>
        <v>0</v>
      </c>
      <c r="K24" s="61">
        <f>IFERROR(VLOOKUP($A21,Sales!$A:I,K$2,0),0)</f>
        <v>0</v>
      </c>
      <c r="L24" s="61">
        <f>IFERROR(VLOOKUP($A21,Sales!$A:J,L$2,0),0)</f>
        <v>0</v>
      </c>
      <c r="M24" s="61">
        <f>IFERROR(VLOOKUP($A21,Sales!$A:K,M$2,0),0)</f>
        <v>0</v>
      </c>
      <c r="N24" s="61">
        <f>IFERROR(VLOOKUP($A21,Sales!$A:L,N$2,0),0)</f>
        <v>0</v>
      </c>
      <c r="O24" s="61">
        <f>IFERROR(VLOOKUP($A21,Sales!$A:M,O$2,0),0)</f>
        <v>0</v>
      </c>
      <c r="P24" s="61">
        <f>IFERROR(VLOOKUP($A21,Sales!$A:N,P$2,0),0)</f>
        <v>0</v>
      </c>
      <c r="Q24" s="61">
        <f>IFERROR(VLOOKUP($A21,Sales!$A:O,Q$2,0),0)</f>
        <v>0</v>
      </c>
      <c r="R24" s="61">
        <f>IFERROR(VLOOKUP($A21,Sales!$A:P,R$2,0),0)</f>
        <v>0</v>
      </c>
      <c r="S24" s="61">
        <f>IFERROR(VLOOKUP($A21,Sales!$A:Q,S$2,0),0)</f>
        <v>0</v>
      </c>
      <c r="T24" s="61">
        <f>IFERROR(VLOOKUP($A21,Sales!$A:R,T$2,0),0)</f>
        <v>0</v>
      </c>
      <c r="U24" s="61">
        <f>IFERROR(VLOOKUP($A21,Sales!$A:S,U$2,0),0)</f>
        <v>0</v>
      </c>
      <c r="V24" s="61">
        <f>IFERROR(VLOOKUP($A21,Sales!$A:T,V$2,0),0)</f>
        <v>0</v>
      </c>
      <c r="W24" s="61">
        <f>IFERROR(VLOOKUP($A21,Sales!$A:U,W$2,0),0)</f>
        <v>0</v>
      </c>
      <c r="X24" s="61">
        <f>IFERROR(VLOOKUP($A21,Sales!$A:V,X$2,0),0)</f>
        <v>0</v>
      </c>
      <c r="Y24" s="61">
        <f>IFERROR(VLOOKUP($A21,Sales!$A:W,Y$2,0),0)</f>
        <v>0</v>
      </c>
      <c r="Z24" s="61">
        <f>IFERROR(VLOOKUP($A21,Sales!$A:X,Z$2,0),0)</f>
        <v>0</v>
      </c>
      <c r="AA24" s="61">
        <f>IFERROR(VLOOKUP($A21,Sales!$A:Y,AA$2,0),0)</f>
        <v>0</v>
      </c>
      <c r="AB24" s="61">
        <f>IFERROR(VLOOKUP($A21,Sales!$A:Z,AB$2,0),0)</f>
        <v>0</v>
      </c>
      <c r="AC24" s="61">
        <f>IFERROR(VLOOKUP($A21,Sales!$A:AA,AC$2,0),0)</f>
        <v>0</v>
      </c>
      <c r="AD24" s="61">
        <f>IFERROR(VLOOKUP($A21,Sales!$A:AB,AD$2,0),0)</f>
        <v>0</v>
      </c>
      <c r="AE24" s="61">
        <f>IFERROR(VLOOKUP($A21,Sales!$A:AC,AE$2,0),0)</f>
        <v>0</v>
      </c>
      <c r="AF24" s="61">
        <f>IFERROR(VLOOKUP($A21,Sales!$A:AD,AF$2,0),0)</f>
        <v>0</v>
      </c>
      <c r="AG24" s="61">
        <f>IFERROR(VLOOKUP($A21,Sales!$A:AE,AG$2,0),0)</f>
        <v>0</v>
      </c>
      <c r="AH24" s="61">
        <f>IFERROR(VLOOKUP($A21,Sales!$A:AF,AH$2,0),0)</f>
        <v>0</v>
      </c>
      <c r="AI24" s="61">
        <f>IFERROR(VLOOKUP($A21,Sales!$A:AG,AI$2,0),0)</f>
        <v>0</v>
      </c>
      <c r="AJ24" s="61">
        <f>IFERROR(VLOOKUP($A21,Sales!$A:AH,AJ$2,0),0)</f>
        <v>0</v>
      </c>
      <c r="AK24" s="73">
        <f t="shared" ref="AK24:CC24" si="19">CEILING(AK$5*$B20,1)</f>
        <v>0</v>
      </c>
      <c r="AL24" s="73">
        <f t="shared" si="19"/>
        <v>0</v>
      </c>
      <c r="AM24" s="73">
        <f t="shared" si="19"/>
        <v>0</v>
      </c>
      <c r="AN24" s="73">
        <f t="shared" si="19"/>
        <v>0</v>
      </c>
      <c r="AO24" s="73">
        <f t="shared" si="19"/>
        <v>0</v>
      </c>
      <c r="AP24" s="73">
        <f t="shared" si="19"/>
        <v>0</v>
      </c>
      <c r="AQ24" s="73">
        <f t="shared" si="19"/>
        <v>0</v>
      </c>
      <c r="AR24" s="73">
        <f t="shared" si="19"/>
        <v>0</v>
      </c>
      <c r="AS24" s="73">
        <f t="shared" si="19"/>
        <v>0</v>
      </c>
      <c r="AT24" s="73">
        <f t="shared" si="19"/>
        <v>0</v>
      </c>
      <c r="AU24" s="73">
        <f t="shared" si="19"/>
        <v>0</v>
      </c>
      <c r="AV24" s="73">
        <f t="shared" si="19"/>
        <v>0</v>
      </c>
      <c r="AW24" s="73">
        <f t="shared" si="19"/>
        <v>0</v>
      </c>
      <c r="AX24" s="73">
        <f t="shared" si="19"/>
        <v>0</v>
      </c>
      <c r="AY24" s="73">
        <f t="shared" si="19"/>
        <v>0</v>
      </c>
      <c r="AZ24" s="73">
        <f t="shared" si="19"/>
        <v>0</v>
      </c>
      <c r="BA24" s="73">
        <f t="shared" si="19"/>
        <v>0</v>
      </c>
      <c r="BB24" s="73">
        <f t="shared" si="19"/>
        <v>0</v>
      </c>
      <c r="BC24" s="73">
        <f t="shared" si="19"/>
        <v>0</v>
      </c>
      <c r="BD24" s="73">
        <f t="shared" si="19"/>
        <v>0</v>
      </c>
      <c r="BE24" s="73">
        <f t="shared" si="19"/>
        <v>0</v>
      </c>
      <c r="BF24" s="73">
        <f t="shared" si="19"/>
        <v>0</v>
      </c>
      <c r="BG24" s="73">
        <f t="shared" si="19"/>
        <v>0</v>
      </c>
      <c r="BH24" s="73">
        <f t="shared" si="19"/>
        <v>0</v>
      </c>
      <c r="BI24" s="73">
        <f t="shared" si="19"/>
        <v>0</v>
      </c>
      <c r="BJ24" s="73">
        <f t="shared" si="19"/>
        <v>0</v>
      </c>
      <c r="BK24" s="73">
        <f t="shared" si="19"/>
        <v>0</v>
      </c>
      <c r="BL24" s="73">
        <f t="shared" si="19"/>
        <v>0</v>
      </c>
      <c r="BM24" s="73">
        <f t="shared" si="19"/>
        <v>0</v>
      </c>
      <c r="BN24" s="73">
        <f t="shared" si="19"/>
        <v>0</v>
      </c>
      <c r="BO24" s="73">
        <f t="shared" si="19"/>
        <v>0</v>
      </c>
      <c r="BP24" s="73">
        <f t="shared" si="19"/>
        <v>0</v>
      </c>
      <c r="BQ24" s="73">
        <f t="shared" si="19"/>
        <v>0</v>
      </c>
      <c r="BR24" s="73">
        <f t="shared" si="19"/>
        <v>0</v>
      </c>
      <c r="BS24" s="73">
        <f t="shared" si="19"/>
        <v>0</v>
      </c>
      <c r="BT24" s="73">
        <f t="shared" si="19"/>
        <v>0</v>
      </c>
      <c r="BU24" s="73">
        <f t="shared" si="19"/>
        <v>0</v>
      </c>
      <c r="BV24" s="73">
        <f t="shared" si="19"/>
        <v>0</v>
      </c>
      <c r="BW24" s="73">
        <f t="shared" si="19"/>
        <v>0</v>
      </c>
      <c r="BX24" s="73">
        <f t="shared" si="19"/>
        <v>0</v>
      </c>
      <c r="BY24" s="73">
        <f t="shared" si="19"/>
        <v>0</v>
      </c>
      <c r="BZ24" s="73">
        <f t="shared" si="19"/>
        <v>0</v>
      </c>
      <c r="CA24" s="73">
        <f t="shared" si="19"/>
        <v>0</v>
      </c>
      <c r="CB24" s="73">
        <f t="shared" si="19"/>
        <v>0</v>
      </c>
      <c r="CC24" s="73">
        <f t="shared" si="19"/>
        <v>0</v>
      </c>
    </row>
    <row r="25" spans="1:81" x14ac:dyDescent="0.2">
      <c r="A25" s="5" t="s">
        <v>214</v>
      </c>
      <c r="B25" s="5">
        <v>0</v>
      </c>
      <c r="C25" s="46" t="s">
        <v>215</v>
      </c>
      <c r="D25" s="11">
        <f t="shared" ref="D25:AI25" si="20">IF(D24=0,0, ROUND(D21 * 1/D24* D$13,1))</f>
        <v>0</v>
      </c>
      <c r="E25" s="11">
        <f t="shared" si="20"/>
        <v>0</v>
      </c>
      <c r="F25" s="11">
        <f t="shared" si="20"/>
        <v>0</v>
      </c>
      <c r="G25" s="11">
        <f t="shared" si="20"/>
        <v>0</v>
      </c>
      <c r="H25" s="11">
        <f t="shared" si="20"/>
        <v>0</v>
      </c>
      <c r="I25" s="11">
        <f t="shared" si="20"/>
        <v>0</v>
      </c>
      <c r="J25" s="11">
        <f t="shared" si="20"/>
        <v>0</v>
      </c>
      <c r="K25" s="11">
        <f t="shared" si="20"/>
        <v>0</v>
      </c>
      <c r="L25" s="11">
        <f t="shared" si="20"/>
        <v>0</v>
      </c>
      <c r="M25" s="11">
        <f t="shared" si="20"/>
        <v>0</v>
      </c>
      <c r="N25" s="11">
        <f t="shared" si="20"/>
        <v>0</v>
      </c>
      <c r="O25" s="11">
        <f t="shared" si="20"/>
        <v>0</v>
      </c>
      <c r="P25" s="11">
        <f t="shared" si="20"/>
        <v>0</v>
      </c>
      <c r="Q25" s="11">
        <f t="shared" si="20"/>
        <v>0</v>
      </c>
      <c r="R25" s="11">
        <f t="shared" si="20"/>
        <v>0</v>
      </c>
      <c r="S25" s="11">
        <f t="shared" si="20"/>
        <v>0</v>
      </c>
      <c r="T25" s="11">
        <f t="shared" si="20"/>
        <v>0</v>
      </c>
      <c r="U25" s="11">
        <f t="shared" si="20"/>
        <v>0</v>
      </c>
      <c r="V25" s="11">
        <f t="shared" si="20"/>
        <v>0</v>
      </c>
      <c r="W25" s="11">
        <f t="shared" si="20"/>
        <v>0</v>
      </c>
      <c r="X25" s="11">
        <f t="shared" si="20"/>
        <v>0</v>
      </c>
      <c r="Y25" s="11">
        <f t="shared" si="20"/>
        <v>0</v>
      </c>
      <c r="Z25" s="11">
        <f t="shared" si="20"/>
        <v>0</v>
      </c>
      <c r="AA25" s="11">
        <f t="shared" si="20"/>
        <v>0</v>
      </c>
      <c r="AB25" s="11">
        <f t="shared" si="20"/>
        <v>0</v>
      </c>
      <c r="AC25" s="11">
        <f t="shared" si="20"/>
        <v>0</v>
      </c>
      <c r="AD25" s="11">
        <f t="shared" si="20"/>
        <v>0</v>
      </c>
      <c r="AE25" s="11">
        <f t="shared" si="20"/>
        <v>0</v>
      </c>
      <c r="AF25" s="11">
        <f t="shared" si="20"/>
        <v>0</v>
      </c>
      <c r="AG25" s="11">
        <f t="shared" si="20"/>
        <v>0</v>
      </c>
      <c r="AH25" s="11">
        <f t="shared" si="20"/>
        <v>0</v>
      </c>
      <c r="AI25" s="11">
        <f t="shared" si="20"/>
        <v>0</v>
      </c>
      <c r="AJ25" s="11">
        <f t="shared" ref="AJ25:BO25" si="21">IF(AJ24=0,0, ROUND(AJ21 * 1/AJ24* AJ$13,1))</f>
        <v>0</v>
      </c>
      <c r="AK25" s="11">
        <f t="shared" si="21"/>
        <v>0</v>
      </c>
      <c r="AL25" s="11">
        <f t="shared" si="21"/>
        <v>0</v>
      </c>
      <c r="AM25" s="11">
        <f t="shared" si="21"/>
        <v>0</v>
      </c>
      <c r="AN25" s="11">
        <f t="shared" si="21"/>
        <v>0</v>
      </c>
      <c r="AO25" s="11">
        <f t="shared" si="21"/>
        <v>0</v>
      </c>
      <c r="AP25" s="11">
        <f t="shared" si="21"/>
        <v>0</v>
      </c>
      <c r="AQ25" s="11">
        <f t="shared" si="21"/>
        <v>0</v>
      </c>
      <c r="AR25" s="11">
        <f t="shared" si="21"/>
        <v>0</v>
      </c>
      <c r="AS25" s="11">
        <f t="shared" si="21"/>
        <v>0</v>
      </c>
      <c r="AT25" s="11">
        <f t="shared" si="21"/>
        <v>0</v>
      </c>
      <c r="AU25" s="11">
        <f t="shared" si="21"/>
        <v>0</v>
      </c>
      <c r="AV25" s="11">
        <f t="shared" si="21"/>
        <v>0</v>
      </c>
      <c r="AW25" s="11">
        <f t="shared" si="21"/>
        <v>0</v>
      </c>
      <c r="AX25" s="11">
        <f t="shared" si="21"/>
        <v>0</v>
      </c>
      <c r="AY25" s="11">
        <f t="shared" si="21"/>
        <v>0</v>
      </c>
      <c r="AZ25" s="11">
        <f t="shared" si="21"/>
        <v>0</v>
      </c>
      <c r="BA25" s="11">
        <f t="shared" si="21"/>
        <v>0</v>
      </c>
      <c r="BB25" s="11">
        <f t="shared" si="21"/>
        <v>0</v>
      </c>
      <c r="BC25" s="11">
        <f t="shared" si="21"/>
        <v>0</v>
      </c>
      <c r="BD25" s="11">
        <f t="shared" si="21"/>
        <v>0</v>
      </c>
      <c r="BE25" s="11">
        <f t="shared" si="21"/>
        <v>0</v>
      </c>
      <c r="BF25" s="11">
        <f t="shared" si="21"/>
        <v>0</v>
      </c>
      <c r="BG25" s="11">
        <f t="shared" si="21"/>
        <v>0</v>
      </c>
      <c r="BH25" s="11">
        <f t="shared" si="21"/>
        <v>0</v>
      </c>
      <c r="BI25" s="11">
        <f t="shared" si="21"/>
        <v>0</v>
      </c>
      <c r="BJ25" s="11">
        <f t="shared" si="21"/>
        <v>0</v>
      </c>
      <c r="BK25" s="11">
        <f t="shared" si="21"/>
        <v>0</v>
      </c>
      <c r="BL25" s="11">
        <f t="shared" si="21"/>
        <v>0</v>
      </c>
      <c r="BM25" s="11">
        <f t="shared" si="21"/>
        <v>0</v>
      </c>
      <c r="BN25" s="11">
        <f t="shared" si="21"/>
        <v>0</v>
      </c>
      <c r="BO25" s="11">
        <f t="shared" si="21"/>
        <v>0</v>
      </c>
      <c r="BP25" s="11">
        <f t="shared" ref="BP25:CU25" si="22">IF(BP24=0,0, ROUND(BP21 * 1/BP24* BP$13,1))</f>
        <v>0</v>
      </c>
      <c r="BQ25" s="11">
        <f t="shared" si="22"/>
        <v>0</v>
      </c>
      <c r="BR25" s="11">
        <f t="shared" si="22"/>
        <v>0</v>
      </c>
      <c r="BS25" s="11">
        <f t="shared" si="22"/>
        <v>0</v>
      </c>
      <c r="BT25" s="11">
        <f t="shared" si="22"/>
        <v>0</v>
      </c>
      <c r="BU25" s="11">
        <f t="shared" si="22"/>
        <v>0</v>
      </c>
      <c r="BV25" s="11">
        <f t="shared" si="22"/>
        <v>0</v>
      </c>
      <c r="BW25" s="11">
        <f t="shared" si="22"/>
        <v>0</v>
      </c>
      <c r="BX25" s="11">
        <f t="shared" si="22"/>
        <v>0</v>
      </c>
      <c r="BY25" s="11">
        <f t="shared" si="22"/>
        <v>0</v>
      </c>
      <c r="BZ25" s="11">
        <f t="shared" si="22"/>
        <v>0</v>
      </c>
      <c r="CA25" s="11">
        <f t="shared" si="22"/>
        <v>0</v>
      </c>
      <c r="CB25" s="11">
        <f t="shared" si="22"/>
        <v>0</v>
      </c>
      <c r="CC25" s="11">
        <f t="shared" si="22"/>
        <v>0</v>
      </c>
    </row>
    <row r="26" spans="1:81" x14ac:dyDescent="0.2">
      <c r="A26" s="10">
        <v>1</v>
      </c>
      <c r="B26" s="10">
        <v>1</v>
      </c>
      <c r="C26" s="68">
        <v>0</v>
      </c>
      <c r="D26">
        <f t="shared" ref="D26:AI26" si="23">D23/$B26</f>
        <v>0</v>
      </c>
      <c r="E26">
        <f t="shared" si="23"/>
        <v>0</v>
      </c>
      <c r="F26">
        <f t="shared" si="23"/>
        <v>0</v>
      </c>
      <c r="G26">
        <f t="shared" si="23"/>
        <v>0</v>
      </c>
      <c r="H26">
        <f t="shared" si="23"/>
        <v>0</v>
      </c>
      <c r="I26">
        <f t="shared" si="23"/>
        <v>0</v>
      </c>
      <c r="J26">
        <f t="shared" si="23"/>
        <v>0</v>
      </c>
      <c r="K26">
        <f t="shared" si="23"/>
        <v>0</v>
      </c>
      <c r="L26">
        <f t="shared" si="23"/>
        <v>0</v>
      </c>
      <c r="M26">
        <f t="shared" si="23"/>
        <v>0</v>
      </c>
      <c r="N26">
        <f t="shared" si="23"/>
        <v>0</v>
      </c>
      <c r="O26">
        <f t="shared" si="23"/>
        <v>0</v>
      </c>
      <c r="P26">
        <f t="shared" si="23"/>
        <v>0</v>
      </c>
      <c r="Q26">
        <f t="shared" si="23"/>
        <v>0</v>
      </c>
      <c r="R26">
        <f t="shared" si="23"/>
        <v>0</v>
      </c>
      <c r="S26">
        <f t="shared" si="23"/>
        <v>0</v>
      </c>
      <c r="T26">
        <f t="shared" si="23"/>
        <v>0</v>
      </c>
      <c r="U26">
        <f t="shared" si="23"/>
        <v>0</v>
      </c>
      <c r="V26">
        <f t="shared" si="23"/>
        <v>0</v>
      </c>
      <c r="W26">
        <f t="shared" si="23"/>
        <v>0</v>
      </c>
      <c r="X26">
        <f t="shared" si="23"/>
        <v>0</v>
      </c>
      <c r="Y26">
        <f t="shared" si="23"/>
        <v>0</v>
      </c>
      <c r="Z26">
        <f t="shared" si="23"/>
        <v>0</v>
      </c>
      <c r="AA26">
        <f t="shared" si="23"/>
        <v>0</v>
      </c>
      <c r="AB26">
        <f t="shared" si="23"/>
        <v>0</v>
      </c>
      <c r="AC26">
        <f t="shared" si="23"/>
        <v>0</v>
      </c>
      <c r="AD26">
        <f t="shared" si="23"/>
        <v>0</v>
      </c>
      <c r="AE26">
        <f t="shared" si="23"/>
        <v>0</v>
      </c>
      <c r="AF26">
        <f t="shared" si="23"/>
        <v>0</v>
      </c>
      <c r="AG26">
        <f t="shared" si="23"/>
        <v>0</v>
      </c>
      <c r="AH26">
        <f t="shared" si="23"/>
        <v>0</v>
      </c>
      <c r="AI26">
        <f t="shared" si="23"/>
        <v>0</v>
      </c>
      <c r="AJ26">
        <f t="shared" ref="AJ26:BO26" si="24">AJ23/$B26</f>
        <v>0</v>
      </c>
      <c r="AK26">
        <f t="shared" si="24"/>
        <v>0</v>
      </c>
      <c r="AL26">
        <f t="shared" si="24"/>
        <v>0</v>
      </c>
      <c r="AM26">
        <f t="shared" si="24"/>
        <v>0</v>
      </c>
      <c r="AN26">
        <f t="shared" si="24"/>
        <v>0</v>
      </c>
      <c r="AO26">
        <f t="shared" si="24"/>
        <v>0</v>
      </c>
      <c r="AP26">
        <f t="shared" si="24"/>
        <v>0</v>
      </c>
      <c r="AQ26">
        <f t="shared" si="24"/>
        <v>0</v>
      </c>
      <c r="AR26">
        <f t="shared" si="24"/>
        <v>0</v>
      </c>
      <c r="AS26">
        <f t="shared" si="24"/>
        <v>0</v>
      </c>
      <c r="AT26">
        <f t="shared" si="24"/>
        <v>0</v>
      </c>
      <c r="AU26">
        <f t="shared" si="24"/>
        <v>0</v>
      </c>
      <c r="AV26">
        <f t="shared" si="24"/>
        <v>0</v>
      </c>
      <c r="AW26">
        <f t="shared" si="24"/>
        <v>0</v>
      </c>
      <c r="AX26">
        <f t="shared" si="24"/>
        <v>0</v>
      </c>
      <c r="AY26">
        <f t="shared" si="24"/>
        <v>0</v>
      </c>
      <c r="AZ26">
        <f t="shared" si="24"/>
        <v>0</v>
      </c>
      <c r="BA26">
        <f t="shared" si="24"/>
        <v>0</v>
      </c>
      <c r="BB26">
        <f t="shared" si="24"/>
        <v>0</v>
      </c>
      <c r="BC26">
        <f t="shared" si="24"/>
        <v>0</v>
      </c>
      <c r="BD26">
        <f t="shared" si="24"/>
        <v>0</v>
      </c>
      <c r="BE26">
        <f t="shared" si="24"/>
        <v>0</v>
      </c>
      <c r="BF26">
        <f t="shared" si="24"/>
        <v>0</v>
      </c>
      <c r="BG26">
        <f t="shared" si="24"/>
        <v>0</v>
      </c>
      <c r="BH26">
        <f t="shared" si="24"/>
        <v>0</v>
      </c>
      <c r="BI26">
        <f t="shared" si="24"/>
        <v>0</v>
      </c>
      <c r="BJ26">
        <f t="shared" si="24"/>
        <v>0</v>
      </c>
      <c r="BK26">
        <f t="shared" si="24"/>
        <v>0</v>
      </c>
      <c r="BL26">
        <f t="shared" si="24"/>
        <v>0</v>
      </c>
      <c r="BM26">
        <f t="shared" si="24"/>
        <v>0</v>
      </c>
      <c r="BN26">
        <f t="shared" si="24"/>
        <v>0</v>
      </c>
      <c r="BO26">
        <f t="shared" si="24"/>
        <v>0</v>
      </c>
      <c r="BP26">
        <f t="shared" ref="BP26:CC26" si="25">BP23/$B26</f>
        <v>0</v>
      </c>
      <c r="BQ26">
        <f t="shared" si="25"/>
        <v>0</v>
      </c>
      <c r="BR26">
        <f t="shared" si="25"/>
        <v>0</v>
      </c>
      <c r="BS26">
        <f t="shared" si="25"/>
        <v>0</v>
      </c>
      <c r="BT26">
        <f t="shared" si="25"/>
        <v>0</v>
      </c>
      <c r="BU26">
        <f t="shared" si="25"/>
        <v>0</v>
      </c>
      <c r="BV26">
        <f t="shared" si="25"/>
        <v>0</v>
      </c>
      <c r="BW26">
        <f t="shared" si="25"/>
        <v>0</v>
      </c>
      <c r="BX26">
        <f t="shared" si="25"/>
        <v>0</v>
      </c>
      <c r="BY26">
        <f t="shared" si="25"/>
        <v>0</v>
      </c>
      <c r="BZ26">
        <f t="shared" si="25"/>
        <v>0</v>
      </c>
      <c r="CA26">
        <f t="shared" si="25"/>
        <v>0</v>
      </c>
      <c r="CB26">
        <f t="shared" si="25"/>
        <v>0</v>
      </c>
      <c r="CC26">
        <f t="shared" si="25"/>
        <v>0</v>
      </c>
    </row>
    <row r="27" spans="1:81" x14ac:dyDescent="0.2">
      <c r="A27" s="10"/>
      <c r="B27" s="67">
        <f>SUM(D31:AJ31)/SUM($D$263:$AJ$263)</f>
        <v>8.789491674398164E-3</v>
      </c>
      <c r="C27" s="9" t="s">
        <v>216</v>
      </c>
      <c r="D27">
        <f t="shared" ref="D27:AI27" si="26">D21-D24</f>
        <v>0</v>
      </c>
      <c r="E27">
        <f t="shared" si="26"/>
        <v>0</v>
      </c>
      <c r="F27">
        <f t="shared" si="26"/>
        <v>0</v>
      </c>
      <c r="G27">
        <f t="shared" si="26"/>
        <v>0</v>
      </c>
      <c r="H27">
        <f t="shared" si="26"/>
        <v>0</v>
      </c>
      <c r="I27">
        <f t="shared" si="26"/>
        <v>0</v>
      </c>
      <c r="J27">
        <f t="shared" si="26"/>
        <v>0</v>
      </c>
      <c r="K27">
        <f t="shared" si="26"/>
        <v>0</v>
      </c>
      <c r="L27">
        <f t="shared" si="26"/>
        <v>0</v>
      </c>
      <c r="M27">
        <f t="shared" si="26"/>
        <v>0</v>
      </c>
      <c r="N27">
        <f t="shared" si="26"/>
        <v>0</v>
      </c>
      <c r="O27">
        <f t="shared" si="26"/>
        <v>0</v>
      </c>
      <c r="P27">
        <f t="shared" si="26"/>
        <v>0</v>
      </c>
      <c r="Q27">
        <f t="shared" si="26"/>
        <v>0</v>
      </c>
      <c r="R27">
        <f t="shared" si="26"/>
        <v>0</v>
      </c>
      <c r="S27">
        <f t="shared" si="26"/>
        <v>0</v>
      </c>
      <c r="T27">
        <f t="shared" si="26"/>
        <v>0</v>
      </c>
      <c r="U27">
        <f t="shared" si="26"/>
        <v>0</v>
      </c>
      <c r="V27">
        <f t="shared" si="26"/>
        <v>0</v>
      </c>
      <c r="W27">
        <f t="shared" si="26"/>
        <v>0</v>
      </c>
      <c r="X27">
        <f t="shared" si="26"/>
        <v>0</v>
      </c>
      <c r="Y27">
        <f t="shared" si="26"/>
        <v>0</v>
      </c>
      <c r="Z27">
        <f t="shared" si="26"/>
        <v>0</v>
      </c>
      <c r="AA27">
        <f t="shared" si="26"/>
        <v>0</v>
      </c>
      <c r="AB27">
        <f t="shared" si="26"/>
        <v>0</v>
      </c>
      <c r="AC27">
        <f t="shared" si="26"/>
        <v>0</v>
      </c>
      <c r="AD27">
        <f t="shared" si="26"/>
        <v>0</v>
      </c>
      <c r="AE27">
        <f t="shared" si="26"/>
        <v>0</v>
      </c>
      <c r="AF27">
        <f t="shared" si="26"/>
        <v>0</v>
      </c>
      <c r="AG27">
        <f t="shared" si="26"/>
        <v>0</v>
      </c>
      <c r="AH27">
        <f t="shared" si="26"/>
        <v>0</v>
      </c>
      <c r="AI27">
        <f t="shared" si="26"/>
        <v>0</v>
      </c>
      <c r="AJ27">
        <f t="shared" ref="AJ27:BO27" si="27">AJ21-AJ24</f>
        <v>0</v>
      </c>
      <c r="AK27">
        <f t="shared" si="27"/>
        <v>0</v>
      </c>
      <c r="AL27">
        <f t="shared" si="27"/>
        <v>0</v>
      </c>
      <c r="AM27">
        <f t="shared" si="27"/>
        <v>0</v>
      </c>
      <c r="AN27">
        <f t="shared" si="27"/>
        <v>0</v>
      </c>
      <c r="AO27">
        <f t="shared" si="27"/>
        <v>0</v>
      </c>
      <c r="AP27">
        <f t="shared" si="27"/>
        <v>0</v>
      </c>
      <c r="AQ27">
        <f t="shared" si="27"/>
        <v>0</v>
      </c>
      <c r="AR27">
        <f t="shared" si="27"/>
        <v>0</v>
      </c>
      <c r="AS27">
        <f t="shared" si="27"/>
        <v>0</v>
      </c>
      <c r="AT27">
        <f t="shared" si="27"/>
        <v>0</v>
      </c>
      <c r="AU27">
        <f t="shared" si="27"/>
        <v>0</v>
      </c>
      <c r="AV27">
        <f t="shared" si="27"/>
        <v>0</v>
      </c>
      <c r="AW27">
        <f t="shared" si="27"/>
        <v>0</v>
      </c>
      <c r="AX27">
        <f t="shared" si="27"/>
        <v>0</v>
      </c>
      <c r="AY27">
        <f t="shared" si="27"/>
        <v>0</v>
      </c>
      <c r="AZ27">
        <f t="shared" si="27"/>
        <v>0</v>
      </c>
      <c r="BA27">
        <f t="shared" si="27"/>
        <v>0</v>
      </c>
      <c r="BB27">
        <f t="shared" si="27"/>
        <v>0</v>
      </c>
      <c r="BC27">
        <f t="shared" si="27"/>
        <v>0</v>
      </c>
      <c r="BD27">
        <f t="shared" si="27"/>
        <v>0</v>
      </c>
      <c r="BE27">
        <f t="shared" si="27"/>
        <v>0</v>
      </c>
      <c r="BF27">
        <f t="shared" si="27"/>
        <v>0</v>
      </c>
      <c r="BG27">
        <f t="shared" si="27"/>
        <v>0</v>
      </c>
      <c r="BH27">
        <f t="shared" si="27"/>
        <v>0</v>
      </c>
      <c r="BI27">
        <f t="shared" si="27"/>
        <v>0</v>
      </c>
      <c r="BJ27">
        <f t="shared" si="27"/>
        <v>0</v>
      </c>
      <c r="BK27">
        <f t="shared" si="27"/>
        <v>0</v>
      </c>
      <c r="BL27">
        <f t="shared" si="27"/>
        <v>0</v>
      </c>
      <c r="BM27">
        <f t="shared" si="27"/>
        <v>0</v>
      </c>
      <c r="BN27">
        <f t="shared" si="27"/>
        <v>0</v>
      </c>
      <c r="BO27">
        <f t="shared" si="27"/>
        <v>0</v>
      </c>
      <c r="BP27">
        <f t="shared" ref="BP27:CC27" si="28">BP21-BP24</f>
        <v>0</v>
      </c>
      <c r="BQ27">
        <f t="shared" si="28"/>
        <v>0</v>
      </c>
      <c r="BR27">
        <f t="shared" si="28"/>
        <v>0</v>
      </c>
      <c r="BS27">
        <f t="shared" si="28"/>
        <v>0</v>
      </c>
      <c r="BT27">
        <f t="shared" si="28"/>
        <v>0</v>
      </c>
      <c r="BU27">
        <f t="shared" si="28"/>
        <v>0</v>
      </c>
      <c r="BV27">
        <f t="shared" si="28"/>
        <v>0</v>
      </c>
      <c r="BW27">
        <f t="shared" si="28"/>
        <v>0</v>
      </c>
      <c r="BX27">
        <f t="shared" si="28"/>
        <v>0</v>
      </c>
      <c r="BY27">
        <f t="shared" si="28"/>
        <v>0</v>
      </c>
      <c r="BZ27">
        <f t="shared" si="28"/>
        <v>0</v>
      </c>
      <c r="CA27">
        <f t="shared" si="28"/>
        <v>0</v>
      </c>
      <c r="CB27">
        <f t="shared" si="28"/>
        <v>0</v>
      </c>
      <c r="CC27">
        <f t="shared" si="28"/>
        <v>0</v>
      </c>
    </row>
    <row r="28" spans="1:81" x14ac:dyDescent="0.2">
      <c r="A28" s="43" t="s">
        <v>218</v>
      </c>
      <c r="B28" s="44" t="s">
        <v>208</v>
      </c>
      <c r="C28" s="9" t="s">
        <v>38</v>
      </c>
      <c r="D28" s="58">
        <f>IFERROR(VLOOKUP(A28,OS!$A:$B,2,0),0)</f>
        <v>657</v>
      </c>
      <c r="E28" s="5">
        <f>(D28+D29-D31)</f>
        <v>657</v>
      </c>
      <c r="F28" s="5">
        <f>(E28+E29-E31)</f>
        <v>557</v>
      </c>
      <c r="G28" s="5">
        <f>(F28+F29-F31)</f>
        <v>557</v>
      </c>
      <c r="H28" s="5">
        <f>(G28+G29-G31)</f>
        <v>557</v>
      </c>
      <c r="I28" s="5">
        <f t="shared" ref="I28:AN28" si="29">(H28+H29-H31+D30)</f>
        <v>557</v>
      </c>
      <c r="J28" s="5">
        <f t="shared" si="29"/>
        <v>557</v>
      </c>
      <c r="K28" s="5">
        <f t="shared" si="29"/>
        <v>557</v>
      </c>
      <c r="L28" s="5">
        <f t="shared" si="29"/>
        <v>457</v>
      </c>
      <c r="M28" s="5">
        <f t="shared" si="29"/>
        <v>457</v>
      </c>
      <c r="N28" s="5">
        <f t="shared" si="29"/>
        <v>457</v>
      </c>
      <c r="O28" s="5">
        <f t="shared" si="29"/>
        <v>457</v>
      </c>
      <c r="P28" s="5">
        <f t="shared" si="29"/>
        <v>457</v>
      </c>
      <c r="Q28" s="5">
        <f t="shared" si="29"/>
        <v>457</v>
      </c>
      <c r="R28" s="5">
        <f t="shared" si="29"/>
        <v>457</v>
      </c>
      <c r="S28" s="5">
        <f t="shared" si="29"/>
        <v>457</v>
      </c>
      <c r="T28" s="5">
        <f t="shared" si="29"/>
        <v>457</v>
      </c>
      <c r="U28" s="5">
        <f t="shared" si="29"/>
        <v>457</v>
      </c>
      <c r="V28" s="5">
        <f t="shared" si="29"/>
        <v>427</v>
      </c>
      <c r="W28" s="5">
        <f t="shared" si="29"/>
        <v>397</v>
      </c>
      <c r="X28" s="5">
        <f t="shared" si="29"/>
        <v>367</v>
      </c>
      <c r="Y28" s="5">
        <f t="shared" si="29"/>
        <v>357</v>
      </c>
      <c r="Z28" s="5">
        <f t="shared" si="29"/>
        <v>357</v>
      </c>
      <c r="AA28" s="5">
        <f t="shared" si="29"/>
        <v>357</v>
      </c>
      <c r="AB28" s="5">
        <f t="shared" si="29"/>
        <v>357</v>
      </c>
      <c r="AC28" s="5">
        <f t="shared" si="29"/>
        <v>357</v>
      </c>
      <c r="AD28" s="5">
        <f t="shared" si="29"/>
        <v>297</v>
      </c>
      <c r="AE28" s="5">
        <f t="shared" si="29"/>
        <v>237</v>
      </c>
      <c r="AF28" s="5">
        <f t="shared" si="29"/>
        <v>177</v>
      </c>
      <c r="AG28" s="5">
        <f t="shared" si="29"/>
        <v>117</v>
      </c>
      <c r="AH28" s="5">
        <f t="shared" si="29"/>
        <v>57</v>
      </c>
      <c r="AI28" s="5">
        <f t="shared" si="29"/>
        <v>-93</v>
      </c>
      <c r="AJ28" s="5">
        <f t="shared" si="29"/>
        <v>-243</v>
      </c>
      <c r="AK28" s="5">
        <f t="shared" si="29"/>
        <v>-243</v>
      </c>
      <c r="AL28" s="5">
        <f t="shared" si="29"/>
        <v>-243</v>
      </c>
      <c r="AM28" s="5">
        <f t="shared" si="29"/>
        <v>-243</v>
      </c>
      <c r="AN28" s="5">
        <f t="shared" si="29"/>
        <v>-243</v>
      </c>
      <c r="AO28" s="5">
        <f t="shared" ref="AO28:BT28" si="30">(AN28+AN29-AN31+AJ30)</f>
        <v>-267</v>
      </c>
      <c r="AP28" s="5">
        <f t="shared" si="30"/>
        <v>-291</v>
      </c>
      <c r="AQ28" s="5">
        <f t="shared" si="30"/>
        <v>-315</v>
      </c>
      <c r="AR28" s="5">
        <f t="shared" si="30"/>
        <v>-344</v>
      </c>
      <c r="AS28" s="5">
        <f t="shared" si="30"/>
        <v>-373</v>
      </c>
      <c r="AT28" s="5">
        <f t="shared" si="30"/>
        <v>-397</v>
      </c>
      <c r="AU28" s="5">
        <f t="shared" si="30"/>
        <v>-426</v>
      </c>
      <c r="AV28" s="5">
        <f t="shared" si="30"/>
        <v>-454</v>
      </c>
      <c r="AW28" s="5">
        <f t="shared" si="30"/>
        <v>-482</v>
      </c>
      <c r="AX28" s="5">
        <f t="shared" si="30"/>
        <v>-510</v>
      </c>
      <c r="AY28" s="5">
        <f t="shared" si="30"/>
        <v>-538</v>
      </c>
      <c r="AZ28" s="5">
        <f t="shared" si="30"/>
        <v>-560</v>
      </c>
      <c r="BA28" s="5">
        <f t="shared" si="30"/>
        <v>-580</v>
      </c>
      <c r="BB28" s="5">
        <f t="shared" si="30"/>
        <v>-600</v>
      </c>
      <c r="BC28" s="5">
        <f t="shared" si="30"/>
        <v>-620</v>
      </c>
      <c r="BD28" s="5">
        <f t="shared" si="30"/>
        <v>-642</v>
      </c>
      <c r="BE28" s="5">
        <f t="shared" si="30"/>
        <v>-664</v>
      </c>
      <c r="BF28" s="5">
        <f t="shared" si="30"/>
        <v>-686</v>
      </c>
      <c r="BG28" s="5">
        <f t="shared" si="30"/>
        <v>-708</v>
      </c>
      <c r="BH28" s="5">
        <f t="shared" si="30"/>
        <v>-730</v>
      </c>
      <c r="BI28" s="5">
        <f t="shared" si="30"/>
        <v>-752</v>
      </c>
      <c r="BJ28" s="5">
        <f t="shared" si="30"/>
        <v>-774</v>
      </c>
      <c r="BK28" s="5">
        <f t="shared" si="30"/>
        <v>-796</v>
      </c>
      <c r="BL28" s="5">
        <f t="shared" si="30"/>
        <v>-818</v>
      </c>
      <c r="BM28" s="5">
        <f t="shared" si="30"/>
        <v>-840</v>
      </c>
      <c r="BN28" s="5">
        <f t="shared" si="30"/>
        <v>-862</v>
      </c>
      <c r="BO28" s="5">
        <f t="shared" si="30"/>
        <v>-902</v>
      </c>
      <c r="BP28" s="5">
        <f t="shared" si="30"/>
        <v>-902</v>
      </c>
      <c r="BQ28" s="5">
        <f t="shared" si="30"/>
        <v>-902</v>
      </c>
      <c r="BR28" s="5">
        <f t="shared" si="30"/>
        <v>-902</v>
      </c>
      <c r="BS28" s="5">
        <f t="shared" si="30"/>
        <v>-902</v>
      </c>
      <c r="BT28" s="5">
        <f t="shared" si="30"/>
        <v>-920</v>
      </c>
      <c r="BU28" s="5">
        <f t="shared" ref="BU28:CZ28" si="31">(BT28+BT29-BT31+BP30)</f>
        <v>-938</v>
      </c>
      <c r="BV28" s="5">
        <f t="shared" si="31"/>
        <v>-956</v>
      </c>
      <c r="BW28" s="5">
        <f t="shared" si="31"/>
        <v>-974</v>
      </c>
      <c r="BX28" s="5">
        <f t="shared" si="31"/>
        <v>-992</v>
      </c>
      <c r="BY28" s="5">
        <f t="shared" si="31"/>
        <v>-1010</v>
      </c>
      <c r="BZ28" s="5">
        <f t="shared" si="31"/>
        <v>-1028</v>
      </c>
      <c r="CA28" s="5">
        <f t="shared" si="31"/>
        <v>-1046</v>
      </c>
      <c r="CB28" s="5">
        <f t="shared" si="31"/>
        <v>-1064</v>
      </c>
      <c r="CC28" s="5">
        <f t="shared" si="31"/>
        <v>-1082</v>
      </c>
    </row>
    <row r="29" spans="1:81" x14ac:dyDescent="0.2">
      <c r="A29" s="5" t="s">
        <v>209</v>
      </c>
      <c r="B29" s="5">
        <v>7.5731099999999998</v>
      </c>
      <c r="C29" s="45" t="s">
        <v>39</v>
      </c>
      <c r="D29" s="59">
        <f>IFERROR(VLOOKUP(A28,WIP!$A:$B,2,0),0)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">
      <c r="A30" s="5" t="s">
        <v>210</v>
      </c>
      <c r="B30" s="5">
        <v>0.22900000000000001</v>
      </c>
      <c r="C30" s="9" t="s">
        <v>211</v>
      </c>
      <c r="D30" s="60">
        <f>IFERROR(VLOOKUP($A28,Plan!$A:B,D$4,0),0)</f>
        <v>0</v>
      </c>
      <c r="E30" s="70">
        <f>IFERROR(VLOOKUP($A28,Plan!$A:C,E$4,0),0)</f>
        <v>0</v>
      </c>
      <c r="F30" s="70">
        <f>IFERROR(VLOOKUP($A28,Plan!$A:D,F$4,0),0)</f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">
      <c r="A31" s="5" t="s">
        <v>212</v>
      </c>
      <c r="B31" s="5">
        <v>3.3000000000000002E-2</v>
      </c>
      <c r="C31" s="9" t="s">
        <v>213</v>
      </c>
      <c r="D31" s="61">
        <f>IFERROR(VLOOKUP($A28,Sales!$A:B,D$2,0),0)</f>
        <v>0</v>
      </c>
      <c r="E31" s="61">
        <f>IFERROR(VLOOKUP($A28,Sales!$A:C,E$2,0),0)</f>
        <v>100</v>
      </c>
      <c r="F31" s="61">
        <f>IFERROR(VLOOKUP($A28,Sales!$A:D,F$2,0),0)</f>
        <v>0</v>
      </c>
      <c r="G31" s="61">
        <f>IFERROR(VLOOKUP($A28,Sales!$A:E,G$2,0),0)</f>
        <v>0</v>
      </c>
      <c r="H31" s="61">
        <f>IFERROR(VLOOKUP($A28,Sales!$A:F,H$2,0),0)</f>
        <v>0</v>
      </c>
      <c r="I31" s="61">
        <f>IFERROR(VLOOKUP($A28,Sales!$A:G,I$2,0),0)</f>
        <v>0</v>
      </c>
      <c r="J31" s="61">
        <f>IFERROR(VLOOKUP($A28,Sales!$A:H,J$2,0),0)</f>
        <v>0</v>
      </c>
      <c r="K31" s="61">
        <f>IFERROR(VLOOKUP($A28,Sales!$A:I,K$2,0),0)</f>
        <v>100</v>
      </c>
      <c r="L31" s="61">
        <f>IFERROR(VLOOKUP($A28,Sales!$A:J,L$2,0),0)</f>
        <v>0</v>
      </c>
      <c r="M31" s="61">
        <f>IFERROR(VLOOKUP($A28,Sales!$A:K,M$2,0),0)</f>
        <v>0</v>
      </c>
      <c r="N31" s="61">
        <f>IFERROR(VLOOKUP($A28,Sales!$A:L,N$2,0),0)</f>
        <v>0</v>
      </c>
      <c r="O31" s="61">
        <f>IFERROR(VLOOKUP($A28,Sales!$A:M,O$2,0),0)</f>
        <v>0</v>
      </c>
      <c r="P31" s="61">
        <f>IFERROR(VLOOKUP($A28,Sales!$A:N,P$2,0),0)</f>
        <v>0</v>
      </c>
      <c r="Q31" s="61">
        <f>IFERROR(VLOOKUP($A28,Sales!$A:O,Q$2,0),0)</f>
        <v>0</v>
      </c>
      <c r="R31" s="61">
        <f>IFERROR(VLOOKUP($A28,Sales!$A:P,R$2,0),0)</f>
        <v>0</v>
      </c>
      <c r="S31" s="61">
        <f>IFERROR(VLOOKUP($A28,Sales!$A:Q,S$2,0),0)</f>
        <v>0</v>
      </c>
      <c r="T31" s="61">
        <f>IFERROR(VLOOKUP($A28,Sales!$A:R,T$2,0),0)</f>
        <v>0</v>
      </c>
      <c r="U31" s="61">
        <f>IFERROR(VLOOKUP($A28,Sales!$A:S,U$2,0),0)</f>
        <v>30</v>
      </c>
      <c r="V31" s="61">
        <f>IFERROR(VLOOKUP($A28,Sales!$A:T,V$2,0),0)</f>
        <v>30</v>
      </c>
      <c r="W31" s="61">
        <f>IFERROR(VLOOKUP($A28,Sales!$A:U,W$2,0),0)</f>
        <v>30</v>
      </c>
      <c r="X31" s="61">
        <f>IFERROR(VLOOKUP($A28,Sales!$A:V,X$2,0),0)</f>
        <v>10</v>
      </c>
      <c r="Y31" s="61">
        <f>IFERROR(VLOOKUP($A28,Sales!$A:W,Y$2,0),0)</f>
        <v>0</v>
      </c>
      <c r="Z31" s="61">
        <f>IFERROR(VLOOKUP($A28,Sales!$A:X,Z$2,0),0)</f>
        <v>0</v>
      </c>
      <c r="AA31" s="61">
        <f>IFERROR(VLOOKUP($A28,Sales!$A:Y,AA$2,0),0)</f>
        <v>0</v>
      </c>
      <c r="AB31" s="61">
        <f>IFERROR(VLOOKUP($A28,Sales!$A:Z,AB$2,0),0)</f>
        <v>0</v>
      </c>
      <c r="AC31" s="61">
        <f>IFERROR(VLOOKUP($A28,Sales!$A:AA,AC$2,0),0)</f>
        <v>60</v>
      </c>
      <c r="AD31" s="61">
        <f>IFERROR(VLOOKUP($A28,Sales!$A:AB,AD$2,0),0)</f>
        <v>60</v>
      </c>
      <c r="AE31" s="61">
        <f>IFERROR(VLOOKUP($A28,Sales!$A:AC,AE$2,0),0)</f>
        <v>60</v>
      </c>
      <c r="AF31" s="61">
        <f>IFERROR(VLOOKUP($A28,Sales!$A:AD,AF$2,0),0)</f>
        <v>60</v>
      </c>
      <c r="AG31" s="61">
        <f>IFERROR(VLOOKUP($A28,Sales!$A:AE,AG$2,0),0)</f>
        <v>60</v>
      </c>
      <c r="AH31" s="61">
        <f>IFERROR(VLOOKUP($A28,Sales!$A:AF,AH$2,0),0)</f>
        <v>150</v>
      </c>
      <c r="AI31" s="61">
        <f>IFERROR(VLOOKUP($A28,Sales!$A:AG,AI$2,0),0)</f>
        <v>150</v>
      </c>
      <c r="AJ31" s="61">
        <f>IFERROR(VLOOKUP($A28,Sales!$A:AH,AJ$2,0),0)</f>
        <v>0</v>
      </c>
      <c r="AK31" s="73">
        <f t="shared" ref="AK31:CC31" si="32">CEILING(AK$5*$B27,1)</f>
        <v>0</v>
      </c>
      <c r="AL31" s="73">
        <f t="shared" si="32"/>
        <v>0</v>
      </c>
      <c r="AM31" s="73">
        <f t="shared" si="32"/>
        <v>0</v>
      </c>
      <c r="AN31" s="73">
        <f t="shared" si="32"/>
        <v>24</v>
      </c>
      <c r="AO31" s="73">
        <f t="shared" si="32"/>
        <v>24</v>
      </c>
      <c r="AP31" s="73">
        <f t="shared" si="32"/>
        <v>24</v>
      </c>
      <c r="AQ31" s="73">
        <f t="shared" si="32"/>
        <v>29</v>
      </c>
      <c r="AR31" s="73">
        <f t="shared" si="32"/>
        <v>29</v>
      </c>
      <c r="AS31" s="73">
        <f t="shared" si="32"/>
        <v>24</v>
      </c>
      <c r="AT31" s="73">
        <f t="shared" si="32"/>
        <v>29</v>
      </c>
      <c r="AU31" s="73">
        <f t="shared" si="32"/>
        <v>28</v>
      </c>
      <c r="AV31" s="73">
        <f t="shared" si="32"/>
        <v>28</v>
      </c>
      <c r="AW31" s="73">
        <f t="shared" si="32"/>
        <v>28</v>
      </c>
      <c r="AX31" s="73">
        <f t="shared" si="32"/>
        <v>28</v>
      </c>
      <c r="AY31" s="73">
        <f t="shared" si="32"/>
        <v>22</v>
      </c>
      <c r="AZ31" s="73">
        <f t="shared" si="32"/>
        <v>20</v>
      </c>
      <c r="BA31" s="73">
        <f t="shared" si="32"/>
        <v>20</v>
      </c>
      <c r="BB31" s="73">
        <f t="shared" si="32"/>
        <v>20</v>
      </c>
      <c r="BC31" s="73">
        <f t="shared" si="32"/>
        <v>22</v>
      </c>
      <c r="BD31" s="73">
        <f t="shared" si="32"/>
        <v>22</v>
      </c>
      <c r="BE31" s="73">
        <f t="shared" si="32"/>
        <v>22</v>
      </c>
      <c r="BF31" s="73">
        <f t="shared" si="32"/>
        <v>22</v>
      </c>
      <c r="BG31" s="73">
        <f t="shared" si="32"/>
        <v>22</v>
      </c>
      <c r="BH31" s="73">
        <f t="shared" si="32"/>
        <v>22</v>
      </c>
      <c r="BI31" s="73">
        <f t="shared" si="32"/>
        <v>22</v>
      </c>
      <c r="BJ31" s="73">
        <f t="shared" si="32"/>
        <v>22</v>
      </c>
      <c r="BK31" s="73">
        <f t="shared" si="32"/>
        <v>22</v>
      </c>
      <c r="BL31" s="73">
        <f t="shared" si="32"/>
        <v>22</v>
      </c>
      <c r="BM31" s="73">
        <f t="shared" si="32"/>
        <v>22</v>
      </c>
      <c r="BN31" s="73">
        <f t="shared" si="32"/>
        <v>40</v>
      </c>
      <c r="BO31" s="73">
        <f t="shared" si="32"/>
        <v>0</v>
      </c>
      <c r="BP31" s="73">
        <f t="shared" si="32"/>
        <v>0</v>
      </c>
      <c r="BQ31" s="73">
        <f t="shared" si="32"/>
        <v>0</v>
      </c>
      <c r="BR31" s="73">
        <f t="shared" si="32"/>
        <v>0</v>
      </c>
      <c r="BS31" s="73">
        <f t="shared" si="32"/>
        <v>18</v>
      </c>
      <c r="BT31" s="73">
        <f t="shared" si="32"/>
        <v>18</v>
      </c>
      <c r="BU31" s="73">
        <f t="shared" si="32"/>
        <v>18</v>
      </c>
      <c r="BV31" s="73">
        <f t="shared" si="32"/>
        <v>18</v>
      </c>
      <c r="BW31" s="73">
        <f t="shared" si="32"/>
        <v>18</v>
      </c>
      <c r="BX31" s="73">
        <f t="shared" si="32"/>
        <v>18</v>
      </c>
      <c r="BY31" s="73">
        <f t="shared" si="32"/>
        <v>18</v>
      </c>
      <c r="BZ31" s="73">
        <f t="shared" si="32"/>
        <v>18</v>
      </c>
      <c r="CA31" s="73">
        <f t="shared" si="32"/>
        <v>18</v>
      </c>
      <c r="CB31" s="73">
        <f t="shared" si="32"/>
        <v>18</v>
      </c>
      <c r="CC31" s="73">
        <f t="shared" si="32"/>
        <v>18</v>
      </c>
    </row>
    <row r="32" spans="1:81" x14ac:dyDescent="0.2">
      <c r="A32" s="5" t="s">
        <v>214</v>
      </c>
      <c r="B32" s="5">
        <v>0.26200000000000001</v>
      </c>
      <c r="C32" s="46" t="s">
        <v>215</v>
      </c>
      <c r="D32" s="11">
        <f t="shared" ref="D32:AI32" si="33">IF(D31=0,0, ROUND(D28 * 1/D31* D$13,1))</f>
        <v>0</v>
      </c>
      <c r="E32" s="11">
        <f t="shared" si="33"/>
        <v>32.9</v>
      </c>
      <c r="F32" s="11">
        <f t="shared" si="33"/>
        <v>0</v>
      </c>
      <c r="G32" s="11">
        <f t="shared" si="33"/>
        <v>0</v>
      </c>
      <c r="H32" s="11">
        <f t="shared" si="33"/>
        <v>0</v>
      </c>
      <c r="I32" s="11">
        <f t="shared" si="33"/>
        <v>0</v>
      </c>
      <c r="J32" s="11">
        <f t="shared" si="33"/>
        <v>0</v>
      </c>
      <c r="K32" s="11">
        <f t="shared" si="33"/>
        <v>27.9</v>
      </c>
      <c r="L32" s="11">
        <f t="shared" si="33"/>
        <v>0</v>
      </c>
      <c r="M32" s="11">
        <f t="shared" si="33"/>
        <v>0</v>
      </c>
      <c r="N32" s="11">
        <f t="shared" si="33"/>
        <v>0</v>
      </c>
      <c r="O32" s="11">
        <f t="shared" si="33"/>
        <v>0</v>
      </c>
      <c r="P32" s="11">
        <f t="shared" si="33"/>
        <v>0</v>
      </c>
      <c r="Q32" s="11">
        <f t="shared" si="33"/>
        <v>0</v>
      </c>
      <c r="R32" s="11">
        <f t="shared" si="33"/>
        <v>0</v>
      </c>
      <c r="S32" s="11">
        <f t="shared" si="33"/>
        <v>0</v>
      </c>
      <c r="T32" s="11">
        <f t="shared" si="33"/>
        <v>0</v>
      </c>
      <c r="U32" s="11">
        <f t="shared" si="33"/>
        <v>76.2</v>
      </c>
      <c r="V32" s="11">
        <f t="shared" si="33"/>
        <v>71.2</v>
      </c>
      <c r="W32" s="11">
        <f t="shared" si="33"/>
        <v>66.2</v>
      </c>
      <c r="X32" s="11">
        <f t="shared" si="33"/>
        <v>183.5</v>
      </c>
      <c r="Y32" s="11">
        <f t="shared" si="33"/>
        <v>0</v>
      </c>
      <c r="Z32" s="11">
        <f t="shared" si="33"/>
        <v>0</v>
      </c>
      <c r="AA32" s="11">
        <f t="shared" si="33"/>
        <v>0</v>
      </c>
      <c r="AB32" s="11">
        <f t="shared" si="33"/>
        <v>0</v>
      </c>
      <c r="AC32" s="11">
        <f t="shared" si="33"/>
        <v>29.8</v>
      </c>
      <c r="AD32" s="11">
        <f t="shared" si="33"/>
        <v>24.8</v>
      </c>
      <c r="AE32" s="11">
        <f t="shared" si="33"/>
        <v>19.8</v>
      </c>
      <c r="AF32" s="11">
        <f t="shared" si="33"/>
        <v>14.8</v>
      </c>
      <c r="AG32" s="11">
        <f t="shared" si="33"/>
        <v>9.8000000000000007</v>
      </c>
      <c r="AH32" s="11">
        <f t="shared" si="33"/>
        <v>1.9</v>
      </c>
      <c r="AI32" s="11">
        <f t="shared" si="33"/>
        <v>-3.1</v>
      </c>
      <c r="AJ32" s="11">
        <f t="shared" ref="AJ32:BO32" si="34">IF(AJ31=0,0, ROUND(AJ28 * 1/AJ31* AJ$13,1))</f>
        <v>0</v>
      </c>
      <c r="AK32" s="11">
        <f t="shared" si="34"/>
        <v>0</v>
      </c>
      <c r="AL32" s="11">
        <f t="shared" si="34"/>
        <v>0</v>
      </c>
      <c r="AM32" s="11">
        <f t="shared" si="34"/>
        <v>0</v>
      </c>
      <c r="AN32" s="11">
        <f t="shared" si="34"/>
        <v>-50.6</v>
      </c>
      <c r="AO32" s="11">
        <f t="shared" si="34"/>
        <v>-55.6</v>
      </c>
      <c r="AP32" s="11">
        <f t="shared" si="34"/>
        <v>-60.6</v>
      </c>
      <c r="AQ32" s="11">
        <f t="shared" si="34"/>
        <v>-54.3</v>
      </c>
      <c r="AR32" s="11">
        <f t="shared" si="34"/>
        <v>-59.3</v>
      </c>
      <c r="AS32" s="11">
        <f t="shared" si="34"/>
        <v>-77.7</v>
      </c>
      <c r="AT32" s="11">
        <f t="shared" si="34"/>
        <v>-68.400000000000006</v>
      </c>
      <c r="AU32" s="11">
        <f t="shared" si="34"/>
        <v>-76.099999999999994</v>
      </c>
      <c r="AV32" s="11">
        <f t="shared" si="34"/>
        <v>-81.099999999999994</v>
      </c>
      <c r="AW32" s="11">
        <f t="shared" si="34"/>
        <v>-86.1</v>
      </c>
      <c r="AX32" s="11">
        <f t="shared" si="34"/>
        <v>-91.1</v>
      </c>
      <c r="AY32" s="11">
        <f t="shared" si="34"/>
        <v>-122.3</v>
      </c>
      <c r="AZ32" s="11">
        <f t="shared" si="34"/>
        <v>-140</v>
      </c>
      <c r="BA32" s="11">
        <f t="shared" si="34"/>
        <v>-145</v>
      </c>
      <c r="BB32" s="11">
        <f t="shared" si="34"/>
        <v>-150</v>
      </c>
      <c r="BC32" s="11">
        <f t="shared" si="34"/>
        <v>-140.9</v>
      </c>
      <c r="BD32" s="11">
        <f t="shared" si="34"/>
        <v>-145.9</v>
      </c>
      <c r="BE32" s="11">
        <f t="shared" si="34"/>
        <v>-150.9</v>
      </c>
      <c r="BF32" s="11">
        <f t="shared" si="34"/>
        <v>-155.9</v>
      </c>
      <c r="BG32" s="11">
        <f t="shared" si="34"/>
        <v>-160.9</v>
      </c>
      <c r="BH32" s="11">
        <f t="shared" si="34"/>
        <v>-165.9</v>
      </c>
      <c r="BI32" s="11">
        <f t="shared" si="34"/>
        <v>-170.9</v>
      </c>
      <c r="BJ32" s="11">
        <f t="shared" si="34"/>
        <v>-175.9</v>
      </c>
      <c r="BK32" s="11">
        <f t="shared" si="34"/>
        <v>-180.9</v>
      </c>
      <c r="BL32" s="11">
        <f t="shared" si="34"/>
        <v>-185.9</v>
      </c>
      <c r="BM32" s="11">
        <f t="shared" si="34"/>
        <v>-190.9</v>
      </c>
      <c r="BN32" s="11">
        <f t="shared" si="34"/>
        <v>-107.8</v>
      </c>
      <c r="BO32" s="11">
        <f t="shared" si="34"/>
        <v>0</v>
      </c>
      <c r="BP32" s="11">
        <f t="shared" ref="BP32:CU32" si="35">IF(BP31=0,0, ROUND(BP28 * 1/BP31* BP$13,1))</f>
        <v>0</v>
      </c>
      <c r="BQ32" s="11">
        <f t="shared" si="35"/>
        <v>0</v>
      </c>
      <c r="BR32" s="11">
        <f t="shared" si="35"/>
        <v>0</v>
      </c>
      <c r="BS32" s="11">
        <f t="shared" si="35"/>
        <v>-250.6</v>
      </c>
      <c r="BT32" s="11">
        <f t="shared" si="35"/>
        <v>-255.6</v>
      </c>
      <c r="BU32" s="11">
        <f t="shared" si="35"/>
        <v>-260.60000000000002</v>
      </c>
      <c r="BV32" s="11">
        <f t="shared" si="35"/>
        <v>-265.60000000000002</v>
      </c>
      <c r="BW32" s="11">
        <f t="shared" si="35"/>
        <v>-270.60000000000002</v>
      </c>
      <c r="BX32" s="11">
        <f t="shared" si="35"/>
        <v>-275.60000000000002</v>
      </c>
      <c r="BY32" s="11">
        <f t="shared" si="35"/>
        <v>-280.60000000000002</v>
      </c>
      <c r="BZ32" s="11">
        <f t="shared" si="35"/>
        <v>-285.60000000000002</v>
      </c>
      <c r="CA32" s="11">
        <f t="shared" si="35"/>
        <v>-290.60000000000002</v>
      </c>
      <c r="CB32" s="11">
        <f t="shared" si="35"/>
        <v>-295.60000000000002</v>
      </c>
      <c r="CC32" s="11">
        <f t="shared" si="35"/>
        <v>-300.60000000000002</v>
      </c>
    </row>
    <row r="33" spans="1:81" x14ac:dyDescent="0.2">
      <c r="A33" s="10">
        <v>20</v>
      </c>
      <c r="B33" s="10">
        <v>1</v>
      </c>
      <c r="C33" s="68">
        <v>5.7792500000000002</v>
      </c>
      <c r="D33">
        <f t="shared" ref="D33:AI33" si="36">D30/$B33</f>
        <v>0</v>
      </c>
      <c r="E33">
        <f t="shared" si="36"/>
        <v>0</v>
      </c>
      <c r="F33">
        <f t="shared" si="36"/>
        <v>0</v>
      </c>
      <c r="G33">
        <f t="shared" si="36"/>
        <v>0</v>
      </c>
      <c r="H33">
        <f t="shared" si="36"/>
        <v>0</v>
      </c>
      <c r="I33">
        <f t="shared" si="36"/>
        <v>0</v>
      </c>
      <c r="J33">
        <f t="shared" si="36"/>
        <v>0</v>
      </c>
      <c r="K33">
        <f t="shared" si="36"/>
        <v>0</v>
      </c>
      <c r="L33">
        <f t="shared" si="36"/>
        <v>0</v>
      </c>
      <c r="M33">
        <f t="shared" si="36"/>
        <v>0</v>
      </c>
      <c r="N33">
        <f t="shared" si="36"/>
        <v>0</v>
      </c>
      <c r="O33">
        <f t="shared" si="36"/>
        <v>0</v>
      </c>
      <c r="P33">
        <f t="shared" si="36"/>
        <v>0</v>
      </c>
      <c r="Q33">
        <f t="shared" si="36"/>
        <v>0</v>
      </c>
      <c r="R33">
        <f t="shared" si="36"/>
        <v>0</v>
      </c>
      <c r="S33">
        <f t="shared" si="36"/>
        <v>0</v>
      </c>
      <c r="T33">
        <f t="shared" si="36"/>
        <v>0</v>
      </c>
      <c r="U33">
        <f t="shared" si="36"/>
        <v>0</v>
      </c>
      <c r="V33">
        <f t="shared" si="36"/>
        <v>0</v>
      </c>
      <c r="W33">
        <f t="shared" si="36"/>
        <v>0</v>
      </c>
      <c r="X33">
        <f t="shared" si="36"/>
        <v>0</v>
      </c>
      <c r="Y33">
        <f t="shared" si="36"/>
        <v>0</v>
      </c>
      <c r="Z33">
        <f t="shared" si="36"/>
        <v>0</v>
      </c>
      <c r="AA33">
        <f t="shared" si="36"/>
        <v>0</v>
      </c>
      <c r="AB33">
        <f t="shared" si="36"/>
        <v>0</v>
      </c>
      <c r="AC33">
        <f t="shared" si="36"/>
        <v>0</v>
      </c>
      <c r="AD33">
        <f t="shared" si="36"/>
        <v>0</v>
      </c>
      <c r="AE33">
        <f t="shared" si="36"/>
        <v>0</v>
      </c>
      <c r="AF33">
        <f t="shared" si="36"/>
        <v>0</v>
      </c>
      <c r="AG33">
        <f t="shared" si="36"/>
        <v>0</v>
      </c>
      <c r="AH33">
        <f t="shared" si="36"/>
        <v>0</v>
      </c>
      <c r="AI33">
        <f t="shared" si="36"/>
        <v>0</v>
      </c>
      <c r="AJ33">
        <f t="shared" ref="AJ33:BO33" si="37">AJ30/$B33</f>
        <v>0</v>
      </c>
      <c r="AK33">
        <f t="shared" si="37"/>
        <v>0</v>
      </c>
      <c r="AL33">
        <f t="shared" si="37"/>
        <v>0</v>
      </c>
      <c r="AM33">
        <f t="shared" si="37"/>
        <v>0</v>
      </c>
      <c r="AN33">
        <f t="shared" si="37"/>
        <v>0</v>
      </c>
      <c r="AO33">
        <f t="shared" si="37"/>
        <v>0</v>
      </c>
      <c r="AP33">
        <f t="shared" si="37"/>
        <v>0</v>
      </c>
      <c r="AQ33">
        <f t="shared" si="37"/>
        <v>0</v>
      </c>
      <c r="AR33">
        <f t="shared" si="37"/>
        <v>0</v>
      </c>
      <c r="AS33">
        <f t="shared" si="37"/>
        <v>0</v>
      </c>
      <c r="AT33">
        <f t="shared" si="37"/>
        <v>0</v>
      </c>
      <c r="AU33">
        <f t="shared" si="37"/>
        <v>0</v>
      </c>
      <c r="AV33">
        <f t="shared" si="37"/>
        <v>0</v>
      </c>
      <c r="AW33">
        <f t="shared" si="37"/>
        <v>0</v>
      </c>
      <c r="AX33">
        <f t="shared" si="37"/>
        <v>0</v>
      </c>
      <c r="AY33">
        <f t="shared" si="37"/>
        <v>0</v>
      </c>
      <c r="AZ33">
        <f t="shared" si="37"/>
        <v>0</v>
      </c>
      <c r="BA33">
        <f t="shared" si="37"/>
        <v>0</v>
      </c>
      <c r="BB33">
        <f t="shared" si="37"/>
        <v>0</v>
      </c>
      <c r="BC33">
        <f t="shared" si="37"/>
        <v>0</v>
      </c>
      <c r="BD33">
        <f t="shared" si="37"/>
        <v>0</v>
      </c>
      <c r="BE33">
        <f t="shared" si="37"/>
        <v>0</v>
      </c>
      <c r="BF33">
        <f t="shared" si="37"/>
        <v>0</v>
      </c>
      <c r="BG33">
        <f t="shared" si="37"/>
        <v>0</v>
      </c>
      <c r="BH33">
        <f t="shared" si="37"/>
        <v>0</v>
      </c>
      <c r="BI33">
        <f t="shared" si="37"/>
        <v>0</v>
      </c>
      <c r="BJ33">
        <f t="shared" si="37"/>
        <v>0</v>
      </c>
      <c r="BK33">
        <f t="shared" si="37"/>
        <v>0</v>
      </c>
      <c r="BL33">
        <f t="shared" si="37"/>
        <v>0</v>
      </c>
      <c r="BM33">
        <f t="shared" si="37"/>
        <v>0</v>
      </c>
      <c r="BN33">
        <f t="shared" si="37"/>
        <v>0</v>
      </c>
      <c r="BO33">
        <f t="shared" si="37"/>
        <v>0</v>
      </c>
      <c r="BP33">
        <f t="shared" ref="BP33:CC33" si="38">BP30/$B33</f>
        <v>0</v>
      </c>
      <c r="BQ33">
        <f t="shared" si="38"/>
        <v>0</v>
      </c>
      <c r="BR33">
        <f t="shared" si="38"/>
        <v>0</v>
      </c>
      <c r="BS33">
        <f t="shared" si="38"/>
        <v>0</v>
      </c>
      <c r="BT33">
        <f t="shared" si="38"/>
        <v>0</v>
      </c>
      <c r="BU33">
        <f t="shared" si="38"/>
        <v>0</v>
      </c>
      <c r="BV33">
        <f t="shared" si="38"/>
        <v>0</v>
      </c>
      <c r="BW33">
        <f t="shared" si="38"/>
        <v>0</v>
      </c>
      <c r="BX33">
        <f t="shared" si="38"/>
        <v>0</v>
      </c>
      <c r="BY33">
        <f t="shared" si="38"/>
        <v>0</v>
      </c>
      <c r="BZ33">
        <f t="shared" si="38"/>
        <v>0</v>
      </c>
      <c r="CA33">
        <f t="shared" si="38"/>
        <v>0</v>
      </c>
      <c r="CB33">
        <f t="shared" si="38"/>
        <v>0</v>
      </c>
      <c r="CC33">
        <f t="shared" si="38"/>
        <v>0</v>
      </c>
    </row>
    <row r="34" spans="1:81" x14ac:dyDescent="0.2">
      <c r="A34" s="10"/>
      <c r="B34" s="67">
        <f>SUM(D38:AJ38)/SUM($D$263:$AJ$263)</f>
        <v>1.5625762976707847E-3</v>
      </c>
      <c r="C34" s="9" t="s">
        <v>216</v>
      </c>
      <c r="D34">
        <f t="shared" ref="D34:AI34" si="39">D28-D31</f>
        <v>657</v>
      </c>
      <c r="E34">
        <f t="shared" si="39"/>
        <v>557</v>
      </c>
      <c r="F34">
        <f t="shared" si="39"/>
        <v>557</v>
      </c>
      <c r="G34">
        <f t="shared" si="39"/>
        <v>557</v>
      </c>
      <c r="H34">
        <f t="shared" si="39"/>
        <v>557</v>
      </c>
      <c r="I34">
        <f t="shared" si="39"/>
        <v>557</v>
      </c>
      <c r="J34">
        <f t="shared" si="39"/>
        <v>557</v>
      </c>
      <c r="K34">
        <f t="shared" si="39"/>
        <v>457</v>
      </c>
      <c r="L34">
        <f t="shared" si="39"/>
        <v>457</v>
      </c>
      <c r="M34">
        <f t="shared" si="39"/>
        <v>457</v>
      </c>
      <c r="N34">
        <f t="shared" si="39"/>
        <v>457</v>
      </c>
      <c r="O34">
        <f t="shared" si="39"/>
        <v>457</v>
      </c>
      <c r="P34">
        <f t="shared" si="39"/>
        <v>457</v>
      </c>
      <c r="Q34">
        <f t="shared" si="39"/>
        <v>457</v>
      </c>
      <c r="R34">
        <f t="shared" si="39"/>
        <v>457</v>
      </c>
      <c r="S34">
        <f t="shared" si="39"/>
        <v>457</v>
      </c>
      <c r="T34">
        <f t="shared" si="39"/>
        <v>457</v>
      </c>
      <c r="U34">
        <f t="shared" si="39"/>
        <v>427</v>
      </c>
      <c r="V34">
        <f t="shared" si="39"/>
        <v>397</v>
      </c>
      <c r="W34">
        <f t="shared" si="39"/>
        <v>367</v>
      </c>
      <c r="X34">
        <f t="shared" si="39"/>
        <v>357</v>
      </c>
      <c r="Y34">
        <f t="shared" si="39"/>
        <v>357</v>
      </c>
      <c r="Z34">
        <f t="shared" si="39"/>
        <v>357</v>
      </c>
      <c r="AA34">
        <f t="shared" si="39"/>
        <v>357</v>
      </c>
      <c r="AB34">
        <f t="shared" si="39"/>
        <v>357</v>
      </c>
      <c r="AC34">
        <f t="shared" si="39"/>
        <v>297</v>
      </c>
      <c r="AD34">
        <f t="shared" si="39"/>
        <v>237</v>
      </c>
      <c r="AE34">
        <f t="shared" si="39"/>
        <v>177</v>
      </c>
      <c r="AF34">
        <f t="shared" si="39"/>
        <v>117</v>
      </c>
      <c r="AG34">
        <f t="shared" si="39"/>
        <v>57</v>
      </c>
      <c r="AH34">
        <f t="shared" si="39"/>
        <v>-93</v>
      </c>
      <c r="AI34">
        <f t="shared" si="39"/>
        <v>-243</v>
      </c>
      <c r="AJ34">
        <f t="shared" ref="AJ34:BO34" si="40">AJ28-AJ31</f>
        <v>-243</v>
      </c>
      <c r="AK34">
        <f t="shared" si="40"/>
        <v>-243</v>
      </c>
      <c r="AL34">
        <f t="shared" si="40"/>
        <v>-243</v>
      </c>
      <c r="AM34">
        <f t="shared" si="40"/>
        <v>-243</v>
      </c>
      <c r="AN34">
        <f t="shared" si="40"/>
        <v>-267</v>
      </c>
      <c r="AO34">
        <f t="shared" si="40"/>
        <v>-291</v>
      </c>
      <c r="AP34">
        <f t="shared" si="40"/>
        <v>-315</v>
      </c>
      <c r="AQ34">
        <f t="shared" si="40"/>
        <v>-344</v>
      </c>
      <c r="AR34">
        <f t="shared" si="40"/>
        <v>-373</v>
      </c>
      <c r="AS34">
        <f t="shared" si="40"/>
        <v>-397</v>
      </c>
      <c r="AT34">
        <f t="shared" si="40"/>
        <v>-426</v>
      </c>
      <c r="AU34">
        <f t="shared" si="40"/>
        <v>-454</v>
      </c>
      <c r="AV34">
        <f t="shared" si="40"/>
        <v>-482</v>
      </c>
      <c r="AW34">
        <f t="shared" si="40"/>
        <v>-510</v>
      </c>
      <c r="AX34">
        <f t="shared" si="40"/>
        <v>-538</v>
      </c>
      <c r="AY34">
        <f t="shared" si="40"/>
        <v>-560</v>
      </c>
      <c r="AZ34">
        <f t="shared" si="40"/>
        <v>-580</v>
      </c>
      <c r="BA34">
        <f t="shared" si="40"/>
        <v>-600</v>
      </c>
      <c r="BB34">
        <f t="shared" si="40"/>
        <v>-620</v>
      </c>
      <c r="BC34">
        <f t="shared" si="40"/>
        <v>-642</v>
      </c>
      <c r="BD34">
        <f t="shared" si="40"/>
        <v>-664</v>
      </c>
      <c r="BE34">
        <f t="shared" si="40"/>
        <v>-686</v>
      </c>
      <c r="BF34">
        <f t="shared" si="40"/>
        <v>-708</v>
      </c>
      <c r="BG34">
        <f t="shared" si="40"/>
        <v>-730</v>
      </c>
      <c r="BH34">
        <f t="shared" si="40"/>
        <v>-752</v>
      </c>
      <c r="BI34">
        <f t="shared" si="40"/>
        <v>-774</v>
      </c>
      <c r="BJ34">
        <f t="shared" si="40"/>
        <v>-796</v>
      </c>
      <c r="BK34">
        <f t="shared" si="40"/>
        <v>-818</v>
      </c>
      <c r="BL34">
        <f t="shared" si="40"/>
        <v>-840</v>
      </c>
      <c r="BM34">
        <f t="shared" si="40"/>
        <v>-862</v>
      </c>
      <c r="BN34">
        <f t="shared" si="40"/>
        <v>-902</v>
      </c>
      <c r="BO34">
        <f t="shared" si="40"/>
        <v>-902</v>
      </c>
      <c r="BP34">
        <f t="shared" ref="BP34:CC34" si="41">BP28-BP31</f>
        <v>-902</v>
      </c>
      <c r="BQ34">
        <f t="shared" si="41"/>
        <v>-902</v>
      </c>
      <c r="BR34">
        <f t="shared" si="41"/>
        <v>-902</v>
      </c>
      <c r="BS34">
        <f t="shared" si="41"/>
        <v>-920</v>
      </c>
      <c r="BT34">
        <f t="shared" si="41"/>
        <v>-938</v>
      </c>
      <c r="BU34">
        <f t="shared" si="41"/>
        <v>-956</v>
      </c>
      <c r="BV34">
        <f t="shared" si="41"/>
        <v>-974</v>
      </c>
      <c r="BW34">
        <f t="shared" si="41"/>
        <v>-992</v>
      </c>
      <c r="BX34">
        <f t="shared" si="41"/>
        <v>-1010</v>
      </c>
      <c r="BY34">
        <f t="shared" si="41"/>
        <v>-1028</v>
      </c>
      <c r="BZ34">
        <f t="shared" si="41"/>
        <v>-1046</v>
      </c>
      <c r="CA34">
        <f t="shared" si="41"/>
        <v>-1064</v>
      </c>
      <c r="CB34">
        <f t="shared" si="41"/>
        <v>-1082</v>
      </c>
      <c r="CC34">
        <f t="shared" si="41"/>
        <v>-1100</v>
      </c>
    </row>
    <row r="35" spans="1:81" x14ac:dyDescent="0.2">
      <c r="A35" s="43" t="s">
        <v>219</v>
      </c>
      <c r="B35" s="44" t="s">
        <v>208</v>
      </c>
      <c r="C35" s="9" t="s">
        <v>38</v>
      </c>
      <c r="D35" s="58">
        <f>IFERROR(VLOOKUP(A35,OS!$A:$B,2,0),0)</f>
        <v>40</v>
      </c>
      <c r="E35" s="5">
        <f>(D35+D36-D38)</f>
        <v>40</v>
      </c>
      <c r="F35" s="5">
        <f>(E35+E36-E38)</f>
        <v>40</v>
      </c>
      <c r="G35" s="5">
        <f>(F35+F36-F38)</f>
        <v>40</v>
      </c>
      <c r="H35" s="5">
        <f>(G35+G36-G38)</f>
        <v>40</v>
      </c>
      <c r="I35" s="5">
        <f t="shared" ref="I35:AN35" si="42">(H35+H36-H38+D37)</f>
        <v>40</v>
      </c>
      <c r="J35" s="5">
        <f t="shared" si="42"/>
        <v>40</v>
      </c>
      <c r="K35" s="5">
        <f t="shared" si="42"/>
        <v>40</v>
      </c>
      <c r="L35" s="5">
        <f t="shared" si="42"/>
        <v>40</v>
      </c>
      <c r="M35" s="5">
        <f t="shared" si="42"/>
        <v>40</v>
      </c>
      <c r="N35" s="5">
        <f t="shared" si="42"/>
        <v>40</v>
      </c>
      <c r="O35" s="5">
        <f t="shared" si="42"/>
        <v>40</v>
      </c>
      <c r="P35" s="5">
        <f t="shared" si="42"/>
        <v>40</v>
      </c>
      <c r="Q35" s="5">
        <f t="shared" si="42"/>
        <v>40</v>
      </c>
      <c r="R35" s="5">
        <f t="shared" si="42"/>
        <v>40</v>
      </c>
      <c r="S35" s="5">
        <f t="shared" si="42"/>
        <v>40</v>
      </c>
      <c r="T35" s="5">
        <f t="shared" si="42"/>
        <v>40</v>
      </c>
      <c r="U35" s="5">
        <f t="shared" si="42"/>
        <v>40</v>
      </c>
      <c r="V35" s="5">
        <f t="shared" si="42"/>
        <v>40</v>
      </c>
      <c r="W35" s="5">
        <f t="shared" si="42"/>
        <v>40</v>
      </c>
      <c r="X35" s="5">
        <f t="shared" si="42"/>
        <v>40</v>
      </c>
      <c r="Y35" s="5">
        <f t="shared" si="42"/>
        <v>40</v>
      </c>
      <c r="Z35" s="5">
        <f t="shared" si="42"/>
        <v>0</v>
      </c>
      <c r="AA35" s="5">
        <f t="shared" si="42"/>
        <v>-40</v>
      </c>
      <c r="AB35" s="5">
        <f t="shared" si="42"/>
        <v>-80</v>
      </c>
      <c r="AC35" s="5">
        <f t="shared" si="42"/>
        <v>-120</v>
      </c>
      <c r="AD35" s="5">
        <f t="shared" si="42"/>
        <v>-120</v>
      </c>
      <c r="AE35" s="5">
        <f t="shared" si="42"/>
        <v>-120</v>
      </c>
      <c r="AF35" s="5">
        <f t="shared" si="42"/>
        <v>-120</v>
      </c>
      <c r="AG35" s="5">
        <f t="shared" si="42"/>
        <v>-120</v>
      </c>
      <c r="AH35" s="5">
        <f t="shared" si="42"/>
        <v>-120</v>
      </c>
      <c r="AI35" s="5">
        <f t="shared" si="42"/>
        <v>-120</v>
      </c>
      <c r="AJ35" s="5">
        <f t="shared" si="42"/>
        <v>-120</v>
      </c>
      <c r="AK35" s="5">
        <f t="shared" si="42"/>
        <v>-120</v>
      </c>
      <c r="AL35" s="5">
        <f t="shared" si="42"/>
        <v>-120</v>
      </c>
      <c r="AM35" s="5">
        <f t="shared" si="42"/>
        <v>-120</v>
      </c>
      <c r="AN35" s="5">
        <f t="shared" si="42"/>
        <v>-120</v>
      </c>
      <c r="AO35" s="5">
        <f t="shared" ref="AO35:BT35" si="43">(AN35+AN36-AN38+AJ37)</f>
        <v>-125</v>
      </c>
      <c r="AP35" s="5">
        <f t="shared" si="43"/>
        <v>-130</v>
      </c>
      <c r="AQ35" s="5">
        <f t="shared" si="43"/>
        <v>-135</v>
      </c>
      <c r="AR35" s="5">
        <f t="shared" si="43"/>
        <v>-141</v>
      </c>
      <c r="AS35" s="5">
        <f t="shared" si="43"/>
        <v>-147</v>
      </c>
      <c r="AT35" s="5">
        <f t="shared" si="43"/>
        <v>-152</v>
      </c>
      <c r="AU35" s="5">
        <f t="shared" si="43"/>
        <v>-158</v>
      </c>
      <c r="AV35" s="5">
        <f t="shared" si="43"/>
        <v>-163</v>
      </c>
      <c r="AW35" s="5">
        <f t="shared" si="43"/>
        <v>-168</v>
      </c>
      <c r="AX35" s="5">
        <f t="shared" si="43"/>
        <v>-173</v>
      </c>
      <c r="AY35" s="5">
        <f t="shared" si="43"/>
        <v>-178</v>
      </c>
      <c r="AZ35" s="5">
        <f t="shared" si="43"/>
        <v>-182</v>
      </c>
      <c r="BA35" s="5">
        <f t="shared" si="43"/>
        <v>-186</v>
      </c>
      <c r="BB35" s="5">
        <f t="shared" si="43"/>
        <v>-190</v>
      </c>
      <c r="BC35" s="5">
        <f t="shared" si="43"/>
        <v>-194</v>
      </c>
      <c r="BD35" s="5">
        <f t="shared" si="43"/>
        <v>-198</v>
      </c>
      <c r="BE35" s="5">
        <f t="shared" si="43"/>
        <v>-202</v>
      </c>
      <c r="BF35" s="5">
        <f t="shared" si="43"/>
        <v>-206</v>
      </c>
      <c r="BG35" s="5">
        <f t="shared" si="43"/>
        <v>-210</v>
      </c>
      <c r="BH35" s="5">
        <f t="shared" si="43"/>
        <v>-214</v>
      </c>
      <c r="BI35" s="5">
        <f t="shared" si="43"/>
        <v>-218</v>
      </c>
      <c r="BJ35" s="5">
        <f t="shared" si="43"/>
        <v>-222</v>
      </c>
      <c r="BK35" s="5">
        <f t="shared" si="43"/>
        <v>-226</v>
      </c>
      <c r="BL35" s="5">
        <f t="shared" si="43"/>
        <v>-230</v>
      </c>
      <c r="BM35" s="5">
        <f t="shared" si="43"/>
        <v>-234</v>
      </c>
      <c r="BN35" s="5">
        <f t="shared" si="43"/>
        <v>-238</v>
      </c>
      <c r="BO35" s="5">
        <f t="shared" si="43"/>
        <v>-246</v>
      </c>
      <c r="BP35" s="5">
        <f t="shared" si="43"/>
        <v>-246</v>
      </c>
      <c r="BQ35" s="5">
        <f t="shared" si="43"/>
        <v>-246</v>
      </c>
      <c r="BR35" s="5">
        <f t="shared" si="43"/>
        <v>-246</v>
      </c>
      <c r="BS35" s="5">
        <f t="shared" si="43"/>
        <v>-246</v>
      </c>
      <c r="BT35" s="5">
        <f t="shared" si="43"/>
        <v>-250</v>
      </c>
      <c r="BU35" s="5">
        <f t="shared" ref="BU35:CZ35" si="44">(BT35+BT36-BT38+BP37)</f>
        <v>-254</v>
      </c>
      <c r="BV35" s="5">
        <f t="shared" si="44"/>
        <v>-258</v>
      </c>
      <c r="BW35" s="5">
        <f t="shared" si="44"/>
        <v>-262</v>
      </c>
      <c r="BX35" s="5">
        <f t="shared" si="44"/>
        <v>-266</v>
      </c>
      <c r="BY35" s="5">
        <f t="shared" si="44"/>
        <v>-270</v>
      </c>
      <c r="BZ35" s="5">
        <f t="shared" si="44"/>
        <v>-274</v>
      </c>
      <c r="CA35" s="5">
        <f t="shared" si="44"/>
        <v>-278</v>
      </c>
      <c r="CB35" s="5">
        <f t="shared" si="44"/>
        <v>-282</v>
      </c>
      <c r="CC35" s="5">
        <f t="shared" si="44"/>
        <v>-286</v>
      </c>
    </row>
    <row r="36" spans="1:81" x14ac:dyDescent="0.2">
      <c r="A36" s="5" t="s">
        <v>209</v>
      </c>
      <c r="B36" s="5">
        <v>6.7489999999999997</v>
      </c>
      <c r="C36" s="45" t="s">
        <v>39</v>
      </c>
      <c r="D36" s="59">
        <f>IFERROR(VLOOKUP(A35,WIP!$A:$B,2,0),0)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">
      <c r="A37" s="5" t="s">
        <v>210</v>
      </c>
      <c r="B37" s="5">
        <v>0.11899999999999999</v>
      </c>
      <c r="C37" s="9" t="s">
        <v>211</v>
      </c>
      <c r="D37" s="60">
        <f>IFERROR(VLOOKUP($A35,Plan!$A:B,D$4,0),0)</f>
        <v>0</v>
      </c>
      <c r="E37" s="70">
        <f>IFERROR(VLOOKUP($A35,Plan!$A:C,E$4,0),0)</f>
        <v>0</v>
      </c>
      <c r="F37" s="70">
        <f>IFERROR(VLOOKUP($A35,Plan!$A:D,F$4,0),0)</f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">
      <c r="A38" s="5" t="s">
        <v>212</v>
      </c>
      <c r="B38" s="5">
        <v>0.01</v>
      </c>
      <c r="C38" s="9" t="s">
        <v>213</v>
      </c>
      <c r="D38" s="61">
        <f>IFERROR(VLOOKUP($A35,Sales!$A:B,D$2,0),0)</f>
        <v>0</v>
      </c>
      <c r="E38" s="61">
        <f>IFERROR(VLOOKUP($A35,Sales!$A:C,E$2,0),0)</f>
        <v>0</v>
      </c>
      <c r="F38" s="61">
        <f>IFERROR(VLOOKUP($A35,Sales!$A:D,F$2,0),0)</f>
        <v>0</v>
      </c>
      <c r="G38" s="61">
        <f>IFERROR(VLOOKUP($A35,Sales!$A:E,G$2,0),0)</f>
        <v>0</v>
      </c>
      <c r="H38" s="61">
        <f>IFERROR(VLOOKUP($A35,Sales!$A:F,H$2,0),0)</f>
        <v>0</v>
      </c>
      <c r="I38" s="61">
        <f>IFERROR(VLOOKUP($A35,Sales!$A:G,I$2,0),0)</f>
        <v>0</v>
      </c>
      <c r="J38" s="61">
        <f>IFERROR(VLOOKUP($A35,Sales!$A:H,J$2,0),0)</f>
        <v>0</v>
      </c>
      <c r="K38" s="61">
        <f>IFERROR(VLOOKUP($A35,Sales!$A:I,K$2,0),0)</f>
        <v>0</v>
      </c>
      <c r="L38" s="61">
        <f>IFERROR(VLOOKUP($A35,Sales!$A:J,L$2,0),0)</f>
        <v>0</v>
      </c>
      <c r="M38" s="61">
        <f>IFERROR(VLOOKUP($A35,Sales!$A:K,M$2,0),0)</f>
        <v>0</v>
      </c>
      <c r="N38" s="61">
        <f>IFERROR(VLOOKUP($A35,Sales!$A:L,N$2,0),0)</f>
        <v>0</v>
      </c>
      <c r="O38" s="61">
        <f>IFERROR(VLOOKUP($A35,Sales!$A:M,O$2,0),0)</f>
        <v>0</v>
      </c>
      <c r="P38" s="61">
        <f>IFERROR(VLOOKUP($A35,Sales!$A:N,P$2,0),0)</f>
        <v>0</v>
      </c>
      <c r="Q38" s="61">
        <f>IFERROR(VLOOKUP($A35,Sales!$A:O,Q$2,0),0)</f>
        <v>0</v>
      </c>
      <c r="R38" s="61">
        <f>IFERROR(VLOOKUP($A35,Sales!$A:P,R$2,0),0)</f>
        <v>0</v>
      </c>
      <c r="S38" s="61">
        <f>IFERROR(VLOOKUP($A35,Sales!$A:Q,S$2,0),0)</f>
        <v>0</v>
      </c>
      <c r="T38" s="61">
        <f>IFERROR(VLOOKUP($A35,Sales!$A:R,T$2,0),0)</f>
        <v>0</v>
      </c>
      <c r="U38" s="61">
        <f>IFERROR(VLOOKUP($A35,Sales!$A:S,U$2,0),0)</f>
        <v>0</v>
      </c>
      <c r="V38" s="61">
        <f>IFERROR(VLOOKUP($A35,Sales!$A:T,V$2,0),0)</f>
        <v>0</v>
      </c>
      <c r="W38" s="61">
        <f>IFERROR(VLOOKUP($A35,Sales!$A:U,W$2,0),0)</f>
        <v>0</v>
      </c>
      <c r="X38" s="61">
        <f>IFERROR(VLOOKUP($A35,Sales!$A:V,X$2,0),0)</f>
        <v>0</v>
      </c>
      <c r="Y38" s="61">
        <f>IFERROR(VLOOKUP($A35,Sales!$A:W,Y$2,0),0)</f>
        <v>40</v>
      </c>
      <c r="Z38" s="61">
        <f>IFERROR(VLOOKUP($A35,Sales!$A:X,Z$2,0),0)</f>
        <v>40</v>
      </c>
      <c r="AA38" s="61">
        <f>IFERROR(VLOOKUP($A35,Sales!$A:Y,AA$2,0),0)</f>
        <v>40</v>
      </c>
      <c r="AB38" s="61">
        <f>IFERROR(VLOOKUP($A35,Sales!$A:Z,AB$2,0),0)</f>
        <v>40</v>
      </c>
      <c r="AC38" s="61">
        <f>IFERROR(VLOOKUP($A35,Sales!$A:AA,AC$2,0),0)</f>
        <v>0</v>
      </c>
      <c r="AD38" s="61">
        <f>IFERROR(VLOOKUP($A35,Sales!$A:AB,AD$2,0),0)</f>
        <v>0</v>
      </c>
      <c r="AE38" s="61">
        <f>IFERROR(VLOOKUP($A35,Sales!$A:AC,AE$2,0),0)</f>
        <v>0</v>
      </c>
      <c r="AF38" s="61">
        <f>IFERROR(VLOOKUP($A35,Sales!$A:AD,AF$2,0),0)</f>
        <v>0</v>
      </c>
      <c r="AG38" s="61">
        <f>IFERROR(VLOOKUP($A35,Sales!$A:AE,AG$2,0),0)</f>
        <v>0</v>
      </c>
      <c r="AH38" s="61">
        <f>IFERROR(VLOOKUP($A35,Sales!$A:AF,AH$2,0),0)</f>
        <v>0</v>
      </c>
      <c r="AI38" s="61">
        <f>IFERROR(VLOOKUP($A35,Sales!$A:AG,AI$2,0),0)</f>
        <v>0</v>
      </c>
      <c r="AJ38" s="61">
        <f>IFERROR(VLOOKUP($A35,Sales!$A:AH,AJ$2,0),0)</f>
        <v>0</v>
      </c>
      <c r="AK38" s="73">
        <f t="shared" ref="AK38:CC38" si="45">CEILING(AK$5*$B34,1)</f>
        <v>0</v>
      </c>
      <c r="AL38" s="73">
        <f t="shared" si="45"/>
        <v>0</v>
      </c>
      <c r="AM38" s="73">
        <f t="shared" si="45"/>
        <v>0</v>
      </c>
      <c r="AN38" s="73">
        <f t="shared" si="45"/>
        <v>5</v>
      </c>
      <c r="AO38" s="73">
        <f t="shared" si="45"/>
        <v>5</v>
      </c>
      <c r="AP38" s="73">
        <f t="shared" si="45"/>
        <v>5</v>
      </c>
      <c r="AQ38" s="73">
        <f t="shared" si="45"/>
        <v>6</v>
      </c>
      <c r="AR38" s="73">
        <f t="shared" si="45"/>
        <v>6</v>
      </c>
      <c r="AS38" s="73">
        <f t="shared" si="45"/>
        <v>5</v>
      </c>
      <c r="AT38" s="73">
        <f t="shared" si="45"/>
        <v>6</v>
      </c>
      <c r="AU38" s="73">
        <f t="shared" si="45"/>
        <v>5</v>
      </c>
      <c r="AV38" s="73">
        <f t="shared" si="45"/>
        <v>5</v>
      </c>
      <c r="AW38" s="73">
        <f t="shared" si="45"/>
        <v>5</v>
      </c>
      <c r="AX38" s="73">
        <f t="shared" si="45"/>
        <v>5</v>
      </c>
      <c r="AY38" s="73">
        <f t="shared" si="45"/>
        <v>4</v>
      </c>
      <c r="AZ38" s="73">
        <f t="shared" si="45"/>
        <v>4</v>
      </c>
      <c r="BA38" s="73">
        <f t="shared" si="45"/>
        <v>4</v>
      </c>
      <c r="BB38" s="73">
        <f t="shared" si="45"/>
        <v>4</v>
      </c>
      <c r="BC38" s="73">
        <f t="shared" si="45"/>
        <v>4</v>
      </c>
      <c r="BD38" s="73">
        <f t="shared" si="45"/>
        <v>4</v>
      </c>
      <c r="BE38" s="73">
        <f t="shared" si="45"/>
        <v>4</v>
      </c>
      <c r="BF38" s="73">
        <f t="shared" si="45"/>
        <v>4</v>
      </c>
      <c r="BG38" s="73">
        <f t="shared" si="45"/>
        <v>4</v>
      </c>
      <c r="BH38" s="73">
        <f t="shared" si="45"/>
        <v>4</v>
      </c>
      <c r="BI38" s="73">
        <f t="shared" si="45"/>
        <v>4</v>
      </c>
      <c r="BJ38" s="73">
        <f t="shared" si="45"/>
        <v>4</v>
      </c>
      <c r="BK38" s="73">
        <f t="shared" si="45"/>
        <v>4</v>
      </c>
      <c r="BL38" s="73">
        <f t="shared" si="45"/>
        <v>4</v>
      </c>
      <c r="BM38" s="73">
        <f t="shared" si="45"/>
        <v>4</v>
      </c>
      <c r="BN38" s="73">
        <f t="shared" si="45"/>
        <v>8</v>
      </c>
      <c r="BO38" s="73">
        <f t="shared" si="45"/>
        <v>0</v>
      </c>
      <c r="BP38" s="73">
        <f t="shared" si="45"/>
        <v>0</v>
      </c>
      <c r="BQ38" s="73">
        <f t="shared" si="45"/>
        <v>0</v>
      </c>
      <c r="BR38" s="73">
        <f t="shared" si="45"/>
        <v>0</v>
      </c>
      <c r="BS38" s="73">
        <f t="shared" si="45"/>
        <v>4</v>
      </c>
      <c r="BT38" s="73">
        <f t="shared" si="45"/>
        <v>4</v>
      </c>
      <c r="BU38" s="73">
        <f t="shared" si="45"/>
        <v>4</v>
      </c>
      <c r="BV38" s="73">
        <f t="shared" si="45"/>
        <v>4</v>
      </c>
      <c r="BW38" s="73">
        <f t="shared" si="45"/>
        <v>4</v>
      </c>
      <c r="BX38" s="73">
        <f t="shared" si="45"/>
        <v>4</v>
      </c>
      <c r="BY38" s="73">
        <f t="shared" si="45"/>
        <v>4</v>
      </c>
      <c r="BZ38" s="73">
        <f t="shared" si="45"/>
        <v>4</v>
      </c>
      <c r="CA38" s="73">
        <f t="shared" si="45"/>
        <v>4</v>
      </c>
      <c r="CB38" s="73">
        <f t="shared" si="45"/>
        <v>4</v>
      </c>
      <c r="CC38" s="73">
        <f t="shared" si="45"/>
        <v>4</v>
      </c>
    </row>
    <row r="39" spans="1:81" x14ac:dyDescent="0.2">
      <c r="A39" s="5" t="s">
        <v>214</v>
      </c>
      <c r="B39" s="5">
        <v>0.129</v>
      </c>
      <c r="C39" s="46" t="s">
        <v>215</v>
      </c>
      <c r="D39" s="11">
        <f t="shared" ref="D39:AI39" si="46">IF(D38=0,0, ROUND(D35 * 1/D38* D$13,1))</f>
        <v>0</v>
      </c>
      <c r="E39" s="11">
        <f t="shared" si="46"/>
        <v>0</v>
      </c>
      <c r="F39" s="11">
        <f t="shared" si="46"/>
        <v>0</v>
      </c>
      <c r="G39" s="11">
        <f t="shared" si="46"/>
        <v>0</v>
      </c>
      <c r="H39" s="11">
        <f t="shared" si="46"/>
        <v>0</v>
      </c>
      <c r="I39" s="11">
        <f t="shared" si="46"/>
        <v>0</v>
      </c>
      <c r="J39" s="11">
        <f t="shared" si="46"/>
        <v>0</v>
      </c>
      <c r="K39" s="11">
        <f t="shared" si="46"/>
        <v>0</v>
      </c>
      <c r="L39" s="11">
        <f t="shared" si="46"/>
        <v>0</v>
      </c>
      <c r="M39" s="11">
        <f t="shared" si="46"/>
        <v>0</v>
      </c>
      <c r="N39" s="11">
        <f t="shared" si="46"/>
        <v>0</v>
      </c>
      <c r="O39" s="11">
        <f t="shared" si="46"/>
        <v>0</v>
      </c>
      <c r="P39" s="11">
        <f t="shared" si="46"/>
        <v>0</v>
      </c>
      <c r="Q39" s="11">
        <f t="shared" si="46"/>
        <v>0</v>
      </c>
      <c r="R39" s="11">
        <f t="shared" si="46"/>
        <v>0</v>
      </c>
      <c r="S39" s="11">
        <f t="shared" si="46"/>
        <v>0</v>
      </c>
      <c r="T39" s="11">
        <f t="shared" si="46"/>
        <v>0</v>
      </c>
      <c r="U39" s="11">
        <f t="shared" si="46"/>
        <v>0</v>
      </c>
      <c r="V39" s="11">
        <f t="shared" si="46"/>
        <v>0</v>
      </c>
      <c r="W39" s="11">
        <f t="shared" si="46"/>
        <v>0</v>
      </c>
      <c r="X39" s="11">
        <f t="shared" si="46"/>
        <v>0</v>
      </c>
      <c r="Y39" s="11">
        <f t="shared" si="46"/>
        <v>5</v>
      </c>
      <c r="Z39" s="11">
        <f t="shared" si="46"/>
        <v>0</v>
      </c>
      <c r="AA39" s="11">
        <f t="shared" si="46"/>
        <v>-5</v>
      </c>
      <c r="AB39" s="11">
        <f t="shared" si="46"/>
        <v>-10</v>
      </c>
      <c r="AC39" s="11">
        <f t="shared" si="46"/>
        <v>0</v>
      </c>
      <c r="AD39" s="11">
        <f t="shared" si="46"/>
        <v>0</v>
      </c>
      <c r="AE39" s="11">
        <f t="shared" si="46"/>
        <v>0</v>
      </c>
      <c r="AF39" s="11">
        <f t="shared" si="46"/>
        <v>0</v>
      </c>
      <c r="AG39" s="11">
        <f t="shared" si="46"/>
        <v>0</v>
      </c>
      <c r="AH39" s="11">
        <f t="shared" si="46"/>
        <v>0</v>
      </c>
      <c r="AI39" s="11">
        <f t="shared" si="46"/>
        <v>0</v>
      </c>
      <c r="AJ39" s="11">
        <f t="shared" ref="AJ39:BO39" si="47">IF(AJ38=0,0, ROUND(AJ35 * 1/AJ38* AJ$13,1))</f>
        <v>0</v>
      </c>
      <c r="AK39" s="11">
        <f t="shared" si="47"/>
        <v>0</v>
      </c>
      <c r="AL39" s="11">
        <f t="shared" si="47"/>
        <v>0</v>
      </c>
      <c r="AM39" s="11">
        <f t="shared" si="47"/>
        <v>0</v>
      </c>
      <c r="AN39" s="11">
        <f t="shared" si="47"/>
        <v>-120</v>
      </c>
      <c r="AO39" s="11">
        <f t="shared" si="47"/>
        <v>-125</v>
      </c>
      <c r="AP39" s="11">
        <f t="shared" si="47"/>
        <v>-130</v>
      </c>
      <c r="AQ39" s="11">
        <f t="shared" si="47"/>
        <v>-112.5</v>
      </c>
      <c r="AR39" s="11">
        <f t="shared" si="47"/>
        <v>-117.5</v>
      </c>
      <c r="AS39" s="11">
        <f t="shared" si="47"/>
        <v>-147</v>
      </c>
      <c r="AT39" s="11">
        <f t="shared" si="47"/>
        <v>-126.7</v>
      </c>
      <c r="AU39" s="11">
        <f t="shared" si="47"/>
        <v>-158</v>
      </c>
      <c r="AV39" s="11">
        <f t="shared" si="47"/>
        <v>-163</v>
      </c>
      <c r="AW39" s="11">
        <f t="shared" si="47"/>
        <v>-168</v>
      </c>
      <c r="AX39" s="11">
        <f t="shared" si="47"/>
        <v>-173</v>
      </c>
      <c r="AY39" s="11">
        <f t="shared" si="47"/>
        <v>-222.5</v>
      </c>
      <c r="AZ39" s="11">
        <f t="shared" si="47"/>
        <v>-227.5</v>
      </c>
      <c r="BA39" s="11">
        <f t="shared" si="47"/>
        <v>-232.5</v>
      </c>
      <c r="BB39" s="11">
        <f t="shared" si="47"/>
        <v>-237.5</v>
      </c>
      <c r="BC39" s="11">
        <f t="shared" si="47"/>
        <v>-242.5</v>
      </c>
      <c r="BD39" s="11">
        <f t="shared" si="47"/>
        <v>-247.5</v>
      </c>
      <c r="BE39" s="11">
        <f t="shared" si="47"/>
        <v>-252.5</v>
      </c>
      <c r="BF39" s="11">
        <f t="shared" si="47"/>
        <v>-257.5</v>
      </c>
      <c r="BG39" s="11">
        <f t="shared" si="47"/>
        <v>-262.5</v>
      </c>
      <c r="BH39" s="11">
        <f t="shared" si="47"/>
        <v>-267.5</v>
      </c>
      <c r="BI39" s="11">
        <f t="shared" si="47"/>
        <v>-272.5</v>
      </c>
      <c r="BJ39" s="11">
        <f t="shared" si="47"/>
        <v>-277.5</v>
      </c>
      <c r="BK39" s="11">
        <f t="shared" si="47"/>
        <v>-282.5</v>
      </c>
      <c r="BL39" s="11">
        <f t="shared" si="47"/>
        <v>-287.5</v>
      </c>
      <c r="BM39" s="11">
        <f t="shared" si="47"/>
        <v>-292.5</v>
      </c>
      <c r="BN39" s="11">
        <f t="shared" si="47"/>
        <v>-148.80000000000001</v>
      </c>
      <c r="BO39" s="11">
        <f t="shared" si="47"/>
        <v>0</v>
      </c>
      <c r="BP39" s="11">
        <f t="shared" ref="BP39:CU39" si="48">IF(BP38=0,0, ROUND(BP35 * 1/BP38* BP$13,1))</f>
        <v>0</v>
      </c>
      <c r="BQ39" s="11">
        <f t="shared" si="48"/>
        <v>0</v>
      </c>
      <c r="BR39" s="11">
        <f t="shared" si="48"/>
        <v>0</v>
      </c>
      <c r="BS39" s="11">
        <f t="shared" si="48"/>
        <v>-307.5</v>
      </c>
      <c r="BT39" s="11">
        <f t="shared" si="48"/>
        <v>-312.5</v>
      </c>
      <c r="BU39" s="11">
        <f t="shared" si="48"/>
        <v>-317.5</v>
      </c>
      <c r="BV39" s="11">
        <f t="shared" si="48"/>
        <v>-322.5</v>
      </c>
      <c r="BW39" s="11">
        <f t="shared" si="48"/>
        <v>-327.5</v>
      </c>
      <c r="BX39" s="11">
        <f t="shared" si="48"/>
        <v>-332.5</v>
      </c>
      <c r="BY39" s="11">
        <f t="shared" si="48"/>
        <v>-337.5</v>
      </c>
      <c r="BZ39" s="11">
        <f t="shared" si="48"/>
        <v>-342.5</v>
      </c>
      <c r="CA39" s="11">
        <f t="shared" si="48"/>
        <v>-347.5</v>
      </c>
      <c r="CB39" s="11">
        <f t="shared" si="48"/>
        <v>-352.5</v>
      </c>
      <c r="CC39" s="11">
        <f t="shared" si="48"/>
        <v>-357.5</v>
      </c>
    </row>
    <row r="40" spans="1:81" x14ac:dyDescent="0.2">
      <c r="A40" s="10">
        <v>4</v>
      </c>
      <c r="B40" s="10">
        <v>1</v>
      </c>
      <c r="C40" s="68">
        <v>2.8772899999999999</v>
      </c>
      <c r="D40">
        <f t="shared" ref="D40:AI40" si="49">D37/$B40</f>
        <v>0</v>
      </c>
      <c r="E40">
        <f t="shared" si="49"/>
        <v>0</v>
      </c>
      <c r="F40">
        <f t="shared" si="49"/>
        <v>0</v>
      </c>
      <c r="G40">
        <f t="shared" si="49"/>
        <v>0</v>
      </c>
      <c r="H40">
        <f t="shared" si="49"/>
        <v>0</v>
      </c>
      <c r="I40">
        <f t="shared" si="49"/>
        <v>0</v>
      </c>
      <c r="J40">
        <f t="shared" si="49"/>
        <v>0</v>
      </c>
      <c r="K40">
        <f t="shared" si="49"/>
        <v>0</v>
      </c>
      <c r="L40">
        <f t="shared" si="49"/>
        <v>0</v>
      </c>
      <c r="M40">
        <f t="shared" si="49"/>
        <v>0</v>
      </c>
      <c r="N40">
        <f t="shared" si="49"/>
        <v>0</v>
      </c>
      <c r="O40">
        <f t="shared" si="49"/>
        <v>0</v>
      </c>
      <c r="P40">
        <f t="shared" si="49"/>
        <v>0</v>
      </c>
      <c r="Q40">
        <f t="shared" si="49"/>
        <v>0</v>
      </c>
      <c r="R40">
        <f t="shared" si="49"/>
        <v>0</v>
      </c>
      <c r="S40">
        <f t="shared" si="49"/>
        <v>0</v>
      </c>
      <c r="T40">
        <f t="shared" si="49"/>
        <v>0</v>
      </c>
      <c r="U40">
        <f t="shared" si="49"/>
        <v>0</v>
      </c>
      <c r="V40">
        <f t="shared" si="49"/>
        <v>0</v>
      </c>
      <c r="W40">
        <f t="shared" si="49"/>
        <v>0</v>
      </c>
      <c r="X40">
        <f t="shared" si="49"/>
        <v>0</v>
      </c>
      <c r="Y40">
        <f t="shared" si="49"/>
        <v>0</v>
      </c>
      <c r="Z40">
        <f t="shared" si="49"/>
        <v>0</v>
      </c>
      <c r="AA40">
        <f t="shared" si="49"/>
        <v>0</v>
      </c>
      <c r="AB40">
        <f t="shared" si="49"/>
        <v>0</v>
      </c>
      <c r="AC40">
        <f t="shared" si="49"/>
        <v>0</v>
      </c>
      <c r="AD40">
        <f t="shared" si="49"/>
        <v>0</v>
      </c>
      <c r="AE40">
        <f t="shared" si="49"/>
        <v>0</v>
      </c>
      <c r="AF40">
        <f t="shared" si="49"/>
        <v>0</v>
      </c>
      <c r="AG40">
        <f t="shared" si="49"/>
        <v>0</v>
      </c>
      <c r="AH40">
        <f t="shared" si="49"/>
        <v>0</v>
      </c>
      <c r="AI40">
        <f t="shared" si="49"/>
        <v>0</v>
      </c>
      <c r="AJ40">
        <f t="shared" ref="AJ40:BO40" si="50">AJ37/$B40</f>
        <v>0</v>
      </c>
      <c r="AK40">
        <f t="shared" si="50"/>
        <v>0</v>
      </c>
      <c r="AL40">
        <f t="shared" si="50"/>
        <v>0</v>
      </c>
      <c r="AM40">
        <f t="shared" si="50"/>
        <v>0</v>
      </c>
      <c r="AN40">
        <f t="shared" si="50"/>
        <v>0</v>
      </c>
      <c r="AO40">
        <f t="shared" si="50"/>
        <v>0</v>
      </c>
      <c r="AP40">
        <f t="shared" si="50"/>
        <v>0</v>
      </c>
      <c r="AQ40">
        <f t="shared" si="50"/>
        <v>0</v>
      </c>
      <c r="AR40">
        <f t="shared" si="50"/>
        <v>0</v>
      </c>
      <c r="AS40">
        <f t="shared" si="50"/>
        <v>0</v>
      </c>
      <c r="AT40">
        <f t="shared" si="50"/>
        <v>0</v>
      </c>
      <c r="AU40">
        <f t="shared" si="50"/>
        <v>0</v>
      </c>
      <c r="AV40">
        <f t="shared" si="50"/>
        <v>0</v>
      </c>
      <c r="AW40">
        <f t="shared" si="50"/>
        <v>0</v>
      </c>
      <c r="AX40">
        <f t="shared" si="50"/>
        <v>0</v>
      </c>
      <c r="AY40">
        <f t="shared" si="50"/>
        <v>0</v>
      </c>
      <c r="AZ40">
        <f t="shared" si="50"/>
        <v>0</v>
      </c>
      <c r="BA40">
        <f t="shared" si="50"/>
        <v>0</v>
      </c>
      <c r="BB40">
        <f t="shared" si="50"/>
        <v>0</v>
      </c>
      <c r="BC40">
        <f t="shared" si="50"/>
        <v>0</v>
      </c>
      <c r="BD40">
        <f t="shared" si="50"/>
        <v>0</v>
      </c>
      <c r="BE40">
        <f t="shared" si="50"/>
        <v>0</v>
      </c>
      <c r="BF40">
        <f t="shared" si="50"/>
        <v>0</v>
      </c>
      <c r="BG40">
        <f t="shared" si="50"/>
        <v>0</v>
      </c>
      <c r="BH40">
        <f t="shared" si="50"/>
        <v>0</v>
      </c>
      <c r="BI40">
        <f t="shared" si="50"/>
        <v>0</v>
      </c>
      <c r="BJ40">
        <f t="shared" si="50"/>
        <v>0</v>
      </c>
      <c r="BK40">
        <f t="shared" si="50"/>
        <v>0</v>
      </c>
      <c r="BL40">
        <f t="shared" si="50"/>
        <v>0</v>
      </c>
      <c r="BM40">
        <f t="shared" si="50"/>
        <v>0</v>
      </c>
      <c r="BN40">
        <f t="shared" si="50"/>
        <v>0</v>
      </c>
      <c r="BO40">
        <f t="shared" si="50"/>
        <v>0</v>
      </c>
      <c r="BP40">
        <f t="shared" ref="BP40:CC40" si="51">BP37/$B40</f>
        <v>0</v>
      </c>
      <c r="BQ40">
        <f t="shared" si="51"/>
        <v>0</v>
      </c>
      <c r="BR40">
        <f t="shared" si="51"/>
        <v>0</v>
      </c>
      <c r="BS40">
        <f t="shared" si="51"/>
        <v>0</v>
      </c>
      <c r="BT40">
        <f t="shared" si="51"/>
        <v>0</v>
      </c>
      <c r="BU40">
        <f t="shared" si="51"/>
        <v>0</v>
      </c>
      <c r="BV40">
        <f t="shared" si="51"/>
        <v>0</v>
      </c>
      <c r="BW40">
        <f t="shared" si="51"/>
        <v>0</v>
      </c>
      <c r="BX40">
        <f t="shared" si="51"/>
        <v>0</v>
      </c>
      <c r="BY40">
        <f t="shared" si="51"/>
        <v>0</v>
      </c>
      <c r="BZ40">
        <f t="shared" si="51"/>
        <v>0</v>
      </c>
      <c r="CA40">
        <f t="shared" si="51"/>
        <v>0</v>
      </c>
      <c r="CB40">
        <f t="shared" si="51"/>
        <v>0</v>
      </c>
      <c r="CC40">
        <f t="shared" si="51"/>
        <v>0</v>
      </c>
    </row>
    <row r="41" spans="1:81" x14ac:dyDescent="0.2">
      <c r="A41" s="10"/>
      <c r="B41" s="67">
        <f>SUM(D45:AJ45)/SUM($D$263:$AJ$263)</f>
        <v>7.8128814883539235E-4</v>
      </c>
      <c r="C41" s="9" t="s">
        <v>216</v>
      </c>
      <c r="D41">
        <f t="shared" ref="D41:AI41" si="52">D35-D38</f>
        <v>40</v>
      </c>
      <c r="E41">
        <f t="shared" si="52"/>
        <v>40</v>
      </c>
      <c r="F41">
        <f t="shared" si="52"/>
        <v>40</v>
      </c>
      <c r="G41">
        <f t="shared" si="52"/>
        <v>40</v>
      </c>
      <c r="H41">
        <f t="shared" si="52"/>
        <v>40</v>
      </c>
      <c r="I41">
        <f t="shared" si="52"/>
        <v>40</v>
      </c>
      <c r="J41">
        <f t="shared" si="52"/>
        <v>40</v>
      </c>
      <c r="K41">
        <f t="shared" si="52"/>
        <v>40</v>
      </c>
      <c r="L41">
        <f t="shared" si="52"/>
        <v>40</v>
      </c>
      <c r="M41">
        <f t="shared" si="52"/>
        <v>40</v>
      </c>
      <c r="N41">
        <f t="shared" si="52"/>
        <v>40</v>
      </c>
      <c r="O41">
        <f t="shared" si="52"/>
        <v>40</v>
      </c>
      <c r="P41">
        <f t="shared" si="52"/>
        <v>40</v>
      </c>
      <c r="Q41">
        <f t="shared" si="52"/>
        <v>40</v>
      </c>
      <c r="R41">
        <f t="shared" si="52"/>
        <v>40</v>
      </c>
      <c r="S41">
        <f t="shared" si="52"/>
        <v>40</v>
      </c>
      <c r="T41">
        <f t="shared" si="52"/>
        <v>40</v>
      </c>
      <c r="U41">
        <f t="shared" si="52"/>
        <v>40</v>
      </c>
      <c r="V41">
        <f t="shared" si="52"/>
        <v>40</v>
      </c>
      <c r="W41">
        <f t="shared" si="52"/>
        <v>40</v>
      </c>
      <c r="X41">
        <f t="shared" si="52"/>
        <v>40</v>
      </c>
      <c r="Y41">
        <f t="shared" si="52"/>
        <v>0</v>
      </c>
      <c r="Z41">
        <f t="shared" si="52"/>
        <v>-40</v>
      </c>
      <c r="AA41">
        <f t="shared" si="52"/>
        <v>-80</v>
      </c>
      <c r="AB41">
        <f t="shared" si="52"/>
        <v>-120</v>
      </c>
      <c r="AC41">
        <f t="shared" si="52"/>
        <v>-120</v>
      </c>
      <c r="AD41">
        <f t="shared" si="52"/>
        <v>-120</v>
      </c>
      <c r="AE41">
        <f t="shared" si="52"/>
        <v>-120</v>
      </c>
      <c r="AF41">
        <f t="shared" si="52"/>
        <v>-120</v>
      </c>
      <c r="AG41">
        <f t="shared" si="52"/>
        <v>-120</v>
      </c>
      <c r="AH41">
        <f t="shared" si="52"/>
        <v>-120</v>
      </c>
      <c r="AI41">
        <f t="shared" si="52"/>
        <v>-120</v>
      </c>
      <c r="AJ41">
        <f t="shared" ref="AJ41:BO41" si="53">AJ35-AJ38</f>
        <v>-120</v>
      </c>
      <c r="AK41">
        <f t="shared" si="53"/>
        <v>-120</v>
      </c>
      <c r="AL41">
        <f t="shared" si="53"/>
        <v>-120</v>
      </c>
      <c r="AM41">
        <f t="shared" si="53"/>
        <v>-120</v>
      </c>
      <c r="AN41">
        <f t="shared" si="53"/>
        <v>-125</v>
      </c>
      <c r="AO41">
        <f t="shared" si="53"/>
        <v>-130</v>
      </c>
      <c r="AP41">
        <f t="shared" si="53"/>
        <v>-135</v>
      </c>
      <c r="AQ41">
        <f t="shared" si="53"/>
        <v>-141</v>
      </c>
      <c r="AR41">
        <f t="shared" si="53"/>
        <v>-147</v>
      </c>
      <c r="AS41">
        <f t="shared" si="53"/>
        <v>-152</v>
      </c>
      <c r="AT41">
        <f t="shared" si="53"/>
        <v>-158</v>
      </c>
      <c r="AU41">
        <f t="shared" si="53"/>
        <v>-163</v>
      </c>
      <c r="AV41">
        <f t="shared" si="53"/>
        <v>-168</v>
      </c>
      <c r="AW41">
        <f t="shared" si="53"/>
        <v>-173</v>
      </c>
      <c r="AX41">
        <f t="shared" si="53"/>
        <v>-178</v>
      </c>
      <c r="AY41">
        <f t="shared" si="53"/>
        <v>-182</v>
      </c>
      <c r="AZ41">
        <f t="shared" si="53"/>
        <v>-186</v>
      </c>
      <c r="BA41">
        <f t="shared" si="53"/>
        <v>-190</v>
      </c>
      <c r="BB41">
        <f t="shared" si="53"/>
        <v>-194</v>
      </c>
      <c r="BC41">
        <f t="shared" si="53"/>
        <v>-198</v>
      </c>
      <c r="BD41">
        <f t="shared" si="53"/>
        <v>-202</v>
      </c>
      <c r="BE41">
        <f t="shared" si="53"/>
        <v>-206</v>
      </c>
      <c r="BF41">
        <f t="shared" si="53"/>
        <v>-210</v>
      </c>
      <c r="BG41">
        <f t="shared" si="53"/>
        <v>-214</v>
      </c>
      <c r="BH41">
        <f t="shared" si="53"/>
        <v>-218</v>
      </c>
      <c r="BI41">
        <f t="shared" si="53"/>
        <v>-222</v>
      </c>
      <c r="BJ41">
        <f t="shared" si="53"/>
        <v>-226</v>
      </c>
      <c r="BK41">
        <f t="shared" si="53"/>
        <v>-230</v>
      </c>
      <c r="BL41">
        <f t="shared" si="53"/>
        <v>-234</v>
      </c>
      <c r="BM41">
        <f t="shared" si="53"/>
        <v>-238</v>
      </c>
      <c r="BN41">
        <f t="shared" si="53"/>
        <v>-246</v>
      </c>
      <c r="BO41">
        <f t="shared" si="53"/>
        <v>-246</v>
      </c>
      <c r="BP41">
        <f t="shared" ref="BP41:CC41" si="54">BP35-BP38</f>
        <v>-246</v>
      </c>
      <c r="BQ41">
        <f t="shared" si="54"/>
        <v>-246</v>
      </c>
      <c r="BR41">
        <f t="shared" si="54"/>
        <v>-246</v>
      </c>
      <c r="BS41">
        <f t="shared" si="54"/>
        <v>-250</v>
      </c>
      <c r="BT41">
        <f t="shared" si="54"/>
        <v>-254</v>
      </c>
      <c r="BU41">
        <f t="shared" si="54"/>
        <v>-258</v>
      </c>
      <c r="BV41">
        <f t="shared" si="54"/>
        <v>-262</v>
      </c>
      <c r="BW41">
        <f t="shared" si="54"/>
        <v>-266</v>
      </c>
      <c r="BX41">
        <f t="shared" si="54"/>
        <v>-270</v>
      </c>
      <c r="BY41">
        <f t="shared" si="54"/>
        <v>-274</v>
      </c>
      <c r="BZ41">
        <f t="shared" si="54"/>
        <v>-278</v>
      </c>
      <c r="CA41">
        <f t="shared" si="54"/>
        <v>-282</v>
      </c>
      <c r="CB41">
        <f t="shared" si="54"/>
        <v>-286</v>
      </c>
      <c r="CC41">
        <f t="shared" si="54"/>
        <v>-290</v>
      </c>
    </row>
    <row r="42" spans="1:81" x14ac:dyDescent="0.2">
      <c r="A42" s="43" t="s">
        <v>220</v>
      </c>
      <c r="B42" s="44" t="s">
        <v>208</v>
      </c>
      <c r="C42" s="9" t="s">
        <v>38</v>
      </c>
      <c r="D42" s="58">
        <f>IFERROR(VLOOKUP(A42,OS!$A:$B,2,0),0)</f>
        <v>0</v>
      </c>
      <c r="E42" s="5">
        <f>(D42+D43-D45)</f>
        <v>0</v>
      </c>
      <c r="F42" s="5">
        <f>(E42+E43-E45)</f>
        <v>0</v>
      </c>
      <c r="G42" s="5">
        <f>(F42+F43-F45)</f>
        <v>0</v>
      </c>
      <c r="H42" s="5">
        <f>(G42+G43-G45)</f>
        <v>0</v>
      </c>
      <c r="I42" s="5">
        <f t="shared" ref="I42:AN42" si="55">(H42+H43-H45+D44)</f>
        <v>0</v>
      </c>
      <c r="J42" s="5">
        <f t="shared" si="55"/>
        <v>0</v>
      </c>
      <c r="K42" s="5">
        <f t="shared" si="55"/>
        <v>0</v>
      </c>
      <c r="L42" s="5">
        <f t="shared" si="55"/>
        <v>0</v>
      </c>
      <c r="M42" s="5">
        <f t="shared" si="55"/>
        <v>-80</v>
      </c>
      <c r="N42" s="5">
        <f t="shared" si="55"/>
        <v>-80</v>
      </c>
      <c r="O42" s="5">
        <f t="shared" si="55"/>
        <v>-80</v>
      </c>
      <c r="P42" s="5">
        <f t="shared" si="55"/>
        <v>-80</v>
      </c>
      <c r="Q42" s="5">
        <f t="shared" si="55"/>
        <v>-80</v>
      </c>
      <c r="R42" s="5">
        <f t="shared" si="55"/>
        <v>-80</v>
      </c>
      <c r="S42" s="5">
        <f t="shared" si="55"/>
        <v>-80</v>
      </c>
      <c r="T42" s="5">
        <f t="shared" si="55"/>
        <v>-80</v>
      </c>
      <c r="U42" s="5">
        <f t="shared" si="55"/>
        <v>-80</v>
      </c>
      <c r="V42" s="5">
        <f t="shared" si="55"/>
        <v>-80</v>
      </c>
      <c r="W42" s="5">
        <f t="shared" si="55"/>
        <v>-80</v>
      </c>
      <c r="X42" s="5">
        <f t="shared" si="55"/>
        <v>-80</v>
      </c>
      <c r="Y42" s="5">
        <f t="shared" si="55"/>
        <v>-80</v>
      </c>
      <c r="Z42" s="5">
        <f t="shared" si="55"/>
        <v>-80</v>
      </c>
      <c r="AA42" s="5">
        <f t="shared" si="55"/>
        <v>-80</v>
      </c>
      <c r="AB42" s="5">
        <f t="shared" si="55"/>
        <v>-80</v>
      </c>
      <c r="AC42" s="5">
        <f t="shared" si="55"/>
        <v>-80</v>
      </c>
      <c r="AD42" s="5">
        <f t="shared" si="55"/>
        <v>-80</v>
      </c>
      <c r="AE42" s="5">
        <f t="shared" si="55"/>
        <v>-80</v>
      </c>
      <c r="AF42" s="5">
        <f t="shared" si="55"/>
        <v>-80</v>
      </c>
      <c r="AG42" s="5">
        <f t="shared" si="55"/>
        <v>-80</v>
      </c>
      <c r="AH42" s="5">
        <f t="shared" si="55"/>
        <v>-80</v>
      </c>
      <c r="AI42" s="5">
        <f t="shared" si="55"/>
        <v>-80</v>
      </c>
      <c r="AJ42" s="5">
        <f t="shared" si="55"/>
        <v>-80</v>
      </c>
      <c r="AK42" s="5">
        <f t="shared" si="55"/>
        <v>-80</v>
      </c>
      <c r="AL42" s="5">
        <f t="shared" si="55"/>
        <v>-80</v>
      </c>
      <c r="AM42" s="5">
        <f t="shared" si="55"/>
        <v>-80</v>
      </c>
      <c r="AN42" s="5">
        <f t="shared" si="55"/>
        <v>-80</v>
      </c>
      <c r="AO42" s="5">
        <f t="shared" ref="AO42:BT42" si="56">(AN42+AN43-AN45+AJ44)</f>
        <v>-83</v>
      </c>
      <c r="AP42" s="5">
        <f t="shared" si="56"/>
        <v>-86</v>
      </c>
      <c r="AQ42" s="5">
        <f t="shared" si="56"/>
        <v>-89</v>
      </c>
      <c r="AR42" s="5">
        <f t="shared" si="56"/>
        <v>-92</v>
      </c>
      <c r="AS42" s="5">
        <f t="shared" si="56"/>
        <v>-95</v>
      </c>
      <c r="AT42" s="5">
        <f t="shared" si="56"/>
        <v>-98</v>
      </c>
      <c r="AU42" s="5">
        <f t="shared" si="56"/>
        <v>-101</v>
      </c>
      <c r="AV42" s="5">
        <f t="shared" si="56"/>
        <v>-104</v>
      </c>
      <c r="AW42" s="5">
        <f t="shared" si="56"/>
        <v>-107</v>
      </c>
      <c r="AX42" s="5">
        <f t="shared" si="56"/>
        <v>-110</v>
      </c>
      <c r="AY42" s="5">
        <f t="shared" si="56"/>
        <v>-113</v>
      </c>
      <c r="AZ42" s="5">
        <f t="shared" si="56"/>
        <v>-115</v>
      </c>
      <c r="BA42" s="5">
        <f t="shared" si="56"/>
        <v>-117</v>
      </c>
      <c r="BB42" s="5">
        <f t="shared" si="56"/>
        <v>-119</v>
      </c>
      <c r="BC42" s="5">
        <f t="shared" si="56"/>
        <v>-121</v>
      </c>
      <c r="BD42" s="5">
        <f t="shared" si="56"/>
        <v>-123</v>
      </c>
      <c r="BE42" s="5">
        <f t="shared" si="56"/>
        <v>-125</v>
      </c>
      <c r="BF42" s="5">
        <f t="shared" si="56"/>
        <v>-127</v>
      </c>
      <c r="BG42" s="5">
        <f t="shared" si="56"/>
        <v>-129</v>
      </c>
      <c r="BH42" s="5">
        <f t="shared" si="56"/>
        <v>-131</v>
      </c>
      <c r="BI42" s="5">
        <f t="shared" si="56"/>
        <v>-133</v>
      </c>
      <c r="BJ42" s="5">
        <f t="shared" si="56"/>
        <v>-135</v>
      </c>
      <c r="BK42" s="5">
        <f t="shared" si="56"/>
        <v>-137</v>
      </c>
      <c r="BL42" s="5">
        <f t="shared" si="56"/>
        <v>-139</v>
      </c>
      <c r="BM42" s="5">
        <f t="shared" si="56"/>
        <v>-141</v>
      </c>
      <c r="BN42" s="5">
        <f t="shared" si="56"/>
        <v>-143</v>
      </c>
      <c r="BO42" s="5">
        <f t="shared" si="56"/>
        <v>-147</v>
      </c>
      <c r="BP42" s="5">
        <f t="shared" si="56"/>
        <v>-147</v>
      </c>
      <c r="BQ42" s="5">
        <f t="shared" si="56"/>
        <v>-147</v>
      </c>
      <c r="BR42" s="5">
        <f t="shared" si="56"/>
        <v>-147</v>
      </c>
      <c r="BS42" s="5">
        <f t="shared" si="56"/>
        <v>-147</v>
      </c>
      <c r="BT42" s="5">
        <f t="shared" si="56"/>
        <v>-149</v>
      </c>
      <c r="BU42" s="5">
        <f t="shared" ref="BU42:CZ42" si="57">(BT42+BT43-BT45+BP44)</f>
        <v>-151</v>
      </c>
      <c r="BV42" s="5">
        <f t="shared" si="57"/>
        <v>-153</v>
      </c>
      <c r="BW42" s="5">
        <f t="shared" si="57"/>
        <v>-155</v>
      </c>
      <c r="BX42" s="5">
        <f t="shared" si="57"/>
        <v>-157</v>
      </c>
      <c r="BY42" s="5">
        <f t="shared" si="57"/>
        <v>-159</v>
      </c>
      <c r="BZ42" s="5">
        <f t="shared" si="57"/>
        <v>-161</v>
      </c>
      <c r="CA42" s="5">
        <f t="shared" si="57"/>
        <v>-163</v>
      </c>
      <c r="CB42" s="5">
        <f t="shared" si="57"/>
        <v>-165</v>
      </c>
      <c r="CC42" s="5">
        <f t="shared" si="57"/>
        <v>-167</v>
      </c>
    </row>
    <row r="43" spans="1:81" x14ac:dyDescent="0.2">
      <c r="A43" s="5" t="s">
        <v>209</v>
      </c>
      <c r="B43" s="5">
        <v>7.8951200000000004</v>
      </c>
      <c r="C43" s="45" t="s">
        <v>39</v>
      </c>
      <c r="D43" s="59">
        <f>IFERROR(VLOOKUP(A42,WIP!$A:$B,2,0),0)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">
      <c r="A44" s="5" t="s">
        <v>210</v>
      </c>
      <c r="B44" s="5">
        <v>0.24399999999999999</v>
      </c>
      <c r="C44" s="9" t="s">
        <v>211</v>
      </c>
      <c r="D44" s="60">
        <f>IFERROR(VLOOKUP($A42,Plan!$A:B,D$4,0),0)</f>
        <v>0</v>
      </c>
      <c r="E44" s="70">
        <f>IFERROR(VLOOKUP($A42,Plan!$A:C,E$4,0),0)</f>
        <v>0</v>
      </c>
      <c r="F44" s="70">
        <f>IFERROR(VLOOKUP($A42,Plan!$A:D,F$4,0),0)</f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">
      <c r="A45" s="5" t="s">
        <v>212</v>
      </c>
      <c r="B45" s="5">
        <v>3.5000000000000003E-2</v>
      </c>
      <c r="C45" s="9" t="s">
        <v>213</v>
      </c>
      <c r="D45" s="61">
        <f>IFERROR(VLOOKUP($A42,Sales!$A:B,D$2,0),0)</f>
        <v>0</v>
      </c>
      <c r="E45" s="61">
        <f>IFERROR(VLOOKUP($A42,Sales!$A:C,E$2,0),0)</f>
        <v>0</v>
      </c>
      <c r="F45" s="61">
        <f>IFERROR(VLOOKUP($A42,Sales!$A:D,F$2,0),0)</f>
        <v>0</v>
      </c>
      <c r="G45" s="61">
        <f>IFERROR(VLOOKUP($A42,Sales!$A:E,G$2,0),0)</f>
        <v>0</v>
      </c>
      <c r="H45" s="61">
        <f>IFERROR(VLOOKUP($A42,Sales!$A:F,H$2,0),0)</f>
        <v>0</v>
      </c>
      <c r="I45" s="61">
        <f>IFERROR(VLOOKUP($A42,Sales!$A:G,I$2,0),0)</f>
        <v>0</v>
      </c>
      <c r="J45" s="61">
        <f>IFERROR(VLOOKUP($A42,Sales!$A:H,J$2,0),0)</f>
        <v>0</v>
      </c>
      <c r="K45" s="61">
        <f>IFERROR(VLOOKUP($A42,Sales!$A:I,K$2,0),0)</f>
        <v>0</v>
      </c>
      <c r="L45" s="61">
        <f>IFERROR(VLOOKUP($A42,Sales!$A:J,L$2,0),0)</f>
        <v>80</v>
      </c>
      <c r="M45" s="61">
        <f>IFERROR(VLOOKUP($A42,Sales!$A:K,M$2,0),0)</f>
        <v>0</v>
      </c>
      <c r="N45" s="61">
        <f>IFERROR(VLOOKUP($A42,Sales!$A:L,N$2,0),0)</f>
        <v>0</v>
      </c>
      <c r="O45" s="61">
        <f>IFERROR(VLOOKUP($A42,Sales!$A:M,O$2,0),0)</f>
        <v>0</v>
      </c>
      <c r="P45" s="61">
        <f>IFERROR(VLOOKUP($A42,Sales!$A:N,P$2,0),0)</f>
        <v>0</v>
      </c>
      <c r="Q45" s="61">
        <f>IFERROR(VLOOKUP($A42,Sales!$A:O,Q$2,0),0)</f>
        <v>0</v>
      </c>
      <c r="R45" s="61">
        <f>IFERROR(VLOOKUP($A42,Sales!$A:P,R$2,0),0)</f>
        <v>0</v>
      </c>
      <c r="S45" s="61">
        <f>IFERROR(VLOOKUP($A42,Sales!$A:Q,S$2,0),0)</f>
        <v>0</v>
      </c>
      <c r="T45" s="61">
        <f>IFERROR(VLOOKUP($A42,Sales!$A:R,T$2,0),0)</f>
        <v>0</v>
      </c>
      <c r="U45" s="61">
        <f>IFERROR(VLOOKUP($A42,Sales!$A:S,U$2,0),0)</f>
        <v>0</v>
      </c>
      <c r="V45" s="61">
        <f>IFERROR(VLOOKUP($A42,Sales!$A:T,V$2,0),0)</f>
        <v>0</v>
      </c>
      <c r="W45" s="61">
        <f>IFERROR(VLOOKUP($A42,Sales!$A:U,W$2,0),0)</f>
        <v>0</v>
      </c>
      <c r="X45" s="61">
        <f>IFERROR(VLOOKUP($A42,Sales!$A:V,X$2,0),0)</f>
        <v>0</v>
      </c>
      <c r="Y45" s="61">
        <f>IFERROR(VLOOKUP($A42,Sales!$A:W,Y$2,0),0)</f>
        <v>0</v>
      </c>
      <c r="Z45" s="61">
        <f>IFERROR(VLOOKUP($A42,Sales!$A:X,Z$2,0),0)</f>
        <v>0</v>
      </c>
      <c r="AA45" s="61">
        <f>IFERROR(VLOOKUP($A42,Sales!$A:Y,AA$2,0),0)</f>
        <v>0</v>
      </c>
      <c r="AB45" s="61">
        <f>IFERROR(VLOOKUP($A42,Sales!$A:Z,AB$2,0),0)</f>
        <v>0</v>
      </c>
      <c r="AC45" s="61">
        <f>IFERROR(VLOOKUP($A42,Sales!$A:AA,AC$2,0),0)</f>
        <v>0</v>
      </c>
      <c r="AD45" s="61">
        <f>IFERROR(VLOOKUP($A42,Sales!$A:AB,AD$2,0),0)</f>
        <v>0</v>
      </c>
      <c r="AE45" s="61">
        <f>IFERROR(VLOOKUP($A42,Sales!$A:AC,AE$2,0),0)</f>
        <v>0</v>
      </c>
      <c r="AF45" s="61">
        <f>IFERROR(VLOOKUP($A42,Sales!$A:AD,AF$2,0),0)</f>
        <v>0</v>
      </c>
      <c r="AG45" s="61">
        <f>IFERROR(VLOOKUP($A42,Sales!$A:AE,AG$2,0),0)</f>
        <v>0</v>
      </c>
      <c r="AH45" s="61">
        <f>IFERROR(VLOOKUP($A42,Sales!$A:AF,AH$2,0),0)</f>
        <v>0</v>
      </c>
      <c r="AI45" s="61">
        <f>IFERROR(VLOOKUP($A42,Sales!$A:AG,AI$2,0),0)</f>
        <v>0</v>
      </c>
      <c r="AJ45" s="61">
        <f>IFERROR(VLOOKUP($A42,Sales!$A:AH,AJ$2,0),0)</f>
        <v>0</v>
      </c>
      <c r="AK45" s="73">
        <f t="shared" ref="AK45:CC45" si="58">CEILING(AK$5*$B41,1)</f>
        <v>0</v>
      </c>
      <c r="AL45" s="73">
        <f t="shared" si="58"/>
        <v>0</v>
      </c>
      <c r="AM45" s="73">
        <f t="shared" si="58"/>
        <v>0</v>
      </c>
      <c r="AN45" s="73">
        <f t="shared" si="58"/>
        <v>3</v>
      </c>
      <c r="AO45" s="73">
        <f t="shared" si="58"/>
        <v>3</v>
      </c>
      <c r="AP45" s="73">
        <f t="shared" si="58"/>
        <v>3</v>
      </c>
      <c r="AQ45" s="73">
        <f t="shared" si="58"/>
        <v>3</v>
      </c>
      <c r="AR45" s="73">
        <f t="shared" si="58"/>
        <v>3</v>
      </c>
      <c r="AS45" s="73">
        <f t="shared" si="58"/>
        <v>3</v>
      </c>
      <c r="AT45" s="73">
        <f t="shared" si="58"/>
        <v>3</v>
      </c>
      <c r="AU45" s="73">
        <f t="shared" si="58"/>
        <v>3</v>
      </c>
      <c r="AV45" s="73">
        <f t="shared" si="58"/>
        <v>3</v>
      </c>
      <c r="AW45" s="73">
        <f t="shared" si="58"/>
        <v>3</v>
      </c>
      <c r="AX45" s="73">
        <f t="shared" si="58"/>
        <v>3</v>
      </c>
      <c r="AY45" s="73">
        <f t="shared" si="58"/>
        <v>2</v>
      </c>
      <c r="AZ45" s="73">
        <f t="shared" si="58"/>
        <v>2</v>
      </c>
      <c r="BA45" s="73">
        <f t="shared" si="58"/>
        <v>2</v>
      </c>
      <c r="BB45" s="73">
        <f t="shared" si="58"/>
        <v>2</v>
      </c>
      <c r="BC45" s="73">
        <f t="shared" si="58"/>
        <v>2</v>
      </c>
      <c r="BD45" s="73">
        <f t="shared" si="58"/>
        <v>2</v>
      </c>
      <c r="BE45" s="73">
        <f t="shared" si="58"/>
        <v>2</v>
      </c>
      <c r="BF45" s="73">
        <f t="shared" si="58"/>
        <v>2</v>
      </c>
      <c r="BG45" s="73">
        <f t="shared" si="58"/>
        <v>2</v>
      </c>
      <c r="BH45" s="73">
        <f t="shared" si="58"/>
        <v>2</v>
      </c>
      <c r="BI45" s="73">
        <f t="shared" si="58"/>
        <v>2</v>
      </c>
      <c r="BJ45" s="73">
        <f t="shared" si="58"/>
        <v>2</v>
      </c>
      <c r="BK45" s="73">
        <f t="shared" si="58"/>
        <v>2</v>
      </c>
      <c r="BL45" s="73">
        <f t="shared" si="58"/>
        <v>2</v>
      </c>
      <c r="BM45" s="73">
        <f t="shared" si="58"/>
        <v>2</v>
      </c>
      <c r="BN45" s="73">
        <f t="shared" si="58"/>
        <v>4</v>
      </c>
      <c r="BO45" s="73">
        <f t="shared" si="58"/>
        <v>0</v>
      </c>
      <c r="BP45" s="73">
        <f t="shared" si="58"/>
        <v>0</v>
      </c>
      <c r="BQ45" s="73">
        <f t="shared" si="58"/>
        <v>0</v>
      </c>
      <c r="BR45" s="73">
        <f t="shared" si="58"/>
        <v>0</v>
      </c>
      <c r="BS45" s="73">
        <f t="shared" si="58"/>
        <v>2</v>
      </c>
      <c r="BT45" s="73">
        <f t="shared" si="58"/>
        <v>2</v>
      </c>
      <c r="BU45" s="73">
        <f t="shared" si="58"/>
        <v>2</v>
      </c>
      <c r="BV45" s="73">
        <f t="shared" si="58"/>
        <v>2</v>
      </c>
      <c r="BW45" s="73">
        <f t="shared" si="58"/>
        <v>2</v>
      </c>
      <c r="BX45" s="73">
        <f t="shared" si="58"/>
        <v>2</v>
      </c>
      <c r="BY45" s="73">
        <f t="shared" si="58"/>
        <v>2</v>
      </c>
      <c r="BZ45" s="73">
        <f t="shared" si="58"/>
        <v>2</v>
      </c>
      <c r="CA45" s="73">
        <f t="shared" si="58"/>
        <v>2</v>
      </c>
      <c r="CB45" s="73">
        <f t="shared" si="58"/>
        <v>2</v>
      </c>
      <c r="CC45" s="73">
        <f t="shared" si="58"/>
        <v>2</v>
      </c>
    </row>
    <row r="46" spans="1:81" x14ac:dyDescent="0.2">
      <c r="A46" s="5" t="s">
        <v>214</v>
      </c>
      <c r="B46" s="5">
        <v>0.27900000000000003</v>
      </c>
      <c r="C46" s="46" t="s">
        <v>215</v>
      </c>
      <c r="D46" s="11">
        <f t="shared" ref="D46:AI46" si="59">IF(D45=0,0, ROUND(D42 * 1/D45* D$13,1))</f>
        <v>0</v>
      </c>
      <c r="E46" s="11">
        <f t="shared" si="59"/>
        <v>0</v>
      </c>
      <c r="F46" s="11">
        <f t="shared" si="59"/>
        <v>0</v>
      </c>
      <c r="G46" s="11">
        <f t="shared" si="59"/>
        <v>0</v>
      </c>
      <c r="H46" s="11">
        <f t="shared" si="59"/>
        <v>0</v>
      </c>
      <c r="I46" s="11">
        <f t="shared" si="59"/>
        <v>0</v>
      </c>
      <c r="J46" s="11">
        <f t="shared" si="59"/>
        <v>0</v>
      </c>
      <c r="K46" s="11">
        <f t="shared" si="59"/>
        <v>0</v>
      </c>
      <c r="L46" s="11">
        <f t="shared" si="59"/>
        <v>0</v>
      </c>
      <c r="M46" s="11">
        <f t="shared" si="59"/>
        <v>0</v>
      </c>
      <c r="N46" s="11">
        <f t="shared" si="59"/>
        <v>0</v>
      </c>
      <c r="O46" s="11">
        <f t="shared" si="59"/>
        <v>0</v>
      </c>
      <c r="P46" s="11">
        <f t="shared" si="59"/>
        <v>0</v>
      </c>
      <c r="Q46" s="11">
        <f t="shared" si="59"/>
        <v>0</v>
      </c>
      <c r="R46" s="11">
        <f t="shared" si="59"/>
        <v>0</v>
      </c>
      <c r="S46" s="11">
        <f t="shared" si="59"/>
        <v>0</v>
      </c>
      <c r="T46" s="11">
        <f t="shared" si="59"/>
        <v>0</v>
      </c>
      <c r="U46" s="11">
        <f t="shared" si="59"/>
        <v>0</v>
      </c>
      <c r="V46" s="11">
        <f t="shared" si="59"/>
        <v>0</v>
      </c>
      <c r="W46" s="11">
        <f t="shared" si="59"/>
        <v>0</v>
      </c>
      <c r="X46" s="11">
        <f t="shared" si="59"/>
        <v>0</v>
      </c>
      <c r="Y46" s="11">
        <f t="shared" si="59"/>
        <v>0</v>
      </c>
      <c r="Z46" s="11">
        <f t="shared" si="59"/>
        <v>0</v>
      </c>
      <c r="AA46" s="11">
        <f t="shared" si="59"/>
        <v>0</v>
      </c>
      <c r="AB46" s="11">
        <f t="shared" si="59"/>
        <v>0</v>
      </c>
      <c r="AC46" s="11">
        <f t="shared" si="59"/>
        <v>0</v>
      </c>
      <c r="AD46" s="11">
        <f t="shared" si="59"/>
        <v>0</v>
      </c>
      <c r="AE46" s="11">
        <f t="shared" si="59"/>
        <v>0</v>
      </c>
      <c r="AF46" s="11">
        <f t="shared" si="59"/>
        <v>0</v>
      </c>
      <c r="AG46" s="11">
        <f t="shared" si="59"/>
        <v>0</v>
      </c>
      <c r="AH46" s="11">
        <f t="shared" si="59"/>
        <v>0</v>
      </c>
      <c r="AI46" s="11">
        <f t="shared" si="59"/>
        <v>0</v>
      </c>
      <c r="AJ46" s="11">
        <f t="shared" ref="AJ46:BO46" si="60">IF(AJ45=0,0, ROUND(AJ42 * 1/AJ45* AJ$13,1))</f>
        <v>0</v>
      </c>
      <c r="AK46" s="11">
        <f t="shared" si="60"/>
        <v>0</v>
      </c>
      <c r="AL46" s="11">
        <f t="shared" si="60"/>
        <v>0</v>
      </c>
      <c r="AM46" s="11">
        <f t="shared" si="60"/>
        <v>0</v>
      </c>
      <c r="AN46" s="11">
        <f t="shared" si="60"/>
        <v>-133.30000000000001</v>
      </c>
      <c r="AO46" s="11">
        <f t="shared" si="60"/>
        <v>-138.30000000000001</v>
      </c>
      <c r="AP46" s="11">
        <f t="shared" si="60"/>
        <v>-143.30000000000001</v>
      </c>
      <c r="AQ46" s="11">
        <f t="shared" si="60"/>
        <v>-148.30000000000001</v>
      </c>
      <c r="AR46" s="11">
        <f t="shared" si="60"/>
        <v>-153.30000000000001</v>
      </c>
      <c r="AS46" s="11">
        <f t="shared" si="60"/>
        <v>-158.30000000000001</v>
      </c>
      <c r="AT46" s="11">
        <f t="shared" si="60"/>
        <v>-163.30000000000001</v>
      </c>
      <c r="AU46" s="11">
        <f t="shared" si="60"/>
        <v>-168.3</v>
      </c>
      <c r="AV46" s="11">
        <f t="shared" si="60"/>
        <v>-173.3</v>
      </c>
      <c r="AW46" s="11">
        <f t="shared" si="60"/>
        <v>-178.3</v>
      </c>
      <c r="AX46" s="11">
        <f t="shared" si="60"/>
        <v>-183.3</v>
      </c>
      <c r="AY46" s="11">
        <f t="shared" si="60"/>
        <v>-282.5</v>
      </c>
      <c r="AZ46" s="11">
        <f t="shared" si="60"/>
        <v>-287.5</v>
      </c>
      <c r="BA46" s="11">
        <f t="shared" si="60"/>
        <v>-292.5</v>
      </c>
      <c r="BB46" s="11">
        <f t="shared" si="60"/>
        <v>-297.5</v>
      </c>
      <c r="BC46" s="11">
        <f t="shared" si="60"/>
        <v>-302.5</v>
      </c>
      <c r="BD46" s="11">
        <f t="shared" si="60"/>
        <v>-307.5</v>
      </c>
      <c r="BE46" s="11">
        <f t="shared" si="60"/>
        <v>-312.5</v>
      </c>
      <c r="BF46" s="11">
        <f t="shared" si="60"/>
        <v>-317.5</v>
      </c>
      <c r="BG46" s="11">
        <f t="shared" si="60"/>
        <v>-322.5</v>
      </c>
      <c r="BH46" s="11">
        <f t="shared" si="60"/>
        <v>-327.5</v>
      </c>
      <c r="BI46" s="11">
        <f t="shared" si="60"/>
        <v>-332.5</v>
      </c>
      <c r="BJ46" s="11">
        <f t="shared" si="60"/>
        <v>-337.5</v>
      </c>
      <c r="BK46" s="11">
        <f t="shared" si="60"/>
        <v>-342.5</v>
      </c>
      <c r="BL46" s="11">
        <f t="shared" si="60"/>
        <v>-347.5</v>
      </c>
      <c r="BM46" s="11">
        <f t="shared" si="60"/>
        <v>-352.5</v>
      </c>
      <c r="BN46" s="11">
        <f t="shared" si="60"/>
        <v>-178.8</v>
      </c>
      <c r="BO46" s="11">
        <f t="shared" si="60"/>
        <v>0</v>
      </c>
      <c r="BP46" s="11">
        <f t="shared" ref="BP46:CU46" si="61">IF(BP45=0,0, ROUND(BP42 * 1/BP45* BP$13,1))</f>
        <v>0</v>
      </c>
      <c r="BQ46" s="11">
        <f t="shared" si="61"/>
        <v>0</v>
      </c>
      <c r="BR46" s="11">
        <f t="shared" si="61"/>
        <v>0</v>
      </c>
      <c r="BS46" s="11">
        <f t="shared" si="61"/>
        <v>-367.5</v>
      </c>
      <c r="BT46" s="11">
        <f t="shared" si="61"/>
        <v>-372.5</v>
      </c>
      <c r="BU46" s="11">
        <f t="shared" si="61"/>
        <v>-377.5</v>
      </c>
      <c r="BV46" s="11">
        <f t="shared" si="61"/>
        <v>-382.5</v>
      </c>
      <c r="BW46" s="11">
        <f t="shared" si="61"/>
        <v>-387.5</v>
      </c>
      <c r="BX46" s="11">
        <f t="shared" si="61"/>
        <v>-392.5</v>
      </c>
      <c r="BY46" s="11">
        <f t="shared" si="61"/>
        <v>-397.5</v>
      </c>
      <c r="BZ46" s="11">
        <f t="shared" si="61"/>
        <v>-402.5</v>
      </c>
      <c r="CA46" s="11">
        <f t="shared" si="61"/>
        <v>-407.5</v>
      </c>
      <c r="CB46" s="11">
        <f t="shared" si="61"/>
        <v>-412.5</v>
      </c>
      <c r="CC46" s="11">
        <f t="shared" si="61"/>
        <v>-417.5</v>
      </c>
    </row>
    <row r="47" spans="1:81" x14ac:dyDescent="0.2">
      <c r="A47">
        <v>22</v>
      </c>
      <c r="B47">
        <v>1</v>
      </c>
      <c r="C47" s="68">
        <v>5.9976599999999998</v>
      </c>
      <c r="D47">
        <f t="shared" ref="D47:AI47" si="62">D44/$B47</f>
        <v>0</v>
      </c>
      <c r="E47">
        <f t="shared" si="62"/>
        <v>0</v>
      </c>
      <c r="F47">
        <f t="shared" si="62"/>
        <v>0</v>
      </c>
      <c r="G47">
        <f t="shared" si="62"/>
        <v>0</v>
      </c>
      <c r="H47">
        <f t="shared" si="62"/>
        <v>0</v>
      </c>
      <c r="I47">
        <f t="shared" si="62"/>
        <v>0</v>
      </c>
      <c r="J47">
        <f t="shared" si="62"/>
        <v>0</v>
      </c>
      <c r="K47">
        <f t="shared" si="62"/>
        <v>0</v>
      </c>
      <c r="L47">
        <f t="shared" si="62"/>
        <v>0</v>
      </c>
      <c r="M47">
        <f t="shared" si="62"/>
        <v>0</v>
      </c>
      <c r="N47">
        <f t="shared" si="62"/>
        <v>0</v>
      </c>
      <c r="O47">
        <f t="shared" si="62"/>
        <v>0</v>
      </c>
      <c r="P47">
        <f t="shared" si="62"/>
        <v>0</v>
      </c>
      <c r="Q47">
        <f t="shared" si="62"/>
        <v>0</v>
      </c>
      <c r="R47">
        <f t="shared" si="62"/>
        <v>0</v>
      </c>
      <c r="S47">
        <f t="shared" si="62"/>
        <v>0</v>
      </c>
      <c r="T47">
        <f t="shared" si="62"/>
        <v>0</v>
      </c>
      <c r="U47">
        <f t="shared" si="62"/>
        <v>0</v>
      </c>
      <c r="V47">
        <f t="shared" si="62"/>
        <v>0</v>
      </c>
      <c r="W47">
        <f t="shared" si="62"/>
        <v>0</v>
      </c>
      <c r="X47">
        <f t="shared" si="62"/>
        <v>0</v>
      </c>
      <c r="Y47">
        <f t="shared" si="62"/>
        <v>0</v>
      </c>
      <c r="Z47">
        <f t="shared" si="62"/>
        <v>0</v>
      </c>
      <c r="AA47">
        <f t="shared" si="62"/>
        <v>0</v>
      </c>
      <c r="AB47">
        <f t="shared" si="62"/>
        <v>0</v>
      </c>
      <c r="AC47">
        <f t="shared" si="62"/>
        <v>0</v>
      </c>
      <c r="AD47">
        <f t="shared" si="62"/>
        <v>0</v>
      </c>
      <c r="AE47">
        <f t="shared" si="62"/>
        <v>0</v>
      </c>
      <c r="AF47">
        <f t="shared" si="62"/>
        <v>0</v>
      </c>
      <c r="AG47">
        <f t="shared" si="62"/>
        <v>0</v>
      </c>
      <c r="AH47">
        <f t="shared" si="62"/>
        <v>0</v>
      </c>
      <c r="AI47">
        <f t="shared" si="62"/>
        <v>0</v>
      </c>
      <c r="AJ47">
        <f t="shared" ref="AJ47:BO47" si="63">AJ44/$B47</f>
        <v>0</v>
      </c>
      <c r="AK47">
        <f t="shared" si="63"/>
        <v>0</v>
      </c>
      <c r="AL47">
        <f t="shared" si="63"/>
        <v>0</v>
      </c>
      <c r="AM47">
        <f t="shared" si="63"/>
        <v>0</v>
      </c>
      <c r="AN47">
        <f t="shared" si="63"/>
        <v>0</v>
      </c>
      <c r="AO47">
        <f t="shared" si="63"/>
        <v>0</v>
      </c>
      <c r="AP47">
        <f t="shared" si="63"/>
        <v>0</v>
      </c>
      <c r="AQ47">
        <f t="shared" si="63"/>
        <v>0</v>
      </c>
      <c r="AR47">
        <f t="shared" si="63"/>
        <v>0</v>
      </c>
      <c r="AS47">
        <f t="shared" si="63"/>
        <v>0</v>
      </c>
      <c r="AT47">
        <f t="shared" si="63"/>
        <v>0</v>
      </c>
      <c r="AU47">
        <f t="shared" si="63"/>
        <v>0</v>
      </c>
      <c r="AV47">
        <f t="shared" si="63"/>
        <v>0</v>
      </c>
      <c r="AW47">
        <f t="shared" si="63"/>
        <v>0</v>
      </c>
      <c r="AX47">
        <f t="shared" si="63"/>
        <v>0</v>
      </c>
      <c r="AY47">
        <f t="shared" si="63"/>
        <v>0</v>
      </c>
      <c r="AZ47">
        <f t="shared" si="63"/>
        <v>0</v>
      </c>
      <c r="BA47">
        <f t="shared" si="63"/>
        <v>0</v>
      </c>
      <c r="BB47">
        <f t="shared" si="63"/>
        <v>0</v>
      </c>
      <c r="BC47">
        <f t="shared" si="63"/>
        <v>0</v>
      </c>
      <c r="BD47">
        <f t="shared" si="63"/>
        <v>0</v>
      </c>
      <c r="BE47">
        <f t="shared" si="63"/>
        <v>0</v>
      </c>
      <c r="BF47">
        <f t="shared" si="63"/>
        <v>0</v>
      </c>
      <c r="BG47">
        <f t="shared" si="63"/>
        <v>0</v>
      </c>
      <c r="BH47">
        <f t="shared" si="63"/>
        <v>0</v>
      </c>
      <c r="BI47">
        <f t="shared" si="63"/>
        <v>0</v>
      </c>
      <c r="BJ47">
        <f t="shared" si="63"/>
        <v>0</v>
      </c>
      <c r="BK47">
        <f t="shared" si="63"/>
        <v>0</v>
      </c>
      <c r="BL47">
        <f t="shared" si="63"/>
        <v>0</v>
      </c>
      <c r="BM47">
        <f t="shared" si="63"/>
        <v>0</v>
      </c>
      <c r="BN47">
        <f t="shared" si="63"/>
        <v>0</v>
      </c>
      <c r="BO47">
        <f t="shared" si="63"/>
        <v>0</v>
      </c>
      <c r="BP47">
        <f t="shared" ref="BP47:CC47" si="64">BP44/$B47</f>
        <v>0</v>
      </c>
      <c r="BQ47">
        <f t="shared" si="64"/>
        <v>0</v>
      </c>
      <c r="BR47">
        <f t="shared" si="64"/>
        <v>0</v>
      </c>
      <c r="BS47">
        <f t="shared" si="64"/>
        <v>0</v>
      </c>
      <c r="BT47">
        <f t="shared" si="64"/>
        <v>0</v>
      </c>
      <c r="BU47">
        <f t="shared" si="64"/>
        <v>0</v>
      </c>
      <c r="BV47">
        <f t="shared" si="64"/>
        <v>0</v>
      </c>
      <c r="BW47">
        <f t="shared" si="64"/>
        <v>0</v>
      </c>
      <c r="BX47">
        <f t="shared" si="64"/>
        <v>0</v>
      </c>
      <c r="BY47">
        <f t="shared" si="64"/>
        <v>0</v>
      </c>
      <c r="BZ47">
        <f t="shared" si="64"/>
        <v>0</v>
      </c>
      <c r="CA47">
        <f t="shared" si="64"/>
        <v>0</v>
      </c>
      <c r="CB47">
        <f t="shared" si="64"/>
        <v>0</v>
      </c>
      <c r="CC47">
        <f t="shared" si="64"/>
        <v>0</v>
      </c>
    </row>
    <row r="48" spans="1:81" x14ac:dyDescent="0.2">
      <c r="A48" s="10"/>
      <c r="B48" s="67">
        <f>SUM(D52:AJ52)/SUM($D$263:$AJ$263)</f>
        <v>1.3672542604619366E-2</v>
      </c>
      <c r="C48" s="9" t="s">
        <v>216</v>
      </c>
      <c r="D48">
        <f t="shared" ref="D48:AI48" si="65">D42-D45</f>
        <v>0</v>
      </c>
      <c r="E48">
        <f t="shared" si="65"/>
        <v>0</v>
      </c>
      <c r="F48">
        <f t="shared" si="65"/>
        <v>0</v>
      </c>
      <c r="G48">
        <f t="shared" si="65"/>
        <v>0</v>
      </c>
      <c r="H48">
        <f t="shared" si="65"/>
        <v>0</v>
      </c>
      <c r="I48">
        <f t="shared" si="65"/>
        <v>0</v>
      </c>
      <c r="J48">
        <f t="shared" si="65"/>
        <v>0</v>
      </c>
      <c r="K48">
        <f t="shared" si="65"/>
        <v>0</v>
      </c>
      <c r="L48">
        <f t="shared" si="65"/>
        <v>-80</v>
      </c>
      <c r="M48">
        <f t="shared" si="65"/>
        <v>-80</v>
      </c>
      <c r="N48">
        <f t="shared" si="65"/>
        <v>-80</v>
      </c>
      <c r="O48">
        <f t="shared" si="65"/>
        <v>-80</v>
      </c>
      <c r="P48">
        <f t="shared" si="65"/>
        <v>-80</v>
      </c>
      <c r="Q48">
        <f t="shared" si="65"/>
        <v>-80</v>
      </c>
      <c r="R48">
        <f t="shared" si="65"/>
        <v>-80</v>
      </c>
      <c r="S48">
        <f t="shared" si="65"/>
        <v>-80</v>
      </c>
      <c r="T48">
        <f t="shared" si="65"/>
        <v>-80</v>
      </c>
      <c r="U48">
        <f t="shared" si="65"/>
        <v>-80</v>
      </c>
      <c r="V48">
        <f t="shared" si="65"/>
        <v>-80</v>
      </c>
      <c r="W48">
        <f t="shared" si="65"/>
        <v>-80</v>
      </c>
      <c r="X48">
        <f t="shared" si="65"/>
        <v>-80</v>
      </c>
      <c r="Y48">
        <f t="shared" si="65"/>
        <v>-80</v>
      </c>
      <c r="Z48">
        <f t="shared" si="65"/>
        <v>-80</v>
      </c>
      <c r="AA48">
        <f t="shared" si="65"/>
        <v>-80</v>
      </c>
      <c r="AB48">
        <f t="shared" si="65"/>
        <v>-80</v>
      </c>
      <c r="AC48">
        <f t="shared" si="65"/>
        <v>-80</v>
      </c>
      <c r="AD48">
        <f t="shared" si="65"/>
        <v>-80</v>
      </c>
      <c r="AE48">
        <f t="shared" si="65"/>
        <v>-80</v>
      </c>
      <c r="AF48">
        <f t="shared" si="65"/>
        <v>-80</v>
      </c>
      <c r="AG48">
        <f t="shared" si="65"/>
        <v>-80</v>
      </c>
      <c r="AH48">
        <f t="shared" si="65"/>
        <v>-80</v>
      </c>
      <c r="AI48">
        <f t="shared" si="65"/>
        <v>-80</v>
      </c>
      <c r="AJ48">
        <f t="shared" ref="AJ48:BO48" si="66">AJ42-AJ45</f>
        <v>-80</v>
      </c>
      <c r="AK48">
        <f t="shared" si="66"/>
        <v>-80</v>
      </c>
      <c r="AL48">
        <f t="shared" si="66"/>
        <v>-80</v>
      </c>
      <c r="AM48">
        <f t="shared" si="66"/>
        <v>-80</v>
      </c>
      <c r="AN48">
        <f t="shared" si="66"/>
        <v>-83</v>
      </c>
      <c r="AO48">
        <f t="shared" si="66"/>
        <v>-86</v>
      </c>
      <c r="AP48">
        <f t="shared" si="66"/>
        <v>-89</v>
      </c>
      <c r="AQ48">
        <f t="shared" si="66"/>
        <v>-92</v>
      </c>
      <c r="AR48">
        <f t="shared" si="66"/>
        <v>-95</v>
      </c>
      <c r="AS48">
        <f t="shared" si="66"/>
        <v>-98</v>
      </c>
      <c r="AT48">
        <f t="shared" si="66"/>
        <v>-101</v>
      </c>
      <c r="AU48">
        <f t="shared" si="66"/>
        <v>-104</v>
      </c>
      <c r="AV48">
        <f t="shared" si="66"/>
        <v>-107</v>
      </c>
      <c r="AW48">
        <f t="shared" si="66"/>
        <v>-110</v>
      </c>
      <c r="AX48">
        <f t="shared" si="66"/>
        <v>-113</v>
      </c>
      <c r="AY48">
        <f t="shared" si="66"/>
        <v>-115</v>
      </c>
      <c r="AZ48">
        <f t="shared" si="66"/>
        <v>-117</v>
      </c>
      <c r="BA48">
        <f t="shared" si="66"/>
        <v>-119</v>
      </c>
      <c r="BB48">
        <f t="shared" si="66"/>
        <v>-121</v>
      </c>
      <c r="BC48">
        <f t="shared" si="66"/>
        <v>-123</v>
      </c>
      <c r="BD48">
        <f t="shared" si="66"/>
        <v>-125</v>
      </c>
      <c r="BE48">
        <f t="shared" si="66"/>
        <v>-127</v>
      </c>
      <c r="BF48">
        <f t="shared" si="66"/>
        <v>-129</v>
      </c>
      <c r="BG48">
        <f t="shared" si="66"/>
        <v>-131</v>
      </c>
      <c r="BH48">
        <f t="shared" si="66"/>
        <v>-133</v>
      </c>
      <c r="BI48">
        <f t="shared" si="66"/>
        <v>-135</v>
      </c>
      <c r="BJ48">
        <f t="shared" si="66"/>
        <v>-137</v>
      </c>
      <c r="BK48">
        <f t="shared" si="66"/>
        <v>-139</v>
      </c>
      <c r="BL48">
        <f t="shared" si="66"/>
        <v>-141</v>
      </c>
      <c r="BM48">
        <f t="shared" si="66"/>
        <v>-143</v>
      </c>
      <c r="BN48">
        <f t="shared" si="66"/>
        <v>-147</v>
      </c>
      <c r="BO48">
        <f t="shared" si="66"/>
        <v>-147</v>
      </c>
      <c r="BP48">
        <f t="shared" ref="BP48:CC48" si="67">BP42-BP45</f>
        <v>-147</v>
      </c>
      <c r="BQ48">
        <f t="shared" si="67"/>
        <v>-147</v>
      </c>
      <c r="BR48">
        <f t="shared" si="67"/>
        <v>-147</v>
      </c>
      <c r="BS48">
        <f t="shared" si="67"/>
        <v>-149</v>
      </c>
      <c r="BT48">
        <f t="shared" si="67"/>
        <v>-151</v>
      </c>
      <c r="BU48">
        <f t="shared" si="67"/>
        <v>-153</v>
      </c>
      <c r="BV48">
        <f t="shared" si="67"/>
        <v>-155</v>
      </c>
      <c r="BW48">
        <f t="shared" si="67"/>
        <v>-157</v>
      </c>
      <c r="BX48">
        <f t="shared" si="67"/>
        <v>-159</v>
      </c>
      <c r="BY48">
        <f t="shared" si="67"/>
        <v>-161</v>
      </c>
      <c r="BZ48">
        <f t="shared" si="67"/>
        <v>-163</v>
      </c>
      <c r="CA48">
        <f t="shared" si="67"/>
        <v>-165</v>
      </c>
      <c r="CB48">
        <f t="shared" si="67"/>
        <v>-167</v>
      </c>
      <c r="CC48">
        <f t="shared" si="67"/>
        <v>-169</v>
      </c>
    </row>
    <row r="49" spans="1:81" x14ac:dyDescent="0.2">
      <c r="A49" s="43" t="s">
        <v>221</v>
      </c>
      <c r="B49" s="44" t="s">
        <v>208</v>
      </c>
      <c r="C49" s="9" t="s">
        <v>38</v>
      </c>
      <c r="D49" s="58">
        <f>IFERROR(VLOOKUP(A49,OS!$A:$B,2,0),0)</f>
        <v>400</v>
      </c>
      <c r="E49" s="5">
        <f>(D49+D50-D52)</f>
        <v>726</v>
      </c>
      <c r="F49" s="5">
        <f>(E49+E50-E52)</f>
        <v>626</v>
      </c>
      <c r="G49" s="5">
        <f>(F49+F50-F52)</f>
        <v>626</v>
      </c>
      <c r="H49" s="5">
        <f>(G49+G50-G52)</f>
        <v>626</v>
      </c>
      <c r="I49" s="5">
        <f t="shared" ref="I49:AN49" si="68">(H49+H50-H52+D51)</f>
        <v>626</v>
      </c>
      <c r="J49" s="5">
        <f t="shared" si="68"/>
        <v>626</v>
      </c>
      <c r="K49" s="5">
        <f t="shared" si="68"/>
        <v>526</v>
      </c>
      <c r="L49" s="5">
        <f t="shared" si="68"/>
        <v>526</v>
      </c>
      <c r="M49" s="5">
        <f t="shared" si="68"/>
        <v>426</v>
      </c>
      <c r="N49" s="5">
        <f t="shared" si="68"/>
        <v>126</v>
      </c>
      <c r="O49" s="5">
        <f t="shared" si="68"/>
        <v>126</v>
      </c>
      <c r="P49" s="5">
        <f t="shared" si="68"/>
        <v>126</v>
      </c>
      <c r="Q49" s="5">
        <f t="shared" si="68"/>
        <v>126</v>
      </c>
      <c r="R49" s="5">
        <f t="shared" si="68"/>
        <v>126</v>
      </c>
      <c r="S49" s="5">
        <f t="shared" si="68"/>
        <v>26</v>
      </c>
      <c r="T49" s="5">
        <f t="shared" si="68"/>
        <v>26</v>
      </c>
      <c r="U49" s="5">
        <f t="shared" si="68"/>
        <v>-74</v>
      </c>
      <c r="V49" s="5">
        <f t="shared" si="68"/>
        <v>-154</v>
      </c>
      <c r="W49" s="5">
        <f t="shared" si="68"/>
        <v>-234</v>
      </c>
      <c r="X49" s="5">
        <f t="shared" si="68"/>
        <v>-314</v>
      </c>
      <c r="Y49" s="5">
        <f t="shared" si="68"/>
        <v>-374</v>
      </c>
      <c r="Z49" s="5">
        <f t="shared" si="68"/>
        <v>-454</v>
      </c>
      <c r="AA49" s="5">
        <f t="shared" si="68"/>
        <v>-534</v>
      </c>
      <c r="AB49" s="5">
        <f t="shared" si="68"/>
        <v>-614</v>
      </c>
      <c r="AC49" s="5">
        <f t="shared" si="68"/>
        <v>-674</v>
      </c>
      <c r="AD49" s="5">
        <f t="shared" si="68"/>
        <v>-674</v>
      </c>
      <c r="AE49" s="5">
        <f t="shared" si="68"/>
        <v>-674</v>
      </c>
      <c r="AF49" s="5">
        <f t="shared" si="68"/>
        <v>-674</v>
      </c>
      <c r="AG49" s="5">
        <f t="shared" si="68"/>
        <v>-674</v>
      </c>
      <c r="AH49" s="5">
        <f t="shared" si="68"/>
        <v>-674</v>
      </c>
      <c r="AI49" s="5">
        <f t="shared" si="68"/>
        <v>-674</v>
      </c>
      <c r="AJ49" s="5">
        <f t="shared" si="68"/>
        <v>-674</v>
      </c>
      <c r="AK49" s="5">
        <f t="shared" si="68"/>
        <v>-674</v>
      </c>
      <c r="AL49" s="5">
        <f t="shared" si="68"/>
        <v>-674</v>
      </c>
      <c r="AM49" s="5">
        <f t="shared" si="68"/>
        <v>-674</v>
      </c>
      <c r="AN49" s="5">
        <f t="shared" si="68"/>
        <v>-674</v>
      </c>
      <c r="AO49" s="5">
        <f t="shared" ref="AO49:BT49" si="69">(AN49+AN50-AN52+AJ51)</f>
        <v>-712</v>
      </c>
      <c r="AP49" s="5">
        <f t="shared" si="69"/>
        <v>-750</v>
      </c>
      <c r="AQ49" s="5">
        <f t="shared" si="69"/>
        <v>-788</v>
      </c>
      <c r="AR49" s="5">
        <f t="shared" si="69"/>
        <v>-833</v>
      </c>
      <c r="AS49" s="5">
        <f t="shared" si="69"/>
        <v>-878</v>
      </c>
      <c r="AT49" s="5">
        <f t="shared" si="69"/>
        <v>-914</v>
      </c>
      <c r="AU49" s="5">
        <f t="shared" si="69"/>
        <v>-959</v>
      </c>
      <c r="AV49" s="5">
        <f t="shared" si="69"/>
        <v>-1002</v>
      </c>
      <c r="AW49" s="5">
        <f t="shared" si="69"/>
        <v>-1045</v>
      </c>
      <c r="AX49" s="5">
        <f t="shared" si="69"/>
        <v>-1088</v>
      </c>
      <c r="AY49" s="5">
        <f t="shared" si="69"/>
        <v>-1131</v>
      </c>
      <c r="AZ49" s="5">
        <f t="shared" si="69"/>
        <v>-1166</v>
      </c>
      <c r="BA49" s="5">
        <f t="shared" si="69"/>
        <v>-1197</v>
      </c>
      <c r="BB49" s="5">
        <f t="shared" si="69"/>
        <v>-1228</v>
      </c>
      <c r="BC49" s="5">
        <f t="shared" si="69"/>
        <v>-1259</v>
      </c>
      <c r="BD49" s="5">
        <f t="shared" si="69"/>
        <v>-1294</v>
      </c>
      <c r="BE49" s="5">
        <f t="shared" si="69"/>
        <v>-1329</v>
      </c>
      <c r="BF49" s="5">
        <f t="shared" si="69"/>
        <v>-1364</v>
      </c>
      <c r="BG49" s="5">
        <f t="shared" si="69"/>
        <v>-1399</v>
      </c>
      <c r="BH49" s="5">
        <f t="shared" si="69"/>
        <v>-1434</v>
      </c>
      <c r="BI49" s="5">
        <f t="shared" si="69"/>
        <v>-1469</v>
      </c>
      <c r="BJ49" s="5">
        <f t="shared" si="69"/>
        <v>-1504</v>
      </c>
      <c r="BK49" s="5">
        <f t="shared" si="69"/>
        <v>-1539</v>
      </c>
      <c r="BL49" s="5">
        <f t="shared" si="69"/>
        <v>-1574</v>
      </c>
      <c r="BM49" s="5">
        <f t="shared" si="69"/>
        <v>-1608</v>
      </c>
      <c r="BN49" s="5">
        <f t="shared" si="69"/>
        <v>-1642</v>
      </c>
      <c r="BO49" s="5">
        <f t="shared" si="69"/>
        <v>-1704</v>
      </c>
      <c r="BP49" s="5">
        <f t="shared" si="69"/>
        <v>-1704</v>
      </c>
      <c r="BQ49" s="5">
        <f t="shared" si="69"/>
        <v>-1704</v>
      </c>
      <c r="BR49" s="5">
        <f t="shared" si="69"/>
        <v>-1704</v>
      </c>
      <c r="BS49" s="5">
        <f t="shared" si="69"/>
        <v>-1704</v>
      </c>
      <c r="BT49" s="5">
        <f t="shared" si="69"/>
        <v>-1732</v>
      </c>
      <c r="BU49" s="5">
        <f t="shared" ref="BU49:CZ49" si="70">(BT49+BT50-BT52+BP51)</f>
        <v>-1760</v>
      </c>
      <c r="BV49" s="5">
        <f t="shared" si="70"/>
        <v>-1788</v>
      </c>
      <c r="BW49" s="5">
        <f t="shared" si="70"/>
        <v>-1816</v>
      </c>
      <c r="BX49" s="5">
        <f t="shared" si="70"/>
        <v>-1844</v>
      </c>
      <c r="BY49" s="5">
        <f t="shared" si="70"/>
        <v>-1872</v>
      </c>
      <c r="BZ49" s="5">
        <f t="shared" si="70"/>
        <v>-1900</v>
      </c>
      <c r="CA49" s="5">
        <f t="shared" si="70"/>
        <v>-1928</v>
      </c>
      <c r="CB49" s="5">
        <f t="shared" si="70"/>
        <v>-1956</v>
      </c>
      <c r="CC49" s="5">
        <f t="shared" si="70"/>
        <v>-1984</v>
      </c>
    </row>
    <row r="50" spans="1:81" x14ac:dyDescent="0.2">
      <c r="A50" s="5" t="s">
        <v>209</v>
      </c>
      <c r="B50" s="5">
        <v>5.9499899999999997</v>
      </c>
      <c r="C50" s="45" t="s">
        <v>39</v>
      </c>
      <c r="D50" s="59">
        <f>IFERROR(VLOOKUP(A49,WIP!$A:$B,2,0),0)</f>
        <v>326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2">
      <c r="A51" s="5" t="s">
        <v>210</v>
      </c>
      <c r="B51" s="5">
        <v>0.193</v>
      </c>
      <c r="C51" s="9" t="s">
        <v>211</v>
      </c>
      <c r="D51" s="60">
        <f>IFERROR(VLOOKUP($A49,Plan!$A:B,D$4,0),0)</f>
        <v>0</v>
      </c>
      <c r="E51" s="70">
        <f>IFERROR(VLOOKUP($A49,Plan!$A:C,E$4,0),0)</f>
        <v>0</v>
      </c>
      <c r="F51" s="70">
        <f>IFERROR(VLOOKUP($A49,Plan!$A:D,F$4,0),0)</f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2">
      <c r="A52" s="5" t="s">
        <v>212</v>
      </c>
      <c r="B52" s="5">
        <v>2.5999999999999999E-2</v>
      </c>
      <c r="C52" s="9" t="s">
        <v>213</v>
      </c>
      <c r="D52" s="61">
        <f>IFERROR(VLOOKUP($A49,Sales!$A:B,D$2,0),0)</f>
        <v>0</v>
      </c>
      <c r="E52" s="61">
        <f>IFERROR(VLOOKUP($A49,Sales!$A:C,E$2,0),0)</f>
        <v>100</v>
      </c>
      <c r="F52" s="61">
        <f>IFERROR(VLOOKUP($A49,Sales!$A:D,F$2,0),0)</f>
        <v>0</v>
      </c>
      <c r="G52" s="61">
        <f>IFERROR(VLOOKUP($A49,Sales!$A:E,G$2,0),0)</f>
        <v>0</v>
      </c>
      <c r="H52" s="61">
        <f>IFERROR(VLOOKUP($A49,Sales!$A:F,H$2,0),0)</f>
        <v>0</v>
      </c>
      <c r="I52" s="61">
        <f>IFERROR(VLOOKUP($A49,Sales!$A:G,I$2,0),0)</f>
        <v>0</v>
      </c>
      <c r="J52" s="61">
        <f>IFERROR(VLOOKUP($A49,Sales!$A:H,J$2,0),0)</f>
        <v>100</v>
      </c>
      <c r="K52" s="61">
        <f>IFERROR(VLOOKUP($A49,Sales!$A:I,K$2,0),0)</f>
        <v>0</v>
      </c>
      <c r="L52" s="61">
        <f>IFERROR(VLOOKUP($A49,Sales!$A:J,L$2,0),0)</f>
        <v>100</v>
      </c>
      <c r="M52" s="61">
        <f>IFERROR(VLOOKUP($A49,Sales!$A:K,M$2,0),0)</f>
        <v>300</v>
      </c>
      <c r="N52" s="61">
        <f>IFERROR(VLOOKUP($A49,Sales!$A:L,N$2,0),0)</f>
        <v>0</v>
      </c>
      <c r="O52" s="61">
        <f>IFERROR(VLOOKUP($A49,Sales!$A:M,O$2,0),0)</f>
        <v>0</v>
      </c>
      <c r="P52" s="61">
        <f>IFERROR(VLOOKUP($A49,Sales!$A:N,P$2,0),0)</f>
        <v>0</v>
      </c>
      <c r="Q52" s="61">
        <f>IFERROR(VLOOKUP($A49,Sales!$A:O,Q$2,0),0)</f>
        <v>0</v>
      </c>
      <c r="R52" s="61">
        <f>IFERROR(VLOOKUP($A49,Sales!$A:P,R$2,0),0)</f>
        <v>100</v>
      </c>
      <c r="S52" s="61">
        <f>IFERROR(VLOOKUP($A49,Sales!$A:Q,S$2,0),0)</f>
        <v>0</v>
      </c>
      <c r="T52" s="61">
        <f>IFERROR(VLOOKUP($A49,Sales!$A:R,T$2,0),0)</f>
        <v>100</v>
      </c>
      <c r="U52" s="61">
        <f>IFERROR(VLOOKUP($A49,Sales!$A:S,U$2,0),0)</f>
        <v>80</v>
      </c>
      <c r="V52" s="61">
        <f>IFERROR(VLOOKUP($A49,Sales!$A:T,V$2,0),0)</f>
        <v>80</v>
      </c>
      <c r="W52" s="61">
        <f>IFERROR(VLOOKUP($A49,Sales!$A:U,W$2,0),0)</f>
        <v>80</v>
      </c>
      <c r="X52" s="61">
        <f>IFERROR(VLOOKUP($A49,Sales!$A:V,X$2,0),0)</f>
        <v>60</v>
      </c>
      <c r="Y52" s="61">
        <f>IFERROR(VLOOKUP($A49,Sales!$A:W,Y$2,0),0)</f>
        <v>80</v>
      </c>
      <c r="Z52" s="61">
        <f>IFERROR(VLOOKUP($A49,Sales!$A:X,Z$2,0),0)</f>
        <v>80</v>
      </c>
      <c r="AA52" s="61">
        <f>IFERROR(VLOOKUP($A49,Sales!$A:Y,AA$2,0),0)</f>
        <v>80</v>
      </c>
      <c r="AB52" s="61">
        <f>IFERROR(VLOOKUP($A49,Sales!$A:Z,AB$2,0),0)</f>
        <v>60</v>
      </c>
      <c r="AC52" s="61">
        <f>IFERROR(VLOOKUP($A49,Sales!$A:AA,AC$2,0),0)</f>
        <v>0</v>
      </c>
      <c r="AD52" s="61">
        <f>IFERROR(VLOOKUP($A49,Sales!$A:AB,AD$2,0),0)</f>
        <v>0</v>
      </c>
      <c r="AE52" s="61">
        <f>IFERROR(VLOOKUP($A49,Sales!$A:AC,AE$2,0),0)</f>
        <v>0</v>
      </c>
      <c r="AF52" s="61">
        <f>IFERROR(VLOOKUP($A49,Sales!$A:AD,AF$2,0),0)</f>
        <v>0</v>
      </c>
      <c r="AG52" s="61">
        <f>IFERROR(VLOOKUP($A49,Sales!$A:AE,AG$2,0),0)</f>
        <v>0</v>
      </c>
      <c r="AH52" s="61">
        <f>IFERROR(VLOOKUP($A49,Sales!$A:AF,AH$2,0),0)</f>
        <v>0</v>
      </c>
      <c r="AI52" s="61">
        <f>IFERROR(VLOOKUP($A49,Sales!$A:AG,AI$2,0),0)</f>
        <v>0</v>
      </c>
      <c r="AJ52" s="61">
        <f>IFERROR(VLOOKUP($A49,Sales!$A:AH,AJ$2,0),0)</f>
        <v>0</v>
      </c>
      <c r="AK52" s="73">
        <f t="shared" ref="AK52:CC52" si="71">CEILING(AK$5*$B48,1)</f>
        <v>0</v>
      </c>
      <c r="AL52" s="73">
        <f t="shared" si="71"/>
        <v>0</v>
      </c>
      <c r="AM52" s="73">
        <f t="shared" si="71"/>
        <v>0</v>
      </c>
      <c r="AN52" s="73">
        <f t="shared" si="71"/>
        <v>38</v>
      </c>
      <c r="AO52" s="73">
        <f t="shared" si="71"/>
        <v>38</v>
      </c>
      <c r="AP52" s="73">
        <f t="shared" si="71"/>
        <v>38</v>
      </c>
      <c r="AQ52" s="73">
        <f t="shared" si="71"/>
        <v>45</v>
      </c>
      <c r="AR52" s="73">
        <f t="shared" si="71"/>
        <v>45</v>
      </c>
      <c r="AS52" s="73">
        <f t="shared" si="71"/>
        <v>36</v>
      </c>
      <c r="AT52" s="73">
        <f t="shared" si="71"/>
        <v>45</v>
      </c>
      <c r="AU52" s="73">
        <f t="shared" si="71"/>
        <v>43</v>
      </c>
      <c r="AV52" s="73">
        <f t="shared" si="71"/>
        <v>43</v>
      </c>
      <c r="AW52" s="73">
        <f t="shared" si="71"/>
        <v>43</v>
      </c>
      <c r="AX52" s="73">
        <f t="shared" si="71"/>
        <v>43</v>
      </c>
      <c r="AY52" s="73">
        <f t="shared" si="71"/>
        <v>35</v>
      </c>
      <c r="AZ52" s="73">
        <f t="shared" si="71"/>
        <v>31</v>
      </c>
      <c r="BA52" s="73">
        <f t="shared" si="71"/>
        <v>31</v>
      </c>
      <c r="BB52" s="73">
        <f t="shared" si="71"/>
        <v>31</v>
      </c>
      <c r="BC52" s="73">
        <f t="shared" si="71"/>
        <v>35</v>
      </c>
      <c r="BD52" s="73">
        <f t="shared" si="71"/>
        <v>35</v>
      </c>
      <c r="BE52" s="73">
        <f t="shared" si="71"/>
        <v>35</v>
      </c>
      <c r="BF52" s="73">
        <f t="shared" si="71"/>
        <v>35</v>
      </c>
      <c r="BG52" s="73">
        <f t="shared" si="71"/>
        <v>35</v>
      </c>
      <c r="BH52" s="73">
        <f t="shared" si="71"/>
        <v>35</v>
      </c>
      <c r="BI52" s="73">
        <f t="shared" si="71"/>
        <v>35</v>
      </c>
      <c r="BJ52" s="73">
        <f t="shared" si="71"/>
        <v>35</v>
      </c>
      <c r="BK52" s="73">
        <f t="shared" si="71"/>
        <v>35</v>
      </c>
      <c r="BL52" s="73">
        <f t="shared" si="71"/>
        <v>34</v>
      </c>
      <c r="BM52" s="73">
        <f t="shared" si="71"/>
        <v>34</v>
      </c>
      <c r="BN52" s="73">
        <f t="shared" si="71"/>
        <v>62</v>
      </c>
      <c r="BO52" s="73">
        <f t="shared" si="71"/>
        <v>0</v>
      </c>
      <c r="BP52" s="73">
        <f t="shared" si="71"/>
        <v>0</v>
      </c>
      <c r="BQ52" s="73">
        <f t="shared" si="71"/>
        <v>0</v>
      </c>
      <c r="BR52" s="73">
        <f t="shared" si="71"/>
        <v>0</v>
      </c>
      <c r="BS52" s="73">
        <f t="shared" si="71"/>
        <v>28</v>
      </c>
      <c r="BT52" s="73">
        <f t="shared" si="71"/>
        <v>28</v>
      </c>
      <c r="BU52" s="73">
        <f t="shared" si="71"/>
        <v>28</v>
      </c>
      <c r="BV52" s="73">
        <f t="shared" si="71"/>
        <v>28</v>
      </c>
      <c r="BW52" s="73">
        <f t="shared" si="71"/>
        <v>28</v>
      </c>
      <c r="BX52" s="73">
        <f t="shared" si="71"/>
        <v>28</v>
      </c>
      <c r="BY52" s="73">
        <f t="shared" si="71"/>
        <v>28</v>
      </c>
      <c r="BZ52" s="73">
        <f t="shared" si="71"/>
        <v>28</v>
      </c>
      <c r="CA52" s="73">
        <f t="shared" si="71"/>
        <v>28</v>
      </c>
      <c r="CB52" s="73">
        <f t="shared" si="71"/>
        <v>28</v>
      </c>
      <c r="CC52" s="73">
        <f t="shared" si="71"/>
        <v>28</v>
      </c>
    </row>
    <row r="53" spans="1:81" x14ac:dyDescent="0.2">
      <c r="A53" s="5" t="s">
        <v>214</v>
      </c>
      <c r="B53" s="5">
        <v>0.219</v>
      </c>
      <c r="C53" s="46" t="s">
        <v>215</v>
      </c>
      <c r="D53" s="11">
        <f t="shared" ref="D53:AI53" si="72">IF(D52=0,0, ROUND(D49 * 1/D52* D$13,1))</f>
        <v>0</v>
      </c>
      <c r="E53" s="11">
        <f t="shared" si="72"/>
        <v>36.299999999999997</v>
      </c>
      <c r="F53" s="11">
        <f t="shared" si="72"/>
        <v>0</v>
      </c>
      <c r="G53" s="11">
        <f t="shared" si="72"/>
        <v>0</v>
      </c>
      <c r="H53" s="11">
        <f t="shared" si="72"/>
        <v>0</v>
      </c>
      <c r="I53" s="11">
        <f t="shared" si="72"/>
        <v>0</v>
      </c>
      <c r="J53" s="11">
        <f t="shared" si="72"/>
        <v>31.3</v>
      </c>
      <c r="K53" s="11">
        <f t="shared" si="72"/>
        <v>0</v>
      </c>
      <c r="L53" s="11">
        <f t="shared" si="72"/>
        <v>26.3</v>
      </c>
      <c r="M53" s="11">
        <f t="shared" si="72"/>
        <v>7.1</v>
      </c>
      <c r="N53" s="11">
        <f t="shared" si="72"/>
        <v>0</v>
      </c>
      <c r="O53" s="11">
        <f t="shared" si="72"/>
        <v>0</v>
      </c>
      <c r="P53" s="11">
        <f t="shared" si="72"/>
        <v>0</v>
      </c>
      <c r="Q53" s="11">
        <f t="shared" si="72"/>
        <v>0</v>
      </c>
      <c r="R53" s="11">
        <f t="shared" si="72"/>
        <v>6.3</v>
      </c>
      <c r="S53" s="11">
        <f t="shared" si="72"/>
        <v>0</v>
      </c>
      <c r="T53" s="11">
        <f t="shared" si="72"/>
        <v>1.3</v>
      </c>
      <c r="U53" s="11">
        <f t="shared" si="72"/>
        <v>-4.5999999999999996</v>
      </c>
      <c r="V53" s="11">
        <f t="shared" si="72"/>
        <v>-9.6</v>
      </c>
      <c r="W53" s="11">
        <f t="shared" si="72"/>
        <v>-14.6</v>
      </c>
      <c r="X53" s="11">
        <f t="shared" si="72"/>
        <v>-26.2</v>
      </c>
      <c r="Y53" s="11">
        <f t="shared" si="72"/>
        <v>-23.4</v>
      </c>
      <c r="Z53" s="11">
        <f t="shared" si="72"/>
        <v>-28.4</v>
      </c>
      <c r="AA53" s="11">
        <f t="shared" si="72"/>
        <v>-33.4</v>
      </c>
      <c r="AB53" s="11">
        <f t="shared" si="72"/>
        <v>-51.2</v>
      </c>
      <c r="AC53" s="11">
        <f t="shared" si="72"/>
        <v>0</v>
      </c>
      <c r="AD53" s="11">
        <f t="shared" si="72"/>
        <v>0</v>
      </c>
      <c r="AE53" s="11">
        <f t="shared" si="72"/>
        <v>0</v>
      </c>
      <c r="AF53" s="11">
        <f t="shared" si="72"/>
        <v>0</v>
      </c>
      <c r="AG53" s="11">
        <f t="shared" si="72"/>
        <v>0</v>
      </c>
      <c r="AH53" s="11">
        <f t="shared" si="72"/>
        <v>0</v>
      </c>
      <c r="AI53" s="11">
        <f t="shared" si="72"/>
        <v>0</v>
      </c>
      <c r="AJ53" s="11">
        <f t="shared" ref="AJ53:BO53" si="73">IF(AJ52=0,0, ROUND(AJ49 * 1/AJ52* AJ$13,1))</f>
        <v>0</v>
      </c>
      <c r="AK53" s="11">
        <f t="shared" si="73"/>
        <v>0</v>
      </c>
      <c r="AL53" s="11">
        <f t="shared" si="73"/>
        <v>0</v>
      </c>
      <c r="AM53" s="11">
        <f t="shared" si="73"/>
        <v>0</v>
      </c>
      <c r="AN53" s="11">
        <f t="shared" si="73"/>
        <v>-88.7</v>
      </c>
      <c r="AO53" s="11">
        <f t="shared" si="73"/>
        <v>-93.7</v>
      </c>
      <c r="AP53" s="11">
        <f t="shared" si="73"/>
        <v>-98.7</v>
      </c>
      <c r="AQ53" s="11">
        <f t="shared" si="73"/>
        <v>-87.6</v>
      </c>
      <c r="AR53" s="11">
        <f t="shared" si="73"/>
        <v>-92.6</v>
      </c>
      <c r="AS53" s="11">
        <f t="shared" si="73"/>
        <v>-121.9</v>
      </c>
      <c r="AT53" s="11">
        <f t="shared" si="73"/>
        <v>-101.6</v>
      </c>
      <c r="AU53" s="11">
        <f t="shared" si="73"/>
        <v>-111.5</v>
      </c>
      <c r="AV53" s="11">
        <f t="shared" si="73"/>
        <v>-116.5</v>
      </c>
      <c r="AW53" s="11">
        <f t="shared" si="73"/>
        <v>-121.5</v>
      </c>
      <c r="AX53" s="11">
        <f t="shared" si="73"/>
        <v>-126.5</v>
      </c>
      <c r="AY53" s="11">
        <f t="shared" si="73"/>
        <v>-161.6</v>
      </c>
      <c r="AZ53" s="11">
        <f t="shared" si="73"/>
        <v>-188.1</v>
      </c>
      <c r="BA53" s="11">
        <f t="shared" si="73"/>
        <v>-193.1</v>
      </c>
      <c r="BB53" s="11">
        <f t="shared" si="73"/>
        <v>-198.1</v>
      </c>
      <c r="BC53" s="11">
        <f t="shared" si="73"/>
        <v>-179.9</v>
      </c>
      <c r="BD53" s="11">
        <f t="shared" si="73"/>
        <v>-184.9</v>
      </c>
      <c r="BE53" s="11">
        <f t="shared" si="73"/>
        <v>-189.9</v>
      </c>
      <c r="BF53" s="11">
        <f t="shared" si="73"/>
        <v>-194.9</v>
      </c>
      <c r="BG53" s="11">
        <f t="shared" si="73"/>
        <v>-199.9</v>
      </c>
      <c r="BH53" s="11">
        <f t="shared" si="73"/>
        <v>-204.9</v>
      </c>
      <c r="BI53" s="11">
        <f t="shared" si="73"/>
        <v>-209.9</v>
      </c>
      <c r="BJ53" s="11">
        <f t="shared" si="73"/>
        <v>-214.9</v>
      </c>
      <c r="BK53" s="11">
        <f t="shared" si="73"/>
        <v>-219.9</v>
      </c>
      <c r="BL53" s="11">
        <f t="shared" si="73"/>
        <v>-231.5</v>
      </c>
      <c r="BM53" s="11">
        <f t="shared" si="73"/>
        <v>-236.5</v>
      </c>
      <c r="BN53" s="11">
        <f t="shared" si="73"/>
        <v>-132.4</v>
      </c>
      <c r="BO53" s="11">
        <f t="shared" si="73"/>
        <v>0</v>
      </c>
      <c r="BP53" s="11">
        <f t="shared" ref="BP53:CU53" si="74">IF(BP52=0,0, ROUND(BP49 * 1/BP52* BP$13,1))</f>
        <v>0</v>
      </c>
      <c r="BQ53" s="11">
        <f t="shared" si="74"/>
        <v>0</v>
      </c>
      <c r="BR53" s="11">
        <f t="shared" si="74"/>
        <v>0</v>
      </c>
      <c r="BS53" s="11">
        <f t="shared" si="74"/>
        <v>-304.3</v>
      </c>
      <c r="BT53" s="11">
        <f t="shared" si="74"/>
        <v>-309.3</v>
      </c>
      <c r="BU53" s="11">
        <f t="shared" si="74"/>
        <v>-314.3</v>
      </c>
      <c r="BV53" s="11">
        <f t="shared" si="74"/>
        <v>-319.3</v>
      </c>
      <c r="BW53" s="11">
        <f t="shared" si="74"/>
        <v>-324.3</v>
      </c>
      <c r="BX53" s="11">
        <f t="shared" si="74"/>
        <v>-329.3</v>
      </c>
      <c r="BY53" s="11">
        <f t="shared" si="74"/>
        <v>-334.3</v>
      </c>
      <c r="BZ53" s="11">
        <f t="shared" si="74"/>
        <v>-339.3</v>
      </c>
      <c r="CA53" s="11">
        <f t="shared" si="74"/>
        <v>-344.3</v>
      </c>
      <c r="CB53" s="11">
        <f t="shared" si="74"/>
        <v>-349.3</v>
      </c>
      <c r="CC53" s="11">
        <f t="shared" si="74"/>
        <v>-354.3</v>
      </c>
    </row>
    <row r="54" spans="1:81" x14ac:dyDescent="0.2">
      <c r="A54">
        <v>14</v>
      </c>
      <c r="B54">
        <v>1</v>
      </c>
      <c r="C54" s="68">
        <v>4.4729999999999999</v>
      </c>
      <c r="D54">
        <f t="shared" ref="D54:AI54" si="75">D51/$B54</f>
        <v>0</v>
      </c>
      <c r="E54">
        <f t="shared" si="75"/>
        <v>0</v>
      </c>
      <c r="F54">
        <f t="shared" si="75"/>
        <v>0</v>
      </c>
      <c r="G54">
        <f t="shared" si="75"/>
        <v>0</v>
      </c>
      <c r="H54">
        <f t="shared" si="75"/>
        <v>0</v>
      </c>
      <c r="I54">
        <f t="shared" si="75"/>
        <v>0</v>
      </c>
      <c r="J54">
        <f t="shared" si="75"/>
        <v>0</v>
      </c>
      <c r="K54">
        <f t="shared" si="75"/>
        <v>0</v>
      </c>
      <c r="L54">
        <f t="shared" si="75"/>
        <v>0</v>
      </c>
      <c r="M54">
        <f t="shared" si="75"/>
        <v>0</v>
      </c>
      <c r="N54">
        <f t="shared" si="75"/>
        <v>0</v>
      </c>
      <c r="O54">
        <f t="shared" si="75"/>
        <v>0</v>
      </c>
      <c r="P54">
        <f t="shared" si="75"/>
        <v>0</v>
      </c>
      <c r="Q54">
        <f t="shared" si="75"/>
        <v>0</v>
      </c>
      <c r="R54">
        <f t="shared" si="75"/>
        <v>0</v>
      </c>
      <c r="S54">
        <f t="shared" si="75"/>
        <v>0</v>
      </c>
      <c r="T54">
        <f t="shared" si="75"/>
        <v>0</v>
      </c>
      <c r="U54">
        <f t="shared" si="75"/>
        <v>0</v>
      </c>
      <c r="V54">
        <f t="shared" si="75"/>
        <v>0</v>
      </c>
      <c r="W54">
        <f t="shared" si="75"/>
        <v>0</v>
      </c>
      <c r="X54">
        <f t="shared" si="75"/>
        <v>0</v>
      </c>
      <c r="Y54">
        <f t="shared" si="75"/>
        <v>0</v>
      </c>
      <c r="Z54">
        <f t="shared" si="75"/>
        <v>0</v>
      </c>
      <c r="AA54">
        <f t="shared" si="75"/>
        <v>0</v>
      </c>
      <c r="AB54">
        <f t="shared" si="75"/>
        <v>0</v>
      </c>
      <c r="AC54">
        <f t="shared" si="75"/>
        <v>0</v>
      </c>
      <c r="AD54">
        <f t="shared" si="75"/>
        <v>0</v>
      </c>
      <c r="AE54">
        <f t="shared" si="75"/>
        <v>0</v>
      </c>
      <c r="AF54">
        <f t="shared" si="75"/>
        <v>0</v>
      </c>
      <c r="AG54">
        <f t="shared" si="75"/>
        <v>0</v>
      </c>
      <c r="AH54">
        <f t="shared" si="75"/>
        <v>0</v>
      </c>
      <c r="AI54">
        <f t="shared" si="75"/>
        <v>0</v>
      </c>
      <c r="AJ54">
        <f t="shared" ref="AJ54:BO54" si="76">AJ51/$B54</f>
        <v>0</v>
      </c>
      <c r="AK54">
        <f t="shared" si="76"/>
        <v>0</v>
      </c>
      <c r="AL54">
        <f t="shared" si="76"/>
        <v>0</v>
      </c>
      <c r="AM54">
        <f t="shared" si="76"/>
        <v>0</v>
      </c>
      <c r="AN54">
        <f t="shared" si="76"/>
        <v>0</v>
      </c>
      <c r="AO54">
        <f t="shared" si="76"/>
        <v>0</v>
      </c>
      <c r="AP54">
        <f t="shared" si="76"/>
        <v>0</v>
      </c>
      <c r="AQ54">
        <f t="shared" si="76"/>
        <v>0</v>
      </c>
      <c r="AR54">
        <f t="shared" si="76"/>
        <v>0</v>
      </c>
      <c r="AS54">
        <f t="shared" si="76"/>
        <v>0</v>
      </c>
      <c r="AT54">
        <f t="shared" si="76"/>
        <v>0</v>
      </c>
      <c r="AU54">
        <f t="shared" si="76"/>
        <v>0</v>
      </c>
      <c r="AV54">
        <f t="shared" si="76"/>
        <v>0</v>
      </c>
      <c r="AW54">
        <f t="shared" si="76"/>
        <v>0</v>
      </c>
      <c r="AX54">
        <f t="shared" si="76"/>
        <v>0</v>
      </c>
      <c r="AY54">
        <f t="shared" si="76"/>
        <v>0</v>
      </c>
      <c r="AZ54">
        <f t="shared" si="76"/>
        <v>0</v>
      </c>
      <c r="BA54">
        <f t="shared" si="76"/>
        <v>0</v>
      </c>
      <c r="BB54">
        <f t="shared" si="76"/>
        <v>0</v>
      </c>
      <c r="BC54">
        <f t="shared" si="76"/>
        <v>0</v>
      </c>
      <c r="BD54">
        <f t="shared" si="76"/>
        <v>0</v>
      </c>
      <c r="BE54">
        <f t="shared" si="76"/>
        <v>0</v>
      </c>
      <c r="BF54">
        <f t="shared" si="76"/>
        <v>0</v>
      </c>
      <c r="BG54">
        <f t="shared" si="76"/>
        <v>0</v>
      </c>
      <c r="BH54">
        <f t="shared" si="76"/>
        <v>0</v>
      </c>
      <c r="BI54">
        <f t="shared" si="76"/>
        <v>0</v>
      </c>
      <c r="BJ54">
        <f t="shared" si="76"/>
        <v>0</v>
      </c>
      <c r="BK54">
        <f t="shared" si="76"/>
        <v>0</v>
      </c>
      <c r="BL54">
        <f t="shared" si="76"/>
        <v>0</v>
      </c>
      <c r="BM54">
        <f t="shared" si="76"/>
        <v>0</v>
      </c>
      <c r="BN54">
        <f t="shared" si="76"/>
        <v>0</v>
      </c>
      <c r="BO54">
        <f t="shared" si="76"/>
        <v>0</v>
      </c>
      <c r="BP54">
        <f t="shared" ref="BP54:CC54" si="77">BP51/$B54</f>
        <v>0</v>
      </c>
      <c r="BQ54">
        <f t="shared" si="77"/>
        <v>0</v>
      </c>
      <c r="BR54">
        <f t="shared" si="77"/>
        <v>0</v>
      </c>
      <c r="BS54">
        <f t="shared" si="77"/>
        <v>0</v>
      </c>
      <c r="BT54">
        <f t="shared" si="77"/>
        <v>0</v>
      </c>
      <c r="BU54">
        <f t="shared" si="77"/>
        <v>0</v>
      </c>
      <c r="BV54">
        <f t="shared" si="77"/>
        <v>0</v>
      </c>
      <c r="BW54">
        <f t="shared" si="77"/>
        <v>0</v>
      </c>
      <c r="BX54">
        <f t="shared" si="77"/>
        <v>0</v>
      </c>
      <c r="BY54">
        <f t="shared" si="77"/>
        <v>0</v>
      </c>
      <c r="BZ54">
        <f t="shared" si="77"/>
        <v>0</v>
      </c>
      <c r="CA54">
        <f t="shared" si="77"/>
        <v>0</v>
      </c>
      <c r="CB54">
        <f t="shared" si="77"/>
        <v>0</v>
      </c>
      <c r="CC54">
        <f t="shared" si="77"/>
        <v>0</v>
      </c>
    </row>
    <row r="55" spans="1:81" x14ac:dyDescent="0.2">
      <c r="B55" s="67">
        <f>SUM(D59:AJ59)/SUM($D$263:$AJ$263)</f>
        <v>4.883050930221202E-3</v>
      </c>
      <c r="C55" s="9" t="s">
        <v>216</v>
      </c>
      <c r="D55">
        <f t="shared" ref="D55:AI55" si="78">D49-D52</f>
        <v>400</v>
      </c>
      <c r="E55">
        <f t="shared" si="78"/>
        <v>626</v>
      </c>
      <c r="F55">
        <f t="shared" si="78"/>
        <v>626</v>
      </c>
      <c r="G55">
        <f t="shared" si="78"/>
        <v>626</v>
      </c>
      <c r="H55">
        <f t="shared" si="78"/>
        <v>626</v>
      </c>
      <c r="I55">
        <f t="shared" si="78"/>
        <v>626</v>
      </c>
      <c r="J55">
        <f t="shared" si="78"/>
        <v>526</v>
      </c>
      <c r="K55">
        <f t="shared" si="78"/>
        <v>526</v>
      </c>
      <c r="L55">
        <f t="shared" si="78"/>
        <v>426</v>
      </c>
      <c r="M55">
        <f t="shared" si="78"/>
        <v>126</v>
      </c>
      <c r="N55">
        <f t="shared" si="78"/>
        <v>126</v>
      </c>
      <c r="O55">
        <f t="shared" si="78"/>
        <v>126</v>
      </c>
      <c r="P55">
        <f t="shared" si="78"/>
        <v>126</v>
      </c>
      <c r="Q55">
        <f t="shared" si="78"/>
        <v>126</v>
      </c>
      <c r="R55">
        <f t="shared" si="78"/>
        <v>26</v>
      </c>
      <c r="S55">
        <f t="shared" si="78"/>
        <v>26</v>
      </c>
      <c r="T55">
        <f t="shared" si="78"/>
        <v>-74</v>
      </c>
      <c r="U55">
        <f t="shared" si="78"/>
        <v>-154</v>
      </c>
      <c r="V55">
        <f t="shared" si="78"/>
        <v>-234</v>
      </c>
      <c r="W55">
        <f t="shared" si="78"/>
        <v>-314</v>
      </c>
      <c r="X55">
        <f t="shared" si="78"/>
        <v>-374</v>
      </c>
      <c r="Y55">
        <f t="shared" si="78"/>
        <v>-454</v>
      </c>
      <c r="Z55">
        <f t="shared" si="78"/>
        <v>-534</v>
      </c>
      <c r="AA55">
        <f t="shared" si="78"/>
        <v>-614</v>
      </c>
      <c r="AB55">
        <f t="shared" si="78"/>
        <v>-674</v>
      </c>
      <c r="AC55">
        <f t="shared" si="78"/>
        <v>-674</v>
      </c>
      <c r="AD55">
        <f t="shared" si="78"/>
        <v>-674</v>
      </c>
      <c r="AE55">
        <f t="shared" si="78"/>
        <v>-674</v>
      </c>
      <c r="AF55">
        <f t="shared" si="78"/>
        <v>-674</v>
      </c>
      <c r="AG55">
        <f t="shared" si="78"/>
        <v>-674</v>
      </c>
      <c r="AH55">
        <f t="shared" si="78"/>
        <v>-674</v>
      </c>
      <c r="AI55">
        <f t="shared" si="78"/>
        <v>-674</v>
      </c>
      <c r="AJ55">
        <f t="shared" ref="AJ55:BO55" si="79">AJ49-AJ52</f>
        <v>-674</v>
      </c>
      <c r="AK55">
        <f t="shared" si="79"/>
        <v>-674</v>
      </c>
      <c r="AL55">
        <f t="shared" si="79"/>
        <v>-674</v>
      </c>
      <c r="AM55">
        <f t="shared" si="79"/>
        <v>-674</v>
      </c>
      <c r="AN55">
        <f t="shared" si="79"/>
        <v>-712</v>
      </c>
      <c r="AO55">
        <f t="shared" si="79"/>
        <v>-750</v>
      </c>
      <c r="AP55">
        <f t="shared" si="79"/>
        <v>-788</v>
      </c>
      <c r="AQ55">
        <f t="shared" si="79"/>
        <v>-833</v>
      </c>
      <c r="AR55">
        <f t="shared" si="79"/>
        <v>-878</v>
      </c>
      <c r="AS55">
        <f t="shared" si="79"/>
        <v>-914</v>
      </c>
      <c r="AT55">
        <f t="shared" si="79"/>
        <v>-959</v>
      </c>
      <c r="AU55">
        <f t="shared" si="79"/>
        <v>-1002</v>
      </c>
      <c r="AV55">
        <f t="shared" si="79"/>
        <v>-1045</v>
      </c>
      <c r="AW55">
        <f t="shared" si="79"/>
        <v>-1088</v>
      </c>
      <c r="AX55">
        <f t="shared" si="79"/>
        <v>-1131</v>
      </c>
      <c r="AY55">
        <f t="shared" si="79"/>
        <v>-1166</v>
      </c>
      <c r="AZ55">
        <f t="shared" si="79"/>
        <v>-1197</v>
      </c>
      <c r="BA55">
        <f t="shared" si="79"/>
        <v>-1228</v>
      </c>
      <c r="BB55">
        <f t="shared" si="79"/>
        <v>-1259</v>
      </c>
      <c r="BC55">
        <f t="shared" si="79"/>
        <v>-1294</v>
      </c>
      <c r="BD55">
        <f t="shared" si="79"/>
        <v>-1329</v>
      </c>
      <c r="BE55">
        <f t="shared" si="79"/>
        <v>-1364</v>
      </c>
      <c r="BF55">
        <f t="shared" si="79"/>
        <v>-1399</v>
      </c>
      <c r="BG55">
        <f t="shared" si="79"/>
        <v>-1434</v>
      </c>
      <c r="BH55">
        <f t="shared" si="79"/>
        <v>-1469</v>
      </c>
      <c r="BI55">
        <f t="shared" si="79"/>
        <v>-1504</v>
      </c>
      <c r="BJ55">
        <f t="shared" si="79"/>
        <v>-1539</v>
      </c>
      <c r="BK55">
        <f t="shared" si="79"/>
        <v>-1574</v>
      </c>
      <c r="BL55">
        <f t="shared" si="79"/>
        <v>-1608</v>
      </c>
      <c r="BM55">
        <f t="shared" si="79"/>
        <v>-1642</v>
      </c>
      <c r="BN55">
        <f t="shared" si="79"/>
        <v>-1704</v>
      </c>
      <c r="BO55">
        <f t="shared" si="79"/>
        <v>-1704</v>
      </c>
      <c r="BP55">
        <f t="shared" ref="BP55:CC55" si="80">BP49-BP52</f>
        <v>-1704</v>
      </c>
      <c r="BQ55">
        <f t="shared" si="80"/>
        <v>-1704</v>
      </c>
      <c r="BR55">
        <f t="shared" si="80"/>
        <v>-1704</v>
      </c>
      <c r="BS55">
        <f t="shared" si="80"/>
        <v>-1732</v>
      </c>
      <c r="BT55">
        <f t="shared" si="80"/>
        <v>-1760</v>
      </c>
      <c r="BU55">
        <f t="shared" si="80"/>
        <v>-1788</v>
      </c>
      <c r="BV55">
        <f t="shared" si="80"/>
        <v>-1816</v>
      </c>
      <c r="BW55">
        <f t="shared" si="80"/>
        <v>-1844</v>
      </c>
      <c r="BX55">
        <f t="shared" si="80"/>
        <v>-1872</v>
      </c>
      <c r="BY55">
        <f t="shared" si="80"/>
        <v>-1900</v>
      </c>
      <c r="BZ55">
        <f t="shared" si="80"/>
        <v>-1928</v>
      </c>
      <c r="CA55">
        <f t="shared" si="80"/>
        <v>-1956</v>
      </c>
      <c r="CB55">
        <f t="shared" si="80"/>
        <v>-1984</v>
      </c>
      <c r="CC55">
        <f t="shared" si="80"/>
        <v>-2012</v>
      </c>
    </row>
    <row r="56" spans="1:81" x14ac:dyDescent="0.2">
      <c r="A56" s="43" t="s">
        <v>222</v>
      </c>
      <c r="B56" s="44" t="s">
        <v>208</v>
      </c>
      <c r="C56" s="9" t="s">
        <v>38</v>
      </c>
      <c r="D56" s="58">
        <f>IFERROR(VLOOKUP(A56,OS!$A:$B,2,0),0)</f>
        <v>0</v>
      </c>
      <c r="E56" s="5">
        <f>(D56+D57-D59)</f>
        <v>0</v>
      </c>
      <c r="F56" s="5">
        <f>(E56+E57-E59)</f>
        <v>0</v>
      </c>
      <c r="G56" s="5">
        <f>(F56+F57-F59)</f>
        <v>0</v>
      </c>
      <c r="H56" s="5">
        <f>(G56+G57-G59)</f>
        <v>0</v>
      </c>
      <c r="I56" s="5">
        <f t="shared" ref="I56:AN56" si="81">(H56+H57-H59+D58)</f>
        <v>0</v>
      </c>
      <c r="J56" s="5">
        <f t="shared" si="81"/>
        <v>0</v>
      </c>
      <c r="K56" s="5">
        <f t="shared" si="81"/>
        <v>0</v>
      </c>
      <c r="L56" s="5">
        <f t="shared" si="81"/>
        <v>0</v>
      </c>
      <c r="M56" s="5">
        <f t="shared" si="81"/>
        <v>0</v>
      </c>
      <c r="N56" s="5">
        <f t="shared" si="81"/>
        <v>0</v>
      </c>
      <c r="O56" s="5">
        <f t="shared" si="81"/>
        <v>0</v>
      </c>
      <c r="P56" s="5">
        <f t="shared" si="81"/>
        <v>0</v>
      </c>
      <c r="Q56" s="5">
        <f t="shared" si="81"/>
        <v>0</v>
      </c>
      <c r="R56" s="5">
        <f t="shared" si="81"/>
        <v>0</v>
      </c>
      <c r="S56" s="5">
        <f t="shared" si="81"/>
        <v>0</v>
      </c>
      <c r="T56" s="5">
        <f t="shared" si="81"/>
        <v>0</v>
      </c>
      <c r="U56" s="5">
        <f t="shared" si="81"/>
        <v>0</v>
      </c>
      <c r="V56" s="5">
        <f t="shared" si="81"/>
        <v>0</v>
      </c>
      <c r="W56" s="5">
        <f t="shared" si="81"/>
        <v>0</v>
      </c>
      <c r="X56" s="5">
        <f t="shared" si="81"/>
        <v>0</v>
      </c>
      <c r="Y56" s="5">
        <f t="shared" si="81"/>
        <v>0</v>
      </c>
      <c r="Z56" s="5">
        <f t="shared" si="81"/>
        <v>-30</v>
      </c>
      <c r="AA56" s="5">
        <f t="shared" si="81"/>
        <v>-60</v>
      </c>
      <c r="AB56" s="5">
        <f t="shared" si="81"/>
        <v>-90</v>
      </c>
      <c r="AC56" s="5">
        <f t="shared" si="81"/>
        <v>-100</v>
      </c>
      <c r="AD56" s="5">
        <f t="shared" si="81"/>
        <v>-160</v>
      </c>
      <c r="AE56" s="5">
        <f t="shared" si="81"/>
        <v>-220</v>
      </c>
      <c r="AF56" s="5">
        <f t="shared" si="81"/>
        <v>-280</v>
      </c>
      <c r="AG56" s="5">
        <f t="shared" si="81"/>
        <v>-340</v>
      </c>
      <c r="AH56" s="5">
        <f t="shared" si="81"/>
        <v>-400</v>
      </c>
      <c r="AI56" s="5">
        <f t="shared" si="81"/>
        <v>-450</v>
      </c>
      <c r="AJ56" s="5">
        <f t="shared" si="81"/>
        <v>-500</v>
      </c>
      <c r="AK56" s="5">
        <f t="shared" si="81"/>
        <v>-500</v>
      </c>
      <c r="AL56" s="5">
        <f t="shared" si="81"/>
        <v>-500</v>
      </c>
      <c r="AM56" s="5">
        <f t="shared" si="81"/>
        <v>-500</v>
      </c>
      <c r="AN56" s="5">
        <f t="shared" si="81"/>
        <v>-500</v>
      </c>
      <c r="AO56" s="5">
        <f t="shared" ref="AO56:BT56" si="82">(AN56+AN57-AN59+AJ58)</f>
        <v>-514</v>
      </c>
      <c r="AP56" s="5">
        <f t="shared" si="82"/>
        <v>-528</v>
      </c>
      <c r="AQ56" s="5">
        <f t="shared" si="82"/>
        <v>-542</v>
      </c>
      <c r="AR56" s="5">
        <f t="shared" si="82"/>
        <v>-558</v>
      </c>
      <c r="AS56" s="5">
        <f t="shared" si="82"/>
        <v>-574</v>
      </c>
      <c r="AT56" s="5">
        <f t="shared" si="82"/>
        <v>-587</v>
      </c>
      <c r="AU56" s="5">
        <f t="shared" si="82"/>
        <v>-603</v>
      </c>
      <c r="AV56" s="5">
        <f t="shared" si="82"/>
        <v>-619</v>
      </c>
      <c r="AW56" s="5">
        <f t="shared" si="82"/>
        <v>-635</v>
      </c>
      <c r="AX56" s="5">
        <f t="shared" si="82"/>
        <v>-651</v>
      </c>
      <c r="AY56" s="5">
        <f t="shared" si="82"/>
        <v>-667</v>
      </c>
      <c r="AZ56" s="5">
        <f t="shared" si="82"/>
        <v>-680</v>
      </c>
      <c r="BA56" s="5">
        <f t="shared" si="82"/>
        <v>-691</v>
      </c>
      <c r="BB56" s="5">
        <f t="shared" si="82"/>
        <v>-702</v>
      </c>
      <c r="BC56" s="5">
        <f t="shared" si="82"/>
        <v>-713</v>
      </c>
      <c r="BD56" s="5">
        <f t="shared" si="82"/>
        <v>-726</v>
      </c>
      <c r="BE56" s="5">
        <f t="shared" si="82"/>
        <v>-739</v>
      </c>
      <c r="BF56" s="5">
        <f t="shared" si="82"/>
        <v>-752</v>
      </c>
      <c r="BG56" s="5">
        <f t="shared" si="82"/>
        <v>-765</v>
      </c>
      <c r="BH56" s="5">
        <f t="shared" si="82"/>
        <v>-778</v>
      </c>
      <c r="BI56" s="5">
        <f t="shared" si="82"/>
        <v>-791</v>
      </c>
      <c r="BJ56" s="5">
        <f t="shared" si="82"/>
        <v>-804</v>
      </c>
      <c r="BK56" s="5">
        <f t="shared" si="82"/>
        <v>-817</v>
      </c>
      <c r="BL56" s="5">
        <f t="shared" si="82"/>
        <v>-830</v>
      </c>
      <c r="BM56" s="5">
        <f t="shared" si="82"/>
        <v>-843</v>
      </c>
      <c r="BN56" s="5">
        <f t="shared" si="82"/>
        <v>-856</v>
      </c>
      <c r="BO56" s="5">
        <f t="shared" si="82"/>
        <v>-879</v>
      </c>
      <c r="BP56" s="5">
        <f t="shared" si="82"/>
        <v>-879</v>
      </c>
      <c r="BQ56" s="5">
        <f t="shared" si="82"/>
        <v>-879</v>
      </c>
      <c r="BR56" s="5">
        <f t="shared" si="82"/>
        <v>-879</v>
      </c>
      <c r="BS56" s="5">
        <f t="shared" si="82"/>
        <v>-879</v>
      </c>
      <c r="BT56" s="5">
        <f t="shared" si="82"/>
        <v>-889</v>
      </c>
      <c r="BU56" s="5">
        <f t="shared" ref="BU56:CZ56" si="83">(BT56+BT57-BT59+BP58)</f>
        <v>-899</v>
      </c>
      <c r="BV56" s="5">
        <f t="shared" si="83"/>
        <v>-909</v>
      </c>
      <c r="BW56" s="5">
        <f t="shared" si="83"/>
        <v>-919</v>
      </c>
      <c r="BX56" s="5">
        <f t="shared" si="83"/>
        <v>-929</v>
      </c>
      <c r="BY56" s="5">
        <f t="shared" si="83"/>
        <v>-939</v>
      </c>
      <c r="BZ56" s="5">
        <f t="shared" si="83"/>
        <v>-949</v>
      </c>
      <c r="CA56" s="5">
        <f t="shared" si="83"/>
        <v>-959</v>
      </c>
      <c r="CB56" s="5">
        <f t="shared" si="83"/>
        <v>-969</v>
      </c>
      <c r="CC56" s="5">
        <f t="shared" si="83"/>
        <v>-979</v>
      </c>
    </row>
    <row r="57" spans="1:81" x14ac:dyDescent="0.2">
      <c r="A57" s="5" t="s">
        <v>209</v>
      </c>
      <c r="B57" s="5">
        <v>7.6343500000000004</v>
      </c>
      <c r="C57" s="45" t="s">
        <v>39</v>
      </c>
      <c r="D57" s="59">
        <f>IFERROR(VLOOKUP(A56,WIP!$A:$B,2,0),0)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2">
      <c r="A58" s="5" t="s">
        <v>210</v>
      </c>
      <c r="B58" s="5">
        <v>0.13914000000000001</v>
      </c>
      <c r="C58" s="9" t="s">
        <v>211</v>
      </c>
      <c r="D58" s="60">
        <f>IFERROR(VLOOKUP($A56,Plan!$A:B,D$4,0),0)</f>
        <v>0</v>
      </c>
      <c r="E58" s="70">
        <f>IFERROR(VLOOKUP($A56,Plan!$A:C,E$4,0),0)</f>
        <v>0</v>
      </c>
      <c r="F58" s="70">
        <f>IFERROR(VLOOKUP($A56,Plan!$A:D,F$4,0),0)</f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 x14ac:dyDescent="0.2">
      <c r="A59" s="5" t="s">
        <v>212</v>
      </c>
      <c r="B59" s="5">
        <v>1.175E-2</v>
      </c>
      <c r="C59" s="9" t="s">
        <v>213</v>
      </c>
      <c r="D59" s="61">
        <f>IFERROR(VLOOKUP($A56,Sales!$A:B,D$2,0),0)</f>
        <v>0</v>
      </c>
      <c r="E59" s="61">
        <f>IFERROR(VLOOKUP($A56,Sales!$A:C,E$2,0),0)</f>
        <v>0</v>
      </c>
      <c r="F59" s="61">
        <f>IFERROR(VLOOKUP($A56,Sales!$A:D,F$2,0),0)</f>
        <v>0</v>
      </c>
      <c r="G59" s="61">
        <f>IFERROR(VLOOKUP($A56,Sales!$A:E,G$2,0),0)</f>
        <v>0</v>
      </c>
      <c r="H59" s="61">
        <f>IFERROR(VLOOKUP($A56,Sales!$A:F,H$2,0),0)</f>
        <v>0</v>
      </c>
      <c r="I59" s="61">
        <f>IFERROR(VLOOKUP($A56,Sales!$A:G,I$2,0),0)</f>
        <v>0</v>
      </c>
      <c r="J59" s="61">
        <f>IFERROR(VLOOKUP($A56,Sales!$A:H,J$2,0),0)</f>
        <v>0</v>
      </c>
      <c r="K59" s="61">
        <f>IFERROR(VLOOKUP($A56,Sales!$A:I,K$2,0),0)</f>
        <v>0</v>
      </c>
      <c r="L59" s="61">
        <f>IFERROR(VLOOKUP($A56,Sales!$A:J,L$2,0),0)</f>
        <v>0</v>
      </c>
      <c r="M59" s="61">
        <f>IFERROR(VLOOKUP($A56,Sales!$A:K,M$2,0),0)</f>
        <v>0</v>
      </c>
      <c r="N59" s="61">
        <f>IFERROR(VLOOKUP($A56,Sales!$A:L,N$2,0),0)</f>
        <v>0</v>
      </c>
      <c r="O59" s="61">
        <f>IFERROR(VLOOKUP($A56,Sales!$A:M,O$2,0),0)</f>
        <v>0</v>
      </c>
      <c r="P59" s="61">
        <f>IFERROR(VLOOKUP($A56,Sales!$A:N,P$2,0),0)</f>
        <v>0</v>
      </c>
      <c r="Q59" s="61">
        <f>IFERROR(VLOOKUP($A56,Sales!$A:O,Q$2,0),0)</f>
        <v>0</v>
      </c>
      <c r="R59" s="61">
        <f>IFERROR(VLOOKUP($A56,Sales!$A:P,R$2,0),0)</f>
        <v>0</v>
      </c>
      <c r="S59" s="61">
        <f>IFERROR(VLOOKUP($A56,Sales!$A:Q,S$2,0),0)</f>
        <v>0</v>
      </c>
      <c r="T59" s="61">
        <f>IFERROR(VLOOKUP($A56,Sales!$A:R,T$2,0),0)</f>
        <v>0</v>
      </c>
      <c r="U59" s="61">
        <f>IFERROR(VLOOKUP($A56,Sales!$A:S,U$2,0),0)</f>
        <v>0</v>
      </c>
      <c r="V59" s="61">
        <f>IFERROR(VLOOKUP($A56,Sales!$A:T,V$2,0),0)</f>
        <v>0</v>
      </c>
      <c r="W59" s="61">
        <f>IFERROR(VLOOKUP($A56,Sales!$A:U,W$2,0),0)</f>
        <v>0</v>
      </c>
      <c r="X59" s="61">
        <f>IFERROR(VLOOKUP($A56,Sales!$A:V,X$2,0),0)</f>
        <v>0</v>
      </c>
      <c r="Y59" s="61">
        <f>IFERROR(VLOOKUP($A56,Sales!$A:W,Y$2,0),0)</f>
        <v>30</v>
      </c>
      <c r="Z59" s="61">
        <f>IFERROR(VLOOKUP($A56,Sales!$A:X,Z$2,0),0)</f>
        <v>30</v>
      </c>
      <c r="AA59" s="61">
        <f>IFERROR(VLOOKUP($A56,Sales!$A:Y,AA$2,0),0)</f>
        <v>30</v>
      </c>
      <c r="AB59" s="61">
        <f>IFERROR(VLOOKUP($A56,Sales!$A:Z,AB$2,0),0)</f>
        <v>10</v>
      </c>
      <c r="AC59" s="61">
        <f>IFERROR(VLOOKUP($A56,Sales!$A:AA,AC$2,0),0)</f>
        <v>60</v>
      </c>
      <c r="AD59" s="61">
        <f>IFERROR(VLOOKUP($A56,Sales!$A:AB,AD$2,0),0)</f>
        <v>60</v>
      </c>
      <c r="AE59" s="61">
        <f>IFERROR(VLOOKUP($A56,Sales!$A:AC,AE$2,0),0)</f>
        <v>60</v>
      </c>
      <c r="AF59" s="61">
        <f>IFERROR(VLOOKUP($A56,Sales!$A:AD,AF$2,0),0)</f>
        <v>60</v>
      </c>
      <c r="AG59" s="61">
        <f>IFERROR(VLOOKUP($A56,Sales!$A:AE,AG$2,0),0)</f>
        <v>60</v>
      </c>
      <c r="AH59" s="61">
        <f>IFERROR(VLOOKUP($A56,Sales!$A:AF,AH$2,0),0)</f>
        <v>50</v>
      </c>
      <c r="AI59" s="61">
        <f>IFERROR(VLOOKUP($A56,Sales!$A:AG,AI$2,0),0)</f>
        <v>50</v>
      </c>
      <c r="AJ59" s="61">
        <f>IFERROR(VLOOKUP($A56,Sales!$A:AH,AJ$2,0),0)</f>
        <v>0</v>
      </c>
      <c r="AK59" s="73">
        <f t="shared" ref="AK59:CC59" si="84">CEILING(AK$5*$B55,1)</f>
        <v>0</v>
      </c>
      <c r="AL59" s="73">
        <f t="shared" si="84"/>
        <v>0</v>
      </c>
      <c r="AM59" s="73">
        <f t="shared" si="84"/>
        <v>0</v>
      </c>
      <c r="AN59" s="73">
        <f t="shared" si="84"/>
        <v>14</v>
      </c>
      <c r="AO59" s="73">
        <f t="shared" si="84"/>
        <v>14</v>
      </c>
      <c r="AP59" s="73">
        <f t="shared" si="84"/>
        <v>14</v>
      </c>
      <c r="AQ59" s="73">
        <f t="shared" si="84"/>
        <v>16</v>
      </c>
      <c r="AR59" s="73">
        <f t="shared" si="84"/>
        <v>16</v>
      </c>
      <c r="AS59" s="73">
        <f t="shared" si="84"/>
        <v>13</v>
      </c>
      <c r="AT59" s="73">
        <f t="shared" si="84"/>
        <v>16</v>
      </c>
      <c r="AU59" s="73">
        <f t="shared" si="84"/>
        <v>16</v>
      </c>
      <c r="AV59" s="73">
        <f t="shared" si="84"/>
        <v>16</v>
      </c>
      <c r="AW59" s="73">
        <f t="shared" si="84"/>
        <v>16</v>
      </c>
      <c r="AX59" s="73">
        <f t="shared" si="84"/>
        <v>16</v>
      </c>
      <c r="AY59" s="73">
        <f t="shared" si="84"/>
        <v>13</v>
      </c>
      <c r="AZ59" s="73">
        <f t="shared" si="84"/>
        <v>11</v>
      </c>
      <c r="BA59" s="73">
        <f t="shared" si="84"/>
        <v>11</v>
      </c>
      <c r="BB59" s="73">
        <f t="shared" si="84"/>
        <v>11</v>
      </c>
      <c r="BC59" s="73">
        <f t="shared" si="84"/>
        <v>13</v>
      </c>
      <c r="BD59" s="73">
        <f t="shared" si="84"/>
        <v>13</v>
      </c>
      <c r="BE59" s="73">
        <f t="shared" si="84"/>
        <v>13</v>
      </c>
      <c r="BF59" s="73">
        <f t="shared" si="84"/>
        <v>13</v>
      </c>
      <c r="BG59" s="73">
        <f t="shared" si="84"/>
        <v>13</v>
      </c>
      <c r="BH59" s="73">
        <f t="shared" si="84"/>
        <v>13</v>
      </c>
      <c r="BI59" s="73">
        <f t="shared" si="84"/>
        <v>13</v>
      </c>
      <c r="BJ59" s="73">
        <f t="shared" si="84"/>
        <v>13</v>
      </c>
      <c r="BK59" s="73">
        <f t="shared" si="84"/>
        <v>13</v>
      </c>
      <c r="BL59" s="73">
        <f t="shared" si="84"/>
        <v>13</v>
      </c>
      <c r="BM59" s="73">
        <f t="shared" si="84"/>
        <v>13</v>
      </c>
      <c r="BN59" s="73">
        <f t="shared" si="84"/>
        <v>23</v>
      </c>
      <c r="BO59" s="73">
        <f t="shared" si="84"/>
        <v>0</v>
      </c>
      <c r="BP59" s="73">
        <f t="shared" si="84"/>
        <v>0</v>
      </c>
      <c r="BQ59" s="73">
        <f t="shared" si="84"/>
        <v>0</v>
      </c>
      <c r="BR59" s="73">
        <f t="shared" si="84"/>
        <v>0</v>
      </c>
      <c r="BS59" s="73">
        <f t="shared" si="84"/>
        <v>10</v>
      </c>
      <c r="BT59" s="73">
        <f t="shared" si="84"/>
        <v>10</v>
      </c>
      <c r="BU59" s="73">
        <f t="shared" si="84"/>
        <v>10</v>
      </c>
      <c r="BV59" s="73">
        <f t="shared" si="84"/>
        <v>10</v>
      </c>
      <c r="BW59" s="73">
        <f t="shared" si="84"/>
        <v>10</v>
      </c>
      <c r="BX59" s="73">
        <f t="shared" si="84"/>
        <v>10</v>
      </c>
      <c r="BY59" s="73">
        <f t="shared" si="84"/>
        <v>10</v>
      </c>
      <c r="BZ59" s="73">
        <f t="shared" si="84"/>
        <v>10</v>
      </c>
      <c r="CA59" s="73">
        <f t="shared" si="84"/>
        <v>10</v>
      </c>
      <c r="CB59" s="73">
        <f t="shared" si="84"/>
        <v>10</v>
      </c>
      <c r="CC59" s="73">
        <f t="shared" si="84"/>
        <v>10</v>
      </c>
    </row>
    <row r="60" spans="1:81" x14ac:dyDescent="0.2">
      <c r="A60" s="5" t="s">
        <v>214</v>
      </c>
      <c r="B60" s="5">
        <v>0.15089</v>
      </c>
      <c r="C60" s="46" t="s">
        <v>215</v>
      </c>
      <c r="D60" s="11">
        <f t="shared" ref="D60:AI60" si="85">IF(D59=0,0, ROUND(D56 * 1/D59* D$13,1))</f>
        <v>0</v>
      </c>
      <c r="E60" s="11">
        <f t="shared" si="85"/>
        <v>0</v>
      </c>
      <c r="F60" s="11">
        <f t="shared" si="85"/>
        <v>0</v>
      </c>
      <c r="G60" s="11">
        <f t="shared" si="85"/>
        <v>0</v>
      </c>
      <c r="H60" s="11">
        <f t="shared" si="85"/>
        <v>0</v>
      </c>
      <c r="I60" s="11">
        <f t="shared" si="85"/>
        <v>0</v>
      </c>
      <c r="J60" s="11">
        <f t="shared" si="85"/>
        <v>0</v>
      </c>
      <c r="K60" s="11">
        <f t="shared" si="85"/>
        <v>0</v>
      </c>
      <c r="L60" s="11">
        <f t="shared" si="85"/>
        <v>0</v>
      </c>
      <c r="M60" s="11">
        <f t="shared" si="85"/>
        <v>0</v>
      </c>
      <c r="N60" s="11">
        <f t="shared" si="85"/>
        <v>0</v>
      </c>
      <c r="O60" s="11">
        <f t="shared" si="85"/>
        <v>0</v>
      </c>
      <c r="P60" s="11">
        <f t="shared" si="85"/>
        <v>0</v>
      </c>
      <c r="Q60" s="11">
        <f t="shared" si="85"/>
        <v>0</v>
      </c>
      <c r="R60" s="11">
        <f t="shared" si="85"/>
        <v>0</v>
      </c>
      <c r="S60" s="11">
        <f t="shared" si="85"/>
        <v>0</v>
      </c>
      <c r="T60" s="11">
        <f t="shared" si="85"/>
        <v>0</v>
      </c>
      <c r="U60" s="11">
        <f t="shared" si="85"/>
        <v>0</v>
      </c>
      <c r="V60" s="11">
        <f t="shared" si="85"/>
        <v>0</v>
      </c>
      <c r="W60" s="11">
        <f t="shared" si="85"/>
        <v>0</v>
      </c>
      <c r="X60" s="11">
        <f t="shared" si="85"/>
        <v>0</v>
      </c>
      <c r="Y60" s="11">
        <f t="shared" si="85"/>
        <v>0</v>
      </c>
      <c r="Z60" s="11">
        <f t="shared" si="85"/>
        <v>-5</v>
      </c>
      <c r="AA60" s="11">
        <f t="shared" si="85"/>
        <v>-10</v>
      </c>
      <c r="AB60" s="11">
        <f t="shared" si="85"/>
        <v>-45</v>
      </c>
      <c r="AC60" s="11">
        <f t="shared" si="85"/>
        <v>-8.3000000000000007</v>
      </c>
      <c r="AD60" s="11">
        <f t="shared" si="85"/>
        <v>-13.3</v>
      </c>
      <c r="AE60" s="11">
        <f t="shared" si="85"/>
        <v>-18.3</v>
      </c>
      <c r="AF60" s="11">
        <f t="shared" si="85"/>
        <v>-23.3</v>
      </c>
      <c r="AG60" s="11">
        <f t="shared" si="85"/>
        <v>-28.3</v>
      </c>
      <c r="AH60" s="11">
        <f t="shared" si="85"/>
        <v>-40</v>
      </c>
      <c r="AI60" s="11">
        <f t="shared" si="85"/>
        <v>-45</v>
      </c>
      <c r="AJ60" s="11">
        <f t="shared" ref="AJ60:BO60" si="86">IF(AJ59=0,0, ROUND(AJ56 * 1/AJ59* AJ$13,1))</f>
        <v>0</v>
      </c>
      <c r="AK60" s="11">
        <f t="shared" si="86"/>
        <v>0</v>
      </c>
      <c r="AL60" s="11">
        <f t="shared" si="86"/>
        <v>0</v>
      </c>
      <c r="AM60" s="11">
        <f t="shared" si="86"/>
        <v>0</v>
      </c>
      <c r="AN60" s="11">
        <f t="shared" si="86"/>
        <v>-178.6</v>
      </c>
      <c r="AO60" s="11">
        <f t="shared" si="86"/>
        <v>-183.6</v>
      </c>
      <c r="AP60" s="11">
        <f t="shared" si="86"/>
        <v>-188.6</v>
      </c>
      <c r="AQ60" s="11">
        <f t="shared" si="86"/>
        <v>-169.4</v>
      </c>
      <c r="AR60" s="11">
        <f t="shared" si="86"/>
        <v>-174.4</v>
      </c>
      <c r="AS60" s="11">
        <f t="shared" si="86"/>
        <v>-220.8</v>
      </c>
      <c r="AT60" s="11">
        <f t="shared" si="86"/>
        <v>-183.4</v>
      </c>
      <c r="AU60" s="11">
        <f t="shared" si="86"/>
        <v>-188.4</v>
      </c>
      <c r="AV60" s="11">
        <f t="shared" si="86"/>
        <v>-193.4</v>
      </c>
      <c r="AW60" s="11">
        <f t="shared" si="86"/>
        <v>-198.4</v>
      </c>
      <c r="AX60" s="11">
        <f t="shared" si="86"/>
        <v>-203.4</v>
      </c>
      <c r="AY60" s="11">
        <f t="shared" si="86"/>
        <v>-256.5</v>
      </c>
      <c r="AZ60" s="11">
        <f t="shared" si="86"/>
        <v>-309.10000000000002</v>
      </c>
      <c r="BA60" s="11">
        <f t="shared" si="86"/>
        <v>-314.10000000000002</v>
      </c>
      <c r="BB60" s="11">
        <f t="shared" si="86"/>
        <v>-319.10000000000002</v>
      </c>
      <c r="BC60" s="11">
        <f t="shared" si="86"/>
        <v>-274.2</v>
      </c>
      <c r="BD60" s="11">
        <f t="shared" si="86"/>
        <v>-279.2</v>
      </c>
      <c r="BE60" s="11">
        <f t="shared" si="86"/>
        <v>-284.2</v>
      </c>
      <c r="BF60" s="11">
        <f t="shared" si="86"/>
        <v>-289.2</v>
      </c>
      <c r="BG60" s="11">
        <f t="shared" si="86"/>
        <v>-294.2</v>
      </c>
      <c r="BH60" s="11">
        <f t="shared" si="86"/>
        <v>-299.2</v>
      </c>
      <c r="BI60" s="11">
        <f t="shared" si="86"/>
        <v>-304.2</v>
      </c>
      <c r="BJ60" s="11">
        <f t="shared" si="86"/>
        <v>-309.2</v>
      </c>
      <c r="BK60" s="11">
        <f t="shared" si="86"/>
        <v>-314.2</v>
      </c>
      <c r="BL60" s="11">
        <f t="shared" si="86"/>
        <v>-319.2</v>
      </c>
      <c r="BM60" s="11">
        <f t="shared" si="86"/>
        <v>-324.2</v>
      </c>
      <c r="BN60" s="11">
        <f t="shared" si="86"/>
        <v>-186.1</v>
      </c>
      <c r="BO60" s="11">
        <f t="shared" si="86"/>
        <v>0</v>
      </c>
      <c r="BP60" s="11">
        <f t="shared" ref="BP60:CU60" si="87">IF(BP59=0,0, ROUND(BP56 * 1/BP59* BP$13,1))</f>
        <v>0</v>
      </c>
      <c r="BQ60" s="11">
        <f t="shared" si="87"/>
        <v>0</v>
      </c>
      <c r="BR60" s="11">
        <f t="shared" si="87"/>
        <v>0</v>
      </c>
      <c r="BS60" s="11">
        <f t="shared" si="87"/>
        <v>-439.5</v>
      </c>
      <c r="BT60" s="11">
        <f t="shared" si="87"/>
        <v>-444.5</v>
      </c>
      <c r="BU60" s="11">
        <f t="shared" si="87"/>
        <v>-449.5</v>
      </c>
      <c r="BV60" s="11">
        <f t="shared" si="87"/>
        <v>-454.5</v>
      </c>
      <c r="BW60" s="11">
        <f t="shared" si="87"/>
        <v>-459.5</v>
      </c>
      <c r="BX60" s="11">
        <f t="shared" si="87"/>
        <v>-464.5</v>
      </c>
      <c r="BY60" s="11">
        <f t="shared" si="87"/>
        <v>-469.5</v>
      </c>
      <c r="BZ60" s="11">
        <f t="shared" si="87"/>
        <v>-474.5</v>
      </c>
      <c r="CA60" s="11">
        <f t="shared" si="87"/>
        <v>-479.5</v>
      </c>
      <c r="CB60" s="11">
        <f t="shared" si="87"/>
        <v>-484.5</v>
      </c>
      <c r="CC60" s="11">
        <f t="shared" si="87"/>
        <v>-489.5</v>
      </c>
    </row>
    <row r="61" spans="1:81" x14ac:dyDescent="0.2">
      <c r="A61" s="10">
        <v>6</v>
      </c>
      <c r="B61" s="10">
        <v>1</v>
      </c>
      <c r="C61" s="68">
        <v>3.1315400000000002</v>
      </c>
      <c r="D61">
        <f t="shared" ref="D61:AI61" si="88">D58/$B61</f>
        <v>0</v>
      </c>
      <c r="E61">
        <f t="shared" si="88"/>
        <v>0</v>
      </c>
      <c r="F61">
        <f t="shared" si="88"/>
        <v>0</v>
      </c>
      <c r="G61">
        <f t="shared" si="88"/>
        <v>0</v>
      </c>
      <c r="H61">
        <f t="shared" si="88"/>
        <v>0</v>
      </c>
      <c r="I61">
        <f t="shared" si="88"/>
        <v>0</v>
      </c>
      <c r="J61">
        <f t="shared" si="88"/>
        <v>0</v>
      </c>
      <c r="K61">
        <f t="shared" si="88"/>
        <v>0</v>
      </c>
      <c r="L61">
        <f t="shared" si="88"/>
        <v>0</v>
      </c>
      <c r="M61">
        <f t="shared" si="88"/>
        <v>0</v>
      </c>
      <c r="N61">
        <f t="shared" si="88"/>
        <v>0</v>
      </c>
      <c r="O61">
        <f t="shared" si="88"/>
        <v>0</v>
      </c>
      <c r="P61">
        <f t="shared" si="88"/>
        <v>0</v>
      </c>
      <c r="Q61">
        <f t="shared" si="88"/>
        <v>0</v>
      </c>
      <c r="R61">
        <f t="shared" si="88"/>
        <v>0</v>
      </c>
      <c r="S61">
        <f t="shared" si="88"/>
        <v>0</v>
      </c>
      <c r="T61">
        <f t="shared" si="88"/>
        <v>0</v>
      </c>
      <c r="U61">
        <f t="shared" si="88"/>
        <v>0</v>
      </c>
      <c r="V61">
        <f t="shared" si="88"/>
        <v>0</v>
      </c>
      <c r="W61">
        <f t="shared" si="88"/>
        <v>0</v>
      </c>
      <c r="X61">
        <f t="shared" si="88"/>
        <v>0</v>
      </c>
      <c r="Y61">
        <f t="shared" si="88"/>
        <v>0</v>
      </c>
      <c r="Z61">
        <f t="shared" si="88"/>
        <v>0</v>
      </c>
      <c r="AA61">
        <f t="shared" si="88"/>
        <v>0</v>
      </c>
      <c r="AB61">
        <f t="shared" si="88"/>
        <v>0</v>
      </c>
      <c r="AC61">
        <f t="shared" si="88"/>
        <v>0</v>
      </c>
      <c r="AD61">
        <f t="shared" si="88"/>
        <v>0</v>
      </c>
      <c r="AE61">
        <f t="shared" si="88"/>
        <v>0</v>
      </c>
      <c r="AF61">
        <f t="shared" si="88"/>
        <v>0</v>
      </c>
      <c r="AG61">
        <f t="shared" si="88"/>
        <v>0</v>
      </c>
      <c r="AH61">
        <f t="shared" si="88"/>
        <v>0</v>
      </c>
      <c r="AI61">
        <f t="shared" si="88"/>
        <v>0</v>
      </c>
      <c r="AJ61">
        <f t="shared" ref="AJ61:BO61" si="89">AJ58/$B61</f>
        <v>0</v>
      </c>
      <c r="AK61">
        <f t="shared" si="89"/>
        <v>0</v>
      </c>
      <c r="AL61">
        <f t="shared" si="89"/>
        <v>0</v>
      </c>
      <c r="AM61">
        <f t="shared" si="89"/>
        <v>0</v>
      </c>
      <c r="AN61">
        <f t="shared" si="89"/>
        <v>0</v>
      </c>
      <c r="AO61">
        <f t="shared" si="89"/>
        <v>0</v>
      </c>
      <c r="AP61">
        <f t="shared" si="89"/>
        <v>0</v>
      </c>
      <c r="AQ61">
        <f t="shared" si="89"/>
        <v>0</v>
      </c>
      <c r="AR61">
        <f t="shared" si="89"/>
        <v>0</v>
      </c>
      <c r="AS61">
        <f t="shared" si="89"/>
        <v>0</v>
      </c>
      <c r="AT61">
        <f t="shared" si="89"/>
        <v>0</v>
      </c>
      <c r="AU61">
        <f t="shared" si="89"/>
        <v>0</v>
      </c>
      <c r="AV61">
        <f t="shared" si="89"/>
        <v>0</v>
      </c>
      <c r="AW61">
        <f t="shared" si="89"/>
        <v>0</v>
      </c>
      <c r="AX61">
        <f t="shared" si="89"/>
        <v>0</v>
      </c>
      <c r="AY61">
        <f t="shared" si="89"/>
        <v>0</v>
      </c>
      <c r="AZ61">
        <f t="shared" si="89"/>
        <v>0</v>
      </c>
      <c r="BA61">
        <f t="shared" si="89"/>
        <v>0</v>
      </c>
      <c r="BB61">
        <f t="shared" si="89"/>
        <v>0</v>
      </c>
      <c r="BC61">
        <f t="shared" si="89"/>
        <v>0</v>
      </c>
      <c r="BD61">
        <f t="shared" si="89"/>
        <v>0</v>
      </c>
      <c r="BE61">
        <f t="shared" si="89"/>
        <v>0</v>
      </c>
      <c r="BF61">
        <f t="shared" si="89"/>
        <v>0</v>
      </c>
      <c r="BG61">
        <f t="shared" si="89"/>
        <v>0</v>
      </c>
      <c r="BH61">
        <f t="shared" si="89"/>
        <v>0</v>
      </c>
      <c r="BI61">
        <f t="shared" si="89"/>
        <v>0</v>
      </c>
      <c r="BJ61">
        <f t="shared" si="89"/>
        <v>0</v>
      </c>
      <c r="BK61">
        <f t="shared" si="89"/>
        <v>0</v>
      </c>
      <c r="BL61">
        <f t="shared" si="89"/>
        <v>0</v>
      </c>
      <c r="BM61">
        <f t="shared" si="89"/>
        <v>0</v>
      </c>
      <c r="BN61">
        <f t="shared" si="89"/>
        <v>0</v>
      </c>
      <c r="BO61">
        <f t="shared" si="89"/>
        <v>0</v>
      </c>
      <c r="BP61">
        <f t="shared" ref="BP61:CC61" si="90">BP58/$B61</f>
        <v>0</v>
      </c>
      <c r="BQ61">
        <f t="shared" si="90"/>
        <v>0</v>
      </c>
      <c r="BR61">
        <f t="shared" si="90"/>
        <v>0</v>
      </c>
      <c r="BS61">
        <f t="shared" si="90"/>
        <v>0</v>
      </c>
      <c r="BT61">
        <f t="shared" si="90"/>
        <v>0</v>
      </c>
      <c r="BU61">
        <f t="shared" si="90"/>
        <v>0</v>
      </c>
      <c r="BV61">
        <f t="shared" si="90"/>
        <v>0</v>
      </c>
      <c r="BW61">
        <f t="shared" si="90"/>
        <v>0</v>
      </c>
      <c r="BX61">
        <f t="shared" si="90"/>
        <v>0</v>
      </c>
      <c r="BY61">
        <f t="shared" si="90"/>
        <v>0</v>
      </c>
      <c r="BZ61">
        <f t="shared" si="90"/>
        <v>0</v>
      </c>
      <c r="CA61">
        <f t="shared" si="90"/>
        <v>0</v>
      </c>
      <c r="CB61">
        <f t="shared" si="90"/>
        <v>0</v>
      </c>
      <c r="CC61">
        <f t="shared" si="90"/>
        <v>0</v>
      </c>
    </row>
    <row r="62" spans="1:81" x14ac:dyDescent="0.2">
      <c r="B62" s="67">
        <f>SUM(D66:AJ66)/SUM($D$263:$AJ$263)</f>
        <v>7.8128814883539235E-4</v>
      </c>
      <c r="C62" s="9" t="s">
        <v>216</v>
      </c>
      <c r="D62">
        <f t="shared" ref="D62:AI62" si="91">D56-D59</f>
        <v>0</v>
      </c>
      <c r="E62">
        <f t="shared" si="91"/>
        <v>0</v>
      </c>
      <c r="F62">
        <f t="shared" si="91"/>
        <v>0</v>
      </c>
      <c r="G62">
        <f t="shared" si="91"/>
        <v>0</v>
      </c>
      <c r="H62">
        <f t="shared" si="91"/>
        <v>0</v>
      </c>
      <c r="I62">
        <f t="shared" si="91"/>
        <v>0</v>
      </c>
      <c r="J62">
        <f t="shared" si="91"/>
        <v>0</v>
      </c>
      <c r="K62">
        <f t="shared" si="91"/>
        <v>0</v>
      </c>
      <c r="L62">
        <f t="shared" si="91"/>
        <v>0</v>
      </c>
      <c r="M62">
        <f t="shared" si="91"/>
        <v>0</v>
      </c>
      <c r="N62">
        <f t="shared" si="91"/>
        <v>0</v>
      </c>
      <c r="O62">
        <f t="shared" si="91"/>
        <v>0</v>
      </c>
      <c r="P62">
        <f t="shared" si="91"/>
        <v>0</v>
      </c>
      <c r="Q62">
        <f t="shared" si="91"/>
        <v>0</v>
      </c>
      <c r="R62">
        <f t="shared" si="91"/>
        <v>0</v>
      </c>
      <c r="S62">
        <f t="shared" si="91"/>
        <v>0</v>
      </c>
      <c r="T62">
        <f t="shared" si="91"/>
        <v>0</v>
      </c>
      <c r="U62">
        <f t="shared" si="91"/>
        <v>0</v>
      </c>
      <c r="V62">
        <f t="shared" si="91"/>
        <v>0</v>
      </c>
      <c r="W62">
        <f t="shared" si="91"/>
        <v>0</v>
      </c>
      <c r="X62">
        <f t="shared" si="91"/>
        <v>0</v>
      </c>
      <c r="Y62">
        <f t="shared" si="91"/>
        <v>-30</v>
      </c>
      <c r="Z62">
        <f t="shared" si="91"/>
        <v>-60</v>
      </c>
      <c r="AA62">
        <f t="shared" si="91"/>
        <v>-90</v>
      </c>
      <c r="AB62">
        <f t="shared" si="91"/>
        <v>-100</v>
      </c>
      <c r="AC62">
        <f t="shared" si="91"/>
        <v>-160</v>
      </c>
      <c r="AD62">
        <f t="shared" si="91"/>
        <v>-220</v>
      </c>
      <c r="AE62">
        <f t="shared" si="91"/>
        <v>-280</v>
      </c>
      <c r="AF62">
        <f t="shared" si="91"/>
        <v>-340</v>
      </c>
      <c r="AG62">
        <f t="shared" si="91"/>
        <v>-400</v>
      </c>
      <c r="AH62">
        <f t="shared" si="91"/>
        <v>-450</v>
      </c>
      <c r="AI62">
        <f t="shared" si="91"/>
        <v>-500</v>
      </c>
      <c r="AJ62">
        <f t="shared" ref="AJ62:BO62" si="92">AJ56-AJ59</f>
        <v>-500</v>
      </c>
      <c r="AK62">
        <f t="shared" si="92"/>
        <v>-500</v>
      </c>
      <c r="AL62">
        <f t="shared" si="92"/>
        <v>-500</v>
      </c>
      <c r="AM62">
        <f t="shared" si="92"/>
        <v>-500</v>
      </c>
      <c r="AN62">
        <f t="shared" si="92"/>
        <v>-514</v>
      </c>
      <c r="AO62">
        <f t="shared" si="92"/>
        <v>-528</v>
      </c>
      <c r="AP62">
        <f t="shared" si="92"/>
        <v>-542</v>
      </c>
      <c r="AQ62">
        <f t="shared" si="92"/>
        <v>-558</v>
      </c>
      <c r="AR62">
        <f t="shared" si="92"/>
        <v>-574</v>
      </c>
      <c r="AS62">
        <f t="shared" si="92"/>
        <v>-587</v>
      </c>
      <c r="AT62">
        <f t="shared" si="92"/>
        <v>-603</v>
      </c>
      <c r="AU62">
        <f t="shared" si="92"/>
        <v>-619</v>
      </c>
      <c r="AV62">
        <f t="shared" si="92"/>
        <v>-635</v>
      </c>
      <c r="AW62">
        <f t="shared" si="92"/>
        <v>-651</v>
      </c>
      <c r="AX62">
        <f t="shared" si="92"/>
        <v>-667</v>
      </c>
      <c r="AY62">
        <f t="shared" si="92"/>
        <v>-680</v>
      </c>
      <c r="AZ62">
        <f t="shared" si="92"/>
        <v>-691</v>
      </c>
      <c r="BA62">
        <f t="shared" si="92"/>
        <v>-702</v>
      </c>
      <c r="BB62">
        <f t="shared" si="92"/>
        <v>-713</v>
      </c>
      <c r="BC62">
        <f t="shared" si="92"/>
        <v>-726</v>
      </c>
      <c r="BD62">
        <f t="shared" si="92"/>
        <v>-739</v>
      </c>
      <c r="BE62">
        <f t="shared" si="92"/>
        <v>-752</v>
      </c>
      <c r="BF62">
        <f t="shared" si="92"/>
        <v>-765</v>
      </c>
      <c r="BG62">
        <f t="shared" si="92"/>
        <v>-778</v>
      </c>
      <c r="BH62">
        <f t="shared" si="92"/>
        <v>-791</v>
      </c>
      <c r="BI62">
        <f t="shared" si="92"/>
        <v>-804</v>
      </c>
      <c r="BJ62">
        <f t="shared" si="92"/>
        <v>-817</v>
      </c>
      <c r="BK62">
        <f t="shared" si="92"/>
        <v>-830</v>
      </c>
      <c r="BL62">
        <f t="shared" si="92"/>
        <v>-843</v>
      </c>
      <c r="BM62">
        <f t="shared" si="92"/>
        <v>-856</v>
      </c>
      <c r="BN62">
        <f t="shared" si="92"/>
        <v>-879</v>
      </c>
      <c r="BO62">
        <f t="shared" si="92"/>
        <v>-879</v>
      </c>
      <c r="BP62">
        <f t="shared" ref="BP62:CC62" si="93">BP56-BP59</f>
        <v>-879</v>
      </c>
      <c r="BQ62">
        <f t="shared" si="93"/>
        <v>-879</v>
      </c>
      <c r="BR62">
        <f t="shared" si="93"/>
        <v>-879</v>
      </c>
      <c r="BS62">
        <f t="shared" si="93"/>
        <v>-889</v>
      </c>
      <c r="BT62">
        <f t="shared" si="93"/>
        <v>-899</v>
      </c>
      <c r="BU62">
        <f t="shared" si="93"/>
        <v>-909</v>
      </c>
      <c r="BV62">
        <f t="shared" si="93"/>
        <v>-919</v>
      </c>
      <c r="BW62">
        <f t="shared" si="93"/>
        <v>-929</v>
      </c>
      <c r="BX62">
        <f t="shared" si="93"/>
        <v>-939</v>
      </c>
      <c r="BY62">
        <f t="shared" si="93"/>
        <v>-949</v>
      </c>
      <c r="BZ62">
        <f t="shared" si="93"/>
        <v>-959</v>
      </c>
      <c r="CA62">
        <f t="shared" si="93"/>
        <v>-969</v>
      </c>
      <c r="CB62">
        <f t="shared" si="93"/>
        <v>-979</v>
      </c>
      <c r="CC62">
        <f t="shared" si="93"/>
        <v>-989</v>
      </c>
    </row>
    <row r="63" spans="1:81" x14ac:dyDescent="0.2">
      <c r="A63" s="43" t="s">
        <v>223</v>
      </c>
      <c r="B63" s="44" t="s">
        <v>208</v>
      </c>
      <c r="C63" s="9" t="s">
        <v>38</v>
      </c>
      <c r="D63" s="58">
        <f>IFERROR(VLOOKUP(A63,OS!$A:$B,2,0),0)</f>
        <v>340</v>
      </c>
      <c r="E63" s="5">
        <f>(D63+D64-D66)</f>
        <v>340</v>
      </c>
      <c r="F63" s="5">
        <f>(E63+E64-E66)</f>
        <v>340</v>
      </c>
      <c r="G63" s="5">
        <f>(F63+F64-F66)</f>
        <v>340</v>
      </c>
      <c r="H63" s="5">
        <f>(G63+G64-G66)</f>
        <v>340</v>
      </c>
      <c r="I63" s="5">
        <f t="shared" ref="I63:AN63" si="94">(H63+H64-H66+D65)</f>
        <v>340</v>
      </c>
      <c r="J63" s="5">
        <f t="shared" si="94"/>
        <v>340</v>
      </c>
      <c r="K63" s="5">
        <f t="shared" si="94"/>
        <v>340</v>
      </c>
      <c r="L63" s="5">
        <f t="shared" si="94"/>
        <v>340</v>
      </c>
      <c r="M63" s="5">
        <f t="shared" si="94"/>
        <v>340</v>
      </c>
      <c r="N63" s="5">
        <f t="shared" si="94"/>
        <v>340</v>
      </c>
      <c r="O63" s="5">
        <f t="shared" si="94"/>
        <v>340</v>
      </c>
      <c r="P63" s="5">
        <f t="shared" si="94"/>
        <v>340</v>
      </c>
      <c r="Q63" s="5">
        <f t="shared" si="94"/>
        <v>340</v>
      </c>
      <c r="R63" s="5">
        <f t="shared" si="94"/>
        <v>340</v>
      </c>
      <c r="S63" s="5">
        <f t="shared" si="94"/>
        <v>340</v>
      </c>
      <c r="T63" s="5">
        <f t="shared" si="94"/>
        <v>340</v>
      </c>
      <c r="U63" s="5">
        <f t="shared" si="94"/>
        <v>260</v>
      </c>
      <c r="V63" s="5">
        <f t="shared" si="94"/>
        <v>260</v>
      </c>
      <c r="W63" s="5">
        <f t="shared" si="94"/>
        <v>260</v>
      </c>
      <c r="X63" s="5">
        <f t="shared" si="94"/>
        <v>260</v>
      </c>
      <c r="Y63" s="5">
        <f t="shared" si="94"/>
        <v>260</v>
      </c>
      <c r="Z63" s="5">
        <f t="shared" si="94"/>
        <v>260</v>
      </c>
      <c r="AA63" s="5">
        <f t="shared" si="94"/>
        <v>260</v>
      </c>
      <c r="AB63" s="5">
        <f t="shared" si="94"/>
        <v>260</v>
      </c>
      <c r="AC63" s="5">
        <f t="shared" si="94"/>
        <v>260</v>
      </c>
      <c r="AD63" s="5">
        <f t="shared" si="94"/>
        <v>260</v>
      </c>
      <c r="AE63" s="5">
        <f t="shared" si="94"/>
        <v>260</v>
      </c>
      <c r="AF63" s="5">
        <f t="shared" si="94"/>
        <v>260</v>
      </c>
      <c r="AG63" s="5">
        <f t="shared" si="94"/>
        <v>260</v>
      </c>
      <c r="AH63" s="5">
        <f t="shared" si="94"/>
        <v>260</v>
      </c>
      <c r="AI63" s="5">
        <f t="shared" si="94"/>
        <v>260</v>
      </c>
      <c r="AJ63" s="5">
        <f t="shared" si="94"/>
        <v>260</v>
      </c>
      <c r="AK63" s="5">
        <f t="shared" si="94"/>
        <v>260</v>
      </c>
      <c r="AL63" s="5">
        <f t="shared" si="94"/>
        <v>260</v>
      </c>
      <c r="AM63" s="5">
        <f t="shared" si="94"/>
        <v>260</v>
      </c>
      <c r="AN63" s="5">
        <f t="shared" si="94"/>
        <v>260</v>
      </c>
      <c r="AO63" s="5">
        <f t="shared" ref="AO63:BT63" si="95">(AN63+AN64-AN66+AJ65)</f>
        <v>257</v>
      </c>
      <c r="AP63" s="5">
        <f t="shared" si="95"/>
        <v>254</v>
      </c>
      <c r="AQ63" s="5">
        <f t="shared" si="95"/>
        <v>251</v>
      </c>
      <c r="AR63" s="5">
        <f t="shared" si="95"/>
        <v>248</v>
      </c>
      <c r="AS63" s="5">
        <f t="shared" si="95"/>
        <v>245</v>
      </c>
      <c r="AT63" s="5">
        <f t="shared" si="95"/>
        <v>242</v>
      </c>
      <c r="AU63" s="5">
        <f t="shared" si="95"/>
        <v>239</v>
      </c>
      <c r="AV63" s="5">
        <f t="shared" si="95"/>
        <v>236</v>
      </c>
      <c r="AW63" s="5">
        <f t="shared" si="95"/>
        <v>233</v>
      </c>
      <c r="AX63" s="5">
        <f t="shared" si="95"/>
        <v>230</v>
      </c>
      <c r="AY63" s="5">
        <f t="shared" si="95"/>
        <v>227</v>
      </c>
      <c r="AZ63" s="5">
        <f t="shared" si="95"/>
        <v>225</v>
      </c>
      <c r="BA63" s="5">
        <f t="shared" si="95"/>
        <v>223</v>
      </c>
      <c r="BB63" s="5">
        <f t="shared" si="95"/>
        <v>221</v>
      </c>
      <c r="BC63" s="5">
        <f t="shared" si="95"/>
        <v>219</v>
      </c>
      <c r="BD63" s="5">
        <f t="shared" si="95"/>
        <v>217</v>
      </c>
      <c r="BE63" s="5">
        <f t="shared" si="95"/>
        <v>215</v>
      </c>
      <c r="BF63" s="5">
        <f t="shared" si="95"/>
        <v>213</v>
      </c>
      <c r="BG63" s="5">
        <f t="shared" si="95"/>
        <v>211</v>
      </c>
      <c r="BH63" s="5">
        <f t="shared" si="95"/>
        <v>209</v>
      </c>
      <c r="BI63" s="5">
        <f t="shared" si="95"/>
        <v>207</v>
      </c>
      <c r="BJ63" s="5">
        <f t="shared" si="95"/>
        <v>205</v>
      </c>
      <c r="BK63" s="5">
        <f t="shared" si="95"/>
        <v>203</v>
      </c>
      <c r="BL63" s="5">
        <f t="shared" si="95"/>
        <v>201</v>
      </c>
      <c r="BM63" s="5">
        <f t="shared" si="95"/>
        <v>199</v>
      </c>
      <c r="BN63" s="5">
        <f t="shared" si="95"/>
        <v>197</v>
      </c>
      <c r="BO63" s="5">
        <f t="shared" si="95"/>
        <v>193</v>
      </c>
      <c r="BP63" s="5">
        <f t="shared" si="95"/>
        <v>193</v>
      </c>
      <c r="BQ63" s="5">
        <f t="shared" si="95"/>
        <v>193</v>
      </c>
      <c r="BR63" s="5">
        <f t="shared" si="95"/>
        <v>193</v>
      </c>
      <c r="BS63" s="5">
        <f t="shared" si="95"/>
        <v>193</v>
      </c>
      <c r="BT63" s="5">
        <f t="shared" si="95"/>
        <v>191</v>
      </c>
      <c r="BU63" s="5">
        <f t="shared" ref="BU63:CZ63" si="96">(BT63+BT64-BT66+BP65)</f>
        <v>189</v>
      </c>
      <c r="BV63" s="5">
        <f t="shared" si="96"/>
        <v>187</v>
      </c>
      <c r="BW63" s="5">
        <f t="shared" si="96"/>
        <v>185</v>
      </c>
      <c r="BX63" s="5">
        <f t="shared" si="96"/>
        <v>183</v>
      </c>
      <c r="BY63" s="5">
        <f t="shared" si="96"/>
        <v>181</v>
      </c>
      <c r="BZ63" s="5">
        <f t="shared" si="96"/>
        <v>179</v>
      </c>
      <c r="CA63" s="5">
        <f t="shared" si="96"/>
        <v>177</v>
      </c>
      <c r="CB63" s="5">
        <f t="shared" si="96"/>
        <v>175</v>
      </c>
      <c r="CC63" s="5">
        <f t="shared" si="96"/>
        <v>173</v>
      </c>
    </row>
    <row r="64" spans="1:81" x14ac:dyDescent="0.2">
      <c r="A64" s="5" t="s">
        <v>209</v>
      </c>
      <c r="B64" s="5">
        <v>8.4601600000000001</v>
      </c>
      <c r="C64" s="45" t="s">
        <v>39</v>
      </c>
      <c r="D64" s="72">
        <f>IFERROR(VLOOKUP(A63,WIP!$A:$B,2,0),0)</f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</row>
    <row r="65" spans="1:81" x14ac:dyDescent="0.2">
      <c r="A65" s="5" t="s">
        <v>210</v>
      </c>
      <c r="B65" s="5">
        <v>0.26400000000000001</v>
      </c>
      <c r="C65" s="9" t="s">
        <v>211</v>
      </c>
      <c r="D65" s="70">
        <f>IFERROR(VLOOKUP($A63,Plan!$A:B,D$4,0),0)</f>
        <v>0</v>
      </c>
      <c r="E65" s="70">
        <f>IFERROR(VLOOKUP($A63,Plan!$A:C,E$4,0),0)</f>
        <v>0</v>
      </c>
      <c r="F65" s="70">
        <f>IFERROR(VLOOKUP($A63,Plan!$A:D,F$4,0),0)</f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</row>
    <row r="66" spans="1:81" x14ac:dyDescent="0.2">
      <c r="A66" s="5" t="s">
        <v>212</v>
      </c>
      <c r="B66" s="5">
        <v>3.9E-2</v>
      </c>
      <c r="C66" s="9" t="s">
        <v>213</v>
      </c>
      <c r="D66" s="71">
        <f>IFERROR(VLOOKUP($A63,Sales!$A:B,D$2,0),0)</f>
        <v>0</v>
      </c>
      <c r="E66" s="71">
        <f>IFERROR(VLOOKUP($A63,Sales!$A:C,E$2,0),0)</f>
        <v>0</v>
      </c>
      <c r="F66" s="71">
        <f>IFERROR(VLOOKUP($A63,Sales!$A:D,F$2,0),0)</f>
        <v>0</v>
      </c>
      <c r="G66" s="71">
        <f>IFERROR(VLOOKUP($A63,Sales!$A:E,G$2,0),0)</f>
        <v>0</v>
      </c>
      <c r="H66" s="71">
        <f>IFERROR(VLOOKUP($A63,Sales!$A:F,H$2,0),0)</f>
        <v>0</v>
      </c>
      <c r="I66" s="71">
        <f>IFERROR(VLOOKUP($A63,Sales!$A:G,I$2,0),0)</f>
        <v>0</v>
      </c>
      <c r="J66" s="71">
        <f>IFERROR(VLOOKUP($A63,Sales!$A:H,J$2,0),0)</f>
        <v>0</v>
      </c>
      <c r="K66" s="71">
        <f>IFERROR(VLOOKUP($A63,Sales!$A:I,K$2,0),0)</f>
        <v>0</v>
      </c>
      <c r="L66" s="71">
        <f>IFERROR(VLOOKUP($A63,Sales!$A:J,L$2,0),0)</f>
        <v>0</v>
      </c>
      <c r="M66" s="71">
        <f>IFERROR(VLOOKUP($A63,Sales!$A:K,M$2,0),0)</f>
        <v>0</v>
      </c>
      <c r="N66" s="71">
        <f>IFERROR(VLOOKUP($A63,Sales!$A:L,N$2,0),0)</f>
        <v>0</v>
      </c>
      <c r="O66" s="71">
        <f>IFERROR(VLOOKUP($A63,Sales!$A:M,O$2,0),0)</f>
        <v>0</v>
      </c>
      <c r="P66" s="71">
        <f>IFERROR(VLOOKUP($A63,Sales!$A:N,P$2,0),0)</f>
        <v>0</v>
      </c>
      <c r="Q66" s="71">
        <f>IFERROR(VLOOKUP($A63,Sales!$A:O,Q$2,0),0)</f>
        <v>0</v>
      </c>
      <c r="R66" s="71">
        <f>IFERROR(VLOOKUP($A63,Sales!$A:P,R$2,0),0)</f>
        <v>0</v>
      </c>
      <c r="S66" s="71">
        <f>IFERROR(VLOOKUP($A63,Sales!$A:Q,S$2,0),0)</f>
        <v>0</v>
      </c>
      <c r="T66" s="71">
        <f>IFERROR(VLOOKUP($A63,Sales!$A:R,T$2,0),0)</f>
        <v>80</v>
      </c>
      <c r="U66" s="71">
        <f>IFERROR(VLOOKUP($A63,Sales!$A:S,U$2,0),0)</f>
        <v>0</v>
      </c>
      <c r="V66" s="71">
        <f>IFERROR(VLOOKUP($A63,Sales!$A:T,V$2,0),0)</f>
        <v>0</v>
      </c>
      <c r="W66" s="71">
        <f>IFERROR(VLOOKUP($A63,Sales!$A:U,W$2,0),0)</f>
        <v>0</v>
      </c>
      <c r="X66" s="71">
        <f>IFERROR(VLOOKUP($A63,Sales!$A:V,X$2,0),0)</f>
        <v>0</v>
      </c>
      <c r="Y66" s="71">
        <f>IFERROR(VLOOKUP($A63,Sales!$A:W,Y$2,0),0)</f>
        <v>0</v>
      </c>
      <c r="Z66" s="71">
        <f>IFERROR(VLOOKUP($A63,Sales!$A:X,Z$2,0),0)</f>
        <v>0</v>
      </c>
      <c r="AA66" s="71">
        <f>IFERROR(VLOOKUP($A63,Sales!$A:Y,AA$2,0),0)</f>
        <v>0</v>
      </c>
      <c r="AB66" s="71">
        <f>IFERROR(VLOOKUP($A63,Sales!$A:Z,AB$2,0),0)</f>
        <v>0</v>
      </c>
      <c r="AC66" s="71">
        <f>IFERROR(VLOOKUP($A63,Sales!$A:AA,AC$2,0),0)</f>
        <v>0</v>
      </c>
      <c r="AD66" s="71">
        <f>IFERROR(VLOOKUP($A63,Sales!$A:AB,AD$2,0),0)</f>
        <v>0</v>
      </c>
      <c r="AE66" s="71">
        <f>IFERROR(VLOOKUP($A63,Sales!$A:AC,AE$2,0),0)</f>
        <v>0</v>
      </c>
      <c r="AF66" s="71">
        <f>IFERROR(VLOOKUP($A63,Sales!$A:AD,AF$2,0),0)</f>
        <v>0</v>
      </c>
      <c r="AG66" s="71">
        <f>IFERROR(VLOOKUP($A63,Sales!$A:AE,AG$2,0),0)</f>
        <v>0</v>
      </c>
      <c r="AH66" s="71">
        <f>IFERROR(VLOOKUP($A63,Sales!$A:AF,AH$2,0),0)</f>
        <v>0</v>
      </c>
      <c r="AI66" s="71">
        <f>IFERROR(VLOOKUP($A63,Sales!$A:AG,AI$2,0),0)</f>
        <v>0</v>
      </c>
      <c r="AJ66" s="71">
        <f>IFERROR(VLOOKUP($A63,Sales!$A:AH,AJ$2,0),0)</f>
        <v>0</v>
      </c>
      <c r="AK66" s="73">
        <f t="shared" ref="AK66:CC66" si="97">CEILING(AK$5*$B62,1)</f>
        <v>0</v>
      </c>
      <c r="AL66" s="73">
        <f t="shared" si="97"/>
        <v>0</v>
      </c>
      <c r="AM66" s="73">
        <f t="shared" si="97"/>
        <v>0</v>
      </c>
      <c r="AN66" s="73">
        <f t="shared" si="97"/>
        <v>3</v>
      </c>
      <c r="AO66" s="73">
        <f t="shared" si="97"/>
        <v>3</v>
      </c>
      <c r="AP66" s="73">
        <f t="shared" si="97"/>
        <v>3</v>
      </c>
      <c r="AQ66" s="73">
        <f t="shared" si="97"/>
        <v>3</v>
      </c>
      <c r="AR66" s="73">
        <f t="shared" si="97"/>
        <v>3</v>
      </c>
      <c r="AS66" s="73">
        <f t="shared" si="97"/>
        <v>3</v>
      </c>
      <c r="AT66" s="73">
        <f t="shared" si="97"/>
        <v>3</v>
      </c>
      <c r="AU66" s="73">
        <f t="shared" si="97"/>
        <v>3</v>
      </c>
      <c r="AV66" s="73">
        <f t="shared" si="97"/>
        <v>3</v>
      </c>
      <c r="AW66" s="73">
        <f t="shared" si="97"/>
        <v>3</v>
      </c>
      <c r="AX66" s="73">
        <f t="shared" si="97"/>
        <v>3</v>
      </c>
      <c r="AY66" s="73">
        <f t="shared" si="97"/>
        <v>2</v>
      </c>
      <c r="AZ66" s="73">
        <f t="shared" si="97"/>
        <v>2</v>
      </c>
      <c r="BA66" s="73">
        <f t="shared" si="97"/>
        <v>2</v>
      </c>
      <c r="BB66" s="73">
        <f t="shared" si="97"/>
        <v>2</v>
      </c>
      <c r="BC66" s="73">
        <f t="shared" si="97"/>
        <v>2</v>
      </c>
      <c r="BD66" s="73">
        <f t="shared" si="97"/>
        <v>2</v>
      </c>
      <c r="BE66" s="73">
        <f t="shared" si="97"/>
        <v>2</v>
      </c>
      <c r="BF66" s="73">
        <f t="shared" si="97"/>
        <v>2</v>
      </c>
      <c r="BG66" s="73">
        <f t="shared" si="97"/>
        <v>2</v>
      </c>
      <c r="BH66" s="73">
        <f t="shared" si="97"/>
        <v>2</v>
      </c>
      <c r="BI66" s="73">
        <f t="shared" si="97"/>
        <v>2</v>
      </c>
      <c r="BJ66" s="73">
        <f t="shared" si="97"/>
        <v>2</v>
      </c>
      <c r="BK66" s="73">
        <f t="shared" si="97"/>
        <v>2</v>
      </c>
      <c r="BL66" s="73">
        <f t="shared" si="97"/>
        <v>2</v>
      </c>
      <c r="BM66" s="73">
        <f t="shared" si="97"/>
        <v>2</v>
      </c>
      <c r="BN66" s="73">
        <f t="shared" si="97"/>
        <v>4</v>
      </c>
      <c r="BO66" s="73">
        <f t="shared" si="97"/>
        <v>0</v>
      </c>
      <c r="BP66" s="73">
        <f t="shared" si="97"/>
        <v>0</v>
      </c>
      <c r="BQ66" s="73">
        <f t="shared" si="97"/>
        <v>0</v>
      </c>
      <c r="BR66" s="73">
        <f t="shared" si="97"/>
        <v>0</v>
      </c>
      <c r="BS66" s="73">
        <f t="shared" si="97"/>
        <v>2</v>
      </c>
      <c r="BT66" s="73">
        <f t="shared" si="97"/>
        <v>2</v>
      </c>
      <c r="BU66" s="73">
        <f t="shared" si="97"/>
        <v>2</v>
      </c>
      <c r="BV66" s="73">
        <f t="shared" si="97"/>
        <v>2</v>
      </c>
      <c r="BW66" s="73">
        <f t="shared" si="97"/>
        <v>2</v>
      </c>
      <c r="BX66" s="73">
        <f t="shared" si="97"/>
        <v>2</v>
      </c>
      <c r="BY66" s="73">
        <f t="shared" si="97"/>
        <v>2</v>
      </c>
      <c r="BZ66" s="73">
        <f t="shared" si="97"/>
        <v>2</v>
      </c>
      <c r="CA66" s="73">
        <f t="shared" si="97"/>
        <v>2</v>
      </c>
      <c r="CB66" s="73">
        <f t="shared" si="97"/>
        <v>2</v>
      </c>
      <c r="CC66" s="73">
        <f t="shared" si="97"/>
        <v>2</v>
      </c>
    </row>
    <row r="67" spans="1:81" x14ac:dyDescent="0.2">
      <c r="A67" s="5" t="s">
        <v>214</v>
      </c>
      <c r="B67" s="5">
        <v>0.30299999999999999</v>
      </c>
      <c r="C67" s="46" t="s">
        <v>215</v>
      </c>
      <c r="D67" s="69">
        <f t="shared" ref="D67:AI67" si="98">IF(D66=0,0, ROUND(D63 * 1/D66* D$13,1))</f>
        <v>0</v>
      </c>
      <c r="E67" s="69">
        <f t="shared" si="98"/>
        <v>0</v>
      </c>
      <c r="F67" s="69">
        <f t="shared" si="98"/>
        <v>0</v>
      </c>
      <c r="G67" s="69">
        <f t="shared" si="98"/>
        <v>0</v>
      </c>
      <c r="H67" s="69">
        <f t="shared" si="98"/>
        <v>0</v>
      </c>
      <c r="I67" s="69">
        <f t="shared" si="98"/>
        <v>0</v>
      </c>
      <c r="J67" s="69">
        <f t="shared" si="98"/>
        <v>0</v>
      </c>
      <c r="K67" s="69">
        <f t="shared" si="98"/>
        <v>0</v>
      </c>
      <c r="L67" s="69">
        <f t="shared" si="98"/>
        <v>0</v>
      </c>
      <c r="M67" s="69">
        <f t="shared" si="98"/>
        <v>0</v>
      </c>
      <c r="N67" s="69">
        <f t="shared" si="98"/>
        <v>0</v>
      </c>
      <c r="O67" s="69">
        <f t="shared" si="98"/>
        <v>0</v>
      </c>
      <c r="P67" s="69">
        <f t="shared" si="98"/>
        <v>0</v>
      </c>
      <c r="Q67" s="69">
        <f t="shared" si="98"/>
        <v>0</v>
      </c>
      <c r="R67" s="69">
        <f t="shared" si="98"/>
        <v>0</v>
      </c>
      <c r="S67" s="69">
        <f t="shared" si="98"/>
        <v>0</v>
      </c>
      <c r="T67" s="69">
        <f t="shared" si="98"/>
        <v>21.3</v>
      </c>
      <c r="U67" s="69">
        <f t="shared" si="98"/>
        <v>0</v>
      </c>
      <c r="V67" s="69">
        <f t="shared" si="98"/>
        <v>0</v>
      </c>
      <c r="W67" s="69">
        <f t="shared" si="98"/>
        <v>0</v>
      </c>
      <c r="X67" s="69">
        <f t="shared" si="98"/>
        <v>0</v>
      </c>
      <c r="Y67" s="69">
        <f t="shared" si="98"/>
        <v>0</v>
      </c>
      <c r="Z67" s="69">
        <f t="shared" si="98"/>
        <v>0</v>
      </c>
      <c r="AA67" s="69">
        <f t="shared" si="98"/>
        <v>0</v>
      </c>
      <c r="AB67" s="69">
        <f t="shared" si="98"/>
        <v>0</v>
      </c>
      <c r="AC67" s="69">
        <f t="shared" si="98"/>
        <v>0</v>
      </c>
      <c r="AD67" s="69">
        <f t="shared" si="98"/>
        <v>0</v>
      </c>
      <c r="AE67" s="69">
        <f t="shared" si="98"/>
        <v>0</v>
      </c>
      <c r="AF67" s="69">
        <f t="shared" si="98"/>
        <v>0</v>
      </c>
      <c r="AG67" s="69">
        <f t="shared" si="98"/>
        <v>0</v>
      </c>
      <c r="AH67" s="69">
        <f t="shared" si="98"/>
        <v>0</v>
      </c>
      <c r="AI67" s="69">
        <f t="shared" si="98"/>
        <v>0</v>
      </c>
      <c r="AJ67" s="69">
        <f t="shared" ref="AJ67:BO67" si="99">IF(AJ66=0,0, ROUND(AJ63 * 1/AJ66* AJ$13,1))</f>
        <v>0</v>
      </c>
      <c r="AK67" s="69">
        <f t="shared" si="99"/>
        <v>0</v>
      </c>
      <c r="AL67" s="69">
        <f t="shared" si="99"/>
        <v>0</v>
      </c>
      <c r="AM67" s="69">
        <f t="shared" si="99"/>
        <v>0</v>
      </c>
      <c r="AN67" s="69">
        <f t="shared" si="99"/>
        <v>433.3</v>
      </c>
      <c r="AO67" s="69">
        <f t="shared" si="99"/>
        <v>428.3</v>
      </c>
      <c r="AP67" s="69">
        <f t="shared" si="99"/>
        <v>423.3</v>
      </c>
      <c r="AQ67" s="69">
        <f t="shared" si="99"/>
        <v>418.3</v>
      </c>
      <c r="AR67" s="69">
        <f t="shared" si="99"/>
        <v>413.3</v>
      </c>
      <c r="AS67" s="69">
        <f t="shared" si="99"/>
        <v>408.3</v>
      </c>
      <c r="AT67" s="69">
        <f t="shared" si="99"/>
        <v>403.3</v>
      </c>
      <c r="AU67" s="69">
        <f t="shared" si="99"/>
        <v>398.3</v>
      </c>
      <c r="AV67" s="69">
        <f t="shared" si="99"/>
        <v>393.3</v>
      </c>
      <c r="AW67" s="69">
        <f t="shared" si="99"/>
        <v>388.3</v>
      </c>
      <c r="AX67" s="69">
        <f t="shared" si="99"/>
        <v>383.3</v>
      </c>
      <c r="AY67" s="69">
        <f t="shared" si="99"/>
        <v>567.5</v>
      </c>
      <c r="AZ67" s="69">
        <f t="shared" si="99"/>
        <v>562.5</v>
      </c>
      <c r="BA67" s="69">
        <f t="shared" si="99"/>
        <v>557.5</v>
      </c>
      <c r="BB67" s="69">
        <f t="shared" si="99"/>
        <v>552.5</v>
      </c>
      <c r="BC67" s="69">
        <f t="shared" si="99"/>
        <v>547.5</v>
      </c>
      <c r="BD67" s="69">
        <f t="shared" si="99"/>
        <v>542.5</v>
      </c>
      <c r="BE67" s="69">
        <f t="shared" si="99"/>
        <v>537.5</v>
      </c>
      <c r="BF67" s="69">
        <f t="shared" si="99"/>
        <v>532.5</v>
      </c>
      <c r="BG67" s="69">
        <f t="shared" si="99"/>
        <v>527.5</v>
      </c>
      <c r="BH67" s="69">
        <f t="shared" si="99"/>
        <v>522.5</v>
      </c>
      <c r="BI67" s="69">
        <f t="shared" si="99"/>
        <v>517.5</v>
      </c>
      <c r="BJ67" s="69">
        <f t="shared" si="99"/>
        <v>512.5</v>
      </c>
      <c r="BK67" s="69">
        <f t="shared" si="99"/>
        <v>507.5</v>
      </c>
      <c r="BL67" s="69">
        <f t="shared" si="99"/>
        <v>502.5</v>
      </c>
      <c r="BM67" s="69">
        <f t="shared" si="99"/>
        <v>497.5</v>
      </c>
      <c r="BN67" s="69">
        <f t="shared" si="99"/>
        <v>246.3</v>
      </c>
      <c r="BO67" s="69">
        <f t="shared" si="99"/>
        <v>0</v>
      </c>
      <c r="BP67" s="69">
        <f t="shared" ref="BP67:CU67" si="100">IF(BP66=0,0, ROUND(BP63 * 1/BP66* BP$13,1))</f>
        <v>0</v>
      </c>
      <c r="BQ67" s="69">
        <f t="shared" si="100"/>
        <v>0</v>
      </c>
      <c r="BR67" s="69">
        <f t="shared" si="100"/>
        <v>0</v>
      </c>
      <c r="BS67" s="69">
        <f t="shared" si="100"/>
        <v>482.5</v>
      </c>
      <c r="BT67" s="69">
        <f t="shared" si="100"/>
        <v>477.5</v>
      </c>
      <c r="BU67" s="69">
        <f t="shared" si="100"/>
        <v>472.5</v>
      </c>
      <c r="BV67" s="69">
        <f t="shared" si="100"/>
        <v>467.5</v>
      </c>
      <c r="BW67" s="69">
        <f t="shared" si="100"/>
        <v>462.5</v>
      </c>
      <c r="BX67" s="69">
        <f t="shared" si="100"/>
        <v>457.5</v>
      </c>
      <c r="BY67" s="69">
        <f t="shared" si="100"/>
        <v>452.5</v>
      </c>
      <c r="BZ67" s="69">
        <f t="shared" si="100"/>
        <v>447.5</v>
      </c>
      <c r="CA67" s="69">
        <f t="shared" si="100"/>
        <v>442.5</v>
      </c>
      <c r="CB67" s="69">
        <f t="shared" si="100"/>
        <v>437.5</v>
      </c>
      <c r="CC67" s="69">
        <f t="shared" si="100"/>
        <v>432.5</v>
      </c>
    </row>
    <row r="68" spans="1:81" x14ac:dyDescent="0.2">
      <c r="A68" s="10">
        <v>24</v>
      </c>
      <c r="B68" s="10">
        <v>1</v>
      </c>
      <c r="C68" s="68">
        <v>6.4057000000000004</v>
      </c>
      <c r="D68">
        <f t="shared" ref="D68:AI68" si="101">D65/$B68</f>
        <v>0</v>
      </c>
      <c r="E68">
        <f t="shared" si="101"/>
        <v>0</v>
      </c>
      <c r="F68">
        <f t="shared" si="101"/>
        <v>0</v>
      </c>
      <c r="G68">
        <f t="shared" si="101"/>
        <v>0</v>
      </c>
      <c r="H68">
        <f t="shared" si="101"/>
        <v>0</v>
      </c>
      <c r="I68">
        <f t="shared" si="101"/>
        <v>0</v>
      </c>
      <c r="J68">
        <f t="shared" si="101"/>
        <v>0</v>
      </c>
      <c r="K68">
        <f t="shared" si="101"/>
        <v>0</v>
      </c>
      <c r="L68">
        <f t="shared" si="101"/>
        <v>0</v>
      </c>
      <c r="M68">
        <f t="shared" si="101"/>
        <v>0</v>
      </c>
      <c r="N68">
        <f t="shared" si="101"/>
        <v>0</v>
      </c>
      <c r="O68">
        <f t="shared" si="101"/>
        <v>0</v>
      </c>
      <c r="P68">
        <f t="shared" si="101"/>
        <v>0</v>
      </c>
      <c r="Q68">
        <f t="shared" si="101"/>
        <v>0</v>
      </c>
      <c r="R68">
        <f t="shared" si="101"/>
        <v>0</v>
      </c>
      <c r="S68">
        <f t="shared" si="101"/>
        <v>0</v>
      </c>
      <c r="T68">
        <f t="shared" si="101"/>
        <v>0</v>
      </c>
      <c r="U68">
        <f t="shared" si="101"/>
        <v>0</v>
      </c>
      <c r="V68">
        <f t="shared" si="101"/>
        <v>0</v>
      </c>
      <c r="W68">
        <f t="shared" si="101"/>
        <v>0</v>
      </c>
      <c r="X68">
        <f t="shared" si="101"/>
        <v>0</v>
      </c>
      <c r="Y68">
        <f t="shared" si="101"/>
        <v>0</v>
      </c>
      <c r="Z68">
        <f t="shared" si="101"/>
        <v>0</v>
      </c>
      <c r="AA68">
        <f t="shared" si="101"/>
        <v>0</v>
      </c>
      <c r="AB68">
        <f t="shared" si="101"/>
        <v>0</v>
      </c>
      <c r="AC68">
        <f t="shared" si="101"/>
        <v>0</v>
      </c>
      <c r="AD68">
        <f t="shared" si="101"/>
        <v>0</v>
      </c>
      <c r="AE68">
        <f t="shared" si="101"/>
        <v>0</v>
      </c>
      <c r="AF68">
        <f t="shared" si="101"/>
        <v>0</v>
      </c>
      <c r="AG68">
        <f t="shared" si="101"/>
        <v>0</v>
      </c>
      <c r="AH68">
        <f t="shared" si="101"/>
        <v>0</v>
      </c>
      <c r="AI68">
        <f t="shared" si="101"/>
        <v>0</v>
      </c>
      <c r="AJ68">
        <f t="shared" ref="AJ68:BO68" si="102">AJ65/$B68</f>
        <v>0</v>
      </c>
      <c r="AK68">
        <f t="shared" si="102"/>
        <v>0</v>
      </c>
      <c r="AL68">
        <f t="shared" si="102"/>
        <v>0</v>
      </c>
      <c r="AM68">
        <f t="shared" si="102"/>
        <v>0</v>
      </c>
      <c r="AN68">
        <f t="shared" si="102"/>
        <v>0</v>
      </c>
      <c r="AO68">
        <f t="shared" si="102"/>
        <v>0</v>
      </c>
      <c r="AP68">
        <f t="shared" si="102"/>
        <v>0</v>
      </c>
      <c r="AQ68">
        <f t="shared" si="102"/>
        <v>0</v>
      </c>
      <c r="AR68">
        <f t="shared" si="102"/>
        <v>0</v>
      </c>
      <c r="AS68">
        <f t="shared" si="102"/>
        <v>0</v>
      </c>
      <c r="AT68">
        <f t="shared" si="102"/>
        <v>0</v>
      </c>
      <c r="AU68">
        <f t="shared" si="102"/>
        <v>0</v>
      </c>
      <c r="AV68">
        <f t="shared" si="102"/>
        <v>0</v>
      </c>
      <c r="AW68">
        <f t="shared" si="102"/>
        <v>0</v>
      </c>
      <c r="AX68">
        <f t="shared" si="102"/>
        <v>0</v>
      </c>
      <c r="AY68">
        <f t="shared" si="102"/>
        <v>0</v>
      </c>
      <c r="AZ68">
        <f t="shared" si="102"/>
        <v>0</v>
      </c>
      <c r="BA68">
        <f t="shared" si="102"/>
        <v>0</v>
      </c>
      <c r="BB68">
        <f t="shared" si="102"/>
        <v>0</v>
      </c>
      <c r="BC68">
        <f t="shared" si="102"/>
        <v>0</v>
      </c>
      <c r="BD68">
        <f t="shared" si="102"/>
        <v>0</v>
      </c>
      <c r="BE68">
        <f t="shared" si="102"/>
        <v>0</v>
      </c>
      <c r="BF68">
        <f t="shared" si="102"/>
        <v>0</v>
      </c>
      <c r="BG68">
        <f t="shared" si="102"/>
        <v>0</v>
      </c>
      <c r="BH68">
        <f t="shared" si="102"/>
        <v>0</v>
      </c>
      <c r="BI68">
        <f t="shared" si="102"/>
        <v>0</v>
      </c>
      <c r="BJ68">
        <f t="shared" si="102"/>
        <v>0</v>
      </c>
      <c r="BK68">
        <f t="shared" si="102"/>
        <v>0</v>
      </c>
      <c r="BL68">
        <f t="shared" si="102"/>
        <v>0</v>
      </c>
      <c r="BM68">
        <f t="shared" si="102"/>
        <v>0</v>
      </c>
      <c r="BN68">
        <f t="shared" si="102"/>
        <v>0</v>
      </c>
      <c r="BO68">
        <f t="shared" si="102"/>
        <v>0</v>
      </c>
      <c r="BP68">
        <f t="shared" ref="BP68:CC68" si="103">BP65/$B68</f>
        <v>0</v>
      </c>
      <c r="BQ68">
        <f t="shared" si="103"/>
        <v>0</v>
      </c>
      <c r="BR68">
        <f t="shared" si="103"/>
        <v>0</v>
      </c>
      <c r="BS68">
        <f t="shared" si="103"/>
        <v>0</v>
      </c>
      <c r="BT68">
        <f t="shared" si="103"/>
        <v>0</v>
      </c>
      <c r="BU68">
        <f t="shared" si="103"/>
        <v>0</v>
      </c>
      <c r="BV68">
        <f t="shared" si="103"/>
        <v>0</v>
      </c>
      <c r="BW68">
        <f t="shared" si="103"/>
        <v>0</v>
      </c>
      <c r="BX68">
        <f t="shared" si="103"/>
        <v>0</v>
      </c>
      <c r="BY68">
        <f t="shared" si="103"/>
        <v>0</v>
      </c>
      <c r="BZ68">
        <f t="shared" si="103"/>
        <v>0</v>
      </c>
      <c r="CA68">
        <f t="shared" si="103"/>
        <v>0</v>
      </c>
      <c r="CB68">
        <f t="shared" si="103"/>
        <v>0</v>
      </c>
      <c r="CC68">
        <f t="shared" si="103"/>
        <v>0</v>
      </c>
    </row>
    <row r="69" spans="1:81" x14ac:dyDescent="0.2">
      <c r="A69" s="10"/>
      <c r="B69" s="67">
        <f>SUM(D73:AJ73)/SUM($D$263:$AJ$263)</f>
        <v>9.7661018604424049E-4</v>
      </c>
      <c r="C69" s="9" t="s">
        <v>216</v>
      </c>
      <c r="D69" s="10">
        <f t="shared" ref="D69:AI69" si="104">D63-D66</f>
        <v>340</v>
      </c>
      <c r="E69" s="10">
        <f t="shared" si="104"/>
        <v>340</v>
      </c>
      <c r="F69" s="10">
        <f t="shared" si="104"/>
        <v>340</v>
      </c>
      <c r="G69" s="10">
        <f t="shared" si="104"/>
        <v>340</v>
      </c>
      <c r="H69" s="10">
        <f t="shared" si="104"/>
        <v>340</v>
      </c>
      <c r="I69" s="10">
        <f t="shared" si="104"/>
        <v>340</v>
      </c>
      <c r="J69" s="10">
        <f t="shared" si="104"/>
        <v>340</v>
      </c>
      <c r="K69" s="10">
        <f t="shared" si="104"/>
        <v>340</v>
      </c>
      <c r="L69" s="10">
        <f t="shared" si="104"/>
        <v>340</v>
      </c>
      <c r="M69" s="10">
        <f t="shared" si="104"/>
        <v>340</v>
      </c>
      <c r="N69" s="10">
        <f t="shared" si="104"/>
        <v>340</v>
      </c>
      <c r="O69" s="10">
        <f t="shared" si="104"/>
        <v>340</v>
      </c>
      <c r="P69" s="10">
        <f t="shared" si="104"/>
        <v>340</v>
      </c>
      <c r="Q69" s="10">
        <f t="shared" si="104"/>
        <v>340</v>
      </c>
      <c r="R69" s="10">
        <f t="shared" si="104"/>
        <v>340</v>
      </c>
      <c r="S69" s="10">
        <f t="shared" si="104"/>
        <v>340</v>
      </c>
      <c r="T69" s="10">
        <f t="shared" si="104"/>
        <v>260</v>
      </c>
      <c r="U69" s="10">
        <f t="shared" si="104"/>
        <v>260</v>
      </c>
      <c r="V69" s="10">
        <f t="shared" si="104"/>
        <v>260</v>
      </c>
      <c r="W69" s="10">
        <f t="shared" si="104"/>
        <v>260</v>
      </c>
      <c r="X69" s="10">
        <f t="shared" si="104"/>
        <v>260</v>
      </c>
      <c r="Y69" s="10">
        <f t="shared" si="104"/>
        <v>260</v>
      </c>
      <c r="Z69" s="10">
        <f t="shared" si="104"/>
        <v>260</v>
      </c>
      <c r="AA69" s="10">
        <f t="shared" si="104"/>
        <v>260</v>
      </c>
      <c r="AB69" s="10">
        <f t="shared" si="104"/>
        <v>260</v>
      </c>
      <c r="AC69" s="10">
        <f t="shared" si="104"/>
        <v>260</v>
      </c>
      <c r="AD69" s="10">
        <f t="shared" si="104"/>
        <v>260</v>
      </c>
      <c r="AE69" s="10">
        <f t="shared" si="104"/>
        <v>260</v>
      </c>
      <c r="AF69" s="10">
        <f t="shared" si="104"/>
        <v>260</v>
      </c>
      <c r="AG69" s="10">
        <f t="shared" si="104"/>
        <v>260</v>
      </c>
      <c r="AH69" s="10">
        <f t="shared" si="104"/>
        <v>260</v>
      </c>
      <c r="AI69" s="10">
        <f t="shared" si="104"/>
        <v>260</v>
      </c>
      <c r="AJ69" s="10">
        <f t="shared" ref="AJ69:BO69" si="105">AJ63-AJ66</f>
        <v>260</v>
      </c>
      <c r="AK69" s="10">
        <f t="shared" si="105"/>
        <v>260</v>
      </c>
      <c r="AL69" s="10">
        <f t="shared" si="105"/>
        <v>260</v>
      </c>
      <c r="AM69" s="10">
        <f t="shared" si="105"/>
        <v>260</v>
      </c>
      <c r="AN69" s="10">
        <f t="shared" si="105"/>
        <v>257</v>
      </c>
      <c r="AO69" s="10">
        <f t="shared" si="105"/>
        <v>254</v>
      </c>
      <c r="AP69" s="10">
        <f t="shared" si="105"/>
        <v>251</v>
      </c>
      <c r="AQ69" s="10">
        <f t="shared" si="105"/>
        <v>248</v>
      </c>
      <c r="AR69" s="10">
        <f t="shared" si="105"/>
        <v>245</v>
      </c>
      <c r="AS69" s="10">
        <f t="shared" si="105"/>
        <v>242</v>
      </c>
      <c r="AT69" s="10">
        <f t="shared" si="105"/>
        <v>239</v>
      </c>
      <c r="AU69" s="10">
        <f t="shared" si="105"/>
        <v>236</v>
      </c>
      <c r="AV69" s="10">
        <f t="shared" si="105"/>
        <v>233</v>
      </c>
      <c r="AW69" s="10">
        <f t="shared" si="105"/>
        <v>230</v>
      </c>
      <c r="AX69" s="10">
        <f t="shared" si="105"/>
        <v>227</v>
      </c>
      <c r="AY69" s="10">
        <f t="shared" si="105"/>
        <v>225</v>
      </c>
      <c r="AZ69" s="10">
        <f t="shared" si="105"/>
        <v>223</v>
      </c>
      <c r="BA69" s="10">
        <f t="shared" si="105"/>
        <v>221</v>
      </c>
      <c r="BB69" s="10">
        <f t="shared" si="105"/>
        <v>219</v>
      </c>
      <c r="BC69" s="10">
        <f t="shared" si="105"/>
        <v>217</v>
      </c>
      <c r="BD69" s="10">
        <f t="shared" si="105"/>
        <v>215</v>
      </c>
      <c r="BE69" s="10">
        <f t="shared" si="105"/>
        <v>213</v>
      </c>
      <c r="BF69" s="10">
        <f t="shared" si="105"/>
        <v>211</v>
      </c>
      <c r="BG69" s="10">
        <f t="shared" si="105"/>
        <v>209</v>
      </c>
      <c r="BH69" s="10">
        <f t="shared" si="105"/>
        <v>207</v>
      </c>
      <c r="BI69" s="10">
        <f t="shared" si="105"/>
        <v>205</v>
      </c>
      <c r="BJ69" s="10">
        <f t="shared" si="105"/>
        <v>203</v>
      </c>
      <c r="BK69" s="10">
        <f t="shared" si="105"/>
        <v>201</v>
      </c>
      <c r="BL69" s="10">
        <f t="shared" si="105"/>
        <v>199</v>
      </c>
      <c r="BM69" s="10">
        <f t="shared" si="105"/>
        <v>197</v>
      </c>
      <c r="BN69" s="10">
        <f t="shared" si="105"/>
        <v>193</v>
      </c>
      <c r="BO69" s="10">
        <f t="shared" si="105"/>
        <v>193</v>
      </c>
      <c r="BP69" s="10">
        <f t="shared" ref="BP69:CC69" si="106">BP63-BP66</f>
        <v>193</v>
      </c>
      <c r="BQ69" s="10">
        <f t="shared" si="106"/>
        <v>193</v>
      </c>
      <c r="BR69" s="10">
        <f t="shared" si="106"/>
        <v>193</v>
      </c>
      <c r="BS69" s="10">
        <f t="shared" si="106"/>
        <v>191</v>
      </c>
      <c r="BT69" s="10">
        <f t="shared" si="106"/>
        <v>189</v>
      </c>
      <c r="BU69" s="10">
        <f t="shared" si="106"/>
        <v>187</v>
      </c>
      <c r="BV69" s="10">
        <f t="shared" si="106"/>
        <v>185</v>
      </c>
      <c r="BW69" s="10">
        <f t="shared" si="106"/>
        <v>183</v>
      </c>
      <c r="BX69" s="10">
        <f t="shared" si="106"/>
        <v>181</v>
      </c>
      <c r="BY69" s="10">
        <f t="shared" si="106"/>
        <v>179</v>
      </c>
      <c r="BZ69" s="10">
        <f t="shared" si="106"/>
        <v>177</v>
      </c>
      <c r="CA69" s="10">
        <f t="shared" si="106"/>
        <v>175</v>
      </c>
      <c r="CB69" s="10">
        <f t="shared" si="106"/>
        <v>173</v>
      </c>
      <c r="CC69" s="10">
        <f t="shared" si="106"/>
        <v>171</v>
      </c>
    </row>
    <row r="70" spans="1:81" x14ac:dyDescent="0.2">
      <c r="A70" s="43" t="s">
        <v>224</v>
      </c>
      <c r="B70" s="44" t="s">
        <v>208</v>
      </c>
      <c r="C70" s="9" t="s">
        <v>38</v>
      </c>
      <c r="D70" s="58">
        <f>IFERROR(VLOOKUP(A70,OS!$A:$B,2,0),0)</f>
        <v>125</v>
      </c>
      <c r="E70" s="5">
        <f>(D70+D71-D73)</f>
        <v>125</v>
      </c>
      <c r="F70" s="5">
        <f>(E70+E71-E73)</f>
        <v>125</v>
      </c>
      <c r="G70" s="5">
        <f>(F70+F71-F73)</f>
        <v>125</v>
      </c>
      <c r="H70" s="5">
        <f>(G70+G71-G73)</f>
        <v>125</v>
      </c>
      <c r="I70" s="5">
        <f t="shared" ref="I70:AN70" si="107">(H70+H71-H73+D72)</f>
        <v>125</v>
      </c>
      <c r="J70" s="5">
        <f t="shared" si="107"/>
        <v>125</v>
      </c>
      <c r="K70" s="5">
        <f t="shared" si="107"/>
        <v>125</v>
      </c>
      <c r="L70" s="5">
        <f t="shared" si="107"/>
        <v>125</v>
      </c>
      <c r="M70" s="5">
        <f t="shared" si="107"/>
        <v>25</v>
      </c>
      <c r="N70" s="5">
        <f t="shared" si="107"/>
        <v>25</v>
      </c>
      <c r="O70" s="5">
        <f t="shared" si="107"/>
        <v>25</v>
      </c>
      <c r="P70" s="5">
        <f t="shared" si="107"/>
        <v>25</v>
      </c>
      <c r="Q70" s="5">
        <f t="shared" si="107"/>
        <v>25</v>
      </c>
      <c r="R70" s="5">
        <f t="shared" si="107"/>
        <v>25</v>
      </c>
      <c r="S70" s="5">
        <f t="shared" si="107"/>
        <v>25</v>
      </c>
      <c r="T70" s="5">
        <f t="shared" si="107"/>
        <v>25</v>
      </c>
      <c r="U70" s="5">
        <f t="shared" si="107"/>
        <v>25</v>
      </c>
      <c r="V70" s="5">
        <f t="shared" si="107"/>
        <v>25</v>
      </c>
      <c r="W70" s="5">
        <f t="shared" si="107"/>
        <v>25</v>
      </c>
      <c r="X70" s="5">
        <f t="shared" si="107"/>
        <v>25</v>
      </c>
      <c r="Y70" s="5">
        <f t="shared" si="107"/>
        <v>25</v>
      </c>
      <c r="Z70" s="5">
        <f t="shared" si="107"/>
        <v>25</v>
      </c>
      <c r="AA70" s="5">
        <f t="shared" si="107"/>
        <v>25</v>
      </c>
      <c r="AB70" s="5">
        <f t="shared" si="107"/>
        <v>25</v>
      </c>
      <c r="AC70" s="5">
        <f t="shared" si="107"/>
        <v>25</v>
      </c>
      <c r="AD70" s="5">
        <f t="shared" si="107"/>
        <v>25</v>
      </c>
      <c r="AE70" s="5">
        <f t="shared" si="107"/>
        <v>25</v>
      </c>
      <c r="AF70" s="5">
        <f t="shared" si="107"/>
        <v>25</v>
      </c>
      <c r="AG70" s="5">
        <f t="shared" si="107"/>
        <v>25</v>
      </c>
      <c r="AH70" s="5">
        <f t="shared" si="107"/>
        <v>25</v>
      </c>
      <c r="AI70" s="5">
        <f t="shared" si="107"/>
        <v>25</v>
      </c>
      <c r="AJ70" s="5">
        <f t="shared" si="107"/>
        <v>25</v>
      </c>
      <c r="AK70" s="5">
        <f t="shared" si="107"/>
        <v>25</v>
      </c>
      <c r="AL70" s="5">
        <f t="shared" si="107"/>
        <v>25</v>
      </c>
      <c r="AM70" s="5">
        <f t="shared" si="107"/>
        <v>25</v>
      </c>
      <c r="AN70" s="5">
        <f t="shared" si="107"/>
        <v>25</v>
      </c>
      <c r="AO70" s="5">
        <f t="shared" ref="AO70:BT70" si="108">(AN70+AN71-AN73+AJ72)</f>
        <v>22</v>
      </c>
      <c r="AP70" s="5">
        <f t="shared" si="108"/>
        <v>19</v>
      </c>
      <c r="AQ70" s="5">
        <f t="shared" si="108"/>
        <v>16</v>
      </c>
      <c r="AR70" s="5">
        <f t="shared" si="108"/>
        <v>12</v>
      </c>
      <c r="AS70" s="5">
        <f t="shared" si="108"/>
        <v>8</v>
      </c>
      <c r="AT70" s="5">
        <f t="shared" si="108"/>
        <v>5</v>
      </c>
      <c r="AU70" s="5">
        <f t="shared" si="108"/>
        <v>1</v>
      </c>
      <c r="AV70" s="5">
        <f t="shared" si="108"/>
        <v>-3</v>
      </c>
      <c r="AW70" s="5">
        <f t="shared" si="108"/>
        <v>-7</v>
      </c>
      <c r="AX70" s="5">
        <f t="shared" si="108"/>
        <v>-11</v>
      </c>
      <c r="AY70" s="5">
        <f t="shared" si="108"/>
        <v>-15</v>
      </c>
      <c r="AZ70" s="5">
        <f t="shared" si="108"/>
        <v>-18</v>
      </c>
      <c r="BA70" s="5">
        <f t="shared" si="108"/>
        <v>-21</v>
      </c>
      <c r="BB70" s="5">
        <f t="shared" si="108"/>
        <v>-24</v>
      </c>
      <c r="BC70" s="5">
        <f t="shared" si="108"/>
        <v>-27</v>
      </c>
      <c r="BD70" s="5">
        <f t="shared" si="108"/>
        <v>-30</v>
      </c>
      <c r="BE70" s="5">
        <f t="shared" si="108"/>
        <v>-33</v>
      </c>
      <c r="BF70" s="5">
        <f t="shared" si="108"/>
        <v>-36</v>
      </c>
      <c r="BG70" s="5">
        <f t="shared" si="108"/>
        <v>-39</v>
      </c>
      <c r="BH70" s="5">
        <f t="shared" si="108"/>
        <v>-42</v>
      </c>
      <c r="BI70" s="5">
        <f t="shared" si="108"/>
        <v>-45</v>
      </c>
      <c r="BJ70" s="5">
        <f t="shared" si="108"/>
        <v>-48</v>
      </c>
      <c r="BK70" s="5">
        <f t="shared" si="108"/>
        <v>-51</v>
      </c>
      <c r="BL70" s="5">
        <f t="shared" si="108"/>
        <v>-54</v>
      </c>
      <c r="BM70" s="5">
        <f t="shared" si="108"/>
        <v>-57</v>
      </c>
      <c r="BN70" s="5">
        <f t="shared" si="108"/>
        <v>-60</v>
      </c>
      <c r="BO70" s="5">
        <f t="shared" si="108"/>
        <v>-65</v>
      </c>
      <c r="BP70" s="5">
        <f t="shared" si="108"/>
        <v>-65</v>
      </c>
      <c r="BQ70" s="5">
        <f t="shared" si="108"/>
        <v>-65</v>
      </c>
      <c r="BR70" s="5">
        <f t="shared" si="108"/>
        <v>-65</v>
      </c>
      <c r="BS70" s="5">
        <f t="shared" si="108"/>
        <v>-65</v>
      </c>
      <c r="BT70" s="5">
        <f t="shared" si="108"/>
        <v>-67</v>
      </c>
      <c r="BU70" s="5">
        <f t="shared" ref="BU70:CZ70" si="109">(BT70+BT71-BT73+BP72)</f>
        <v>-69</v>
      </c>
      <c r="BV70" s="5">
        <f t="shared" si="109"/>
        <v>-71</v>
      </c>
      <c r="BW70" s="5">
        <f t="shared" si="109"/>
        <v>-73</v>
      </c>
      <c r="BX70" s="5">
        <f t="shared" si="109"/>
        <v>-75</v>
      </c>
      <c r="BY70" s="5">
        <f t="shared" si="109"/>
        <v>-77</v>
      </c>
      <c r="BZ70" s="5">
        <f t="shared" si="109"/>
        <v>-79</v>
      </c>
      <c r="CA70" s="5">
        <f t="shared" si="109"/>
        <v>-81</v>
      </c>
      <c r="CB70" s="5">
        <f t="shared" si="109"/>
        <v>-83</v>
      </c>
      <c r="CC70" s="5">
        <f t="shared" si="109"/>
        <v>-85</v>
      </c>
    </row>
    <row r="71" spans="1:81" x14ac:dyDescent="0.2">
      <c r="A71" s="5" t="s">
        <v>209</v>
      </c>
      <c r="B71" s="5">
        <v>6.5142199999999999</v>
      </c>
      <c r="C71" s="45" t="s">
        <v>39</v>
      </c>
      <c r="D71" s="59">
        <f>IFERROR(VLOOKUP(A70,WIP!$A:$B,2,0),0)</f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1" x14ac:dyDescent="0.2">
      <c r="A72" s="5" t="s">
        <v>210</v>
      </c>
      <c r="B72" s="5">
        <v>0.21299999999999999</v>
      </c>
      <c r="C72" s="9" t="s">
        <v>211</v>
      </c>
      <c r="D72" s="60">
        <f>IFERROR(VLOOKUP($A70,Plan!$A:B,D$4,0),0)</f>
        <v>0</v>
      </c>
      <c r="E72" s="70">
        <f>IFERROR(VLOOKUP($A70,Plan!$A:C,E$4,0),0)</f>
        <v>0</v>
      </c>
      <c r="F72" s="70">
        <f>IFERROR(VLOOKUP($A70,Plan!$A:D,F$4,0),0)</f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1" x14ac:dyDescent="0.2">
      <c r="A73" s="5" t="s">
        <v>212</v>
      </c>
      <c r="B73" s="5">
        <v>3.1E-2</v>
      </c>
      <c r="C73" s="9" t="s">
        <v>213</v>
      </c>
      <c r="D73" s="61">
        <f>IFERROR(VLOOKUP($A70,Sales!$A:B,D$2,0),0)</f>
        <v>0</v>
      </c>
      <c r="E73" s="61">
        <f>IFERROR(VLOOKUP($A70,Sales!$A:C,E$2,0),0)</f>
        <v>0</v>
      </c>
      <c r="F73" s="61">
        <f>IFERROR(VLOOKUP($A70,Sales!$A:D,F$2,0),0)</f>
        <v>0</v>
      </c>
      <c r="G73" s="61">
        <f>IFERROR(VLOOKUP($A70,Sales!$A:E,G$2,0),0)</f>
        <v>0</v>
      </c>
      <c r="H73" s="61">
        <f>IFERROR(VLOOKUP($A70,Sales!$A:F,H$2,0),0)</f>
        <v>0</v>
      </c>
      <c r="I73" s="61">
        <f>IFERROR(VLOOKUP($A70,Sales!$A:G,I$2,0),0)</f>
        <v>0</v>
      </c>
      <c r="J73" s="61">
        <f>IFERROR(VLOOKUP($A70,Sales!$A:H,J$2,0),0)</f>
        <v>0</v>
      </c>
      <c r="K73" s="61">
        <f>IFERROR(VLOOKUP($A70,Sales!$A:I,K$2,0),0)</f>
        <v>0</v>
      </c>
      <c r="L73" s="61">
        <f>IFERROR(VLOOKUP($A70,Sales!$A:J,L$2,0),0)</f>
        <v>100</v>
      </c>
      <c r="M73" s="61">
        <f>IFERROR(VLOOKUP($A70,Sales!$A:K,M$2,0),0)</f>
        <v>0</v>
      </c>
      <c r="N73" s="61">
        <f>IFERROR(VLOOKUP($A70,Sales!$A:L,N$2,0),0)</f>
        <v>0</v>
      </c>
      <c r="O73" s="61">
        <f>IFERROR(VLOOKUP($A70,Sales!$A:M,O$2,0),0)</f>
        <v>0</v>
      </c>
      <c r="P73" s="61">
        <f>IFERROR(VLOOKUP($A70,Sales!$A:N,P$2,0),0)</f>
        <v>0</v>
      </c>
      <c r="Q73" s="61">
        <f>IFERROR(VLOOKUP($A70,Sales!$A:O,Q$2,0),0)</f>
        <v>0</v>
      </c>
      <c r="R73" s="61">
        <f>IFERROR(VLOOKUP($A70,Sales!$A:P,R$2,0),0)</f>
        <v>0</v>
      </c>
      <c r="S73" s="61">
        <f>IFERROR(VLOOKUP($A70,Sales!$A:Q,S$2,0),0)</f>
        <v>0</v>
      </c>
      <c r="T73" s="61">
        <f>IFERROR(VLOOKUP($A70,Sales!$A:R,T$2,0),0)</f>
        <v>0</v>
      </c>
      <c r="U73" s="61">
        <f>IFERROR(VLOOKUP($A70,Sales!$A:S,U$2,0),0)</f>
        <v>0</v>
      </c>
      <c r="V73" s="61">
        <f>IFERROR(VLOOKUP($A70,Sales!$A:T,V$2,0),0)</f>
        <v>0</v>
      </c>
      <c r="W73" s="61">
        <f>IFERROR(VLOOKUP($A70,Sales!$A:U,W$2,0),0)</f>
        <v>0</v>
      </c>
      <c r="X73" s="61">
        <f>IFERROR(VLOOKUP($A70,Sales!$A:V,X$2,0),0)</f>
        <v>0</v>
      </c>
      <c r="Y73" s="61">
        <f>IFERROR(VLOOKUP($A70,Sales!$A:W,Y$2,0),0)</f>
        <v>0</v>
      </c>
      <c r="Z73" s="61">
        <f>IFERROR(VLOOKUP($A70,Sales!$A:X,Z$2,0),0)</f>
        <v>0</v>
      </c>
      <c r="AA73" s="61">
        <f>IFERROR(VLOOKUP($A70,Sales!$A:Y,AA$2,0),0)</f>
        <v>0</v>
      </c>
      <c r="AB73" s="61">
        <f>IFERROR(VLOOKUP($A70,Sales!$A:Z,AB$2,0),0)</f>
        <v>0</v>
      </c>
      <c r="AC73" s="61">
        <f>IFERROR(VLOOKUP($A70,Sales!$A:AA,AC$2,0),0)</f>
        <v>0</v>
      </c>
      <c r="AD73" s="61">
        <f>IFERROR(VLOOKUP($A70,Sales!$A:AB,AD$2,0),0)</f>
        <v>0</v>
      </c>
      <c r="AE73" s="61">
        <f>IFERROR(VLOOKUP($A70,Sales!$A:AC,AE$2,0),0)</f>
        <v>0</v>
      </c>
      <c r="AF73" s="61">
        <f>IFERROR(VLOOKUP($A70,Sales!$A:AD,AF$2,0),0)</f>
        <v>0</v>
      </c>
      <c r="AG73" s="61">
        <f>IFERROR(VLOOKUP($A70,Sales!$A:AE,AG$2,0),0)</f>
        <v>0</v>
      </c>
      <c r="AH73" s="61">
        <f>IFERROR(VLOOKUP($A70,Sales!$A:AF,AH$2,0),0)</f>
        <v>0</v>
      </c>
      <c r="AI73" s="61">
        <f>IFERROR(VLOOKUP($A70,Sales!$A:AG,AI$2,0),0)</f>
        <v>0</v>
      </c>
      <c r="AJ73" s="61">
        <f>IFERROR(VLOOKUP($A70,Sales!$A:AH,AJ$2,0),0)</f>
        <v>0</v>
      </c>
      <c r="AK73" s="73">
        <f t="shared" ref="AK73:CC73" si="110">CEILING(AK$5*$B69,1)</f>
        <v>0</v>
      </c>
      <c r="AL73" s="73">
        <f t="shared" si="110"/>
        <v>0</v>
      </c>
      <c r="AM73" s="73">
        <f t="shared" si="110"/>
        <v>0</v>
      </c>
      <c r="AN73" s="73">
        <f t="shared" si="110"/>
        <v>3</v>
      </c>
      <c r="AO73" s="73">
        <f t="shared" si="110"/>
        <v>3</v>
      </c>
      <c r="AP73" s="73">
        <f t="shared" si="110"/>
        <v>3</v>
      </c>
      <c r="AQ73" s="73">
        <f t="shared" si="110"/>
        <v>4</v>
      </c>
      <c r="AR73" s="73">
        <f t="shared" si="110"/>
        <v>4</v>
      </c>
      <c r="AS73" s="73">
        <f t="shared" si="110"/>
        <v>3</v>
      </c>
      <c r="AT73" s="73">
        <f t="shared" si="110"/>
        <v>4</v>
      </c>
      <c r="AU73" s="73">
        <f t="shared" si="110"/>
        <v>4</v>
      </c>
      <c r="AV73" s="73">
        <f t="shared" si="110"/>
        <v>4</v>
      </c>
      <c r="AW73" s="73">
        <f t="shared" si="110"/>
        <v>4</v>
      </c>
      <c r="AX73" s="73">
        <f t="shared" si="110"/>
        <v>4</v>
      </c>
      <c r="AY73" s="73">
        <f t="shared" si="110"/>
        <v>3</v>
      </c>
      <c r="AZ73" s="73">
        <f t="shared" si="110"/>
        <v>3</v>
      </c>
      <c r="BA73" s="73">
        <f t="shared" si="110"/>
        <v>3</v>
      </c>
      <c r="BB73" s="73">
        <f t="shared" si="110"/>
        <v>3</v>
      </c>
      <c r="BC73" s="73">
        <f t="shared" si="110"/>
        <v>3</v>
      </c>
      <c r="BD73" s="73">
        <f t="shared" si="110"/>
        <v>3</v>
      </c>
      <c r="BE73" s="73">
        <f t="shared" si="110"/>
        <v>3</v>
      </c>
      <c r="BF73" s="73">
        <f t="shared" si="110"/>
        <v>3</v>
      </c>
      <c r="BG73" s="73">
        <f t="shared" si="110"/>
        <v>3</v>
      </c>
      <c r="BH73" s="73">
        <f t="shared" si="110"/>
        <v>3</v>
      </c>
      <c r="BI73" s="73">
        <f t="shared" si="110"/>
        <v>3</v>
      </c>
      <c r="BJ73" s="73">
        <f t="shared" si="110"/>
        <v>3</v>
      </c>
      <c r="BK73" s="73">
        <f t="shared" si="110"/>
        <v>3</v>
      </c>
      <c r="BL73" s="73">
        <f t="shared" si="110"/>
        <v>3</v>
      </c>
      <c r="BM73" s="73">
        <f t="shared" si="110"/>
        <v>3</v>
      </c>
      <c r="BN73" s="73">
        <f t="shared" si="110"/>
        <v>5</v>
      </c>
      <c r="BO73" s="73">
        <f t="shared" si="110"/>
        <v>0</v>
      </c>
      <c r="BP73" s="73">
        <f t="shared" si="110"/>
        <v>0</v>
      </c>
      <c r="BQ73" s="73">
        <f t="shared" si="110"/>
        <v>0</v>
      </c>
      <c r="BR73" s="73">
        <f t="shared" si="110"/>
        <v>0</v>
      </c>
      <c r="BS73" s="73">
        <f t="shared" si="110"/>
        <v>2</v>
      </c>
      <c r="BT73" s="73">
        <f t="shared" si="110"/>
        <v>2</v>
      </c>
      <c r="BU73" s="73">
        <f t="shared" si="110"/>
        <v>2</v>
      </c>
      <c r="BV73" s="73">
        <f t="shared" si="110"/>
        <v>2</v>
      </c>
      <c r="BW73" s="73">
        <f t="shared" si="110"/>
        <v>2</v>
      </c>
      <c r="BX73" s="73">
        <f t="shared" si="110"/>
        <v>2</v>
      </c>
      <c r="BY73" s="73">
        <f t="shared" si="110"/>
        <v>2</v>
      </c>
      <c r="BZ73" s="73">
        <f t="shared" si="110"/>
        <v>2</v>
      </c>
      <c r="CA73" s="73">
        <f t="shared" si="110"/>
        <v>2</v>
      </c>
      <c r="CB73" s="73">
        <f t="shared" si="110"/>
        <v>2</v>
      </c>
      <c r="CC73" s="73">
        <f t="shared" si="110"/>
        <v>2</v>
      </c>
    </row>
    <row r="74" spans="1:81" x14ac:dyDescent="0.2">
      <c r="A74" s="5" t="s">
        <v>214</v>
      </c>
      <c r="B74" s="5">
        <v>0.24399999999999999</v>
      </c>
      <c r="C74" s="46" t="s">
        <v>215</v>
      </c>
      <c r="D74" s="11">
        <f t="shared" ref="D74:AI74" si="111">IF(D73=0,0, ROUND(D70 * 1/D73* D$13,1))</f>
        <v>0</v>
      </c>
      <c r="E74" s="11">
        <f t="shared" si="111"/>
        <v>0</v>
      </c>
      <c r="F74" s="11">
        <f t="shared" si="111"/>
        <v>0</v>
      </c>
      <c r="G74" s="11">
        <f t="shared" si="111"/>
        <v>0</v>
      </c>
      <c r="H74" s="11">
        <f t="shared" si="111"/>
        <v>0</v>
      </c>
      <c r="I74" s="11">
        <f t="shared" si="111"/>
        <v>0</v>
      </c>
      <c r="J74" s="11">
        <f t="shared" si="111"/>
        <v>0</v>
      </c>
      <c r="K74" s="11">
        <f t="shared" si="111"/>
        <v>0</v>
      </c>
      <c r="L74" s="11">
        <f t="shared" si="111"/>
        <v>6.3</v>
      </c>
      <c r="M74" s="11">
        <f t="shared" si="111"/>
        <v>0</v>
      </c>
      <c r="N74" s="11">
        <f t="shared" si="111"/>
        <v>0</v>
      </c>
      <c r="O74" s="11">
        <f t="shared" si="111"/>
        <v>0</v>
      </c>
      <c r="P74" s="11">
        <f t="shared" si="111"/>
        <v>0</v>
      </c>
      <c r="Q74" s="11">
        <f t="shared" si="111"/>
        <v>0</v>
      </c>
      <c r="R74" s="11">
        <f t="shared" si="111"/>
        <v>0</v>
      </c>
      <c r="S74" s="11">
        <f t="shared" si="111"/>
        <v>0</v>
      </c>
      <c r="T74" s="11">
        <f t="shared" si="111"/>
        <v>0</v>
      </c>
      <c r="U74" s="11">
        <f t="shared" si="111"/>
        <v>0</v>
      </c>
      <c r="V74" s="11">
        <f t="shared" si="111"/>
        <v>0</v>
      </c>
      <c r="W74" s="11">
        <f t="shared" si="111"/>
        <v>0</v>
      </c>
      <c r="X74" s="11">
        <f t="shared" si="111"/>
        <v>0</v>
      </c>
      <c r="Y74" s="11">
        <f t="shared" si="111"/>
        <v>0</v>
      </c>
      <c r="Z74" s="11">
        <f t="shared" si="111"/>
        <v>0</v>
      </c>
      <c r="AA74" s="11">
        <f t="shared" si="111"/>
        <v>0</v>
      </c>
      <c r="AB74" s="11">
        <f t="shared" si="111"/>
        <v>0</v>
      </c>
      <c r="AC74" s="11">
        <f t="shared" si="111"/>
        <v>0</v>
      </c>
      <c r="AD74" s="11">
        <f t="shared" si="111"/>
        <v>0</v>
      </c>
      <c r="AE74" s="11">
        <f t="shared" si="111"/>
        <v>0</v>
      </c>
      <c r="AF74" s="11">
        <f t="shared" si="111"/>
        <v>0</v>
      </c>
      <c r="AG74" s="11">
        <f t="shared" si="111"/>
        <v>0</v>
      </c>
      <c r="AH74" s="11">
        <f t="shared" si="111"/>
        <v>0</v>
      </c>
      <c r="AI74" s="11">
        <f t="shared" si="111"/>
        <v>0</v>
      </c>
      <c r="AJ74" s="11">
        <f t="shared" ref="AJ74:BO74" si="112">IF(AJ73=0,0, ROUND(AJ70 * 1/AJ73* AJ$13,1))</f>
        <v>0</v>
      </c>
      <c r="AK74" s="11">
        <f t="shared" si="112"/>
        <v>0</v>
      </c>
      <c r="AL74" s="11">
        <f t="shared" si="112"/>
        <v>0</v>
      </c>
      <c r="AM74" s="11">
        <f t="shared" si="112"/>
        <v>0</v>
      </c>
      <c r="AN74" s="11">
        <f t="shared" si="112"/>
        <v>41.7</v>
      </c>
      <c r="AO74" s="11">
        <f t="shared" si="112"/>
        <v>36.700000000000003</v>
      </c>
      <c r="AP74" s="11">
        <f t="shared" si="112"/>
        <v>31.7</v>
      </c>
      <c r="AQ74" s="11">
        <f t="shared" si="112"/>
        <v>20</v>
      </c>
      <c r="AR74" s="11">
        <f t="shared" si="112"/>
        <v>15</v>
      </c>
      <c r="AS74" s="11">
        <f t="shared" si="112"/>
        <v>13.3</v>
      </c>
      <c r="AT74" s="11">
        <f t="shared" si="112"/>
        <v>6.3</v>
      </c>
      <c r="AU74" s="11">
        <f t="shared" si="112"/>
        <v>1.3</v>
      </c>
      <c r="AV74" s="11">
        <f t="shared" si="112"/>
        <v>-3.8</v>
      </c>
      <c r="AW74" s="11">
        <f t="shared" si="112"/>
        <v>-8.8000000000000007</v>
      </c>
      <c r="AX74" s="11">
        <f t="shared" si="112"/>
        <v>-13.8</v>
      </c>
      <c r="AY74" s="11">
        <f t="shared" si="112"/>
        <v>-25</v>
      </c>
      <c r="AZ74" s="11">
        <f t="shared" si="112"/>
        <v>-30</v>
      </c>
      <c r="BA74" s="11">
        <f t="shared" si="112"/>
        <v>-35</v>
      </c>
      <c r="BB74" s="11">
        <f t="shared" si="112"/>
        <v>-40</v>
      </c>
      <c r="BC74" s="11">
        <f t="shared" si="112"/>
        <v>-45</v>
      </c>
      <c r="BD74" s="11">
        <f t="shared" si="112"/>
        <v>-50</v>
      </c>
      <c r="BE74" s="11">
        <f t="shared" si="112"/>
        <v>-55</v>
      </c>
      <c r="BF74" s="11">
        <f t="shared" si="112"/>
        <v>-60</v>
      </c>
      <c r="BG74" s="11">
        <f t="shared" si="112"/>
        <v>-65</v>
      </c>
      <c r="BH74" s="11">
        <f t="shared" si="112"/>
        <v>-70</v>
      </c>
      <c r="BI74" s="11">
        <f t="shared" si="112"/>
        <v>-75</v>
      </c>
      <c r="BJ74" s="11">
        <f t="shared" si="112"/>
        <v>-80</v>
      </c>
      <c r="BK74" s="11">
        <f t="shared" si="112"/>
        <v>-85</v>
      </c>
      <c r="BL74" s="11">
        <f t="shared" si="112"/>
        <v>-90</v>
      </c>
      <c r="BM74" s="11">
        <f t="shared" si="112"/>
        <v>-95</v>
      </c>
      <c r="BN74" s="11">
        <f t="shared" si="112"/>
        <v>-60</v>
      </c>
      <c r="BO74" s="11">
        <f t="shared" si="112"/>
        <v>0</v>
      </c>
      <c r="BP74" s="11">
        <f t="shared" ref="BP74:CU74" si="113">IF(BP73=0,0, ROUND(BP70 * 1/BP73* BP$13,1))</f>
        <v>0</v>
      </c>
      <c r="BQ74" s="11">
        <f t="shared" si="113"/>
        <v>0</v>
      </c>
      <c r="BR74" s="11">
        <f t="shared" si="113"/>
        <v>0</v>
      </c>
      <c r="BS74" s="11">
        <f t="shared" si="113"/>
        <v>-162.5</v>
      </c>
      <c r="BT74" s="11">
        <f t="shared" si="113"/>
        <v>-167.5</v>
      </c>
      <c r="BU74" s="11">
        <f t="shared" si="113"/>
        <v>-172.5</v>
      </c>
      <c r="BV74" s="11">
        <f t="shared" si="113"/>
        <v>-177.5</v>
      </c>
      <c r="BW74" s="11">
        <f t="shared" si="113"/>
        <v>-182.5</v>
      </c>
      <c r="BX74" s="11">
        <f t="shared" si="113"/>
        <v>-187.5</v>
      </c>
      <c r="BY74" s="11">
        <f t="shared" si="113"/>
        <v>-192.5</v>
      </c>
      <c r="BZ74" s="11">
        <f t="shared" si="113"/>
        <v>-197.5</v>
      </c>
      <c r="CA74" s="11">
        <f t="shared" si="113"/>
        <v>-202.5</v>
      </c>
      <c r="CB74" s="11">
        <f t="shared" si="113"/>
        <v>-207.5</v>
      </c>
      <c r="CC74" s="11">
        <f t="shared" si="113"/>
        <v>-212.5</v>
      </c>
    </row>
    <row r="75" spans="1:81" x14ac:dyDescent="0.2">
      <c r="A75" s="10">
        <v>16</v>
      </c>
      <c r="B75" s="10">
        <v>1</v>
      </c>
      <c r="C75" s="68">
        <v>4.8812100000000003</v>
      </c>
      <c r="D75" s="10">
        <f t="shared" ref="D75:AI75" si="114">D72/$B75</f>
        <v>0</v>
      </c>
      <c r="E75" s="10">
        <f t="shared" si="114"/>
        <v>0</v>
      </c>
      <c r="F75" s="10">
        <f t="shared" si="114"/>
        <v>0</v>
      </c>
      <c r="G75" s="10">
        <f t="shared" si="114"/>
        <v>0</v>
      </c>
      <c r="H75" s="10">
        <f t="shared" si="114"/>
        <v>0</v>
      </c>
      <c r="I75" s="10">
        <f t="shared" si="114"/>
        <v>0</v>
      </c>
      <c r="J75" s="10">
        <f t="shared" si="114"/>
        <v>0</v>
      </c>
      <c r="K75" s="10">
        <f t="shared" si="114"/>
        <v>0</v>
      </c>
      <c r="L75" s="10">
        <f t="shared" si="114"/>
        <v>0</v>
      </c>
      <c r="M75" s="10">
        <f t="shared" si="114"/>
        <v>0</v>
      </c>
      <c r="N75" s="10">
        <f t="shared" si="114"/>
        <v>0</v>
      </c>
      <c r="O75" s="10">
        <f t="shared" si="114"/>
        <v>0</v>
      </c>
      <c r="P75" s="10">
        <f t="shared" si="114"/>
        <v>0</v>
      </c>
      <c r="Q75" s="10">
        <f t="shared" si="114"/>
        <v>0</v>
      </c>
      <c r="R75" s="10">
        <f t="shared" si="114"/>
        <v>0</v>
      </c>
      <c r="S75" s="10">
        <f t="shared" si="114"/>
        <v>0</v>
      </c>
      <c r="T75" s="10">
        <f t="shared" si="114"/>
        <v>0</v>
      </c>
      <c r="U75" s="10">
        <f t="shared" si="114"/>
        <v>0</v>
      </c>
      <c r="V75" s="10">
        <f t="shared" si="114"/>
        <v>0</v>
      </c>
      <c r="W75" s="10">
        <f t="shared" si="114"/>
        <v>0</v>
      </c>
      <c r="X75" s="10">
        <f t="shared" si="114"/>
        <v>0</v>
      </c>
      <c r="Y75" s="10">
        <f t="shared" si="114"/>
        <v>0</v>
      </c>
      <c r="Z75" s="10">
        <f t="shared" si="114"/>
        <v>0</v>
      </c>
      <c r="AA75" s="10">
        <f t="shared" si="114"/>
        <v>0</v>
      </c>
      <c r="AB75" s="10">
        <f t="shared" si="114"/>
        <v>0</v>
      </c>
      <c r="AC75" s="10">
        <f t="shared" si="114"/>
        <v>0</v>
      </c>
      <c r="AD75" s="10">
        <f t="shared" si="114"/>
        <v>0</v>
      </c>
      <c r="AE75" s="10">
        <f t="shared" si="114"/>
        <v>0</v>
      </c>
      <c r="AF75" s="10">
        <f t="shared" si="114"/>
        <v>0</v>
      </c>
      <c r="AG75" s="10">
        <f t="shared" si="114"/>
        <v>0</v>
      </c>
      <c r="AH75" s="10">
        <f t="shared" si="114"/>
        <v>0</v>
      </c>
      <c r="AI75" s="10">
        <f t="shared" si="114"/>
        <v>0</v>
      </c>
      <c r="AJ75" s="10">
        <f t="shared" ref="AJ75:BO75" si="115">AJ72/$B75</f>
        <v>0</v>
      </c>
      <c r="AK75" s="10">
        <f t="shared" si="115"/>
        <v>0</v>
      </c>
      <c r="AL75" s="10">
        <f t="shared" si="115"/>
        <v>0</v>
      </c>
      <c r="AM75" s="10">
        <f t="shared" si="115"/>
        <v>0</v>
      </c>
      <c r="AN75" s="10">
        <f t="shared" si="115"/>
        <v>0</v>
      </c>
      <c r="AO75" s="10">
        <f t="shared" si="115"/>
        <v>0</v>
      </c>
      <c r="AP75" s="10">
        <f t="shared" si="115"/>
        <v>0</v>
      </c>
      <c r="AQ75" s="10">
        <f t="shared" si="115"/>
        <v>0</v>
      </c>
      <c r="AR75" s="10">
        <f t="shared" si="115"/>
        <v>0</v>
      </c>
      <c r="AS75" s="10">
        <f t="shared" si="115"/>
        <v>0</v>
      </c>
      <c r="AT75" s="10">
        <f t="shared" si="115"/>
        <v>0</v>
      </c>
      <c r="AU75" s="10">
        <f t="shared" si="115"/>
        <v>0</v>
      </c>
      <c r="AV75" s="10">
        <f t="shared" si="115"/>
        <v>0</v>
      </c>
      <c r="AW75" s="10">
        <f t="shared" si="115"/>
        <v>0</v>
      </c>
      <c r="AX75" s="10">
        <f t="shared" si="115"/>
        <v>0</v>
      </c>
      <c r="AY75" s="10">
        <f t="shared" si="115"/>
        <v>0</v>
      </c>
      <c r="AZ75" s="10">
        <f t="shared" si="115"/>
        <v>0</v>
      </c>
      <c r="BA75" s="10">
        <f t="shared" si="115"/>
        <v>0</v>
      </c>
      <c r="BB75" s="10">
        <f t="shared" si="115"/>
        <v>0</v>
      </c>
      <c r="BC75" s="10">
        <f t="shared" si="115"/>
        <v>0</v>
      </c>
      <c r="BD75" s="10">
        <f t="shared" si="115"/>
        <v>0</v>
      </c>
      <c r="BE75" s="10">
        <f t="shared" si="115"/>
        <v>0</v>
      </c>
      <c r="BF75" s="10">
        <f t="shared" si="115"/>
        <v>0</v>
      </c>
      <c r="BG75" s="10">
        <f t="shared" si="115"/>
        <v>0</v>
      </c>
      <c r="BH75" s="10">
        <f t="shared" si="115"/>
        <v>0</v>
      </c>
      <c r="BI75" s="10">
        <f t="shared" si="115"/>
        <v>0</v>
      </c>
      <c r="BJ75" s="10">
        <f t="shared" si="115"/>
        <v>0</v>
      </c>
      <c r="BK75" s="10">
        <f t="shared" si="115"/>
        <v>0</v>
      </c>
      <c r="BL75" s="10">
        <f t="shared" si="115"/>
        <v>0</v>
      </c>
      <c r="BM75" s="10">
        <f t="shared" si="115"/>
        <v>0</v>
      </c>
      <c r="BN75" s="10">
        <f t="shared" si="115"/>
        <v>0</v>
      </c>
      <c r="BO75" s="10">
        <f t="shared" si="115"/>
        <v>0</v>
      </c>
      <c r="BP75" s="10">
        <f t="shared" ref="BP75:CC75" si="116">BP72/$B75</f>
        <v>0</v>
      </c>
      <c r="BQ75" s="10">
        <f t="shared" si="116"/>
        <v>0</v>
      </c>
      <c r="BR75" s="10">
        <f t="shared" si="116"/>
        <v>0</v>
      </c>
      <c r="BS75" s="10">
        <f t="shared" si="116"/>
        <v>0</v>
      </c>
      <c r="BT75" s="10">
        <f t="shared" si="116"/>
        <v>0</v>
      </c>
      <c r="BU75" s="10">
        <f t="shared" si="116"/>
        <v>0</v>
      </c>
      <c r="BV75" s="10">
        <f t="shared" si="116"/>
        <v>0</v>
      </c>
      <c r="BW75" s="10">
        <f t="shared" si="116"/>
        <v>0</v>
      </c>
      <c r="BX75" s="10">
        <f t="shared" si="116"/>
        <v>0</v>
      </c>
      <c r="BY75" s="10">
        <f t="shared" si="116"/>
        <v>0</v>
      </c>
      <c r="BZ75" s="10">
        <f t="shared" si="116"/>
        <v>0</v>
      </c>
      <c r="CA75" s="10">
        <f t="shared" si="116"/>
        <v>0</v>
      </c>
      <c r="CB75" s="10">
        <f t="shared" si="116"/>
        <v>0</v>
      </c>
      <c r="CC75" s="10">
        <f t="shared" si="116"/>
        <v>0</v>
      </c>
    </row>
    <row r="76" spans="1:81" x14ac:dyDescent="0.2">
      <c r="A76" s="10"/>
      <c r="B76" s="67">
        <f>SUM(D80:AJ80)/SUM($D$263:$AJ$263)</f>
        <v>0.11094291713462572</v>
      </c>
      <c r="C76" s="9" t="s">
        <v>216</v>
      </c>
      <c r="D76">
        <f t="shared" ref="D76:AI76" si="117">D70-D73</f>
        <v>125</v>
      </c>
      <c r="E76">
        <f t="shared" si="117"/>
        <v>125</v>
      </c>
      <c r="F76">
        <f t="shared" si="117"/>
        <v>125</v>
      </c>
      <c r="G76">
        <f t="shared" si="117"/>
        <v>125</v>
      </c>
      <c r="H76">
        <f t="shared" si="117"/>
        <v>125</v>
      </c>
      <c r="I76">
        <f t="shared" si="117"/>
        <v>125</v>
      </c>
      <c r="J76">
        <f t="shared" si="117"/>
        <v>125</v>
      </c>
      <c r="K76">
        <f t="shared" si="117"/>
        <v>125</v>
      </c>
      <c r="L76">
        <f t="shared" si="117"/>
        <v>25</v>
      </c>
      <c r="M76">
        <f t="shared" si="117"/>
        <v>25</v>
      </c>
      <c r="N76">
        <f t="shared" si="117"/>
        <v>25</v>
      </c>
      <c r="O76">
        <f t="shared" si="117"/>
        <v>25</v>
      </c>
      <c r="P76">
        <f t="shared" si="117"/>
        <v>25</v>
      </c>
      <c r="Q76">
        <f t="shared" si="117"/>
        <v>25</v>
      </c>
      <c r="R76">
        <f t="shared" si="117"/>
        <v>25</v>
      </c>
      <c r="S76">
        <f t="shared" si="117"/>
        <v>25</v>
      </c>
      <c r="T76">
        <f t="shared" si="117"/>
        <v>25</v>
      </c>
      <c r="U76">
        <f t="shared" si="117"/>
        <v>25</v>
      </c>
      <c r="V76">
        <f t="shared" si="117"/>
        <v>25</v>
      </c>
      <c r="W76">
        <f t="shared" si="117"/>
        <v>25</v>
      </c>
      <c r="X76">
        <f t="shared" si="117"/>
        <v>25</v>
      </c>
      <c r="Y76">
        <f t="shared" si="117"/>
        <v>25</v>
      </c>
      <c r="Z76">
        <f t="shared" si="117"/>
        <v>25</v>
      </c>
      <c r="AA76">
        <f t="shared" si="117"/>
        <v>25</v>
      </c>
      <c r="AB76">
        <f t="shared" si="117"/>
        <v>25</v>
      </c>
      <c r="AC76">
        <f t="shared" si="117"/>
        <v>25</v>
      </c>
      <c r="AD76">
        <f t="shared" si="117"/>
        <v>25</v>
      </c>
      <c r="AE76">
        <f t="shared" si="117"/>
        <v>25</v>
      </c>
      <c r="AF76">
        <f t="shared" si="117"/>
        <v>25</v>
      </c>
      <c r="AG76">
        <f t="shared" si="117"/>
        <v>25</v>
      </c>
      <c r="AH76">
        <f t="shared" si="117"/>
        <v>25</v>
      </c>
      <c r="AI76">
        <f t="shared" si="117"/>
        <v>25</v>
      </c>
      <c r="AJ76">
        <f t="shared" ref="AJ76:BO76" si="118">AJ70-AJ73</f>
        <v>25</v>
      </c>
      <c r="AK76">
        <f t="shared" si="118"/>
        <v>25</v>
      </c>
      <c r="AL76">
        <f t="shared" si="118"/>
        <v>25</v>
      </c>
      <c r="AM76">
        <f t="shared" si="118"/>
        <v>25</v>
      </c>
      <c r="AN76">
        <f t="shared" si="118"/>
        <v>22</v>
      </c>
      <c r="AO76">
        <f t="shared" si="118"/>
        <v>19</v>
      </c>
      <c r="AP76">
        <f t="shared" si="118"/>
        <v>16</v>
      </c>
      <c r="AQ76">
        <f t="shared" si="118"/>
        <v>12</v>
      </c>
      <c r="AR76">
        <f t="shared" si="118"/>
        <v>8</v>
      </c>
      <c r="AS76">
        <f t="shared" si="118"/>
        <v>5</v>
      </c>
      <c r="AT76">
        <f t="shared" si="118"/>
        <v>1</v>
      </c>
      <c r="AU76">
        <f t="shared" si="118"/>
        <v>-3</v>
      </c>
      <c r="AV76">
        <f t="shared" si="118"/>
        <v>-7</v>
      </c>
      <c r="AW76">
        <f t="shared" si="118"/>
        <v>-11</v>
      </c>
      <c r="AX76">
        <f t="shared" si="118"/>
        <v>-15</v>
      </c>
      <c r="AY76">
        <f t="shared" si="118"/>
        <v>-18</v>
      </c>
      <c r="AZ76">
        <f t="shared" si="118"/>
        <v>-21</v>
      </c>
      <c r="BA76">
        <f t="shared" si="118"/>
        <v>-24</v>
      </c>
      <c r="BB76">
        <f t="shared" si="118"/>
        <v>-27</v>
      </c>
      <c r="BC76">
        <f t="shared" si="118"/>
        <v>-30</v>
      </c>
      <c r="BD76">
        <f t="shared" si="118"/>
        <v>-33</v>
      </c>
      <c r="BE76">
        <f t="shared" si="118"/>
        <v>-36</v>
      </c>
      <c r="BF76">
        <f t="shared" si="118"/>
        <v>-39</v>
      </c>
      <c r="BG76">
        <f t="shared" si="118"/>
        <v>-42</v>
      </c>
      <c r="BH76">
        <f t="shared" si="118"/>
        <v>-45</v>
      </c>
      <c r="BI76">
        <f t="shared" si="118"/>
        <v>-48</v>
      </c>
      <c r="BJ76">
        <f t="shared" si="118"/>
        <v>-51</v>
      </c>
      <c r="BK76">
        <f t="shared" si="118"/>
        <v>-54</v>
      </c>
      <c r="BL76">
        <f t="shared" si="118"/>
        <v>-57</v>
      </c>
      <c r="BM76">
        <f t="shared" si="118"/>
        <v>-60</v>
      </c>
      <c r="BN76">
        <f t="shared" si="118"/>
        <v>-65</v>
      </c>
      <c r="BO76">
        <f t="shared" si="118"/>
        <v>-65</v>
      </c>
      <c r="BP76">
        <f t="shared" ref="BP76:CC76" si="119">BP70-BP73</f>
        <v>-65</v>
      </c>
      <c r="BQ76">
        <f t="shared" si="119"/>
        <v>-65</v>
      </c>
      <c r="BR76">
        <f t="shared" si="119"/>
        <v>-65</v>
      </c>
      <c r="BS76">
        <f t="shared" si="119"/>
        <v>-67</v>
      </c>
      <c r="BT76">
        <f t="shared" si="119"/>
        <v>-69</v>
      </c>
      <c r="BU76">
        <f t="shared" si="119"/>
        <v>-71</v>
      </c>
      <c r="BV76">
        <f t="shared" si="119"/>
        <v>-73</v>
      </c>
      <c r="BW76">
        <f t="shared" si="119"/>
        <v>-75</v>
      </c>
      <c r="BX76">
        <f t="shared" si="119"/>
        <v>-77</v>
      </c>
      <c r="BY76">
        <f t="shared" si="119"/>
        <v>-79</v>
      </c>
      <c r="BZ76">
        <f t="shared" si="119"/>
        <v>-81</v>
      </c>
      <c r="CA76">
        <f t="shared" si="119"/>
        <v>-83</v>
      </c>
      <c r="CB76">
        <f t="shared" si="119"/>
        <v>-85</v>
      </c>
      <c r="CC76">
        <f t="shared" si="119"/>
        <v>-87</v>
      </c>
    </row>
    <row r="77" spans="1:81" x14ac:dyDescent="0.2">
      <c r="A77" s="43" t="s">
        <v>225</v>
      </c>
      <c r="B77" s="44" t="s">
        <v>208</v>
      </c>
      <c r="C77" s="9" t="s">
        <v>38</v>
      </c>
      <c r="D77" s="58">
        <f>IFERROR(VLOOKUP(A77,OS!$A:$B,2,0),0)</f>
        <v>3380</v>
      </c>
      <c r="E77" s="5">
        <f>(D77+D78-D80)</f>
        <v>3660</v>
      </c>
      <c r="F77" s="5">
        <f>(E77+E78-E80)</f>
        <v>2940</v>
      </c>
      <c r="G77" s="5">
        <f>(F77+F78-F80)</f>
        <v>2300</v>
      </c>
      <c r="H77" s="5">
        <f>(G77+G78-G80)</f>
        <v>1740</v>
      </c>
      <c r="I77" s="5">
        <f t="shared" ref="I77:AN77" si="120">(H77+H78-H80+D79)</f>
        <v>1180</v>
      </c>
      <c r="J77" s="5">
        <f t="shared" si="120"/>
        <v>1380</v>
      </c>
      <c r="K77" s="5">
        <f t="shared" si="120"/>
        <v>1300</v>
      </c>
      <c r="L77" s="5">
        <f t="shared" si="120"/>
        <v>900</v>
      </c>
      <c r="M77" s="5">
        <f t="shared" si="120"/>
        <v>340</v>
      </c>
      <c r="N77" s="5">
        <f t="shared" si="120"/>
        <v>-380</v>
      </c>
      <c r="O77" s="5">
        <f t="shared" si="120"/>
        <v>-380</v>
      </c>
      <c r="P77" s="5">
        <f t="shared" si="120"/>
        <v>-380</v>
      </c>
      <c r="Q77" s="5">
        <f t="shared" si="120"/>
        <v>-380</v>
      </c>
      <c r="R77" s="5">
        <f t="shared" si="120"/>
        <v>-380</v>
      </c>
      <c r="S77" s="5">
        <f t="shared" si="120"/>
        <v>-860</v>
      </c>
      <c r="T77" s="5">
        <f t="shared" si="120"/>
        <v>-1260</v>
      </c>
      <c r="U77" s="5">
        <f t="shared" si="120"/>
        <v>-1660</v>
      </c>
      <c r="V77" s="5">
        <f t="shared" si="120"/>
        <v>-2080</v>
      </c>
      <c r="W77" s="5">
        <f t="shared" si="120"/>
        <v>-2500</v>
      </c>
      <c r="X77" s="5">
        <f t="shared" si="120"/>
        <v>-2920</v>
      </c>
      <c r="Y77" s="5">
        <f t="shared" si="120"/>
        <v>-3340</v>
      </c>
      <c r="Z77" s="5">
        <f t="shared" si="120"/>
        <v>-3600</v>
      </c>
      <c r="AA77" s="5">
        <f t="shared" si="120"/>
        <v>-3860</v>
      </c>
      <c r="AB77" s="5">
        <f t="shared" si="120"/>
        <v>-4120</v>
      </c>
      <c r="AC77" s="5">
        <f t="shared" si="120"/>
        <v>-4380</v>
      </c>
      <c r="AD77" s="5">
        <f t="shared" si="120"/>
        <v>-4740</v>
      </c>
      <c r="AE77" s="5">
        <f t="shared" si="120"/>
        <v>-5100</v>
      </c>
      <c r="AF77" s="5">
        <f t="shared" si="120"/>
        <v>-5460</v>
      </c>
      <c r="AG77" s="5">
        <f t="shared" si="120"/>
        <v>-5820</v>
      </c>
      <c r="AH77" s="5">
        <f t="shared" si="120"/>
        <v>-6140</v>
      </c>
      <c r="AI77" s="5">
        <f t="shared" si="120"/>
        <v>-6460</v>
      </c>
      <c r="AJ77" s="5">
        <f t="shared" si="120"/>
        <v>-6780</v>
      </c>
      <c r="AK77" s="5">
        <f t="shared" si="120"/>
        <v>-6780</v>
      </c>
      <c r="AL77" s="5">
        <f t="shared" si="120"/>
        <v>-6780</v>
      </c>
      <c r="AM77" s="5">
        <f t="shared" si="120"/>
        <v>-6780</v>
      </c>
      <c r="AN77" s="5">
        <f t="shared" si="120"/>
        <v>-6780</v>
      </c>
      <c r="AO77" s="5">
        <f t="shared" ref="AO77:BT77" si="121">(AN77+AN78-AN80+AJ79)</f>
        <v>-7081</v>
      </c>
      <c r="AP77" s="5">
        <f t="shared" si="121"/>
        <v>-7382</v>
      </c>
      <c r="AQ77" s="5">
        <f t="shared" si="121"/>
        <v>-7683</v>
      </c>
      <c r="AR77" s="5">
        <f t="shared" si="121"/>
        <v>-8046</v>
      </c>
      <c r="AS77" s="5">
        <f t="shared" si="121"/>
        <v>-8409</v>
      </c>
      <c r="AT77" s="5">
        <f t="shared" si="121"/>
        <v>-8700</v>
      </c>
      <c r="AU77" s="5">
        <f t="shared" si="121"/>
        <v>-9063</v>
      </c>
      <c r="AV77" s="5">
        <f t="shared" si="121"/>
        <v>-9408</v>
      </c>
      <c r="AW77" s="5">
        <f t="shared" si="121"/>
        <v>-9753</v>
      </c>
      <c r="AX77" s="5">
        <f t="shared" si="121"/>
        <v>-10098</v>
      </c>
      <c r="AY77" s="5">
        <f t="shared" si="121"/>
        <v>-10443</v>
      </c>
      <c r="AZ77" s="5">
        <f t="shared" si="121"/>
        <v>-10719</v>
      </c>
      <c r="BA77" s="5">
        <f t="shared" si="121"/>
        <v>-10965</v>
      </c>
      <c r="BB77" s="5">
        <f t="shared" si="121"/>
        <v>-11211</v>
      </c>
      <c r="BC77" s="5">
        <f t="shared" si="121"/>
        <v>-11457</v>
      </c>
      <c r="BD77" s="5">
        <f t="shared" si="121"/>
        <v>-11733</v>
      </c>
      <c r="BE77" s="5">
        <f t="shared" si="121"/>
        <v>-12009</v>
      </c>
      <c r="BF77" s="5">
        <f t="shared" si="121"/>
        <v>-12285</v>
      </c>
      <c r="BG77" s="5">
        <f t="shared" si="121"/>
        <v>-12561</v>
      </c>
      <c r="BH77" s="5">
        <f t="shared" si="121"/>
        <v>-12837</v>
      </c>
      <c r="BI77" s="5">
        <f t="shared" si="121"/>
        <v>-13113</v>
      </c>
      <c r="BJ77" s="5">
        <f t="shared" si="121"/>
        <v>-13389</v>
      </c>
      <c r="BK77" s="5">
        <f t="shared" si="121"/>
        <v>-13665</v>
      </c>
      <c r="BL77" s="5">
        <f t="shared" si="121"/>
        <v>-13941</v>
      </c>
      <c r="BM77" s="5">
        <f t="shared" si="121"/>
        <v>-14216</v>
      </c>
      <c r="BN77" s="5">
        <f t="shared" si="121"/>
        <v>-14491</v>
      </c>
      <c r="BO77" s="5">
        <f t="shared" si="121"/>
        <v>-14992</v>
      </c>
      <c r="BP77" s="5">
        <f t="shared" si="121"/>
        <v>-14992</v>
      </c>
      <c r="BQ77" s="5">
        <f t="shared" si="121"/>
        <v>-14992</v>
      </c>
      <c r="BR77" s="5">
        <f t="shared" si="121"/>
        <v>-14992</v>
      </c>
      <c r="BS77" s="5">
        <f t="shared" si="121"/>
        <v>-14992</v>
      </c>
      <c r="BT77" s="5">
        <f t="shared" si="121"/>
        <v>-15219</v>
      </c>
      <c r="BU77" s="5">
        <f t="shared" ref="BU77:CZ77" si="122">(BT77+BT78-BT80+BP79)</f>
        <v>-15446</v>
      </c>
      <c r="BV77" s="5">
        <f t="shared" si="122"/>
        <v>-15673</v>
      </c>
      <c r="BW77" s="5">
        <f t="shared" si="122"/>
        <v>-15900</v>
      </c>
      <c r="BX77" s="5">
        <f t="shared" si="122"/>
        <v>-16127</v>
      </c>
      <c r="BY77" s="5">
        <f t="shared" si="122"/>
        <v>-16354</v>
      </c>
      <c r="BZ77" s="5">
        <f t="shared" si="122"/>
        <v>-16581</v>
      </c>
      <c r="CA77" s="5">
        <f t="shared" si="122"/>
        <v>-16808</v>
      </c>
      <c r="CB77" s="5">
        <f t="shared" si="122"/>
        <v>-17035</v>
      </c>
      <c r="CC77" s="5">
        <f t="shared" si="122"/>
        <v>-17262</v>
      </c>
    </row>
    <row r="78" spans="1:81" x14ac:dyDescent="0.2">
      <c r="A78" s="5" t="s">
        <v>209</v>
      </c>
      <c r="B78" s="5">
        <v>6.7833800000000002</v>
      </c>
      <c r="C78" s="45" t="s">
        <v>39</v>
      </c>
      <c r="D78" s="59">
        <f>IFERROR(VLOOKUP(A77,WIP!$A:$B,2,0),0)</f>
        <v>360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 spans="1:81" x14ac:dyDescent="0.2">
      <c r="A79" s="5" t="s">
        <v>210</v>
      </c>
      <c r="B79" s="5">
        <v>0.21199999999999999</v>
      </c>
      <c r="C79" s="9" t="s">
        <v>211</v>
      </c>
      <c r="D79" s="60">
        <f>IFERROR(VLOOKUP($A77,Plan!$A:B,D$4,0),0)</f>
        <v>0</v>
      </c>
      <c r="E79" s="70">
        <f>IFERROR(VLOOKUP($A77,Plan!$A:C,E$4,0),0)</f>
        <v>600</v>
      </c>
      <c r="F79" s="70">
        <f>IFERROR(VLOOKUP($A77,Plan!$A:D,F$4,0),0)</f>
        <v>240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 spans="1:81" x14ac:dyDescent="0.2">
      <c r="A80" s="5" t="s">
        <v>212</v>
      </c>
      <c r="B80" s="5">
        <v>3.3000000000000002E-2</v>
      </c>
      <c r="C80" s="9" t="s">
        <v>213</v>
      </c>
      <c r="D80" s="61">
        <f>IFERROR(VLOOKUP($A77,Sales!$A:B,D$2,0),0)</f>
        <v>80</v>
      </c>
      <c r="E80" s="61">
        <f>IFERROR(VLOOKUP($A77,Sales!$A:C,E$2,0),0)</f>
        <v>720</v>
      </c>
      <c r="F80" s="61">
        <f>IFERROR(VLOOKUP($A77,Sales!$A:D,F$2,0),0)</f>
        <v>640</v>
      </c>
      <c r="G80" s="61">
        <f>IFERROR(VLOOKUP($A77,Sales!$A:E,G$2,0),0)</f>
        <v>560</v>
      </c>
      <c r="H80" s="61">
        <f>IFERROR(VLOOKUP($A77,Sales!$A:F,H$2,0),0)</f>
        <v>560</v>
      </c>
      <c r="I80" s="61">
        <f>IFERROR(VLOOKUP($A77,Sales!$A:G,I$2,0),0)</f>
        <v>400</v>
      </c>
      <c r="J80" s="61">
        <f>IFERROR(VLOOKUP($A77,Sales!$A:H,J$2,0),0)</f>
        <v>320</v>
      </c>
      <c r="K80" s="61">
        <f>IFERROR(VLOOKUP($A77,Sales!$A:I,K$2,0),0)</f>
        <v>400</v>
      </c>
      <c r="L80" s="61">
        <f>IFERROR(VLOOKUP($A77,Sales!$A:J,L$2,0),0)</f>
        <v>560</v>
      </c>
      <c r="M80" s="61">
        <f>IFERROR(VLOOKUP($A77,Sales!$A:K,M$2,0),0)</f>
        <v>720</v>
      </c>
      <c r="N80" s="61">
        <f>IFERROR(VLOOKUP($A77,Sales!$A:L,N$2,0),0)</f>
        <v>0</v>
      </c>
      <c r="O80" s="61">
        <f>IFERROR(VLOOKUP($A77,Sales!$A:M,O$2,0),0)</f>
        <v>0</v>
      </c>
      <c r="P80" s="61">
        <f>IFERROR(VLOOKUP($A77,Sales!$A:N,P$2,0),0)</f>
        <v>0</v>
      </c>
      <c r="Q80" s="61">
        <f>IFERROR(VLOOKUP($A77,Sales!$A:O,Q$2,0),0)</f>
        <v>0</v>
      </c>
      <c r="R80" s="61">
        <f>IFERROR(VLOOKUP($A77,Sales!$A:P,R$2,0),0)</f>
        <v>480</v>
      </c>
      <c r="S80" s="61">
        <f>IFERROR(VLOOKUP($A77,Sales!$A:Q,S$2,0),0)</f>
        <v>400</v>
      </c>
      <c r="T80" s="61">
        <f>IFERROR(VLOOKUP($A77,Sales!$A:R,T$2,0),0)</f>
        <v>400</v>
      </c>
      <c r="U80" s="61">
        <f>IFERROR(VLOOKUP($A77,Sales!$A:S,U$2,0),0)</f>
        <v>420</v>
      </c>
      <c r="V80" s="61">
        <f>IFERROR(VLOOKUP($A77,Sales!$A:T,V$2,0),0)</f>
        <v>420</v>
      </c>
      <c r="W80" s="61">
        <f>IFERROR(VLOOKUP($A77,Sales!$A:U,W$2,0),0)</f>
        <v>420</v>
      </c>
      <c r="X80" s="61">
        <f>IFERROR(VLOOKUP($A77,Sales!$A:V,X$2,0),0)</f>
        <v>420</v>
      </c>
      <c r="Y80" s="61">
        <f>IFERROR(VLOOKUP($A77,Sales!$A:W,Y$2,0),0)</f>
        <v>260</v>
      </c>
      <c r="Z80" s="61">
        <f>IFERROR(VLOOKUP($A77,Sales!$A:X,Z$2,0),0)</f>
        <v>260</v>
      </c>
      <c r="AA80" s="61">
        <f>IFERROR(VLOOKUP($A77,Sales!$A:Y,AA$2,0),0)</f>
        <v>260</v>
      </c>
      <c r="AB80" s="61">
        <f>IFERROR(VLOOKUP($A77,Sales!$A:Z,AB$2,0),0)</f>
        <v>260</v>
      </c>
      <c r="AC80" s="61">
        <f>IFERROR(VLOOKUP($A77,Sales!$A:AA,AC$2,0),0)</f>
        <v>360</v>
      </c>
      <c r="AD80" s="61">
        <f>IFERROR(VLOOKUP($A77,Sales!$A:AB,AD$2,0),0)</f>
        <v>360</v>
      </c>
      <c r="AE80" s="61">
        <f>IFERROR(VLOOKUP($A77,Sales!$A:AC,AE$2,0),0)</f>
        <v>360</v>
      </c>
      <c r="AF80" s="61">
        <f>IFERROR(VLOOKUP($A77,Sales!$A:AD,AF$2,0),0)</f>
        <v>360</v>
      </c>
      <c r="AG80" s="61">
        <f>IFERROR(VLOOKUP($A77,Sales!$A:AE,AG$2,0),0)</f>
        <v>320</v>
      </c>
      <c r="AH80" s="61">
        <f>IFERROR(VLOOKUP($A77,Sales!$A:AF,AH$2,0),0)</f>
        <v>320</v>
      </c>
      <c r="AI80" s="61">
        <f>IFERROR(VLOOKUP($A77,Sales!$A:AG,AI$2,0),0)</f>
        <v>320</v>
      </c>
      <c r="AJ80" s="61">
        <f>IFERROR(VLOOKUP($A77,Sales!$A:AH,AJ$2,0),0)</f>
        <v>0</v>
      </c>
      <c r="AK80" s="73">
        <f t="shared" ref="AK80:CC80" si="123">CEILING(AK$5*$B76,1)</f>
        <v>0</v>
      </c>
      <c r="AL80" s="73">
        <f t="shared" si="123"/>
        <v>0</v>
      </c>
      <c r="AM80" s="73">
        <f t="shared" si="123"/>
        <v>0</v>
      </c>
      <c r="AN80" s="73">
        <f t="shared" si="123"/>
        <v>301</v>
      </c>
      <c r="AO80" s="73">
        <f t="shared" si="123"/>
        <v>301</v>
      </c>
      <c r="AP80" s="73">
        <f t="shared" si="123"/>
        <v>301</v>
      </c>
      <c r="AQ80" s="73">
        <f t="shared" si="123"/>
        <v>363</v>
      </c>
      <c r="AR80" s="73">
        <f t="shared" si="123"/>
        <v>363</v>
      </c>
      <c r="AS80" s="73">
        <f t="shared" si="123"/>
        <v>291</v>
      </c>
      <c r="AT80" s="73">
        <f t="shared" si="123"/>
        <v>363</v>
      </c>
      <c r="AU80" s="73">
        <f t="shared" si="123"/>
        <v>345</v>
      </c>
      <c r="AV80" s="73">
        <f t="shared" si="123"/>
        <v>345</v>
      </c>
      <c r="AW80" s="73">
        <f t="shared" si="123"/>
        <v>345</v>
      </c>
      <c r="AX80" s="73">
        <f t="shared" si="123"/>
        <v>345</v>
      </c>
      <c r="AY80" s="73">
        <f t="shared" si="123"/>
        <v>276</v>
      </c>
      <c r="AZ80" s="73">
        <f t="shared" si="123"/>
        <v>246</v>
      </c>
      <c r="BA80" s="73">
        <f t="shared" si="123"/>
        <v>246</v>
      </c>
      <c r="BB80" s="73">
        <f t="shared" si="123"/>
        <v>246</v>
      </c>
      <c r="BC80" s="73">
        <f t="shared" si="123"/>
        <v>276</v>
      </c>
      <c r="BD80" s="73">
        <f t="shared" si="123"/>
        <v>276</v>
      </c>
      <c r="BE80" s="73">
        <f t="shared" si="123"/>
        <v>276</v>
      </c>
      <c r="BF80" s="73">
        <f t="shared" si="123"/>
        <v>276</v>
      </c>
      <c r="BG80" s="73">
        <f t="shared" si="123"/>
        <v>276</v>
      </c>
      <c r="BH80" s="73">
        <f t="shared" si="123"/>
        <v>276</v>
      </c>
      <c r="BI80" s="73">
        <f t="shared" si="123"/>
        <v>276</v>
      </c>
      <c r="BJ80" s="73">
        <f t="shared" si="123"/>
        <v>276</v>
      </c>
      <c r="BK80" s="73">
        <f t="shared" si="123"/>
        <v>276</v>
      </c>
      <c r="BL80" s="73">
        <f t="shared" si="123"/>
        <v>275</v>
      </c>
      <c r="BM80" s="73">
        <f t="shared" si="123"/>
        <v>275</v>
      </c>
      <c r="BN80" s="73">
        <f t="shared" si="123"/>
        <v>501</v>
      </c>
      <c r="BO80" s="73">
        <f t="shared" si="123"/>
        <v>0</v>
      </c>
      <c r="BP80" s="73">
        <f t="shared" si="123"/>
        <v>0</v>
      </c>
      <c r="BQ80" s="73">
        <f t="shared" si="123"/>
        <v>0</v>
      </c>
      <c r="BR80" s="73">
        <f t="shared" si="123"/>
        <v>0</v>
      </c>
      <c r="BS80" s="73">
        <f t="shared" si="123"/>
        <v>227</v>
      </c>
      <c r="BT80" s="73">
        <f t="shared" si="123"/>
        <v>227</v>
      </c>
      <c r="BU80" s="73">
        <f t="shared" si="123"/>
        <v>227</v>
      </c>
      <c r="BV80" s="73">
        <f t="shared" si="123"/>
        <v>227</v>
      </c>
      <c r="BW80" s="73">
        <f t="shared" si="123"/>
        <v>227</v>
      </c>
      <c r="BX80" s="73">
        <f t="shared" si="123"/>
        <v>227</v>
      </c>
      <c r="BY80" s="73">
        <f t="shared" si="123"/>
        <v>227</v>
      </c>
      <c r="BZ80" s="73">
        <f t="shared" si="123"/>
        <v>227</v>
      </c>
      <c r="CA80" s="73">
        <f t="shared" si="123"/>
        <v>227</v>
      </c>
      <c r="CB80" s="73">
        <f t="shared" si="123"/>
        <v>227</v>
      </c>
      <c r="CC80" s="73">
        <f t="shared" si="123"/>
        <v>227</v>
      </c>
    </row>
    <row r="81" spans="1:81" x14ac:dyDescent="0.2">
      <c r="A81" s="5" t="s">
        <v>214</v>
      </c>
      <c r="B81" s="5">
        <v>0.245</v>
      </c>
      <c r="C81" s="46" t="s">
        <v>215</v>
      </c>
      <c r="D81" s="11">
        <f t="shared" ref="D81:AI81" si="124">IF(D80=0,0, ROUND(D77 * 1/D80* D$13,1))</f>
        <v>211.3</v>
      </c>
      <c r="E81" s="11">
        <f t="shared" si="124"/>
        <v>25.4</v>
      </c>
      <c r="F81" s="11">
        <f t="shared" si="124"/>
        <v>23</v>
      </c>
      <c r="G81" s="11">
        <f t="shared" si="124"/>
        <v>20.5</v>
      </c>
      <c r="H81" s="11">
        <f t="shared" si="124"/>
        <v>15.5</v>
      </c>
      <c r="I81" s="11">
        <f t="shared" si="124"/>
        <v>14.8</v>
      </c>
      <c r="J81" s="11">
        <f t="shared" si="124"/>
        <v>21.6</v>
      </c>
      <c r="K81" s="11">
        <f t="shared" si="124"/>
        <v>16.3</v>
      </c>
      <c r="L81" s="11">
        <f t="shared" si="124"/>
        <v>8</v>
      </c>
      <c r="M81" s="11">
        <f t="shared" si="124"/>
        <v>2.4</v>
      </c>
      <c r="N81" s="11">
        <f t="shared" si="124"/>
        <v>0</v>
      </c>
      <c r="O81" s="11">
        <f t="shared" si="124"/>
        <v>0</v>
      </c>
      <c r="P81" s="11">
        <f t="shared" si="124"/>
        <v>0</v>
      </c>
      <c r="Q81" s="11">
        <f t="shared" si="124"/>
        <v>0</v>
      </c>
      <c r="R81" s="11">
        <f t="shared" si="124"/>
        <v>-4</v>
      </c>
      <c r="S81" s="11">
        <f t="shared" si="124"/>
        <v>-10.8</v>
      </c>
      <c r="T81" s="11">
        <f t="shared" si="124"/>
        <v>-15.8</v>
      </c>
      <c r="U81" s="11">
        <f t="shared" si="124"/>
        <v>-19.8</v>
      </c>
      <c r="V81" s="11">
        <f t="shared" si="124"/>
        <v>-24.8</v>
      </c>
      <c r="W81" s="11">
        <f t="shared" si="124"/>
        <v>-29.8</v>
      </c>
      <c r="X81" s="11">
        <f t="shared" si="124"/>
        <v>-34.799999999999997</v>
      </c>
      <c r="Y81" s="11">
        <f t="shared" si="124"/>
        <v>-64.2</v>
      </c>
      <c r="Z81" s="11">
        <f t="shared" si="124"/>
        <v>-69.2</v>
      </c>
      <c r="AA81" s="11">
        <f t="shared" si="124"/>
        <v>-74.2</v>
      </c>
      <c r="AB81" s="11">
        <f t="shared" si="124"/>
        <v>-79.2</v>
      </c>
      <c r="AC81" s="11">
        <f t="shared" si="124"/>
        <v>-60.8</v>
      </c>
      <c r="AD81" s="11">
        <f t="shared" si="124"/>
        <v>-65.8</v>
      </c>
      <c r="AE81" s="11">
        <f t="shared" si="124"/>
        <v>-70.8</v>
      </c>
      <c r="AF81" s="11">
        <f t="shared" si="124"/>
        <v>-75.8</v>
      </c>
      <c r="AG81" s="11">
        <f t="shared" si="124"/>
        <v>-90.9</v>
      </c>
      <c r="AH81" s="11">
        <f t="shared" si="124"/>
        <v>-95.9</v>
      </c>
      <c r="AI81" s="11">
        <f t="shared" si="124"/>
        <v>-100.9</v>
      </c>
      <c r="AJ81" s="11">
        <f t="shared" ref="AJ81:BO81" si="125">IF(AJ80=0,0, ROUND(AJ77 * 1/AJ80* AJ$13,1))</f>
        <v>0</v>
      </c>
      <c r="AK81" s="11">
        <f t="shared" si="125"/>
        <v>0</v>
      </c>
      <c r="AL81" s="11">
        <f t="shared" si="125"/>
        <v>0</v>
      </c>
      <c r="AM81" s="11">
        <f t="shared" si="125"/>
        <v>0</v>
      </c>
      <c r="AN81" s="11">
        <f t="shared" si="125"/>
        <v>-112.6</v>
      </c>
      <c r="AO81" s="11">
        <f t="shared" si="125"/>
        <v>-117.6</v>
      </c>
      <c r="AP81" s="11">
        <f t="shared" si="125"/>
        <v>-122.6</v>
      </c>
      <c r="AQ81" s="11">
        <f t="shared" si="125"/>
        <v>-105.8</v>
      </c>
      <c r="AR81" s="11">
        <f t="shared" si="125"/>
        <v>-110.8</v>
      </c>
      <c r="AS81" s="11">
        <f t="shared" si="125"/>
        <v>-144.5</v>
      </c>
      <c r="AT81" s="11">
        <f t="shared" si="125"/>
        <v>-119.8</v>
      </c>
      <c r="AU81" s="11">
        <f t="shared" si="125"/>
        <v>-131.30000000000001</v>
      </c>
      <c r="AV81" s="11">
        <f t="shared" si="125"/>
        <v>-136.30000000000001</v>
      </c>
      <c r="AW81" s="11">
        <f t="shared" si="125"/>
        <v>-141.30000000000001</v>
      </c>
      <c r="AX81" s="11">
        <f t="shared" si="125"/>
        <v>-146.30000000000001</v>
      </c>
      <c r="AY81" s="11">
        <f t="shared" si="125"/>
        <v>-189.2</v>
      </c>
      <c r="AZ81" s="11">
        <f t="shared" si="125"/>
        <v>-217.9</v>
      </c>
      <c r="BA81" s="11">
        <f t="shared" si="125"/>
        <v>-222.9</v>
      </c>
      <c r="BB81" s="11">
        <f t="shared" si="125"/>
        <v>-227.9</v>
      </c>
      <c r="BC81" s="11">
        <f t="shared" si="125"/>
        <v>-207.6</v>
      </c>
      <c r="BD81" s="11">
        <f t="shared" si="125"/>
        <v>-212.6</v>
      </c>
      <c r="BE81" s="11">
        <f t="shared" si="125"/>
        <v>-217.6</v>
      </c>
      <c r="BF81" s="11">
        <f t="shared" si="125"/>
        <v>-222.6</v>
      </c>
      <c r="BG81" s="11">
        <f t="shared" si="125"/>
        <v>-227.6</v>
      </c>
      <c r="BH81" s="11">
        <f t="shared" si="125"/>
        <v>-232.6</v>
      </c>
      <c r="BI81" s="11">
        <f t="shared" si="125"/>
        <v>-237.6</v>
      </c>
      <c r="BJ81" s="11">
        <f t="shared" si="125"/>
        <v>-242.6</v>
      </c>
      <c r="BK81" s="11">
        <f t="shared" si="125"/>
        <v>-247.6</v>
      </c>
      <c r="BL81" s="11">
        <f t="shared" si="125"/>
        <v>-253.5</v>
      </c>
      <c r="BM81" s="11">
        <f t="shared" si="125"/>
        <v>-258.5</v>
      </c>
      <c r="BN81" s="11">
        <f t="shared" si="125"/>
        <v>-144.6</v>
      </c>
      <c r="BO81" s="11">
        <f t="shared" si="125"/>
        <v>0</v>
      </c>
      <c r="BP81" s="11">
        <f t="shared" ref="BP81:CU81" si="126">IF(BP80=0,0, ROUND(BP77 * 1/BP80* BP$13,1))</f>
        <v>0</v>
      </c>
      <c r="BQ81" s="11">
        <f t="shared" si="126"/>
        <v>0</v>
      </c>
      <c r="BR81" s="11">
        <f t="shared" si="126"/>
        <v>0</v>
      </c>
      <c r="BS81" s="11">
        <f t="shared" si="126"/>
        <v>-330.2</v>
      </c>
      <c r="BT81" s="11">
        <f t="shared" si="126"/>
        <v>-335.2</v>
      </c>
      <c r="BU81" s="11">
        <f t="shared" si="126"/>
        <v>-340.2</v>
      </c>
      <c r="BV81" s="11">
        <f t="shared" si="126"/>
        <v>-345.2</v>
      </c>
      <c r="BW81" s="11">
        <f t="shared" si="126"/>
        <v>-350.2</v>
      </c>
      <c r="BX81" s="11">
        <f t="shared" si="126"/>
        <v>-355.2</v>
      </c>
      <c r="BY81" s="11">
        <f t="shared" si="126"/>
        <v>-360.2</v>
      </c>
      <c r="BZ81" s="11">
        <f t="shared" si="126"/>
        <v>-365.2</v>
      </c>
      <c r="CA81" s="11">
        <f t="shared" si="126"/>
        <v>-370.2</v>
      </c>
      <c r="CB81" s="11">
        <f t="shared" si="126"/>
        <v>-375.2</v>
      </c>
      <c r="CC81" s="11">
        <f t="shared" si="126"/>
        <v>-380.2</v>
      </c>
    </row>
    <row r="82" spans="1:81" x14ac:dyDescent="0.2">
      <c r="A82" s="10">
        <v>17</v>
      </c>
      <c r="B82" s="10">
        <v>1</v>
      </c>
      <c r="C82" s="68">
        <v>5.1221199999999998</v>
      </c>
      <c r="D82">
        <f t="shared" ref="D82:AI82" si="127">D79/$B82</f>
        <v>0</v>
      </c>
      <c r="E82">
        <f t="shared" si="127"/>
        <v>600</v>
      </c>
      <c r="F82">
        <f t="shared" si="127"/>
        <v>240</v>
      </c>
      <c r="G82">
        <f t="shared" si="127"/>
        <v>0</v>
      </c>
      <c r="H82">
        <f t="shared" si="127"/>
        <v>0</v>
      </c>
      <c r="I82">
        <f t="shared" si="127"/>
        <v>0</v>
      </c>
      <c r="J82">
        <f t="shared" si="127"/>
        <v>0</v>
      </c>
      <c r="K82">
        <f t="shared" si="127"/>
        <v>0</v>
      </c>
      <c r="L82">
        <f t="shared" si="127"/>
        <v>0</v>
      </c>
      <c r="M82">
        <f t="shared" si="127"/>
        <v>0</v>
      </c>
      <c r="N82">
        <f t="shared" si="127"/>
        <v>0</v>
      </c>
      <c r="O82">
        <f t="shared" si="127"/>
        <v>0</v>
      </c>
      <c r="P82">
        <f t="shared" si="127"/>
        <v>0</v>
      </c>
      <c r="Q82">
        <f t="shared" si="127"/>
        <v>0</v>
      </c>
      <c r="R82">
        <f t="shared" si="127"/>
        <v>0</v>
      </c>
      <c r="S82">
        <f t="shared" si="127"/>
        <v>0</v>
      </c>
      <c r="T82">
        <f t="shared" si="127"/>
        <v>0</v>
      </c>
      <c r="U82">
        <f t="shared" si="127"/>
        <v>0</v>
      </c>
      <c r="V82">
        <f t="shared" si="127"/>
        <v>0</v>
      </c>
      <c r="W82">
        <f t="shared" si="127"/>
        <v>0</v>
      </c>
      <c r="X82">
        <f t="shared" si="127"/>
        <v>0</v>
      </c>
      <c r="Y82">
        <f t="shared" si="127"/>
        <v>0</v>
      </c>
      <c r="Z82">
        <f t="shared" si="127"/>
        <v>0</v>
      </c>
      <c r="AA82">
        <f t="shared" si="127"/>
        <v>0</v>
      </c>
      <c r="AB82">
        <f t="shared" si="127"/>
        <v>0</v>
      </c>
      <c r="AC82">
        <f t="shared" si="127"/>
        <v>0</v>
      </c>
      <c r="AD82">
        <f t="shared" si="127"/>
        <v>0</v>
      </c>
      <c r="AE82">
        <f t="shared" si="127"/>
        <v>0</v>
      </c>
      <c r="AF82">
        <f t="shared" si="127"/>
        <v>0</v>
      </c>
      <c r="AG82">
        <f t="shared" si="127"/>
        <v>0</v>
      </c>
      <c r="AH82">
        <f t="shared" si="127"/>
        <v>0</v>
      </c>
      <c r="AI82">
        <f t="shared" si="127"/>
        <v>0</v>
      </c>
      <c r="AJ82">
        <f t="shared" ref="AJ82:BO82" si="128">AJ79/$B82</f>
        <v>0</v>
      </c>
      <c r="AK82">
        <f t="shared" si="128"/>
        <v>0</v>
      </c>
      <c r="AL82">
        <f t="shared" si="128"/>
        <v>0</v>
      </c>
      <c r="AM82">
        <f t="shared" si="128"/>
        <v>0</v>
      </c>
      <c r="AN82">
        <f t="shared" si="128"/>
        <v>0</v>
      </c>
      <c r="AO82">
        <f t="shared" si="128"/>
        <v>0</v>
      </c>
      <c r="AP82">
        <f t="shared" si="128"/>
        <v>0</v>
      </c>
      <c r="AQ82">
        <f t="shared" si="128"/>
        <v>0</v>
      </c>
      <c r="AR82">
        <f t="shared" si="128"/>
        <v>0</v>
      </c>
      <c r="AS82">
        <f t="shared" si="128"/>
        <v>0</v>
      </c>
      <c r="AT82">
        <f t="shared" si="128"/>
        <v>0</v>
      </c>
      <c r="AU82">
        <f t="shared" si="128"/>
        <v>0</v>
      </c>
      <c r="AV82">
        <f t="shared" si="128"/>
        <v>0</v>
      </c>
      <c r="AW82">
        <f t="shared" si="128"/>
        <v>0</v>
      </c>
      <c r="AX82">
        <f t="shared" si="128"/>
        <v>0</v>
      </c>
      <c r="AY82">
        <f t="shared" si="128"/>
        <v>0</v>
      </c>
      <c r="AZ82">
        <f t="shared" si="128"/>
        <v>0</v>
      </c>
      <c r="BA82">
        <f t="shared" si="128"/>
        <v>0</v>
      </c>
      <c r="BB82">
        <f t="shared" si="128"/>
        <v>0</v>
      </c>
      <c r="BC82">
        <f t="shared" si="128"/>
        <v>0</v>
      </c>
      <c r="BD82">
        <f t="shared" si="128"/>
        <v>0</v>
      </c>
      <c r="BE82">
        <f t="shared" si="128"/>
        <v>0</v>
      </c>
      <c r="BF82">
        <f t="shared" si="128"/>
        <v>0</v>
      </c>
      <c r="BG82">
        <f t="shared" si="128"/>
        <v>0</v>
      </c>
      <c r="BH82">
        <f t="shared" si="128"/>
        <v>0</v>
      </c>
      <c r="BI82">
        <f t="shared" si="128"/>
        <v>0</v>
      </c>
      <c r="BJ82">
        <f t="shared" si="128"/>
        <v>0</v>
      </c>
      <c r="BK82">
        <f t="shared" si="128"/>
        <v>0</v>
      </c>
      <c r="BL82">
        <f t="shared" si="128"/>
        <v>0</v>
      </c>
      <c r="BM82">
        <f t="shared" si="128"/>
        <v>0</v>
      </c>
      <c r="BN82">
        <f t="shared" si="128"/>
        <v>0</v>
      </c>
      <c r="BO82">
        <f t="shared" si="128"/>
        <v>0</v>
      </c>
      <c r="BP82">
        <f t="shared" ref="BP82:CC82" si="129">BP79/$B82</f>
        <v>0</v>
      </c>
      <c r="BQ82">
        <f t="shared" si="129"/>
        <v>0</v>
      </c>
      <c r="BR82">
        <f t="shared" si="129"/>
        <v>0</v>
      </c>
      <c r="BS82">
        <f t="shared" si="129"/>
        <v>0</v>
      </c>
      <c r="BT82">
        <f t="shared" si="129"/>
        <v>0</v>
      </c>
      <c r="BU82">
        <f t="shared" si="129"/>
        <v>0</v>
      </c>
      <c r="BV82">
        <f t="shared" si="129"/>
        <v>0</v>
      </c>
      <c r="BW82">
        <f t="shared" si="129"/>
        <v>0</v>
      </c>
      <c r="BX82">
        <f t="shared" si="129"/>
        <v>0</v>
      </c>
      <c r="BY82">
        <f t="shared" si="129"/>
        <v>0</v>
      </c>
      <c r="BZ82">
        <f t="shared" si="129"/>
        <v>0</v>
      </c>
      <c r="CA82">
        <f t="shared" si="129"/>
        <v>0</v>
      </c>
      <c r="CB82">
        <f t="shared" si="129"/>
        <v>0</v>
      </c>
      <c r="CC82">
        <f t="shared" si="129"/>
        <v>0</v>
      </c>
    </row>
    <row r="83" spans="1:81" x14ac:dyDescent="0.2">
      <c r="A83" s="10"/>
      <c r="B83" s="67">
        <f>SUM(D87:AJ87)/SUM($D$263:$AJ$263)</f>
        <v>6.8362713023096836E-2</v>
      </c>
      <c r="C83" s="9" t="s">
        <v>216</v>
      </c>
      <c r="D83">
        <f t="shared" ref="D83:AI83" si="130">D77-D80</f>
        <v>3300</v>
      </c>
      <c r="E83">
        <f t="shared" si="130"/>
        <v>2940</v>
      </c>
      <c r="F83">
        <f t="shared" si="130"/>
        <v>2300</v>
      </c>
      <c r="G83">
        <f t="shared" si="130"/>
        <v>1740</v>
      </c>
      <c r="H83">
        <f t="shared" si="130"/>
        <v>1180</v>
      </c>
      <c r="I83">
        <f t="shared" si="130"/>
        <v>780</v>
      </c>
      <c r="J83">
        <f t="shared" si="130"/>
        <v>1060</v>
      </c>
      <c r="K83">
        <f t="shared" si="130"/>
        <v>900</v>
      </c>
      <c r="L83">
        <f t="shared" si="130"/>
        <v>340</v>
      </c>
      <c r="M83">
        <f t="shared" si="130"/>
        <v>-380</v>
      </c>
      <c r="N83">
        <f t="shared" si="130"/>
        <v>-380</v>
      </c>
      <c r="O83">
        <f t="shared" si="130"/>
        <v>-380</v>
      </c>
      <c r="P83">
        <f t="shared" si="130"/>
        <v>-380</v>
      </c>
      <c r="Q83">
        <f t="shared" si="130"/>
        <v>-380</v>
      </c>
      <c r="R83">
        <f t="shared" si="130"/>
        <v>-860</v>
      </c>
      <c r="S83">
        <f t="shared" si="130"/>
        <v>-1260</v>
      </c>
      <c r="T83">
        <f t="shared" si="130"/>
        <v>-1660</v>
      </c>
      <c r="U83">
        <f t="shared" si="130"/>
        <v>-2080</v>
      </c>
      <c r="V83">
        <f t="shared" si="130"/>
        <v>-2500</v>
      </c>
      <c r="W83">
        <f t="shared" si="130"/>
        <v>-2920</v>
      </c>
      <c r="X83">
        <f t="shared" si="130"/>
        <v>-3340</v>
      </c>
      <c r="Y83">
        <f t="shared" si="130"/>
        <v>-3600</v>
      </c>
      <c r="Z83">
        <f t="shared" si="130"/>
        <v>-3860</v>
      </c>
      <c r="AA83">
        <f t="shared" si="130"/>
        <v>-4120</v>
      </c>
      <c r="AB83">
        <f t="shared" si="130"/>
        <v>-4380</v>
      </c>
      <c r="AC83">
        <f t="shared" si="130"/>
        <v>-4740</v>
      </c>
      <c r="AD83">
        <f t="shared" si="130"/>
        <v>-5100</v>
      </c>
      <c r="AE83">
        <f t="shared" si="130"/>
        <v>-5460</v>
      </c>
      <c r="AF83">
        <f t="shared" si="130"/>
        <v>-5820</v>
      </c>
      <c r="AG83">
        <f t="shared" si="130"/>
        <v>-6140</v>
      </c>
      <c r="AH83">
        <f t="shared" si="130"/>
        <v>-6460</v>
      </c>
      <c r="AI83">
        <f t="shared" si="130"/>
        <v>-6780</v>
      </c>
      <c r="AJ83">
        <f t="shared" ref="AJ83:BO83" si="131">AJ77-AJ80</f>
        <v>-6780</v>
      </c>
      <c r="AK83">
        <f t="shared" si="131"/>
        <v>-6780</v>
      </c>
      <c r="AL83">
        <f t="shared" si="131"/>
        <v>-6780</v>
      </c>
      <c r="AM83">
        <f t="shared" si="131"/>
        <v>-6780</v>
      </c>
      <c r="AN83">
        <f t="shared" si="131"/>
        <v>-7081</v>
      </c>
      <c r="AO83">
        <f t="shared" si="131"/>
        <v>-7382</v>
      </c>
      <c r="AP83">
        <f t="shared" si="131"/>
        <v>-7683</v>
      </c>
      <c r="AQ83">
        <f t="shared" si="131"/>
        <v>-8046</v>
      </c>
      <c r="AR83">
        <f t="shared" si="131"/>
        <v>-8409</v>
      </c>
      <c r="AS83">
        <f t="shared" si="131"/>
        <v>-8700</v>
      </c>
      <c r="AT83">
        <f t="shared" si="131"/>
        <v>-9063</v>
      </c>
      <c r="AU83">
        <f t="shared" si="131"/>
        <v>-9408</v>
      </c>
      <c r="AV83">
        <f t="shared" si="131"/>
        <v>-9753</v>
      </c>
      <c r="AW83">
        <f t="shared" si="131"/>
        <v>-10098</v>
      </c>
      <c r="AX83">
        <f t="shared" si="131"/>
        <v>-10443</v>
      </c>
      <c r="AY83">
        <f t="shared" si="131"/>
        <v>-10719</v>
      </c>
      <c r="AZ83">
        <f t="shared" si="131"/>
        <v>-10965</v>
      </c>
      <c r="BA83">
        <f t="shared" si="131"/>
        <v>-11211</v>
      </c>
      <c r="BB83">
        <f t="shared" si="131"/>
        <v>-11457</v>
      </c>
      <c r="BC83">
        <f t="shared" si="131"/>
        <v>-11733</v>
      </c>
      <c r="BD83">
        <f t="shared" si="131"/>
        <v>-12009</v>
      </c>
      <c r="BE83">
        <f t="shared" si="131"/>
        <v>-12285</v>
      </c>
      <c r="BF83">
        <f t="shared" si="131"/>
        <v>-12561</v>
      </c>
      <c r="BG83">
        <f t="shared" si="131"/>
        <v>-12837</v>
      </c>
      <c r="BH83">
        <f t="shared" si="131"/>
        <v>-13113</v>
      </c>
      <c r="BI83">
        <f t="shared" si="131"/>
        <v>-13389</v>
      </c>
      <c r="BJ83">
        <f t="shared" si="131"/>
        <v>-13665</v>
      </c>
      <c r="BK83">
        <f t="shared" si="131"/>
        <v>-13941</v>
      </c>
      <c r="BL83">
        <f t="shared" si="131"/>
        <v>-14216</v>
      </c>
      <c r="BM83">
        <f t="shared" si="131"/>
        <v>-14491</v>
      </c>
      <c r="BN83">
        <f t="shared" si="131"/>
        <v>-14992</v>
      </c>
      <c r="BO83">
        <f t="shared" si="131"/>
        <v>-14992</v>
      </c>
      <c r="BP83">
        <f t="shared" ref="BP83:CC83" si="132">BP77-BP80</f>
        <v>-14992</v>
      </c>
      <c r="BQ83">
        <f t="shared" si="132"/>
        <v>-14992</v>
      </c>
      <c r="BR83">
        <f t="shared" si="132"/>
        <v>-14992</v>
      </c>
      <c r="BS83">
        <f t="shared" si="132"/>
        <v>-15219</v>
      </c>
      <c r="BT83">
        <f t="shared" si="132"/>
        <v>-15446</v>
      </c>
      <c r="BU83">
        <f t="shared" si="132"/>
        <v>-15673</v>
      </c>
      <c r="BV83">
        <f t="shared" si="132"/>
        <v>-15900</v>
      </c>
      <c r="BW83">
        <f t="shared" si="132"/>
        <v>-16127</v>
      </c>
      <c r="BX83">
        <f t="shared" si="132"/>
        <v>-16354</v>
      </c>
      <c r="BY83">
        <f t="shared" si="132"/>
        <v>-16581</v>
      </c>
      <c r="BZ83">
        <f t="shared" si="132"/>
        <v>-16808</v>
      </c>
      <c r="CA83">
        <f t="shared" si="132"/>
        <v>-17035</v>
      </c>
      <c r="CB83">
        <f t="shared" si="132"/>
        <v>-17262</v>
      </c>
      <c r="CC83">
        <f t="shared" si="132"/>
        <v>-17489</v>
      </c>
    </row>
    <row r="84" spans="1:81" x14ac:dyDescent="0.2">
      <c r="A84" s="43" t="s">
        <v>226</v>
      </c>
      <c r="B84" s="44" t="s">
        <v>208</v>
      </c>
      <c r="C84" s="9" t="s">
        <v>38</v>
      </c>
      <c r="D84" s="58">
        <f>IFERROR(VLOOKUP(A84,OS!$A:$B,2,0),0)</f>
        <v>1600</v>
      </c>
      <c r="E84" s="5">
        <f>(D84+D85-D87)</f>
        <v>2225</v>
      </c>
      <c r="F84" s="5">
        <f>(E84+E85-E87)</f>
        <v>1825</v>
      </c>
      <c r="G84" s="5">
        <f>(F84+F85-F87)</f>
        <v>1425</v>
      </c>
      <c r="H84" s="5">
        <f>(G84+G85-G87)</f>
        <v>1125</v>
      </c>
      <c r="I84" s="5">
        <f t="shared" ref="I84:AN84" si="133">(H84+H85-H87+D86)</f>
        <v>1171</v>
      </c>
      <c r="J84" s="5">
        <f t="shared" si="133"/>
        <v>1271</v>
      </c>
      <c r="K84" s="5">
        <f t="shared" si="133"/>
        <v>1311</v>
      </c>
      <c r="L84" s="5">
        <f t="shared" si="133"/>
        <v>1011</v>
      </c>
      <c r="M84" s="5">
        <f t="shared" si="133"/>
        <v>711</v>
      </c>
      <c r="N84" s="5">
        <f t="shared" si="133"/>
        <v>311</v>
      </c>
      <c r="O84" s="5">
        <f t="shared" si="133"/>
        <v>311</v>
      </c>
      <c r="P84" s="5">
        <f t="shared" si="133"/>
        <v>311</v>
      </c>
      <c r="Q84" s="5">
        <f t="shared" si="133"/>
        <v>311</v>
      </c>
      <c r="R84" s="5">
        <f t="shared" si="133"/>
        <v>311</v>
      </c>
      <c r="S84" s="5">
        <f t="shared" si="133"/>
        <v>111</v>
      </c>
      <c r="T84" s="5">
        <f t="shared" si="133"/>
        <v>-89</v>
      </c>
      <c r="U84" s="5">
        <f t="shared" si="133"/>
        <v>-289</v>
      </c>
      <c r="V84" s="5">
        <f t="shared" si="133"/>
        <v>-489</v>
      </c>
      <c r="W84" s="5">
        <f t="shared" si="133"/>
        <v>-689</v>
      </c>
      <c r="X84" s="5">
        <f t="shared" si="133"/>
        <v>-889</v>
      </c>
      <c r="Y84" s="5">
        <f t="shared" si="133"/>
        <v>-1089</v>
      </c>
      <c r="Z84" s="5">
        <f t="shared" si="133"/>
        <v>-1269</v>
      </c>
      <c r="AA84" s="5">
        <f t="shared" si="133"/>
        <v>-1449</v>
      </c>
      <c r="AB84" s="5">
        <f t="shared" si="133"/>
        <v>-1629</v>
      </c>
      <c r="AC84" s="5">
        <f t="shared" si="133"/>
        <v>-1789</v>
      </c>
      <c r="AD84" s="5">
        <f t="shared" si="133"/>
        <v>-2069</v>
      </c>
      <c r="AE84" s="5">
        <f t="shared" si="133"/>
        <v>-2349</v>
      </c>
      <c r="AF84" s="5">
        <f t="shared" si="133"/>
        <v>-2629</v>
      </c>
      <c r="AG84" s="5">
        <f t="shared" si="133"/>
        <v>-2909</v>
      </c>
      <c r="AH84" s="5">
        <f t="shared" si="133"/>
        <v>-3189</v>
      </c>
      <c r="AI84" s="5">
        <f t="shared" si="133"/>
        <v>-3389</v>
      </c>
      <c r="AJ84" s="5">
        <f t="shared" si="133"/>
        <v>-3589</v>
      </c>
      <c r="AK84" s="5">
        <f t="shared" si="133"/>
        <v>-3589</v>
      </c>
      <c r="AL84" s="5">
        <f t="shared" si="133"/>
        <v>-3589</v>
      </c>
      <c r="AM84" s="5">
        <f t="shared" si="133"/>
        <v>-3589</v>
      </c>
      <c r="AN84" s="5">
        <f t="shared" si="133"/>
        <v>-3589</v>
      </c>
      <c r="AO84" s="5">
        <f t="shared" ref="AO84:BT84" si="134">(AN84+AN85-AN87+AJ86)</f>
        <v>-3775</v>
      </c>
      <c r="AP84" s="5">
        <f t="shared" si="134"/>
        <v>-3961</v>
      </c>
      <c r="AQ84" s="5">
        <f t="shared" si="134"/>
        <v>-4147</v>
      </c>
      <c r="AR84" s="5">
        <f t="shared" si="134"/>
        <v>-4371</v>
      </c>
      <c r="AS84" s="5">
        <f t="shared" si="134"/>
        <v>-4595</v>
      </c>
      <c r="AT84" s="5">
        <f t="shared" si="134"/>
        <v>-4774</v>
      </c>
      <c r="AU84" s="5">
        <f t="shared" si="134"/>
        <v>-4998</v>
      </c>
      <c r="AV84" s="5">
        <f t="shared" si="134"/>
        <v>-5211</v>
      </c>
      <c r="AW84" s="5">
        <f t="shared" si="134"/>
        <v>-5424</v>
      </c>
      <c r="AX84" s="5">
        <f t="shared" si="134"/>
        <v>-5637</v>
      </c>
      <c r="AY84" s="5">
        <f t="shared" si="134"/>
        <v>-5850</v>
      </c>
      <c r="AZ84" s="5">
        <f t="shared" si="134"/>
        <v>-6021</v>
      </c>
      <c r="BA84" s="5">
        <f t="shared" si="134"/>
        <v>-6173</v>
      </c>
      <c r="BB84" s="5">
        <f t="shared" si="134"/>
        <v>-6325</v>
      </c>
      <c r="BC84" s="5">
        <f t="shared" si="134"/>
        <v>-6477</v>
      </c>
      <c r="BD84" s="5">
        <f t="shared" si="134"/>
        <v>-6648</v>
      </c>
      <c r="BE84" s="5">
        <f t="shared" si="134"/>
        <v>-6819</v>
      </c>
      <c r="BF84" s="5">
        <f t="shared" si="134"/>
        <v>-6990</v>
      </c>
      <c r="BG84" s="5">
        <f t="shared" si="134"/>
        <v>-7161</v>
      </c>
      <c r="BH84" s="5">
        <f t="shared" si="134"/>
        <v>-7332</v>
      </c>
      <c r="BI84" s="5">
        <f t="shared" si="134"/>
        <v>-7503</v>
      </c>
      <c r="BJ84" s="5">
        <f t="shared" si="134"/>
        <v>-7674</v>
      </c>
      <c r="BK84" s="5">
        <f t="shared" si="134"/>
        <v>-7845</v>
      </c>
      <c r="BL84" s="5">
        <f t="shared" si="134"/>
        <v>-8016</v>
      </c>
      <c r="BM84" s="5">
        <f t="shared" si="134"/>
        <v>-8186</v>
      </c>
      <c r="BN84" s="5">
        <f t="shared" si="134"/>
        <v>-8356</v>
      </c>
      <c r="BO84" s="5">
        <f t="shared" si="134"/>
        <v>-8665</v>
      </c>
      <c r="BP84" s="5">
        <f t="shared" si="134"/>
        <v>-8665</v>
      </c>
      <c r="BQ84" s="5">
        <f t="shared" si="134"/>
        <v>-8665</v>
      </c>
      <c r="BR84" s="5">
        <f t="shared" si="134"/>
        <v>-8665</v>
      </c>
      <c r="BS84" s="5">
        <f t="shared" si="134"/>
        <v>-8665</v>
      </c>
      <c r="BT84" s="5">
        <f t="shared" si="134"/>
        <v>-8805</v>
      </c>
      <c r="BU84" s="5">
        <f t="shared" ref="BU84:CZ84" si="135">(BT84+BT85-BT87+BP86)</f>
        <v>-8945</v>
      </c>
      <c r="BV84" s="5">
        <f t="shared" si="135"/>
        <v>-9085</v>
      </c>
      <c r="BW84" s="5">
        <f t="shared" si="135"/>
        <v>-9225</v>
      </c>
      <c r="BX84" s="5">
        <f t="shared" si="135"/>
        <v>-9365</v>
      </c>
      <c r="BY84" s="5">
        <f t="shared" si="135"/>
        <v>-9505</v>
      </c>
      <c r="BZ84" s="5">
        <f t="shared" si="135"/>
        <v>-9645</v>
      </c>
      <c r="CA84" s="5">
        <f t="shared" si="135"/>
        <v>-9785</v>
      </c>
      <c r="CB84" s="5">
        <f t="shared" si="135"/>
        <v>-9925</v>
      </c>
      <c r="CC84" s="5">
        <f t="shared" si="135"/>
        <v>-10065</v>
      </c>
    </row>
    <row r="85" spans="1:81" x14ac:dyDescent="0.2">
      <c r="A85" s="5" t="s">
        <v>209</v>
      </c>
      <c r="B85" s="5">
        <v>4.7196600000000002</v>
      </c>
      <c r="C85" s="45" t="s">
        <v>39</v>
      </c>
      <c r="D85" s="59">
        <f>IFERROR(VLOOKUP(A84,WIP!$A:$B,2,0),0)</f>
        <v>625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</row>
    <row r="86" spans="1:81" x14ac:dyDescent="0.2">
      <c r="A86" s="5" t="s">
        <v>210</v>
      </c>
      <c r="B86" s="5">
        <v>0.159</v>
      </c>
      <c r="C86" s="9" t="s">
        <v>211</v>
      </c>
      <c r="D86" s="60">
        <f>IFERROR(VLOOKUP($A84,Plan!$A:B,D$4,0),0)</f>
        <v>346</v>
      </c>
      <c r="E86" s="70">
        <f>IFERROR(VLOOKUP($A84,Plan!$A:C,E$4,0),0)</f>
        <v>600</v>
      </c>
      <c r="F86" s="70">
        <f>IFERROR(VLOOKUP($A84,Plan!$A:D,F$4,0),0)</f>
        <v>240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</row>
    <row r="87" spans="1:81" x14ac:dyDescent="0.2">
      <c r="A87" s="5" t="s">
        <v>212</v>
      </c>
      <c r="B87" s="5">
        <v>1.6E-2</v>
      </c>
      <c r="C87" s="9" t="s">
        <v>213</v>
      </c>
      <c r="D87" s="61">
        <f>IFERROR(VLOOKUP($A84,Sales!$A:B,D$2,0),0)</f>
        <v>0</v>
      </c>
      <c r="E87" s="61">
        <f>IFERROR(VLOOKUP($A84,Sales!$A:C,E$2,0),0)</f>
        <v>400</v>
      </c>
      <c r="F87" s="61">
        <f>IFERROR(VLOOKUP($A84,Sales!$A:D,F$2,0),0)</f>
        <v>400</v>
      </c>
      <c r="G87" s="61">
        <f>IFERROR(VLOOKUP($A84,Sales!$A:E,G$2,0),0)</f>
        <v>300</v>
      </c>
      <c r="H87" s="61">
        <f>IFERROR(VLOOKUP($A84,Sales!$A:F,H$2,0),0)</f>
        <v>300</v>
      </c>
      <c r="I87" s="61">
        <f>IFERROR(VLOOKUP($A84,Sales!$A:G,I$2,0),0)</f>
        <v>500</v>
      </c>
      <c r="J87" s="61">
        <f>IFERROR(VLOOKUP($A84,Sales!$A:H,J$2,0),0)</f>
        <v>200</v>
      </c>
      <c r="K87" s="61">
        <f>IFERROR(VLOOKUP($A84,Sales!$A:I,K$2,0),0)</f>
        <v>300</v>
      </c>
      <c r="L87" s="61">
        <f>IFERROR(VLOOKUP($A84,Sales!$A:J,L$2,0),0)</f>
        <v>300</v>
      </c>
      <c r="M87" s="61">
        <f>IFERROR(VLOOKUP($A84,Sales!$A:K,M$2,0),0)</f>
        <v>400</v>
      </c>
      <c r="N87" s="61">
        <f>IFERROR(VLOOKUP($A84,Sales!$A:L,N$2,0),0)</f>
        <v>0</v>
      </c>
      <c r="O87" s="61">
        <f>IFERROR(VLOOKUP($A84,Sales!$A:M,O$2,0),0)</f>
        <v>0</v>
      </c>
      <c r="P87" s="61">
        <f>IFERROR(VLOOKUP($A84,Sales!$A:N,P$2,0),0)</f>
        <v>0</v>
      </c>
      <c r="Q87" s="61">
        <f>IFERROR(VLOOKUP($A84,Sales!$A:O,Q$2,0),0)</f>
        <v>0</v>
      </c>
      <c r="R87" s="61">
        <f>IFERROR(VLOOKUP($A84,Sales!$A:P,R$2,0),0)</f>
        <v>200</v>
      </c>
      <c r="S87" s="61">
        <f>IFERROR(VLOOKUP($A84,Sales!$A:Q,S$2,0),0)</f>
        <v>200</v>
      </c>
      <c r="T87" s="61">
        <f>IFERROR(VLOOKUP($A84,Sales!$A:R,T$2,0),0)</f>
        <v>200</v>
      </c>
      <c r="U87" s="61">
        <f>IFERROR(VLOOKUP($A84,Sales!$A:S,U$2,0),0)</f>
        <v>200</v>
      </c>
      <c r="V87" s="61">
        <f>IFERROR(VLOOKUP($A84,Sales!$A:T,V$2,0),0)</f>
        <v>200</v>
      </c>
      <c r="W87" s="61">
        <f>IFERROR(VLOOKUP($A84,Sales!$A:U,W$2,0),0)</f>
        <v>200</v>
      </c>
      <c r="X87" s="61">
        <f>IFERROR(VLOOKUP($A84,Sales!$A:V,X$2,0),0)</f>
        <v>200</v>
      </c>
      <c r="Y87" s="61">
        <f>IFERROR(VLOOKUP($A84,Sales!$A:W,Y$2,0),0)</f>
        <v>180</v>
      </c>
      <c r="Z87" s="61">
        <f>IFERROR(VLOOKUP($A84,Sales!$A:X,Z$2,0),0)</f>
        <v>180</v>
      </c>
      <c r="AA87" s="61">
        <f>IFERROR(VLOOKUP($A84,Sales!$A:Y,AA$2,0),0)</f>
        <v>180</v>
      </c>
      <c r="AB87" s="61">
        <f>IFERROR(VLOOKUP($A84,Sales!$A:Z,AB$2,0),0)</f>
        <v>160</v>
      </c>
      <c r="AC87" s="61">
        <f>IFERROR(VLOOKUP($A84,Sales!$A:AA,AC$2,0),0)</f>
        <v>280</v>
      </c>
      <c r="AD87" s="61">
        <f>IFERROR(VLOOKUP($A84,Sales!$A:AB,AD$2,0),0)</f>
        <v>280</v>
      </c>
      <c r="AE87" s="61">
        <f>IFERROR(VLOOKUP($A84,Sales!$A:AC,AE$2,0),0)</f>
        <v>280</v>
      </c>
      <c r="AF87" s="61">
        <f>IFERROR(VLOOKUP($A84,Sales!$A:AD,AF$2,0),0)</f>
        <v>280</v>
      </c>
      <c r="AG87" s="61">
        <f>IFERROR(VLOOKUP($A84,Sales!$A:AE,AG$2,0),0)</f>
        <v>280</v>
      </c>
      <c r="AH87" s="61">
        <f>IFERROR(VLOOKUP($A84,Sales!$A:AF,AH$2,0),0)</f>
        <v>200</v>
      </c>
      <c r="AI87" s="61">
        <f>IFERROR(VLOOKUP($A84,Sales!$A:AG,AI$2,0),0)</f>
        <v>200</v>
      </c>
      <c r="AJ87" s="61">
        <f>IFERROR(VLOOKUP($A84,Sales!$A:AH,AJ$2,0),0)</f>
        <v>0</v>
      </c>
      <c r="AK87" s="73">
        <f t="shared" ref="AK87:CC87" si="136">CEILING(AK$5*$B83,1)</f>
        <v>0</v>
      </c>
      <c r="AL87" s="73">
        <f t="shared" si="136"/>
        <v>0</v>
      </c>
      <c r="AM87" s="73">
        <f t="shared" si="136"/>
        <v>0</v>
      </c>
      <c r="AN87" s="73">
        <f t="shared" si="136"/>
        <v>186</v>
      </c>
      <c r="AO87" s="73">
        <f t="shared" si="136"/>
        <v>186</v>
      </c>
      <c r="AP87" s="73">
        <f t="shared" si="136"/>
        <v>186</v>
      </c>
      <c r="AQ87" s="73">
        <f t="shared" si="136"/>
        <v>224</v>
      </c>
      <c r="AR87" s="73">
        <f t="shared" si="136"/>
        <v>224</v>
      </c>
      <c r="AS87" s="73">
        <f t="shared" si="136"/>
        <v>179</v>
      </c>
      <c r="AT87" s="73">
        <f t="shared" si="136"/>
        <v>224</v>
      </c>
      <c r="AU87" s="73">
        <f t="shared" si="136"/>
        <v>213</v>
      </c>
      <c r="AV87" s="73">
        <f t="shared" si="136"/>
        <v>213</v>
      </c>
      <c r="AW87" s="73">
        <f t="shared" si="136"/>
        <v>213</v>
      </c>
      <c r="AX87" s="73">
        <f t="shared" si="136"/>
        <v>213</v>
      </c>
      <c r="AY87" s="73">
        <f t="shared" si="136"/>
        <v>171</v>
      </c>
      <c r="AZ87" s="73">
        <f t="shared" si="136"/>
        <v>152</v>
      </c>
      <c r="BA87" s="73">
        <f t="shared" si="136"/>
        <v>152</v>
      </c>
      <c r="BB87" s="73">
        <f t="shared" si="136"/>
        <v>152</v>
      </c>
      <c r="BC87" s="73">
        <f t="shared" si="136"/>
        <v>171</v>
      </c>
      <c r="BD87" s="73">
        <f t="shared" si="136"/>
        <v>171</v>
      </c>
      <c r="BE87" s="73">
        <f t="shared" si="136"/>
        <v>171</v>
      </c>
      <c r="BF87" s="73">
        <f t="shared" si="136"/>
        <v>171</v>
      </c>
      <c r="BG87" s="73">
        <f t="shared" si="136"/>
        <v>171</v>
      </c>
      <c r="BH87" s="73">
        <f t="shared" si="136"/>
        <v>171</v>
      </c>
      <c r="BI87" s="73">
        <f t="shared" si="136"/>
        <v>171</v>
      </c>
      <c r="BJ87" s="73">
        <f t="shared" si="136"/>
        <v>171</v>
      </c>
      <c r="BK87" s="73">
        <f t="shared" si="136"/>
        <v>171</v>
      </c>
      <c r="BL87" s="73">
        <f t="shared" si="136"/>
        <v>170</v>
      </c>
      <c r="BM87" s="73">
        <f t="shared" si="136"/>
        <v>170</v>
      </c>
      <c r="BN87" s="73">
        <f t="shared" si="136"/>
        <v>309</v>
      </c>
      <c r="BO87" s="73">
        <f t="shared" si="136"/>
        <v>0</v>
      </c>
      <c r="BP87" s="73">
        <f t="shared" si="136"/>
        <v>0</v>
      </c>
      <c r="BQ87" s="73">
        <f t="shared" si="136"/>
        <v>0</v>
      </c>
      <c r="BR87" s="73">
        <f t="shared" si="136"/>
        <v>0</v>
      </c>
      <c r="BS87" s="73">
        <f t="shared" si="136"/>
        <v>140</v>
      </c>
      <c r="BT87" s="73">
        <f t="shared" si="136"/>
        <v>140</v>
      </c>
      <c r="BU87" s="73">
        <f t="shared" si="136"/>
        <v>140</v>
      </c>
      <c r="BV87" s="73">
        <f t="shared" si="136"/>
        <v>140</v>
      </c>
      <c r="BW87" s="73">
        <f t="shared" si="136"/>
        <v>140</v>
      </c>
      <c r="BX87" s="73">
        <f t="shared" si="136"/>
        <v>140</v>
      </c>
      <c r="BY87" s="73">
        <f t="shared" si="136"/>
        <v>140</v>
      </c>
      <c r="BZ87" s="73">
        <f t="shared" si="136"/>
        <v>140</v>
      </c>
      <c r="CA87" s="73">
        <f t="shared" si="136"/>
        <v>140</v>
      </c>
      <c r="CB87" s="73">
        <f t="shared" si="136"/>
        <v>140</v>
      </c>
      <c r="CC87" s="73">
        <f t="shared" si="136"/>
        <v>140</v>
      </c>
    </row>
    <row r="88" spans="1:81" x14ac:dyDescent="0.2">
      <c r="A88" s="5" t="s">
        <v>214</v>
      </c>
      <c r="B88" s="5">
        <v>0.17499999999999999</v>
      </c>
      <c r="C88" s="46" t="s">
        <v>215</v>
      </c>
      <c r="D88" s="11">
        <f t="shared" ref="D88:AI88" si="137">IF(D87=0,0, ROUND(D84 * 1/D87* D$13,1))</f>
        <v>0</v>
      </c>
      <c r="E88" s="11">
        <f t="shared" si="137"/>
        <v>27.8</v>
      </c>
      <c r="F88" s="11">
        <f t="shared" si="137"/>
        <v>22.8</v>
      </c>
      <c r="G88" s="11">
        <f t="shared" si="137"/>
        <v>23.8</v>
      </c>
      <c r="H88" s="11">
        <f t="shared" si="137"/>
        <v>18.8</v>
      </c>
      <c r="I88" s="11">
        <f t="shared" si="137"/>
        <v>11.7</v>
      </c>
      <c r="J88" s="11">
        <f t="shared" si="137"/>
        <v>31.8</v>
      </c>
      <c r="K88" s="11">
        <f t="shared" si="137"/>
        <v>21.9</v>
      </c>
      <c r="L88" s="11">
        <f t="shared" si="137"/>
        <v>16.899999999999999</v>
      </c>
      <c r="M88" s="11">
        <f t="shared" si="137"/>
        <v>8.9</v>
      </c>
      <c r="N88" s="11">
        <f t="shared" si="137"/>
        <v>0</v>
      </c>
      <c r="O88" s="11">
        <f t="shared" si="137"/>
        <v>0</v>
      </c>
      <c r="P88" s="11">
        <f t="shared" si="137"/>
        <v>0</v>
      </c>
      <c r="Q88" s="11">
        <f t="shared" si="137"/>
        <v>0</v>
      </c>
      <c r="R88" s="11">
        <f t="shared" si="137"/>
        <v>7.8</v>
      </c>
      <c r="S88" s="11">
        <f t="shared" si="137"/>
        <v>2.8</v>
      </c>
      <c r="T88" s="11">
        <f t="shared" si="137"/>
        <v>-2.2000000000000002</v>
      </c>
      <c r="U88" s="11">
        <f t="shared" si="137"/>
        <v>-7.2</v>
      </c>
      <c r="V88" s="11">
        <f t="shared" si="137"/>
        <v>-12.2</v>
      </c>
      <c r="W88" s="11">
        <f t="shared" si="137"/>
        <v>-17.2</v>
      </c>
      <c r="X88" s="11">
        <f t="shared" si="137"/>
        <v>-22.2</v>
      </c>
      <c r="Y88" s="11">
        <f t="shared" si="137"/>
        <v>-30.3</v>
      </c>
      <c r="Z88" s="11">
        <f t="shared" si="137"/>
        <v>-35.299999999999997</v>
      </c>
      <c r="AA88" s="11">
        <f t="shared" si="137"/>
        <v>-40.299999999999997</v>
      </c>
      <c r="AB88" s="11">
        <f t="shared" si="137"/>
        <v>-50.9</v>
      </c>
      <c r="AC88" s="11">
        <f t="shared" si="137"/>
        <v>-31.9</v>
      </c>
      <c r="AD88" s="11">
        <f t="shared" si="137"/>
        <v>-36.9</v>
      </c>
      <c r="AE88" s="11">
        <f t="shared" si="137"/>
        <v>-41.9</v>
      </c>
      <c r="AF88" s="11">
        <f t="shared" si="137"/>
        <v>-46.9</v>
      </c>
      <c r="AG88" s="11">
        <f t="shared" si="137"/>
        <v>-51.9</v>
      </c>
      <c r="AH88" s="11">
        <f t="shared" si="137"/>
        <v>-79.7</v>
      </c>
      <c r="AI88" s="11">
        <f t="shared" si="137"/>
        <v>-84.7</v>
      </c>
      <c r="AJ88" s="11">
        <f t="shared" ref="AJ88:BO88" si="138">IF(AJ87=0,0, ROUND(AJ84 * 1/AJ87* AJ$13,1))</f>
        <v>0</v>
      </c>
      <c r="AK88" s="11">
        <f t="shared" si="138"/>
        <v>0</v>
      </c>
      <c r="AL88" s="11">
        <f t="shared" si="138"/>
        <v>0</v>
      </c>
      <c r="AM88" s="11">
        <f t="shared" si="138"/>
        <v>0</v>
      </c>
      <c r="AN88" s="11">
        <f t="shared" si="138"/>
        <v>-96.5</v>
      </c>
      <c r="AO88" s="11">
        <f t="shared" si="138"/>
        <v>-101.5</v>
      </c>
      <c r="AP88" s="11">
        <f t="shared" si="138"/>
        <v>-106.5</v>
      </c>
      <c r="AQ88" s="11">
        <f t="shared" si="138"/>
        <v>-92.6</v>
      </c>
      <c r="AR88" s="11">
        <f t="shared" si="138"/>
        <v>-97.6</v>
      </c>
      <c r="AS88" s="11">
        <f t="shared" si="138"/>
        <v>-128.4</v>
      </c>
      <c r="AT88" s="11">
        <f t="shared" si="138"/>
        <v>-106.6</v>
      </c>
      <c r="AU88" s="11">
        <f t="shared" si="138"/>
        <v>-117.3</v>
      </c>
      <c r="AV88" s="11">
        <f t="shared" si="138"/>
        <v>-122.3</v>
      </c>
      <c r="AW88" s="11">
        <f t="shared" si="138"/>
        <v>-127.3</v>
      </c>
      <c r="AX88" s="11">
        <f t="shared" si="138"/>
        <v>-132.30000000000001</v>
      </c>
      <c r="AY88" s="11">
        <f t="shared" si="138"/>
        <v>-171.1</v>
      </c>
      <c r="AZ88" s="11">
        <f t="shared" si="138"/>
        <v>-198.1</v>
      </c>
      <c r="BA88" s="11">
        <f t="shared" si="138"/>
        <v>-203.1</v>
      </c>
      <c r="BB88" s="11">
        <f t="shared" si="138"/>
        <v>-208.1</v>
      </c>
      <c r="BC88" s="11">
        <f t="shared" si="138"/>
        <v>-189.4</v>
      </c>
      <c r="BD88" s="11">
        <f t="shared" si="138"/>
        <v>-194.4</v>
      </c>
      <c r="BE88" s="11">
        <f t="shared" si="138"/>
        <v>-199.4</v>
      </c>
      <c r="BF88" s="11">
        <f t="shared" si="138"/>
        <v>-204.4</v>
      </c>
      <c r="BG88" s="11">
        <f t="shared" si="138"/>
        <v>-209.4</v>
      </c>
      <c r="BH88" s="11">
        <f t="shared" si="138"/>
        <v>-214.4</v>
      </c>
      <c r="BI88" s="11">
        <f t="shared" si="138"/>
        <v>-219.4</v>
      </c>
      <c r="BJ88" s="11">
        <f t="shared" si="138"/>
        <v>-224.4</v>
      </c>
      <c r="BK88" s="11">
        <f t="shared" si="138"/>
        <v>-229.4</v>
      </c>
      <c r="BL88" s="11">
        <f t="shared" si="138"/>
        <v>-235.8</v>
      </c>
      <c r="BM88" s="11">
        <f t="shared" si="138"/>
        <v>-240.8</v>
      </c>
      <c r="BN88" s="11">
        <f t="shared" si="138"/>
        <v>-135.19999999999999</v>
      </c>
      <c r="BO88" s="11">
        <f t="shared" si="138"/>
        <v>0</v>
      </c>
      <c r="BP88" s="11">
        <f t="shared" ref="BP88:CU88" si="139">IF(BP87=0,0, ROUND(BP84 * 1/BP87* BP$13,1))</f>
        <v>0</v>
      </c>
      <c r="BQ88" s="11">
        <f t="shared" si="139"/>
        <v>0</v>
      </c>
      <c r="BR88" s="11">
        <f t="shared" si="139"/>
        <v>0</v>
      </c>
      <c r="BS88" s="11">
        <f t="shared" si="139"/>
        <v>-309.5</v>
      </c>
      <c r="BT88" s="11">
        <f t="shared" si="139"/>
        <v>-314.5</v>
      </c>
      <c r="BU88" s="11">
        <f t="shared" si="139"/>
        <v>-319.5</v>
      </c>
      <c r="BV88" s="11">
        <f t="shared" si="139"/>
        <v>-324.5</v>
      </c>
      <c r="BW88" s="11">
        <f t="shared" si="139"/>
        <v>-329.5</v>
      </c>
      <c r="BX88" s="11">
        <f t="shared" si="139"/>
        <v>-334.5</v>
      </c>
      <c r="BY88" s="11">
        <f t="shared" si="139"/>
        <v>-339.5</v>
      </c>
      <c r="BZ88" s="11">
        <f t="shared" si="139"/>
        <v>-344.5</v>
      </c>
      <c r="CA88" s="11">
        <f t="shared" si="139"/>
        <v>-349.5</v>
      </c>
      <c r="CB88" s="11">
        <f t="shared" si="139"/>
        <v>-354.5</v>
      </c>
      <c r="CC88" s="11">
        <f t="shared" si="139"/>
        <v>-359.5</v>
      </c>
    </row>
    <row r="89" spans="1:81" x14ac:dyDescent="0.2">
      <c r="A89" s="10">
        <v>8</v>
      </c>
      <c r="B89" s="10">
        <v>1</v>
      </c>
      <c r="C89" s="68">
        <v>3.5403799999999999</v>
      </c>
      <c r="D89">
        <f t="shared" ref="D89:AI89" si="140">D86/$B89</f>
        <v>346</v>
      </c>
      <c r="E89">
        <f t="shared" si="140"/>
        <v>600</v>
      </c>
      <c r="F89">
        <f t="shared" si="140"/>
        <v>240</v>
      </c>
      <c r="G89">
        <f t="shared" si="140"/>
        <v>0</v>
      </c>
      <c r="H89">
        <f t="shared" si="140"/>
        <v>0</v>
      </c>
      <c r="I89">
        <f t="shared" si="140"/>
        <v>0</v>
      </c>
      <c r="J89">
        <f t="shared" si="140"/>
        <v>0</v>
      </c>
      <c r="K89">
        <f t="shared" si="140"/>
        <v>0</v>
      </c>
      <c r="L89">
        <f t="shared" si="140"/>
        <v>0</v>
      </c>
      <c r="M89">
        <f t="shared" si="140"/>
        <v>0</v>
      </c>
      <c r="N89">
        <f t="shared" si="140"/>
        <v>0</v>
      </c>
      <c r="O89">
        <f t="shared" si="140"/>
        <v>0</v>
      </c>
      <c r="P89">
        <f t="shared" si="140"/>
        <v>0</v>
      </c>
      <c r="Q89">
        <f t="shared" si="140"/>
        <v>0</v>
      </c>
      <c r="R89">
        <f t="shared" si="140"/>
        <v>0</v>
      </c>
      <c r="S89">
        <f t="shared" si="140"/>
        <v>0</v>
      </c>
      <c r="T89">
        <f t="shared" si="140"/>
        <v>0</v>
      </c>
      <c r="U89">
        <f t="shared" si="140"/>
        <v>0</v>
      </c>
      <c r="V89">
        <f t="shared" si="140"/>
        <v>0</v>
      </c>
      <c r="W89">
        <f t="shared" si="140"/>
        <v>0</v>
      </c>
      <c r="X89">
        <f t="shared" si="140"/>
        <v>0</v>
      </c>
      <c r="Y89">
        <f t="shared" si="140"/>
        <v>0</v>
      </c>
      <c r="Z89">
        <f t="shared" si="140"/>
        <v>0</v>
      </c>
      <c r="AA89">
        <f t="shared" si="140"/>
        <v>0</v>
      </c>
      <c r="AB89">
        <f t="shared" si="140"/>
        <v>0</v>
      </c>
      <c r="AC89">
        <f t="shared" si="140"/>
        <v>0</v>
      </c>
      <c r="AD89">
        <f t="shared" si="140"/>
        <v>0</v>
      </c>
      <c r="AE89">
        <f t="shared" si="140"/>
        <v>0</v>
      </c>
      <c r="AF89">
        <f t="shared" si="140"/>
        <v>0</v>
      </c>
      <c r="AG89">
        <f t="shared" si="140"/>
        <v>0</v>
      </c>
      <c r="AH89">
        <f t="shared" si="140"/>
        <v>0</v>
      </c>
      <c r="AI89">
        <f t="shared" si="140"/>
        <v>0</v>
      </c>
      <c r="AJ89">
        <f t="shared" ref="AJ89:BO89" si="141">AJ86/$B89</f>
        <v>0</v>
      </c>
      <c r="AK89">
        <f t="shared" si="141"/>
        <v>0</v>
      </c>
      <c r="AL89">
        <f t="shared" si="141"/>
        <v>0</v>
      </c>
      <c r="AM89">
        <f t="shared" si="141"/>
        <v>0</v>
      </c>
      <c r="AN89">
        <f t="shared" si="141"/>
        <v>0</v>
      </c>
      <c r="AO89">
        <f t="shared" si="141"/>
        <v>0</v>
      </c>
      <c r="AP89">
        <f t="shared" si="141"/>
        <v>0</v>
      </c>
      <c r="AQ89">
        <f t="shared" si="141"/>
        <v>0</v>
      </c>
      <c r="AR89">
        <f t="shared" si="141"/>
        <v>0</v>
      </c>
      <c r="AS89">
        <f t="shared" si="141"/>
        <v>0</v>
      </c>
      <c r="AT89">
        <f t="shared" si="141"/>
        <v>0</v>
      </c>
      <c r="AU89">
        <f t="shared" si="141"/>
        <v>0</v>
      </c>
      <c r="AV89">
        <f t="shared" si="141"/>
        <v>0</v>
      </c>
      <c r="AW89">
        <f t="shared" si="141"/>
        <v>0</v>
      </c>
      <c r="AX89">
        <f t="shared" si="141"/>
        <v>0</v>
      </c>
      <c r="AY89">
        <f t="shared" si="141"/>
        <v>0</v>
      </c>
      <c r="AZ89">
        <f t="shared" si="141"/>
        <v>0</v>
      </c>
      <c r="BA89">
        <f t="shared" si="141"/>
        <v>0</v>
      </c>
      <c r="BB89">
        <f t="shared" si="141"/>
        <v>0</v>
      </c>
      <c r="BC89">
        <f t="shared" si="141"/>
        <v>0</v>
      </c>
      <c r="BD89">
        <f t="shared" si="141"/>
        <v>0</v>
      </c>
      <c r="BE89">
        <f t="shared" si="141"/>
        <v>0</v>
      </c>
      <c r="BF89">
        <f t="shared" si="141"/>
        <v>0</v>
      </c>
      <c r="BG89">
        <f t="shared" si="141"/>
        <v>0</v>
      </c>
      <c r="BH89">
        <f t="shared" si="141"/>
        <v>0</v>
      </c>
      <c r="BI89">
        <f t="shared" si="141"/>
        <v>0</v>
      </c>
      <c r="BJ89">
        <f t="shared" si="141"/>
        <v>0</v>
      </c>
      <c r="BK89">
        <f t="shared" si="141"/>
        <v>0</v>
      </c>
      <c r="BL89">
        <f t="shared" si="141"/>
        <v>0</v>
      </c>
      <c r="BM89">
        <f t="shared" si="141"/>
        <v>0</v>
      </c>
      <c r="BN89">
        <f t="shared" si="141"/>
        <v>0</v>
      </c>
      <c r="BO89">
        <f t="shared" si="141"/>
        <v>0</v>
      </c>
      <c r="BP89">
        <f t="shared" ref="BP89:CC89" si="142">BP86/$B89</f>
        <v>0</v>
      </c>
      <c r="BQ89">
        <f t="shared" si="142"/>
        <v>0</v>
      </c>
      <c r="BR89">
        <f t="shared" si="142"/>
        <v>0</v>
      </c>
      <c r="BS89">
        <f t="shared" si="142"/>
        <v>0</v>
      </c>
      <c r="BT89">
        <f t="shared" si="142"/>
        <v>0</v>
      </c>
      <c r="BU89">
        <f t="shared" si="142"/>
        <v>0</v>
      </c>
      <c r="BV89">
        <f t="shared" si="142"/>
        <v>0</v>
      </c>
      <c r="BW89">
        <f t="shared" si="142"/>
        <v>0</v>
      </c>
      <c r="BX89">
        <f t="shared" si="142"/>
        <v>0</v>
      </c>
      <c r="BY89">
        <f t="shared" si="142"/>
        <v>0</v>
      </c>
      <c r="BZ89">
        <f t="shared" si="142"/>
        <v>0</v>
      </c>
      <c r="CA89">
        <f t="shared" si="142"/>
        <v>0</v>
      </c>
      <c r="CB89">
        <f t="shared" si="142"/>
        <v>0</v>
      </c>
      <c r="CC89">
        <f t="shared" si="142"/>
        <v>0</v>
      </c>
    </row>
    <row r="90" spans="1:81" x14ac:dyDescent="0.2">
      <c r="A90" s="10"/>
      <c r="B90" s="67">
        <f>SUM(D94:AJ94)/SUM($D$263:$AJ$263)</f>
        <v>2.1094780018555595E-2</v>
      </c>
      <c r="C90" s="9" t="s">
        <v>216</v>
      </c>
      <c r="D90">
        <f t="shared" ref="D90:AI90" si="143">D84-D87</f>
        <v>1600</v>
      </c>
      <c r="E90">
        <f t="shared" si="143"/>
        <v>1825</v>
      </c>
      <c r="F90">
        <f t="shared" si="143"/>
        <v>1425</v>
      </c>
      <c r="G90">
        <f t="shared" si="143"/>
        <v>1125</v>
      </c>
      <c r="H90">
        <f t="shared" si="143"/>
        <v>825</v>
      </c>
      <c r="I90">
        <f t="shared" si="143"/>
        <v>671</v>
      </c>
      <c r="J90">
        <f t="shared" si="143"/>
        <v>1071</v>
      </c>
      <c r="K90">
        <f t="shared" si="143"/>
        <v>1011</v>
      </c>
      <c r="L90">
        <f t="shared" si="143"/>
        <v>711</v>
      </c>
      <c r="M90">
        <f t="shared" si="143"/>
        <v>311</v>
      </c>
      <c r="N90">
        <f t="shared" si="143"/>
        <v>311</v>
      </c>
      <c r="O90">
        <f t="shared" si="143"/>
        <v>311</v>
      </c>
      <c r="P90">
        <f t="shared" si="143"/>
        <v>311</v>
      </c>
      <c r="Q90">
        <f t="shared" si="143"/>
        <v>311</v>
      </c>
      <c r="R90">
        <f t="shared" si="143"/>
        <v>111</v>
      </c>
      <c r="S90">
        <f t="shared" si="143"/>
        <v>-89</v>
      </c>
      <c r="T90">
        <f t="shared" si="143"/>
        <v>-289</v>
      </c>
      <c r="U90">
        <f t="shared" si="143"/>
        <v>-489</v>
      </c>
      <c r="V90">
        <f t="shared" si="143"/>
        <v>-689</v>
      </c>
      <c r="W90">
        <f t="shared" si="143"/>
        <v>-889</v>
      </c>
      <c r="X90">
        <f t="shared" si="143"/>
        <v>-1089</v>
      </c>
      <c r="Y90">
        <f t="shared" si="143"/>
        <v>-1269</v>
      </c>
      <c r="Z90">
        <f t="shared" si="143"/>
        <v>-1449</v>
      </c>
      <c r="AA90">
        <f t="shared" si="143"/>
        <v>-1629</v>
      </c>
      <c r="AB90">
        <f t="shared" si="143"/>
        <v>-1789</v>
      </c>
      <c r="AC90">
        <f t="shared" si="143"/>
        <v>-2069</v>
      </c>
      <c r="AD90">
        <f t="shared" si="143"/>
        <v>-2349</v>
      </c>
      <c r="AE90">
        <f t="shared" si="143"/>
        <v>-2629</v>
      </c>
      <c r="AF90">
        <f t="shared" si="143"/>
        <v>-2909</v>
      </c>
      <c r="AG90">
        <f t="shared" si="143"/>
        <v>-3189</v>
      </c>
      <c r="AH90">
        <f t="shared" si="143"/>
        <v>-3389</v>
      </c>
      <c r="AI90">
        <f t="shared" si="143"/>
        <v>-3589</v>
      </c>
      <c r="AJ90">
        <f t="shared" ref="AJ90:BO90" si="144">AJ84-AJ87</f>
        <v>-3589</v>
      </c>
      <c r="AK90">
        <f t="shared" si="144"/>
        <v>-3589</v>
      </c>
      <c r="AL90">
        <f t="shared" si="144"/>
        <v>-3589</v>
      </c>
      <c r="AM90">
        <f t="shared" si="144"/>
        <v>-3589</v>
      </c>
      <c r="AN90">
        <f t="shared" si="144"/>
        <v>-3775</v>
      </c>
      <c r="AO90">
        <f t="shared" si="144"/>
        <v>-3961</v>
      </c>
      <c r="AP90">
        <f t="shared" si="144"/>
        <v>-4147</v>
      </c>
      <c r="AQ90">
        <f t="shared" si="144"/>
        <v>-4371</v>
      </c>
      <c r="AR90">
        <f t="shared" si="144"/>
        <v>-4595</v>
      </c>
      <c r="AS90">
        <f t="shared" si="144"/>
        <v>-4774</v>
      </c>
      <c r="AT90">
        <f t="shared" si="144"/>
        <v>-4998</v>
      </c>
      <c r="AU90">
        <f t="shared" si="144"/>
        <v>-5211</v>
      </c>
      <c r="AV90">
        <f t="shared" si="144"/>
        <v>-5424</v>
      </c>
      <c r="AW90">
        <f t="shared" si="144"/>
        <v>-5637</v>
      </c>
      <c r="AX90">
        <f t="shared" si="144"/>
        <v>-5850</v>
      </c>
      <c r="AY90">
        <f t="shared" si="144"/>
        <v>-6021</v>
      </c>
      <c r="AZ90">
        <f t="shared" si="144"/>
        <v>-6173</v>
      </c>
      <c r="BA90">
        <f t="shared" si="144"/>
        <v>-6325</v>
      </c>
      <c r="BB90">
        <f t="shared" si="144"/>
        <v>-6477</v>
      </c>
      <c r="BC90">
        <f t="shared" si="144"/>
        <v>-6648</v>
      </c>
      <c r="BD90">
        <f t="shared" si="144"/>
        <v>-6819</v>
      </c>
      <c r="BE90">
        <f t="shared" si="144"/>
        <v>-6990</v>
      </c>
      <c r="BF90">
        <f t="shared" si="144"/>
        <v>-7161</v>
      </c>
      <c r="BG90">
        <f t="shared" si="144"/>
        <v>-7332</v>
      </c>
      <c r="BH90">
        <f t="shared" si="144"/>
        <v>-7503</v>
      </c>
      <c r="BI90">
        <f t="shared" si="144"/>
        <v>-7674</v>
      </c>
      <c r="BJ90">
        <f t="shared" si="144"/>
        <v>-7845</v>
      </c>
      <c r="BK90">
        <f t="shared" si="144"/>
        <v>-8016</v>
      </c>
      <c r="BL90">
        <f t="shared" si="144"/>
        <v>-8186</v>
      </c>
      <c r="BM90">
        <f t="shared" si="144"/>
        <v>-8356</v>
      </c>
      <c r="BN90">
        <f t="shared" si="144"/>
        <v>-8665</v>
      </c>
      <c r="BO90">
        <f t="shared" si="144"/>
        <v>-8665</v>
      </c>
      <c r="BP90">
        <f t="shared" ref="BP90:CC90" si="145">BP84-BP87</f>
        <v>-8665</v>
      </c>
      <c r="BQ90">
        <f t="shared" si="145"/>
        <v>-8665</v>
      </c>
      <c r="BR90">
        <f t="shared" si="145"/>
        <v>-8665</v>
      </c>
      <c r="BS90">
        <f t="shared" si="145"/>
        <v>-8805</v>
      </c>
      <c r="BT90">
        <f t="shared" si="145"/>
        <v>-8945</v>
      </c>
      <c r="BU90">
        <f t="shared" si="145"/>
        <v>-9085</v>
      </c>
      <c r="BV90">
        <f t="shared" si="145"/>
        <v>-9225</v>
      </c>
      <c r="BW90">
        <f t="shared" si="145"/>
        <v>-9365</v>
      </c>
      <c r="BX90">
        <f t="shared" si="145"/>
        <v>-9505</v>
      </c>
      <c r="BY90">
        <f t="shared" si="145"/>
        <v>-9645</v>
      </c>
      <c r="BZ90">
        <f t="shared" si="145"/>
        <v>-9785</v>
      </c>
      <c r="CA90">
        <f t="shared" si="145"/>
        <v>-9925</v>
      </c>
      <c r="CB90">
        <f t="shared" si="145"/>
        <v>-10065</v>
      </c>
      <c r="CC90">
        <f t="shared" si="145"/>
        <v>-10205</v>
      </c>
    </row>
    <row r="91" spans="1:81" x14ac:dyDescent="0.2">
      <c r="A91" s="43" t="s">
        <v>227</v>
      </c>
      <c r="B91" s="44" t="s">
        <v>208</v>
      </c>
      <c r="C91" s="9" t="s">
        <v>38</v>
      </c>
      <c r="D91" s="58">
        <f>IFERROR(VLOOKUP(A91,OS!$A:$B,2,0),0)</f>
        <v>620</v>
      </c>
      <c r="E91" s="5">
        <f>(D91+D92-D94)</f>
        <v>760</v>
      </c>
      <c r="F91" s="5">
        <f>(E91+E92-E94)</f>
        <v>600</v>
      </c>
      <c r="G91" s="5">
        <f>(F91+F92-F94)</f>
        <v>600</v>
      </c>
      <c r="H91" s="5">
        <f>(G91+G92-G94)</f>
        <v>520</v>
      </c>
      <c r="I91" s="5">
        <f t="shared" ref="I91:AN91" si="146">(H91+H92-H94+D93)</f>
        <v>360</v>
      </c>
      <c r="J91" s="5">
        <f t="shared" si="146"/>
        <v>200</v>
      </c>
      <c r="K91" s="5">
        <f t="shared" si="146"/>
        <v>360</v>
      </c>
      <c r="L91" s="5">
        <f t="shared" si="146"/>
        <v>200</v>
      </c>
      <c r="M91" s="5">
        <f t="shared" si="146"/>
        <v>120</v>
      </c>
      <c r="N91" s="5">
        <f t="shared" si="146"/>
        <v>-120</v>
      </c>
      <c r="O91" s="5">
        <f t="shared" si="146"/>
        <v>-120</v>
      </c>
      <c r="P91" s="5">
        <f t="shared" si="146"/>
        <v>-120</v>
      </c>
      <c r="Q91" s="5">
        <f t="shared" si="146"/>
        <v>-120</v>
      </c>
      <c r="R91" s="5">
        <f t="shared" si="146"/>
        <v>-120</v>
      </c>
      <c r="S91" s="5">
        <f t="shared" si="146"/>
        <v>-280</v>
      </c>
      <c r="T91" s="5">
        <f t="shared" si="146"/>
        <v>-360</v>
      </c>
      <c r="U91" s="5">
        <f t="shared" si="146"/>
        <v>-440</v>
      </c>
      <c r="V91" s="5">
        <f t="shared" si="146"/>
        <v>-560</v>
      </c>
      <c r="W91" s="5">
        <f t="shared" si="146"/>
        <v>-680</v>
      </c>
      <c r="X91" s="5">
        <f t="shared" si="146"/>
        <v>-800</v>
      </c>
      <c r="Y91" s="5">
        <f t="shared" si="146"/>
        <v>-920</v>
      </c>
      <c r="Z91" s="5">
        <f t="shared" si="146"/>
        <v>-980</v>
      </c>
      <c r="AA91" s="5">
        <f t="shared" si="146"/>
        <v>-1040</v>
      </c>
      <c r="AB91" s="5">
        <f t="shared" si="146"/>
        <v>-1100</v>
      </c>
      <c r="AC91" s="5">
        <f t="shared" si="146"/>
        <v>-1160</v>
      </c>
      <c r="AD91" s="5">
        <f t="shared" si="146"/>
        <v>-1160</v>
      </c>
      <c r="AE91" s="5">
        <f t="shared" si="146"/>
        <v>-1160</v>
      </c>
      <c r="AF91" s="5">
        <f t="shared" si="146"/>
        <v>-1160</v>
      </c>
      <c r="AG91" s="5">
        <f t="shared" si="146"/>
        <v>-1160</v>
      </c>
      <c r="AH91" s="5">
        <f t="shared" si="146"/>
        <v>-1160</v>
      </c>
      <c r="AI91" s="5">
        <f t="shared" si="146"/>
        <v>-1160</v>
      </c>
      <c r="AJ91" s="5">
        <f t="shared" si="146"/>
        <v>-1160</v>
      </c>
      <c r="AK91" s="5">
        <f t="shared" si="146"/>
        <v>-1160</v>
      </c>
      <c r="AL91" s="5">
        <f t="shared" si="146"/>
        <v>-1160</v>
      </c>
      <c r="AM91" s="5">
        <f t="shared" si="146"/>
        <v>-1160</v>
      </c>
      <c r="AN91" s="5">
        <f t="shared" si="146"/>
        <v>-1160</v>
      </c>
      <c r="AO91" s="5">
        <f t="shared" ref="AO91:BT91" si="147">(AN91+AN92-AN94+AJ93)</f>
        <v>-1218</v>
      </c>
      <c r="AP91" s="5">
        <f t="shared" si="147"/>
        <v>-1276</v>
      </c>
      <c r="AQ91" s="5">
        <f t="shared" si="147"/>
        <v>-1334</v>
      </c>
      <c r="AR91" s="5">
        <f t="shared" si="147"/>
        <v>-1404</v>
      </c>
      <c r="AS91" s="5">
        <f t="shared" si="147"/>
        <v>-1474</v>
      </c>
      <c r="AT91" s="5">
        <f t="shared" si="147"/>
        <v>-1530</v>
      </c>
      <c r="AU91" s="5">
        <f t="shared" si="147"/>
        <v>-1600</v>
      </c>
      <c r="AV91" s="5">
        <f t="shared" si="147"/>
        <v>-1666</v>
      </c>
      <c r="AW91" s="5">
        <f t="shared" si="147"/>
        <v>-1732</v>
      </c>
      <c r="AX91" s="5">
        <f t="shared" si="147"/>
        <v>-1798</v>
      </c>
      <c r="AY91" s="5">
        <f t="shared" si="147"/>
        <v>-1864</v>
      </c>
      <c r="AZ91" s="5">
        <f t="shared" si="147"/>
        <v>-1917</v>
      </c>
      <c r="BA91" s="5">
        <f t="shared" si="147"/>
        <v>-1964</v>
      </c>
      <c r="BB91" s="5">
        <f t="shared" si="147"/>
        <v>-2011</v>
      </c>
      <c r="BC91" s="5">
        <f t="shared" si="147"/>
        <v>-2058</v>
      </c>
      <c r="BD91" s="5">
        <f t="shared" si="147"/>
        <v>-2111</v>
      </c>
      <c r="BE91" s="5">
        <f t="shared" si="147"/>
        <v>-2164</v>
      </c>
      <c r="BF91" s="5">
        <f t="shared" si="147"/>
        <v>-2217</v>
      </c>
      <c r="BG91" s="5">
        <f t="shared" si="147"/>
        <v>-2270</v>
      </c>
      <c r="BH91" s="5">
        <f t="shared" si="147"/>
        <v>-2323</v>
      </c>
      <c r="BI91" s="5">
        <f t="shared" si="147"/>
        <v>-2376</v>
      </c>
      <c r="BJ91" s="5">
        <f t="shared" si="147"/>
        <v>-2429</v>
      </c>
      <c r="BK91" s="5">
        <f t="shared" si="147"/>
        <v>-2482</v>
      </c>
      <c r="BL91" s="5">
        <f t="shared" si="147"/>
        <v>-2535</v>
      </c>
      <c r="BM91" s="5">
        <f t="shared" si="147"/>
        <v>-2588</v>
      </c>
      <c r="BN91" s="5">
        <f t="shared" si="147"/>
        <v>-2641</v>
      </c>
      <c r="BO91" s="5">
        <f t="shared" si="147"/>
        <v>-2737</v>
      </c>
      <c r="BP91" s="5">
        <f t="shared" si="147"/>
        <v>-2737</v>
      </c>
      <c r="BQ91" s="5">
        <f t="shared" si="147"/>
        <v>-2737</v>
      </c>
      <c r="BR91" s="5">
        <f t="shared" si="147"/>
        <v>-2737</v>
      </c>
      <c r="BS91" s="5">
        <f t="shared" si="147"/>
        <v>-2737</v>
      </c>
      <c r="BT91" s="5">
        <f t="shared" si="147"/>
        <v>-2781</v>
      </c>
      <c r="BU91" s="5">
        <f t="shared" ref="BU91:CZ91" si="148">(BT91+BT92-BT94+BP93)</f>
        <v>-2825</v>
      </c>
      <c r="BV91" s="5">
        <f t="shared" si="148"/>
        <v>-2869</v>
      </c>
      <c r="BW91" s="5">
        <f t="shared" si="148"/>
        <v>-2913</v>
      </c>
      <c r="BX91" s="5">
        <f t="shared" si="148"/>
        <v>-2957</v>
      </c>
      <c r="BY91" s="5">
        <f t="shared" si="148"/>
        <v>-3001</v>
      </c>
      <c r="BZ91" s="5">
        <f t="shared" si="148"/>
        <v>-3045</v>
      </c>
      <c r="CA91" s="5">
        <f t="shared" si="148"/>
        <v>-3089</v>
      </c>
      <c r="CB91" s="5">
        <f t="shared" si="148"/>
        <v>-3133</v>
      </c>
      <c r="CC91" s="5">
        <f t="shared" si="148"/>
        <v>-3177</v>
      </c>
    </row>
    <row r="92" spans="1:81" x14ac:dyDescent="0.2">
      <c r="A92" s="5" t="s">
        <v>209</v>
      </c>
      <c r="B92" s="5">
        <v>9.2582199999999997</v>
      </c>
      <c r="C92" s="45" t="s">
        <v>39</v>
      </c>
      <c r="D92" s="59">
        <f>IFERROR(VLOOKUP(A91,WIP!$A:$B,2,0),0)</f>
        <v>140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1" x14ac:dyDescent="0.2">
      <c r="A93" s="5" t="s">
        <v>210</v>
      </c>
      <c r="B93" s="5">
        <v>0.26400000000000001</v>
      </c>
      <c r="C93" s="9" t="s">
        <v>211</v>
      </c>
      <c r="D93" s="60">
        <f>IFERROR(VLOOKUP($A91,Plan!$A:B,D$4,0),0)</f>
        <v>0</v>
      </c>
      <c r="E93" s="70">
        <f>IFERROR(VLOOKUP($A91,Plan!$A:C,E$4,0),0)</f>
        <v>0</v>
      </c>
      <c r="F93" s="70">
        <f>IFERROR(VLOOKUP($A91,Plan!$A:D,F$4,0),0)</f>
        <v>240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</row>
    <row r="94" spans="1:81" x14ac:dyDescent="0.2">
      <c r="A94" s="5" t="s">
        <v>212</v>
      </c>
      <c r="B94" s="5">
        <v>4.5999999999999999E-2</v>
      </c>
      <c r="C94" s="9" t="s">
        <v>213</v>
      </c>
      <c r="D94" s="61">
        <f>IFERROR(VLOOKUP($A91,Sales!$A:B,D$2,0),0)</f>
        <v>0</v>
      </c>
      <c r="E94" s="61">
        <f>IFERROR(VLOOKUP($A91,Sales!$A:C,E$2,0),0)</f>
        <v>160</v>
      </c>
      <c r="F94" s="61">
        <f>IFERROR(VLOOKUP($A91,Sales!$A:D,F$2,0),0)</f>
        <v>0</v>
      </c>
      <c r="G94" s="61">
        <f>IFERROR(VLOOKUP($A91,Sales!$A:E,G$2,0),0)</f>
        <v>80</v>
      </c>
      <c r="H94" s="61">
        <f>IFERROR(VLOOKUP($A91,Sales!$A:F,H$2,0),0)</f>
        <v>160</v>
      </c>
      <c r="I94" s="61">
        <f>IFERROR(VLOOKUP($A91,Sales!$A:G,I$2,0),0)</f>
        <v>160</v>
      </c>
      <c r="J94" s="61">
        <f>IFERROR(VLOOKUP($A91,Sales!$A:H,J$2,0),0)</f>
        <v>80</v>
      </c>
      <c r="K94" s="61">
        <f>IFERROR(VLOOKUP($A91,Sales!$A:I,K$2,0),0)</f>
        <v>160</v>
      </c>
      <c r="L94" s="61">
        <f>IFERROR(VLOOKUP($A91,Sales!$A:J,L$2,0),0)</f>
        <v>80</v>
      </c>
      <c r="M94" s="61">
        <f>IFERROR(VLOOKUP($A91,Sales!$A:K,M$2,0),0)</f>
        <v>240</v>
      </c>
      <c r="N94" s="61">
        <f>IFERROR(VLOOKUP($A91,Sales!$A:L,N$2,0),0)</f>
        <v>0</v>
      </c>
      <c r="O94" s="61">
        <f>IFERROR(VLOOKUP($A91,Sales!$A:M,O$2,0),0)</f>
        <v>0</v>
      </c>
      <c r="P94" s="61">
        <f>IFERROR(VLOOKUP($A91,Sales!$A:N,P$2,0),0)</f>
        <v>0</v>
      </c>
      <c r="Q94" s="61">
        <f>IFERROR(VLOOKUP($A91,Sales!$A:O,Q$2,0),0)</f>
        <v>0</v>
      </c>
      <c r="R94" s="61">
        <f>IFERROR(VLOOKUP($A91,Sales!$A:P,R$2,0),0)</f>
        <v>160</v>
      </c>
      <c r="S94" s="61">
        <f>IFERROR(VLOOKUP($A91,Sales!$A:Q,S$2,0),0)</f>
        <v>80</v>
      </c>
      <c r="T94" s="61">
        <f>IFERROR(VLOOKUP($A91,Sales!$A:R,T$2,0),0)</f>
        <v>80</v>
      </c>
      <c r="U94" s="61">
        <f>IFERROR(VLOOKUP($A91,Sales!$A:S,U$2,0),0)</f>
        <v>120</v>
      </c>
      <c r="V94" s="61">
        <f>IFERROR(VLOOKUP($A91,Sales!$A:T,V$2,0),0)</f>
        <v>120</v>
      </c>
      <c r="W94" s="61">
        <f>IFERROR(VLOOKUP($A91,Sales!$A:U,W$2,0),0)</f>
        <v>120</v>
      </c>
      <c r="X94" s="61">
        <f>IFERROR(VLOOKUP($A91,Sales!$A:V,X$2,0),0)</f>
        <v>120</v>
      </c>
      <c r="Y94" s="61">
        <f>IFERROR(VLOOKUP($A91,Sales!$A:W,Y$2,0),0)</f>
        <v>60</v>
      </c>
      <c r="Z94" s="61">
        <f>IFERROR(VLOOKUP($A91,Sales!$A:X,Z$2,0),0)</f>
        <v>60</v>
      </c>
      <c r="AA94" s="61">
        <f>IFERROR(VLOOKUP($A91,Sales!$A:Y,AA$2,0),0)</f>
        <v>60</v>
      </c>
      <c r="AB94" s="61">
        <f>IFERROR(VLOOKUP($A91,Sales!$A:Z,AB$2,0),0)</f>
        <v>60</v>
      </c>
      <c r="AC94" s="61">
        <f>IFERROR(VLOOKUP($A91,Sales!$A:AA,AC$2,0),0)</f>
        <v>0</v>
      </c>
      <c r="AD94" s="61">
        <f>IFERROR(VLOOKUP($A91,Sales!$A:AB,AD$2,0),0)</f>
        <v>0</v>
      </c>
      <c r="AE94" s="61">
        <f>IFERROR(VLOOKUP($A91,Sales!$A:AC,AE$2,0),0)</f>
        <v>0</v>
      </c>
      <c r="AF94" s="61">
        <f>IFERROR(VLOOKUP($A91,Sales!$A:AD,AF$2,0),0)</f>
        <v>0</v>
      </c>
      <c r="AG94" s="61">
        <f>IFERROR(VLOOKUP($A91,Sales!$A:AE,AG$2,0),0)</f>
        <v>0</v>
      </c>
      <c r="AH94" s="61">
        <f>IFERROR(VLOOKUP($A91,Sales!$A:AF,AH$2,0),0)</f>
        <v>0</v>
      </c>
      <c r="AI94" s="61">
        <f>IFERROR(VLOOKUP($A91,Sales!$A:AG,AI$2,0),0)</f>
        <v>0</v>
      </c>
      <c r="AJ94" s="61">
        <f>IFERROR(VLOOKUP($A91,Sales!$A:AH,AJ$2,0),0)</f>
        <v>0</v>
      </c>
      <c r="AK94" s="73">
        <f t="shared" ref="AK94:CC94" si="149">CEILING(AK$5*$B90,1)</f>
        <v>0</v>
      </c>
      <c r="AL94" s="73">
        <f t="shared" si="149"/>
        <v>0</v>
      </c>
      <c r="AM94" s="73">
        <f t="shared" si="149"/>
        <v>0</v>
      </c>
      <c r="AN94" s="73">
        <f t="shared" si="149"/>
        <v>58</v>
      </c>
      <c r="AO94" s="73">
        <f t="shared" si="149"/>
        <v>58</v>
      </c>
      <c r="AP94" s="73">
        <f t="shared" si="149"/>
        <v>58</v>
      </c>
      <c r="AQ94" s="73">
        <f t="shared" si="149"/>
        <v>70</v>
      </c>
      <c r="AR94" s="73">
        <f t="shared" si="149"/>
        <v>70</v>
      </c>
      <c r="AS94" s="73">
        <f t="shared" si="149"/>
        <v>56</v>
      </c>
      <c r="AT94" s="73">
        <f t="shared" si="149"/>
        <v>70</v>
      </c>
      <c r="AU94" s="73">
        <f t="shared" si="149"/>
        <v>66</v>
      </c>
      <c r="AV94" s="73">
        <f t="shared" si="149"/>
        <v>66</v>
      </c>
      <c r="AW94" s="73">
        <f t="shared" si="149"/>
        <v>66</v>
      </c>
      <c r="AX94" s="73">
        <f t="shared" si="149"/>
        <v>66</v>
      </c>
      <c r="AY94" s="73">
        <f t="shared" si="149"/>
        <v>53</v>
      </c>
      <c r="AZ94" s="73">
        <f t="shared" si="149"/>
        <v>47</v>
      </c>
      <c r="BA94" s="73">
        <f t="shared" si="149"/>
        <v>47</v>
      </c>
      <c r="BB94" s="73">
        <f t="shared" si="149"/>
        <v>47</v>
      </c>
      <c r="BC94" s="73">
        <f t="shared" si="149"/>
        <v>53</v>
      </c>
      <c r="BD94" s="73">
        <f t="shared" si="149"/>
        <v>53</v>
      </c>
      <c r="BE94" s="73">
        <f t="shared" si="149"/>
        <v>53</v>
      </c>
      <c r="BF94" s="73">
        <f t="shared" si="149"/>
        <v>53</v>
      </c>
      <c r="BG94" s="73">
        <f t="shared" si="149"/>
        <v>53</v>
      </c>
      <c r="BH94" s="73">
        <f t="shared" si="149"/>
        <v>53</v>
      </c>
      <c r="BI94" s="73">
        <f t="shared" si="149"/>
        <v>53</v>
      </c>
      <c r="BJ94" s="73">
        <f t="shared" si="149"/>
        <v>53</v>
      </c>
      <c r="BK94" s="73">
        <f t="shared" si="149"/>
        <v>53</v>
      </c>
      <c r="BL94" s="73">
        <f t="shared" si="149"/>
        <v>53</v>
      </c>
      <c r="BM94" s="73">
        <f t="shared" si="149"/>
        <v>53</v>
      </c>
      <c r="BN94" s="73">
        <f t="shared" si="149"/>
        <v>96</v>
      </c>
      <c r="BO94" s="73">
        <f t="shared" si="149"/>
        <v>0</v>
      </c>
      <c r="BP94" s="73">
        <f t="shared" si="149"/>
        <v>0</v>
      </c>
      <c r="BQ94" s="73">
        <f t="shared" si="149"/>
        <v>0</v>
      </c>
      <c r="BR94" s="73">
        <f t="shared" si="149"/>
        <v>0</v>
      </c>
      <c r="BS94" s="73">
        <f t="shared" si="149"/>
        <v>44</v>
      </c>
      <c r="BT94" s="73">
        <f t="shared" si="149"/>
        <v>44</v>
      </c>
      <c r="BU94" s="73">
        <f t="shared" si="149"/>
        <v>44</v>
      </c>
      <c r="BV94" s="73">
        <f t="shared" si="149"/>
        <v>44</v>
      </c>
      <c r="BW94" s="73">
        <f t="shared" si="149"/>
        <v>44</v>
      </c>
      <c r="BX94" s="73">
        <f t="shared" si="149"/>
        <v>44</v>
      </c>
      <c r="BY94" s="73">
        <f t="shared" si="149"/>
        <v>44</v>
      </c>
      <c r="BZ94" s="73">
        <f t="shared" si="149"/>
        <v>44</v>
      </c>
      <c r="CA94" s="73">
        <f t="shared" si="149"/>
        <v>44</v>
      </c>
      <c r="CB94" s="73">
        <f t="shared" si="149"/>
        <v>44</v>
      </c>
      <c r="CC94" s="73">
        <f t="shared" si="149"/>
        <v>44</v>
      </c>
    </row>
    <row r="95" spans="1:81" x14ac:dyDescent="0.2">
      <c r="A95" s="5" t="s">
        <v>214</v>
      </c>
      <c r="B95" s="5">
        <v>0.31</v>
      </c>
      <c r="C95" s="46" t="s">
        <v>215</v>
      </c>
      <c r="D95" s="11">
        <f t="shared" ref="D95:AI95" si="150">IF(D94=0,0, ROUND(D91 * 1/D94* D$13,1))</f>
        <v>0</v>
      </c>
      <c r="E95" s="11">
        <f t="shared" si="150"/>
        <v>23.8</v>
      </c>
      <c r="F95" s="11">
        <f t="shared" si="150"/>
        <v>0</v>
      </c>
      <c r="G95" s="11">
        <f t="shared" si="150"/>
        <v>37.5</v>
      </c>
      <c r="H95" s="11">
        <f t="shared" si="150"/>
        <v>16.3</v>
      </c>
      <c r="I95" s="11">
        <f t="shared" si="150"/>
        <v>11.3</v>
      </c>
      <c r="J95" s="11">
        <f t="shared" si="150"/>
        <v>12.5</v>
      </c>
      <c r="K95" s="11">
        <f t="shared" si="150"/>
        <v>11.3</v>
      </c>
      <c r="L95" s="11">
        <f t="shared" si="150"/>
        <v>12.5</v>
      </c>
      <c r="M95" s="11">
        <f t="shared" si="150"/>
        <v>2.5</v>
      </c>
      <c r="N95" s="11">
        <f t="shared" si="150"/>
        <v>0</v>
      </c>
      <c r="O95" s="11">
        <f t="shared" si="150"/>
        <v>0</v>
      </c>
      <c r="P95" s="11">
        <f t="shared" si="150"/>
        <v>0</v>
      </c>
      <c r="Q95" s="11">
        <f t="shared" si="150"/>
        <v>0</v>
      </c>
      <c r="R95" s="11">
        <f t="shared" si="150"/>
        <v>-3.8</v>
      </c>
      <c r="S95" s="11">
        <f t="shared" si="150"/>
        <v>-17.5</v>
      </c>
      <c r="T95" s="11">
        <f t="shared" si="150"/>
        <v>-22.5</v>
      </c>
      <c r="U95" s="11">
        <f t="shared" si="150"/>
        <v>-18.3</v>
      </c>
      <c r="V95" s="11">
        <f t="shared" si="150"/>
        <v>-23.3</v>
      </c>
      <c r="W95" s="11">
        <f t="shared" si="150"/>
        <v>-28.3</v>
      </c>
      <c r="X95" s="11">
        <f t="shared" si="150"/>
        <v>-33.299999999999997</v>
      </c>
      <c r="Y95" s="11">
        <f t="shared" si="150"/>
        <v>-76.7</v>
      </c>
      <c r="Z95" s="11">
        <f t="shared" si="150"/>
        <v>-81.7</v>
      </c>
      <c r="AA95" s="11">
        <f t="shared" si="150"/>
        <v>-86.7</v>
      </c>
      <c r="AB95" s="11">
        <f t="shared" si="150"/>
        <v>-91.7</v>
      </c>
      <c r="AC95" s="11">
        <f t="shared" si="150"/>
        <v>0</v>
      </c>
      <c r="AD95" s="11">
        <f t="shared" si="150"/>
        <v>0</v>
      </c>
      <c r="AE95" s="11">
        <f t="shared" si="150"/>
        <v>0</v>
      </c>
      <c r="AF95" s="11">
        <f t="shared" si="150"/>
        <v>0</v>
      </c>
      <c r="AG95" s="11">
        <f t="shared" si="150"/>
        <v>0</v>
      </c>
      <c r="AH95" s="11">
        <f t="shared" si="150"/>
        <v>0</v>
      </c>
      <c r="AI95" s="11">
        <f t="shared" si="150"/>
        <v>0</v>
      </c>
      <c r="AJ95" s="11">
        <f t="shared" ref="AJ95:BO95" si="151">IF(AJ94=0,0, ROUND(AJ91 * 1/AJ94* AJ$13,1))</f>
        <v>0</v>
      </c>
      <c r="AK95" s="11">
        <f t="shared" si="151"/>
        <v>0</v>
      </c>
      <c r="AL95" s="11">
        <f t="shared" si="151"/>
        <v>0</v>
      </c>
      <c r="AM95" s="11">
        <f t="shared" si="151"/>
        <v>0</v>
      </c>
      <c r="AN95" s="11">
        <f t="shared" si="151"/>
        <v>-100</v>
      </c>
      <c r="AO95" s="11">
        <f t="shared" si="151"/>
        <v>-105</v>
      </c>
      <c r="AP95" s="11">
        <f t="shared" si="151"/>
        <v>-110</v>
      </c>
      <c r="AQ95" s="11">
        <f t="shared" si="151"/>
        <v>-95.3</v>
      </c>
      <c r="AR95" s="11">
        <f t="shared" si="151"/>
        <v>-100.3</v>
      </c>
      <c r="AS95" s="11">
        <f t="shared" si="151"/>
        <v>-131.6</v>
      </c>
      <c r="AT95" s="11">
        <f t="shared" si="151"/>
        <v>-109.3</v>
      </c>
      <c r="AU95" s="11">
        <f t="shared" si="151"/>
        <v>-121.2</v>
      </c>
      <c r="AV95" s="11">
        <f t="shared" si="151"/>
        <v>-126.2</v>
      </c>
      <c r="AW95" s="11">
        <f t="shared" si="151"/>
        <v>-131.19999999999999</v>
      </c>
      <c r="AX95" s="11">
        <f t="shared" si="151"/>
        <v>-136.19999999999999</v>
      </c>
      <c r="AY95" s="11">
        <f t="shared" si="151"/>
        <v>-175.8</v>
      </c>
      <c r="AZ95" s="11">
        <f t="shared" si="151"/>
        <v>-203.9</v>
      </c>
      <c r="BA95" s="11">
        <f t="shared" si="151"/>
        <v>-208.9</v>
      </c>
      <c r="BB95" s="11">
        <f t="shared" si="151"/>
        <v>-213.9</v>
      </c>
      <c r="BC95" s="11">
        <f t="shared" si="151"/>
        <v>-194.2</v>
      </c>
      <c r="BD95" s="11">
        <f t="shared" si="151"/>
        <v>-199.2</v>
      </c>
      <c r="BE95" s="11">
        <f t="shared" si="151"/>
        <v>-204.2</v>
      </c>
      <c r="BF95" s="11">
        <f t="shared" si="151"/>
        <v>-209.2</v>
      </c>
      <c r="BG95" s="11">
        <f t="shared" si="151"/>
        <v>-214.2</v>
      </c>
      <c r="BH95" s="11">
        <f t="shared" si="151"/>
        <v>-219.2</v>
      </c>
      <c r="BI95" s="11">
        <f t="shared" si="151"/>
        <v>-224.2</v>
      </c>
      <c r="BJ95" s="11">
        <f t="shared" si="151"/>
        <v>-229.2</v>
      </c>
      <c r="BK95" s="11">
        <f t="shared" si="151"/>
        <v>-234.2</v>
      </c>
      <c r="BL95" s="11">
        <f t="shared" si="151"/>
        <v>-239.2</v>
      </c>
      <c r="BM95" s="11">
        <f t="shared" si="151"/>
        <v>-244.2</v>
      </c>
      <c r="BN95" s="11">
        <f t="shared" si="151"/>
        <v>-137.6</v>
      </c>
      <c r="BO95" s="11">
        <f t="shared" si="151"/>
        <v>0</v>
      </c>
      <c r="BP95" s="11">
        <f t="shared" ref="BP95:CU95" si="152">IF(BP94=0,0, ROUND(BP91 * 1/BP94* BP$13,1))</f>
        <v>0</v>
      </c>
      <c r="BQ95" s="11">
        <f t="shared" si="152"/>
        <v>0</v>
      </c>
      <c r="BR95" s="11">
        <f t="shared" si="152"/>
        <v>0</v>
      </c>
      <c r="BS95" s="11">
        <f t="shared" si="152"/>
        <v>-311</v>
      </c>
      <c r="BT95" s="11">
        <f t="shared" si="152"/>
        <v>-316</v>
      </c>
      <c r="BU95" s="11">
        <f t="shared" si="152"/>
        <v>-321</v>
      </c>
      <c r="BV95" s="11">
        <f t="shared" si="152"/>
        <v>-326</v>
      </c>
      <c r="BW95" s="11">
        <f t="shared" si="152"/>
        <v>-331</v>
      </c>
      <c r="BX95" s="11">
        <f t="shared" si="152"/>
        <v>-336</v>
      </c>
      <c r="BY95" s="11">
        <f t="shared" si="152"/>
        <v>-341</v>
      </c>
      <c r="BZ95" s="11">
        <f t="shared" si="152"/>
        <v>-346</v>
      </c>
      <c r="CA95" s="11">
        <f t="shared" si="152"/>
        <v>-351</v>
      </c>
      <c r="CB95" s="11">
        <f t="shared" si="152"/>
        <v>-356</v>
      </c>
      <c r="CC95" s="11">
        <f t="shared" si="152"/>
        <v>-361</v>
      </c>
    </row>
    <row r="96" spans="1:81" x14ac:dyDescent="0.2">
      <c r="A96" s="10">
        <v>25</v>
      </c>
      <c r="B96" s="10">
        <v>1</v>
      </c>
      <c r="C96" s="68">
        <v>7.1055599999999997</v>
      </c>
      <c r="D96">
        <f t="shared" ref="D96:AI96" si="153">D93/$B96</f>
        <v>0</v>
      </c>
      <c r="E96">
        <f t="shared" si="153"/>
        <v>0</v>
      </c>
      <c r="F96">
        <f t="shared" si="153"/>
        <v>240</v>
      </c>
      <c r="G96">
        <f t="shared" si="153"/>
        <v>0</v>
      </c>
      <c r="H96">
        <f t="shared" si="153"/>
        <v>0</v>
      </c>
      <c r="I96">
        <f t="shared" si="153"/>
        <v>0</v>
      </c>
      <c r="J96">
        <f t="shared" si="153"/>
        <v>0</v>
      </c>
      <c r="K96">
        <f t="shared" si="153"/>
        <v>0</v>
      </c>
      <c r="L96">
        <f t="shared" si="153"/>
        <v>0</v>
      </c>
      <c r="M96">
        <f t="shared" si="153"/>
        <v>0</v>
      </c>
      <c r="N96">
        <f t="shared" si="153"/>
        <v>0</v>
      </c>
      <c r="O96">
        <f t="shared" si="153"/>
        <v>0</v>
      </c>
      <c r="P96">
        <f t="shared" si="153"/>
        <v>0</v>
      </c>
      <c r="Q96">
        <f t="shared" si="153"/>
        <v>0</v>
      </c>
      <c r="R96">
        <f t="shared" si="153"/>
        <v>0</v>
      </c>
      <c r="S96">
        <f t="shared" si="153"/>
        <v>0</v>
      </c>
      <c r="T96">
        <f t="shared" si="153"/>
        <v>0</v>
      </c>
      <c r="U96">
        <f t="shared" si="153"/>
        <v>0</v>
      </c>
      <c r="V96">
        <f t="shared" si="153"/>
        <v>0</v>
      </c>
      <c r="W96">
        <f t="shared" si="153"/>
        <v>0</v>
      </c>
      <c r="X96">
        <f t="shared" si="153"/>
        <v>0</v>
      </c>
      <c r="Y96">
        <f t="shared" si="153"/>
        <v>0</v>
      </c>
      <c r="Z96">
        <f t="shared" si="153"/>
        <v>0</v>
      </c>
      <c r="AA96">
        <f t="shared" si="153"/>
        <v>0</v>
      </c>
      <c r="AB96">
        <f t="shared" si="153"/>
        <v>0</v>
      </c>
      <c r="AC96">
        <f t="shared" si="153"/>
        <v>0</v>
      </c>
      <c r="AD96">
        <f t="shared" si="153"/>
        <v>0</v>
      </c>
      <c r="AE96">
        <f t="shared" si="153"/>
        <v>0</v>
      </c>
      <c r="AF96">
        <f t="shared" si="153"/>
        <v>0</v>
      </c>
      <c r="AG96">
        <f t="shared" si="153"/>
        <v>0</v>
      </c>
      <c r="AH96">
        <f t="shared" si="153"/>
        <v>0</v>
      </c>
      <c r="AI96">
        <f t="shared" si="153"/>
        <v>0</v>
      </c>
      <c r="AJ96">
        <f t="shared" ref="AJ96:BO96" si="154">AJ93/$B96</f>
        <v>0</v>
      </c>
      <c r="AK96">
        <f t="shared" si="154"/>
        <v>0</v>
      </c>
      <c r="AL96">
        <f t="shared" si="154"/>
        <v>0</v>
      </c>
      <c r="AM96">
        <f t="shared" si="154"/>
        <v>0</v>
      </c>
      <c r="AN96">
        <f t="shared" si="154"/>
        <v>0</v>
      </c>
      <c r="AO96">
        <f t="shared" si="154"/>
        <v>0</v>
      </c>
      <c r="AP96">
        <f t="shared" si="154"/>
        <v>0</v>
      </c>
      <c r="AQ96">
        <f t="shared" si="154"/>
        <v>0</v>
      </c>
      <c r="AR96">
        <f t="shared" si="154"/>
        <v>0</v>
      </c>
      <c r="AS96">
        <f t="shared" si="154"/>
        <v>0</v>
      </c>
      <c r="AT96">
        <f t="shared" si="154"/>
        <v>0</v>
      </c>
      <c r="AU96">
        <f t="shared" si="154"/>
        <v>0</v>
      </c>
      <c r="AV96">
        <f t="shared" si="154"/>
        <v>0</v>
      </c>
      <c r="AW96">
        <f t="shared" si="154"/>
        <v>0</v>
      </c>
      <c r="AX96">
        <f t="shared" si="154"/>
        <v>0</v>
      </c>
      <c r="AY96">
        <f t="shared" si="154"/>
        <v>0</v>
      </c>
      <c r="AZ96">
        <f t="shared" si="154"/>
        <v>0</v>
      </c>
      <c r="BA96">
        <f t="shared" si="154"/>
        <v>0</v>
      </c>
      <c r="BB96">
        <f t="shared" si="154"/>
        <v>0</v>
      </c>
      <c r="BC96">
        <f t="shared" si="154"/>
        <v>0</v>
      </c>
      <c r="BD96">
        <f t="shared" si="154"/>
        <v>0</v>
      </c>
      <c r="BE96">
        <f t="shared" si="154"/>
        <v>0</v>
      </c>
      <c r="BF96">
        <f t="shared" si="154"/>
        <v>0</v>
      </c>
      <c r="BG96">
        <f t="shared" si="154"/>
        <v>0</v>
      </c>
      <c r="BH96">
        <f t="shared" si="154"/>
        <v>0</v>
      </c>
      <c r="BI96">
        <f t="shared" si="154"/>
        <v>0</v>
      </c>
      <c r="BJ96">
        <f t="shared" si="154"/>
        <v>0</v>
      </c>
      <c r="BK96">
        <f t="shared" si="154"/>
        <v>0</v>
      </c>
      <c r="BL96">
        <f t="shared" si="154"/>
        <v>0</v>
      </c>
      <c r="BM96">
        <f t="shared" si="154"/>
        <v>0</v>
      </c>
      <c r="BN96">
        <f t="shared" si="154"/>
        <v>0</v>
      </c>
      <c r="BO96">
        <f t="shared" si="154"/>
        <v>0</v>
      </c>
      <c r="BP96">
        <f t="shared" ref="BP96:CC96" si="155">BP93/$B96</f>
        <v>0</v>
      </c>
      <c r="BQ96">
        <f t="shared" si="155"/>
        <v>0</v>
      </c>
      <c r="BR96">
        <f t="shared" si="155"/>
        <v>0</v>
      </c>
      <c r="BS96">
        <f t="shared" si="155"/>
        <v>0</v>
      </c>
      <c r="BT96">
        <f t="shared" si="155"/>
        <v>0</v>
      </c>
      <c r="BU96">
        <f t="shared" si="155"/>
        <v>0</v>
      </c>
      <c r="BV96">
        <f t="shared" si="155"/>
        <v>0</v>
      </c>
      <c r="BW96">
        <f t="shared" si="155"/>
        <v>0</v>
      </c>
      <c r="BX96">
        <f t="shared" si="155"/>
        <v>0</v>
      </c>
      <c r="BY96">
        <f t="shared" si="155"/>
        <v>0</v>
      </c>
      <c r="BZ96">
        <f t="shared" si="155"/>
        <v>0</v>
      </c>
      <c r="CA96">
        <f t="shared" si="155"/>
        <v>0</v>
      </c>
      <c r="CB96">
        <f t="shared" si="155"/>
        <v>0</v>
      </c>
      <c r="CC96">
        <f t="shared" si="155"/>
        <v>0</v>
      </c>
    </row>
    <row r="97" spans="1:81" x14ac:dyDescent="0.2">
      <c r="A97" s="10"/>
      <c r="B97" s="67">
        <f>SUM(D101:AJ101)/SUM($D$263:$AJ$263)</f>
        <v>3.906440744176962E-3</v>
      </c>
      <c r="C97" s="9" t="s">
        <v>216</v>
      </c>
      <c r="D97">
        <f t="shared" ref="D97:AI97" si="156">D91-D94</f>
        <v>620</v>
      </c>
      <c r="E97">
        <f t="shared" si="156"/>
        <v>600</v>
      </c>
      <c r="F97">
        <f t="shared" si="156"/>
        <v>600</v>
      </c>
      <c r="G97">
        <f t="shared" si="156"/>
        <v>520</v>
      </c>
      <c r="H97">
        <f t="shared" si="156"/>
        <v>360</v>
      </c>
      <c r="I97">
        <f t="shared" si="156"/>
        <v>200</v>
      </c>
      <c r="J97">
        <f t="shared" si="156"/>
        <v>120</v>
      </c>
      <c r="K97">
        <f t="shared" si="156"/>
        <v>200</v>
      </c>
      <c r="L97">
        <f t="shared" si="156"/>
        <v>120</v>
      </c>
      <c r="M97">
        <f t="shared" si="156"/>
        <v>-120</v>
      </c>
      <c r="N97">
        <f t="shared" si="156"/>
        <v>-120</v>
      </c>
      <c r="O97">
        <f t="shared" si="156"/>
        <v>-120</v>
      </c>
      <c r="P97">
        <f t="shared" si="156"/>
        <v>-120</v>
      </c>
      <c r="Q97">
        <f t="shared" si="156"/>
        <v>-120</v>
      </c>
      <c r="R97">
        <f t="shared" si="156"/>
        <v>-280</v>
      </c>
      <c r="S97">
        <f t="shared" si="156"/>
        <v>-360</v>
      </c>
      <c r="T97">
        <f t="shared" si="156"/>
        <v>-440</v>
      </c>
      <c r="U97">
        <f t="shared" si="156"/>
        <v>-560</v>
      </c>
      <c r="V97">
        <f t="shared" si="156"/>
        <v>-680</v>
      </c>
      <c r="W97">
        <f t="shared" si="156"/>
        <v>-800</v>
      </c>
      <c r="X97">
        <f t="shared" si="156"/>
        <v>-920</v>
      </c>
      <c r="Y97">
        <f t="shared" si="156"/>
        <v>-980</v>
      </c>
      <c r="Z97">
        <f t="shared" si="156"/>
        <v>-1040</v>
      </c>
      <c r="AA97">
        <f t="shared" si="156"/>
        <v>-1100</v>
      </c>
      <c r="AB97">
        <f t="shared" si="156"/>
        <v>-1160</v>
      </c>
      <c r="AC97">
        <f t="shared" si="156"/>
        <v>-1160</v>
      </c>
      <c r="AD97">
        <f t="shared" si="156"/>
        <v>-1160</v>
      </c>
      <c r="AE97">
        <f t="shared" si="156"/>
        <v>-1160</v>
      </c>
      <c r="AF97">
        <f t="shared" si="156"/>
        <v>-1160</v>
      </c>
      <c r="AG97">
        <f t="shared" si="156"/>
        <v>-1160</v>
      </c>
      <c r="AH97">
        <f t="shared" si="156"/>
        <v>-1160</v>
      </c>
      <c r="AI97">
        <f t="shared" si="156"/>
        <v>-1160</v>
      </c>
      <c r="AJ97">
        <f t="shared" ref="AJ97:BO97" si="157">AJ91-AJ94</f>
        <v>-1160</v>
      </c>
      <c r="AK97">
        <f t="shared" si="157"/>
        <v>-1160</v>
      </c>
      <c r="AL97">
        <f t="shared" si="157"/>
        <v>-1160</v>
      </c>
      <c r="AM97">
        <f t="shared" si="157"/>
        <v>-1160</v>
      </c>
      <c r="AN97">
        <f t="shared" si="157"/>
        <v>-1218</v>
      </c>
      <c r="AO97">
        <f t="shared" si="157"/>
        <v>-1276</v>
      </c>
      <c r="AP97">
        <f t="shared" si="157"/>
        <v>-1334</v>
      </c>
      <c r="AQ97">
        <f t="shared" si="157"/>
        <v>-1404</v>
      </c>
      <c r="AR97">
        <f t="shared" si="157"/>
        <v>-1474</v>
      </c>
      <c r="AS97">
        <f t="shared" si="157"/>
        <v>-1530</v>
      </c>
      <c r="AT97">
        <f t="shared" si="157"/>
        <v>-1600</v>
      </c>
      <c r="AU97">
        <f t="shared" si="157"/>
        <v>-1666</v>
      </c>
      <c r="AV97">
        <f t="shared" si="157"/>
        <v>-1732</v>
      </c>
      <c r="AW97">
        <f t="shared" si="157"/>
        <v>-1798</v>
      </c>
      <c r="AX97">
        <f t="shared" si="157"/>
        <v>-1864</v>
      </c>
      <c r="AY97">
        <f t="shared" si="157"/>
        <v>-1917</v>
      </c>
      <c r="AZ97">
        <f t="shared" si="157"/>
        <v>-1964</v>
      </c>
      <c r="BA97">
        <f t="shared" si="157"/>
        <v>-2011</v>
      </c>
      <c r="BB97">
        <f t="shared" si="157"/>
        <v>-2058</v>
      </c>
      <c r="BC97">
        <f t="shared" si="157"/>
        <v>-2111</v>
      </c>
      <c r="BD97">
        <f t="shared" si="157"/>
        <v>-2164</v>
      </c>
      <c r="BE97">
        <f t="shared" si="157"/>
        <v>-2217</v>
      </c>
      <c r="BF97">
        <f t="shared" si="157"/>
        <v>-2270</v>
      </c>
      <c r="BG97">
        <f t="shared" si="157"/>
        <v>-2323</v>
      </c>
      <c r="BH97">
        <f t="shared" si="157"/>
        <v>-2376</v>
      </c>
      <c r="BI97">
        <f t="shared" si="157"/>
        <v>-2429</v>
      </c>
      <c r="BJ97">
        <f t="shared" si="157"/>
        <v>-2482</v>
      </c>
      <c r="BK97">
        <f t="shared" si="157"/>
        <v>-2535</v>
      </c>
      <c r="BL97">
        <f t="shared" si="157"/>
        <v>-2588</v>
      </c>
      <c r="BM97">
        <f t="shared" si="157"/>
        <v>-2641</v>
      </c>
      <c r="BN97">
        <f t="shared" si="157"/>
        <v>-2737</v>
      </c>
      <c r="BO97">
        <f t="shared" si="157"/>
        <v>-2737</v>
      </c>
      <c r="BP97">
        <f t="shared" ref="BP97:CC97" si="158">BP91-BP94</f>
        <v>-2737</v>
      </c>
      <c r="BQ97">
        <f t="shared" si="158"/>
        <v>-2737</v>
      </c>
      <c r="BR97">
        <f t="shared" si="158"/>
        <v>-2737</v>
      </c>
      <c r="BS97">
        <f t="shared" si="158"/>
        <v>-2781</v>
      </c>
      <c r="BT97">
        <f t="shared" si="158"/>
        <v>-2825</v>
      </c>
      <c r="BU97">
        <f t="shared" si="158"/>
        <v>-2869</v>
      </c>
      <c r="BV97">
        <f t="shared" si="158"/>
        <v>-2913</v>
      </c>
      <c r="BW97">
        <f t="shared" si="158"/>
        <v>-2957</v>
      </c>
      <c r="BX97">
        <f t="shared" si="158"/>
        <v>-3001</v>
      </c>
      <c r="BY97">
        <f t="shared" si="158"/>
        <v>-3045</v>
      </c>
      <c r="BZ97">
        <f t="shared" si="158"/>
        <v>-3089</v>
      </c>
      <c r="CA97">
        <f t="shared" si="158"/>
        <v>-3133</v>
      </c>
      <c r="CB97">
        <f t="shared" si="158"/>
        <v>-3177</v>
      </c>
      <c r="CC97">
        <f t="shared" si="158"/>
        <v>-3221</v>
      </c>
    </row>
    <row r="98" spans="1:81" x14ac:dyDescent="0.2">
      <c r="A98" s="43" t="s">
        <v>228</v>
      </c>
      <c r="B98" s="44" t="s">
        <v>208</v>
      </c>
      <c r="C98" s="9" t="s">
        <v>38</v>
      </c>
      <c r="D98" s="58">
        <f>IFERROR(VLOOKUP(A98,OS!$A:$B,2,0),0)</f>
        <v>100</v>
      </c>
      <c r="E98" s="5">
        <f>(D98+D99-D101)</f>
        <v>20</v>
      </c>
      <c r="F98" s="5">
        <f>(E98+E99-E101)</f>
        <v>20</v>
      </c>
      <c r="G98" s="5">
        <f>(F98+F99-F101)</f>
        <v>20</v>
      </c>
      <c r="H98" s="5">
        <f>(G98+G99-G101)</f>
        <v>20</v>
      </c>
      <c r="I98" s="5">
        <f t="shared" ref="I98:AN98" si="159">(H98+H99-H101+D100)</f>
        <v>20</v>
      </c>
      <c r="J98" s="5">
        <f t="shared" si="159"/>
        <v>20</v>
      </c>
      <c r="K98" s="5">
        <f t="shared" si="159"/>
        <v>20</v>
      </c>
      <c r="L98" s="5">
        <f t="shared" si="159"/>
        <v>20</v>
      </c>
      <c r="M98" s="5">
        <f t="shared" si="159"/>
        <v>20</v>
      </c>
      <c r="N98" s="5">
        <f t="shared" si="159"/>
        <v>20</v>
      </c>
      <c r="O98" s="5">
        <f t="shared" si="159"/>
        <v>20</v>
      </c>
      <c r="P98" s="5">
        <f t="shared" si="159"/>
        <v>20</v>
      </c>
      <c r="Q98" s="5">
        <f t="shared" si="159"/>
        <v>20</v>
      </c>
      <c r="R98" s="5">
        <f t="shared" si="159"/>
        <v>20</v>
      </c>
      <c r="S98" s="5">
        <f t="shared" si="159"/>
        <v>20</v>
      </c>
      <c r="T98" s="5">
        <f t="shared" si="159"/>
        <v>20</v>
      </c>
      <c r="U98" s="5">
        <f t="shared" si="159"/>
        <v>20</v>
      </c>
      <c r="V98" s="5">
        <f t="shared" si="159"/>
        <v>20</v>
      </c>
      <c r="W98" s="5">
        <f t="shared" si="159"/>
        <v>20</v>
      </c>
      <c r="X98" s="5">
        <f t="shared" si="159"/>
        <v>20</v>
      </c>
      <c r="Y98" s="5">
        <f t="shared" si="159"/>
        <v>20</v>
      </c>
      <c r="Z98" s="5">
        <f t="shared" si="159"/>
        <v>20</v>
      </c>
      <c r="AA98" s="5">
        <f t="shared" si="159"/>
        <v>20</v>
      </c>
      <c r="AB98" s="5">
        <f t="shared" si="159"/>
        <v>20</v>
      </c>
      <c r="AC98" s="5">
        <f t="shared" si="159"/>
        <v>20</v>
      </c>
      <c r="AD98" s="5">
        <f t="shared" si="159"/>
        <v>-30</v>
      </c>
      <c r="AE98" s="5">
        <f t="shared" si="159"/>
        <v>-80</v>
      </c>
      <c r="AF98" s="5">
        <f t="shared" si="159"/>
        <v>-130</v>
      </c>
      <c r="AG98" s="5">
        <f t="shared" si="159"/>
        <v>-180</v>
      </c>
      <c r="AH98" s="5">
        <f t="shared" si="159"/>
        <v>-220</v>
      </c>
      <c r="AI98" s="5">
        <f t="shared" si="159"/>
        <v>-260</v>
      </c>
      <c r="AJ98" s="5">
        <f t="shared" si="159"/>
        <v>-300</v>
      </c>
      <c r="AK98" s="5">
        <f t="shared" si="159"/>
        <v>-300</v>
      </c>
      <c r="AL98" s="5">
        <f t="shared" si="159"/>
        <v>-300</v>
      </c>
      <c r="AM98" s="5">
        <f t="shared" si="159"/>
        <v>-300</v>
      </c>
      <c r="AN98" s="5">
        <f t="shared" si="159"/>
        <v>-300</v>
      </c>
      <c r="AO98" s="5">
        <f t="shared" ref="AO98:BT98" si="160">(AN98+AN99-AN101+AJ100)</f>
        <v>-311</v>
      </c>
      <c r="AP98" s="5">
        <f t="shared" si="160"/>
        <v>-322</v>
      </c>
      <c r="AQ98" s="5">
        <f t="shared" si="160"/>
        <v>-333</v>
      </c>
      <c r="AR98" s="5">
        <f t="shared" si="160"/>
        <v>-346</v>
      </c>
      <c r="AS98" s="5">
        <f t="shared" si="160"/>
        <v>-359</v>
      </c>
      <c r="AT98" s="5">
        <f t="shared" si="160"/>
        <v>-370</v>
      </c>
      <c r="AU98" s="5">
        <f t="shared" si="160"/>
        <v>-383</v>
      </c>
      <c r="AV98" s="5">
        <f t="shared" si="160"/>
        <v>-396</v>
      </c>
      <c r="AW98" s="5">
        <f t="shared" si="160"/>
        <v>-409</v>
      </c>
      <c r="AX98" s="5">
        <f t="shared" si="160"/>
        <v>-422</v>
      </c>
      <c r="AY98" s="5">
        <f t="shared" si="160"/>
        <v>-435</v>
      </c>
      <c r="AZ98" s="5">
        <f t="shared" si="160"/>
        <v>-445</v>
      </c>
      <c r="BA98" s="5">
        <f t="shared" si="160"/>
        <v>-454</v>
      </c>
      <c r="BB98" s="5">
        <f t="shared" si="160"/>
        <v>-463</v>
      </c>
      <c r="BC98" s="5">
        <f t="shared" si="160"/>
        <v>-472</v>
      </c>
      <c r="BD98" s="5">
        <f t="shared" si="160"/>
        <v>-482</v>
      </c>
      <c r="BE98" s="5">
        <f t="shared" si="160"/>
        <v>-492</v>
      </c>
      <c r="BF98" s="5">
        <f t="shared" si="160"/>
        <v>-502</v>
      </c>
      <c r="BG98" s="5">
        <f t="shared" si="160"/>
        <v>-512</v>
      </c>
      <c r="BH98" s="5">
        <f t="shared" si="160"/>
        <v>-522</v>
      </c>
      <c r="BI98" s="5">
        <f t="shared" si="160"/>
        <v>-532</v>
      </c>
      <c r="BJ98" s="5">
        <f t="shared" si="160"/>
        <v>-542</v>
      </c>
      <c r="BK98" s="5">
        <f t="shared" si="160"/>
        <v>-552</v>
      </c>
      <c r="BL98" s="5">
        <f t="shared" si="160"/>
        <v>-562</v>
      </c>
      <c r="BM98" s="5">
        <f t="shared" si="160"/>
        <v>-572</v>
      </c>
      <c r="BN98" s="5">
        <f t="shared" si="160"/>
        <v>-582</v>
      </c>
      <c r="BO98" s="5">
        <f t="shared" si="160"/>
        <v>-600</v>
      </c>
      <c r="BP98" s="5">
        <f t="shared" si="160"/>
        <v>-600</v>
      </c>
      <c r="BQ98" s="5">
        <f t="shared" si="160"/>
        <v>-600</v>
      </c>
      <c r="BR98" s="5">
        <f t="shared" si="160"/>
        <v>-600</v>
      </c>
      <c r="BS98" s="5">
        <f t="shared" si="160"/>
        <v>-600</v>
      </c>
      <c r="BT98" s="5">
        <f t="shared" si="160"/>
        <v>-608</v>
      </c>
      <c r="BU98" s="5">
        <f t="shared" ref="BU98:CZ98" si="161">(BT98+BT99-BT101+BP100)</f>
        <v>-616</v>
      </c>
      <c r="BV98" s="5">
        <f t="shared" si="161"/>
        <v>-624</v>
      </c>
      <c r="BW98" s="5">
        <f t="shared" si="161"/>
        <v>-632</v>
      </c>
      <c r="BX98" s="5">
        <f t="shared" si="161"/>
        <v>-640</v>
      </c>
      <c r="BY98" s="5">
        <f t="shared" si="161"/>
        <v>-648</v>
      </c>
      <c r="BZ98" s="5">
        <f t="shared" si="161"/>
        <v>-656</v>
      </c>
      <c r="CA98" s="5">
        <f t="shared" si="161"/>
        <v>-664</v>
      </c>
      <c r="CB98" s="5">
        <f t="shared" si="161"/>
        <v>-672</v>
      </c>
      <c r="CC98" s="5">
        <f t="shared" si="161"/>
        <v>-680</v>
      </c>
    </row>
    <row r="99" spans="1:81" x14ac:dyDescent="0.2">
      <c r="A99" s="5" t="s">
        <v>209</v>
      </c>
      <c r="B99" s="5">
        <v>7.5809600000000001</v>
      </c>
      <c r="C99" s="45" t="s">
        <v>39</v>
      </c>
      <c r="D99" s="59">
        <f>IFERROR(VLOOKUP(A98,WIP!$A:$B,2,0),0)</f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 spans="1:81" x14ac:dyDescent="0.2">
      <c r="A100" s="5" t="s">
        <v>210</v>
      </c>
      <c r="B100" s="5">
        <v>0.21199999999999999</v>
      </c>
      <c r="C100" s="9" t="s">
        <v>211</v>
      </c>
      <c r="D100" s="60">
        <f>IFERROR(VLOOKUP($A98,Plan!$A:B,D$4,0),0)</f>
        <v>0</v>
      </c>
      <c r="E100" s="70">
        <f>IFERROR(VLOOKUP($A98,Plan!$A:C,E$4,0),0)</f>
        <v>0</v>
      </c>
      <c r="F100" s="70">
        <f>IFERROR(VLOOKUP($A98,Plan!$A:D,F$4,0),0)</f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</row>
    <row r="101" spans="1:81" x14ac:dyDescent="0.2">
      <c r="A101" s="5" t="s">
        <v>212</v>
      </c>
      <c r="B101" s="5">
        <v>4.1000000000000002E-2</v>
      </c>
      <c r="C101" s="9" t="s">
        <v>213</v>
      </c>
      <c r="D101" s="61">
        <f>IFERROR(VLOOKUP($A98,Sales!$A:B,D$2,0),0)</f>
        <v>80</v>
      </c>
      <c r="E101" s="61">
        <f>IFERROR(VLOOKUP($A98,Sales!$A:C,E$2,0),0)</f>
        <v>0</v>
      </c>
      <c r="F101" s="61">
        <f>IFERROR(VLOOKUP($A98,Sales!$A:D,F$2,0),0)</f>
        <v>0</v>
      </c>
      <c r="G101" s="61">
        <f>IFERROR(VLOOKUP($A98,Sales!$A:E,G$2,0),0)</f>
        <v>0</v>
      </c>
      <c r="H101" s="61">
        <f>IFERROR(VLOOKUP($A98,Sales!$A:F,H$2,0),0)</f>
        <v>0</v>
      </c>
      <c r="I101" s="61">
        <f>IFERROR(VLOOKUP($A98,Sales!$A:G,I$2,0),0)</f>
        <v>0</v>
      </c>
      <c r="J101" s="61">
        <f>IFERROR(VLOOKUP($A98,Sales!$A:H,J$2,0),0)</f>
        <v>0</v>
      </c>
      <c r="K101" s="61">
        <f>IFERROR(VLOOKUP($A98,Sales!$A:I,K$2,0),0)</f>
        <v>0</v>
      </c>
      <c r="L101" s="61">
        <f>IFERROR(VLOOKUP($A98,Sales!$A:J,L$2,0),0)</f>
        <v>0</v>
      </c>
      <c r="M101" s="61">
        <f>IFERROR(VLOOKUP($A98,Sales!$A:K,M$2,0),0)</f>
        <v>0</v>
      </c>
      <c r="N101" s="61">
        <f>IFERROR(VLOOKUP($A98,Sales!$A:L,N$2,0),0)</f>
        <v>0</v>
      </c>
      <c r="O101" s="61">
        <f>IFERROR(VLOOKUP($A98,Sales!$A:M,O$2,0),0)</f>
        <v>0</v>
      </c>
      <c r="P101" s="61">
        <f>IFERROR(VLOOKUP($A98,Sales!$A:N,P$2,0),0)</f>
        <v>0</v>
      </c>
      <c r="Q101" s="61">
        <f>IFERROR(VLOOKUP($A98,Sales!$A:O,Q$2,0),0)</f>
        <v>0</v>
      </c>
      <c r="R101" s="61">
        <f>IFERROR(VLOOKUP($A98,Sales!$A:P,R$2,0),0)</f>
        <v>0</v>
      </c>
      <c r="S101" s="61">
        <f>IFERROR(VLOOKUP($A98,Sales!$A:Q,S$2,0),0)</f>
        <v>0</v>
      </c>
      <c r="T101" s="61">
        <f>IFERROR(VLOOKUP($A98,Sales!$A:R,T$2,0),0)</f>
        <v>0</v>
      </c>
      <c r="U101" s="61">
        <f>IFERROR(VLOOKUP($A98,Sales!$A:S,U$2,0),0)</f>
        <v>0</v>
      </c>
      <c r="V101" s="61">
        <f>IFERROR(VLOOKUP($A98,Sales!$A:T,V$2,0),0)</f>
        <v>0</v>
      </c>
      <c r="W101" s="61">
        <f>IFERROR(VLOOKUP($A98,Sales!$A:U,W$2,0),0)</f>
        <v>0</v>
      </c>
      <c r="X101" s="61">
        <f>IFERROR(VLOOKUP($A98,Sales!$A:V,X$2,0),0)</f>
        <v>0</v>
      </c>
      <c r="Y101" s="61">
        <f>IFERROR(VLOOKUP($A98,Sales!$A:W,Y$2,0),0)</f>
        <v>0</v>
      </c>
      <c r="Z101" s="61">
        <f>IFERROR(VLOOKUP($A98,Sales!$A:X,Z$2,0),0)</f>
        <v>0</v>
      </c>
      <c r="AA101" s="61">
        <f>IFERROR(VLOOKUP($A98,Sales!$A:Y,AA$2,0),0)</f>
        <v>0</v>
      </c>
      <c r="AB101" s="61">
        <f>IFERROR(VLOOKUP($A98,Sales!$A:Z,AB$2,0),0)</f>
        <v>0</v>
      </c>
      <c r="AC101" s="61">
        <f>IFERROR(VLOOKUP($A98,Sales!$A:AA,AC$2,0),0)</f>
        <v>50</v>
      </c>
      <c r="AD101" s="61">
        <f>IFERROR(VLOOKUP($A98,Sales!$A:AB,AD$2,0),0)</f>
        <v>50</v>
      </c>
      <c r="AE101" s="61">
        <f>IFERROR(VLOOKUP($A98,Sales!$A:AC,AE$2,0),0)</f>
        <v>50</v>
      </c>
      <c r="AF101" s="61">
        <f>IFERROR(VLOOKUP($A98,Sales!$A:AD,AF$2,0),0)</f>
        <v>50</v>
      </c>
      <c r="AG101" s="61">
        <f>IFERROR(VLOOKUP($A98,Sales!$A:AE,AG$2,0),0)</f>
        <v>40</v>
      </c>
      <c r="AH101" s="61">
        <f>IFERROR(VLOOKUP($A98,Sales!$A:AF,AH$2,0),0)</f>
        <v>40</v>
      </c>
      <c r="AI101" s="61">
        <f>IFERROR(VLOOKUP($A98,Sales!$A:AG,AI$2,0),0)</f>
        <v>40</v>
      </c>
      <c r="AJ101" s="61">
        <f>IFERROR(VLOOKUP($A98,Sales!$A:AH,AJ$2,0),0)</f>
        <v>0</v>
      </c>
      <c r="AK101" s="73">
        <f t="shared" ref="AK101:CC101" si="162">CEILING(AK$5*$B97,1)</f>
        <v>0</v>
      </c>
      <c r="AL101" s="73">
        <f t="shared" si="162"/>
        <v>0</v>
      </c>
      <c r="AM101" s="73">
        <f t="shared" si="162"/>
        <v>0</v>
      </c>
      <c r="AN101" s="73">
        <f t="shared" si="162"/>
        <v>11</v>
      </c>
      <c r="AO101" s="73">
        <f t="shared" si="162"/>
        <v>11</v>
      </c>
      <c r="AP101" s="73">
        <f t="shared" si="162"/>
        <v>11</v>
      </c>
      <c r="AQ101" s="73">
        <f t="shared" si="162"/>
        <v>13</v>
      </c>
      <c r="AR101" s="73">
        <f t="shared" si="162"/>
        <v>13</v>
      </c>
      <c r="AS101" s="73">
        <f t="shared" si="162"/>
        <v>11</v>
      </c>
      <c r="AT101" s="73">
        <f t="shared" si="162"/>
        <v>13</v>
      </c>
      <c r="AU101" s="73">
        <f t="shared" si="162"/>
        <v>13</v>
      </c>
      <c r="AV101" s="73">
        <f t="shared" si="162"/>
        <v>13</v>
      </c>
      <c r="AW101" s="73">
        <f t="shared" si="162"/>
        <v>13</v>
      </c>
      <c r="AX101" s="73">
        <f t="shared" si="162"/>
        <v>13</v>
      </c>
      <c r="AY101" s="73">
        <f t="shared" si="162"/>
        <v>10</v>
      </c>
      <c r="AZ101" s="73">
        <f t="shared" si="162"/>
        <v>9</v>
      </c>
      <c r="BA101" s="73">
        <f t="shared" si="162"/>
        <v>9</v>
      </c>
      <c r="BB101" s="73">
        <f t="shared" si="162"/>
        <v>9</v>
      </c>
      <c r="BC101" s="73">
        <f t="shared" si="162"/>
        <v>10</v>
      </c>
      <c r="BD101" s="73">
        <f t="shared" si="162"/>
        <v>10</v>
      </c>
      <c r="BE101" s="73">
        <f t="shared" si="162"/>
        <v>10</v>
      </c>
      <c r="BF101" s="73">
        <f t="shared" si="162"/>
        <v>10</v>
      </c>
      <c r="BG101" s="73">
        <f t="shared" si="162"/>
        <v>10</v>
      </c>
      <c r="BH101" s="73">
        <f t="shared" si="162"/>
        <v>10</v>
      </c>
      <c r="BI101" s="73">
        <f t="shared" si="162"/>
        <v>10</v>
      </c>
      <c r="BJ101" s="73">
        <f t="shared" si="162"/>
        <v>10</v>
      </c>
      <c r="BK101" s="73">
        <f t="shared" si="162"/>
        <v>10</v>
      </c>
      <c r="BL101" s="73">
        <f t="shared" si="162"/>
        <v>10</v>
      </c>
      <c r="BM101" s="73">
        <f t="shared" si="162"/>
        <v>10</v>
      </c>
      <c r="BN101" s="73">
        <f t="shared" si="162"/>
        <v>18</v>
      </c>
      <c r="BO101" s="73">
        <f t="shared" si="162"/>
        <v>0</v>
      </c>
      <c r="BP101" s="73">
        <f t="shared" si="162"/>
        <v>0</v>
      </c>
      <c r="BQ101" s="73">
        <f t="shared" si="162"/>
        <v>0</v>
      </c>
      <c r="BR101" s="73">
        <f t="shared" si="162"/>
        <v>0</v>
      </c>
      <c r="BS101" s="73">
        <f t="shared" si="162"/>
        <v>8</v>
      </c>
      <c r="BT101" s="73">
        <f t="shared" si="162"/>
        <v>8</v>
      </c>
      <c r="BU101" s="73">
        <f t="shared" si="162"/>
        <v>8</v>
      </c>
      <c r="BV101" s="73">
        <f t="shared" si="162"/>
        <v>8</v>
      </c>
      <c r="BW101" s="73">
        <f t="shared" si="162"/>
        <v>8</v>
      </c>
      <c r="BX101" s="73">
        <f t="shared" si="162"/>
        <v>8</v>
      </c>
      <c r="BY101" s="73">
        <f t="shared" si="162"/>
        <v>8</v>
      </c>
      <c r="BZ101" s="73">
        <f t="shared" si="162"/>
        <v>8</v>
      </c>
      <c r="CA101" s="73">
        <f t="shared" si="162"/>
        <v>8</v>
      </c>
      <c r="CB101" s="73">
        <f t="shared" si="162"/>
        <v>8</v>
      </c>
      <c r="CC101" s="73">
        <f t="shared" si="162"/>
        <v>8</v>
      </c>
    </row>
    <row r="102" spans="1:81" x14ac:dyDescent="0.2">
      <c r="A102" s="5" t="s">
        <v>214</v>
      </c>
      <c r="B102" s="5">
        <v>0.253</v>
      </c>
      <c r="C102" s="46" t="s">
        <v>215</v>
      </c>
      <c r="D102" s="11">
        <f t="shared" ref="D102:AI102" si="163">IF(D101=0,0, ROUND(D98 * 1/D101* D$13,1))</f>
        <v>6.3</v>
      </c>
      <c r="E102" s="11">
        <f t="shared" si="163"/>
        <v>0</v>
      </c>
      <c r="F102" s="11">
        <f t="shared" si="163"/>
        <v>0</v>
      </c>
      <c r="G102" s="11">
        <f t="shared" si="163"/>
        <v>0</v>
      </c>
      <c r="H102" s="11">
        <f t="shared" si="163"/>
        <v>0</v>
      </c>
      <c r="I102" s="11">
        <f t="shared" si="163"/>
        <v>0</v>
      </c>
      <c r="J102" s="11">
        <f t="shared" si="163"/>
        <v>0</v>
      </c>
      <c r="K102" s="11">
        <f t="shared" si="163"/>
        <v>0</v>
      </c>
      <c r="L102" s="11">
        <f t="shared" si="163"/>
        <v>0</v>
      </c>
      <c r="M102" s="11">
        <f t="shared" si="163"/>
        <v>0</v>
      </c>
      <c r="N102" s="11">
        <f t="shared" si="163"/>
        <v>0</v>
      </c>
      <c r="O102" s="11">
        <f t="shared" si="163"/>
        <v>0</v>
      </c>
      <c r="P102" s="11">
        <f t="shared" si="163"/>
        <v>0</v>
      </c>
      <c r="Q102" s="11">
        <f t="shared" si="163"/>
        <v>0</v>
      </c>
      <c r="R102" s="11">
        <f t="shared" si="163"/>
        <v>0</v>
      </c>
      <c r="S102" s="11">
        <f t="shared" si="163"/>
        <v>0</v>
      </c>
      <c r="T102" s="11">
        <f t="shared" si="163"/>
        <v>0</v>
      </c>
      <c r="U102" s="11">
        <f t="shared" si="163"/>
        <v>0</v>
      </c>
      <c r="V102" s="11">
        <f t="shared" si="163"/>
        <v>0</v>
      </c>
      <c r="W102" s="11">
        <f t="shared" si="163"/>
        <v>0</v>
      </c>
      <c r="X102" s="11">
        <f t="shared" si="163"/>
        <v>0</v>
      </c>
      <c r="Y102" s="11">
        <f t="shared" si="163"/>
        <v>0</v>
      </c>
      <c r="Z102" s="11">
        <f t="shared" si="163"/>
        <v>0</v>
      </c>
      <c r="AA102" s="11">
        <f t="shared" si="163"/>
        <v>0</v>
      </c>
      <c r="AB102" s="11">
        <f t="shared" si="163"/>
        <v>0</v>
      </c>
      <c r="AC102" s="11">
        <f t="shared" si="163"/>
        <v>2</v>
      </c>
      <c r="AD102" s="11">
        <f t="shared" si="163"/>
        <v>-3</v>
      </c>
      <c r="AE102" s="11">
        <f t="shared" si="163"/>
        <v>-8</v>
      </c>
      <c r="AF102" s="11">
        <f t="shared" si="163"/>
        <v>-13</v>
      </c>
      <c r="AG102" s="11">
        <f t="shared" si="163"/>
        <v>-22.5</v>
      </c>
      <c r="AH102" s="11">
        <f t="shared" si="163"/>
        <v>-27.5</v>
      </c>
      <c r="AI102" s="11">
        <f t="shared" si="163"/>
        <v>-32.5</v>
      </c>
      <c r="AJ102" s="11">
        <f t="shared" ref="AJ102:BO102" si="164">IF(AJ101=0,0, ROUND(AJ98 * 1/AJ101* AJ$13,1))</f>
        <v>0</v>
      </c>
      <c r="AK102" s="11">
        <f t="shared" si="164"/>
        <v>0</v>
      </c>
      <c r="AL102" s="11">
        <f t="shared" si="164"/>
        <v>0</v>
      </c>
      <c r="AM102" s="11">
        <f t="shared" si="164"/>
        <v>0</v>
      </c>
      <c r="AN102" s="11">
        <f t="shared" si="164"/>
        <v>-136.4</v>
      </c>
      <c r="AO102" s="11">
        <f t="shared" si="164"/>
        <v>-141.4</v>
      </c>
      <c r="AP102" s="11">
        <f t="shared" si="164"/>
        <v>-146.4</v>
      </c>
      <c r="AQ102" s="11">
        <f t="shared" si="164"/>
        <v>-128.1</v>
      </c>
      <c r="AR102" s="11">
        <f t="shared" si="164"/>
        <v>-133.1</v>
      </c>
      <c r="AS102" s="11">
        <f t="shared" si="164"/>
        <v>-163.19999999999999</v>
      </c>
      <c r="AT102" s="11">
        <f t="shared" si="164"/>
        <v>-142.30000000000001</v>
      </c>
      <c r="AU102" s="11">
        <f t="shared" si="164"/>
        <v>-147.30000000000001</v>
      </c>
      <c r="AV102" s="11">
        <f t="shared" si="164"/>
        <v>-152.30000000000001</v>
      </c>
      <c r="AW102" s="11">
        <f t="shared" si="164"/>
        <v>-157.30000000000001</v>
      </c>
      <c r="AX102" s="11">
        <f t="shared" si="164"/>
        <v>-162.30000000000001</v>
      </c>
      <c r="AY102" s="11">
        <f t="shared" si="164"/>
        <v>-217.5</v>
      </c>
      <c r="AZ102" s="11">
        <f t="shared" si="164"/>
        <v>-247.2</v>
      </c>
      <c r="BA102" s="11">
        <f t="shared" si="164"/>
        <v>-252.2</v>
      </c>
      <c r="BB102" s="11">
        <f t="shared" si="164"/>
        <v>-257.2</v>
      </c>
      <c r="BC102" s="11">
        <f t="shared" si="164"/>
        <v>-236</v>
      </c>
      <c r="BD102" s="11">
        <f t="shared" si="164"/>
        <v>-241</v>
      </c>
      <c r="BE102" s="11">
        <f t="shared" si="164"/>
        <v>-246</v>
      </c>
      <c r="BF102" s="11">
        <f t="shared" si="164"/>
        <v>-251</v>
      </c>
      <c r="BG102" s="11">
        <f t="shared" si="164"/>
        <v>-256</v>
      </c>
      <c r="BH102" s="11">
        <f t="shared" si="164"/>
        <v>-261</v>
      </c>
      <c r="BI102" s="11">
        <f t="shared" si="164"/>
        <v>-266</v>
      </c>
      <c r="BJ102" s="11">
        <f t="shared" si="164"/>
        <v>-271</v>
      </c>
      <c r="BK102" s="11">
        <f t="shared" si="164"/>
        <v>-276</v>
      </c>
      <c r="BL102" s="11">
        <f t="shared" si="164"/>
        <v>-281</v>
      </c>
      <c r="BM102" s="11">
        <f t="shared" si="164"/>
        <v>-286</v>
      </c>
      <c r="BN102" s="11">
        <f t="shared" si="164"/>
        <v>-161.69999999999999</v>
      </c>
      <c r="BO102" s="11">
        <f t="shared" si="164"/>
        <v>0</v>
      </c>
      <c r="BP102" s="11">
        <f t="shared" ref="BP102:CU102" si="165">IF(BP101=0,0, ROUND(BP98 * 1/BP101* BP$13,1))</f>
        <v>0</v>
      </c>
      <c r="BQ102" s="11">
        <f t="shared" si="165"/>
        <v>0</v>
      </c>
      <c r="BR102" s="11">
        <f t="shared" si="165"/>
        <v>0</v>
      </c>
      <c r="BS102" s="11">
        <f t="shared" si="165"/>
        <v>-375</v>
      </c>
      <c r="BT102" s="11">
        <f t="shared" si="165"/>
        <v>-380</v>
      </c>
      <c r="BU102" s="11">
        <f t="shared" si="165"/>
        <v>-385</v>
      </c>
      <c r="BV102" s="11">
        <f t="shared" si="165"/>
        <v>-390</v>
      </c>
      <c r="BW102" s="11">
        <f t="shared" si="165"/>
        <v>-395</v>
      </c>
      <c r="BX102" s="11">
        <f t="shared" si="165"/>
        <v>-400</v>
      </c>
      <c r="BY102" s="11">
        <f t="shared" si="165"/>
        <v>-405</v>
      </c>
      <c r="BZ102" s="11">
        <f t="shared" si="165"/>
        <v>-410</v>
      </c>
      <c r="CA102" s="11">
        <f t="shared" si="165"/>
        <v>-415</v>
      </c>
      <c r="CB102" s="11">
        <f t="shared" si="165"/>
        <v>-420</v>
      </c>
      <c r="CC102" s="11">
        <f t="shared" si="165"/>
        <v>-425</v>
      </c>
    </row>
    <row r="103" spans="1:81" x14ac:dyDescent="0.2">
      <c r="A103" s="10">
        <v>18</v>
      </c>
      <c r="B103" s="10">
        <v>1</v>
      </c>
      <c r="C103" s="68">
        <v>5.8219799999999999</v>
      </c>
      <c r="D103">
        <f t="shared" ref="D103:AI103" si="166">D100/$B103</f>
        <v>0</v>
      </c>
      <c r="E103">
        <f t="shared" si="166"/>
        <v>0</v>
      </c>
      <c r="F103">
        <f t="shared" si="166"/>
        <v>0</v>
      </c>
      <c r="G103">
        <f t="shared" si="166"/>
        <v>0</v>
      </c>
      <c r="H103">
        <f t="shared" si="166"/>
        <v>0</v>
      </c>
      <c r="I103">
        <f t="shared" si="166"/>
        <v>0</v>
      </c>
      <c r="J103">
        <f t="shared" si="166"/>
        <v>0</v>
      </c>
      <c r="K103">
        <f t="shared" si="166"/>
        <v>0</v>
      </c>
      <c r="L103">
        <f t="shared" si="166"/>
        <v>0</v>
      </c>
      <c r="M103">
        <f t="shared" si="166"/>
        <v>0</v>
      </c>
      <c r="N103">
        <f t="shared" si="166"/>
        <v>0</v>
      </c>
      <c r="O103">
        <f t="shared" si="166"/>
        <v>0</v>
      </c>
      <c r="P103">
        <f t="shared" si="166"/>
        <v>0</v>
      </c>
      <c r="Q103">
        <f t="shared" si="166"/>
        <v>0</v>
      </c>
      <c r="R103">
        <f t="shared" si="166"/>
        <v>0</v>
      </c>
      <c r="S103">
        <f t="shared" si="166"/>
        <v>0</v>
      </c>
      <c r="T103">
        <f t="shared" si="166"/>
        <v>0</v>
      </c>
      <c r="U103">
        <f t="shared" si="166"/>
        <v>0</v>
      </c>
      <c r="V103">
        <f t="shared" si="166"/>
        <v>0</v>
      </c>
      <c r="W103">
        <f t="shared" si="166"/>
        <v>0</v>
      </c>
      <c r="X103">
        <f t="shared" si="166"/>
        <v>0</v>
      </c>
      <c r="Y103">
        <f t="shared" si="166"/>
        <v>0</v>
      </c>
      <c r="Z103">
        <f t="shared" si="166"/>
        <v>0</v>
      </c>
      <c r="AA103">
        <f t="shared" si="166"/>
        <v>0</v>
      </c>
      <c r="AB103">
        <f t="shared" si="166"/>
        <v>0</v>
      </c>
      <c r="AC103">
        <f t="shared" si="166"/>
        <v>0</v>
      </c>
      <c r="AD103">
        <f t="shared" si="166"/>
        <v>0</v>
      </c>
      <c r="AE103">
        <f t="shared" si="166"/>
        <v>0</v>
      </c>
      <c r="AF103">
        <f t="shared" si="166"/>
        <v>0</v>
      </c>
      <c r="AG103">
        <f t="shared" si="166"/>
        <v>0</v>
      </c>
      <c r="AH103">
        <f t="shared" si="166"/>
        <v>0</v>
      </c>
      <c r="AI103">
        <f t="shared" si="166"/>
        <v>0</v>
      </c>
      <c r="AJ103">
        <f t="shared" ref="AJ103:BO103" si="167">AJ100/$B103</f>
        <v>0</v>
      </c>
      <c r="AK103">
        <f t="shared" si="167"/>
        <v>0</v>
      </c>
      <c r="AL103">
        <f t="shared" si="167"/>
        <v>0</v>
      </c>
      <c r="AM103">
        <f t="shared" si="167"/>
        <v>0</v>
      </c>
      <c r="AN103">
        <f t="shared" si="167"/>
        <v>0</v>
      </c>
      <c r="AO103">
        <f t="shared" si="167"/>
        <v>0</v>
      </c>
      <c r="AP103">
        <f t="shared" si="167"/>
        <v>0</v>
      </c>
      <c r="AQ103">
        <f t="shared" si="167"/>
        <v>0</v>
      </c>
      <c r="AR103">
        <f t="shared" si="167"/>
        <v>0</v>
      </c>
      <c r="AS103">
        <f t="shared" si="167"/>
        <v>0</v>
      </c>
      <c r="AT103">
        <f t="shared" si="167"/>
        <v>0</v>
      </c>
      <c r="AU103">
        <f t="shared" si="167"/>
        <v>0</v>
      </c>
      <c r="AV103">
        <f t="shared" si="167"/>
        <v>0</v>
      </c>
      <c r="AW103">
        <f t="shared" si="167"/>
        <v>0</v>
      </c>
      <c r="AX103">
        <f t="shared" si="167"/>
        <v>0</v>
      </c>
      <c r="AY103">
        <f t="shared" si="167"/>
        <v>0</v>
      </c>
      <c r="AZ103">
        <f t="shared" si="167"/>
        <v>0</v>
      </c>
      <c r="BA103">
        <f t="shared" si="167"/>
        <v>0</v>
      </c>
      <c r="BB103">
        <f t="shared" si="167"/>
        <v>0</v>
      </c>
      <c r="BC103">
        <f t="shared" si="167"/>
        <v>0</v>
      </c>
      <c r="BD103">
        <f t="shared" si="167"/>
        <v>0</v>
      </c>
      <c r="BE103">
        <f t="shared" si="167"/>
        <v>0</v>
      </c>
      <c r="BF103">
        <f t="shared" si="167"/>
        <v>0</v>
      </c>
      <c r="BG103">
        <f t="shared" si="167"/>
        <v>0</v>
      </c>
      <c r="BH103">
        <f t="shared" si="167"/>
        <v>0</v>
      </c>
      <c r="BI103">
        <f t="shared" si="167"/>
        <v>0</v>
      </c>
      <c r="BJ103">
        <f t="shared" si="167"/>
        <v>0</v>
      </c>
      <c r="BK103">
        <f t="shared" si="167"/>
        <v>0</v>
      </c>
      <c r="BL103">
        <f t="shared" si="167"/>
        <v>0</v>
      </c>
      <c r="BM103">
        <f t="shared" si="167"/>
        <v>0</v>
      </c>
      <c r="BN103">
        <f t="shared" si="167"/>
        <v>0</v>
      </c>
      <c r="BO103">
        <f t="shared" si="167"/>
        <v>0</v>
      </c>
      <c r="BP103">
        <f t="shared" ref="BP103:CC103" si="168">BP100/$B103</f>
        <v>0</v>
      </c>
      <c r="BQ103">
        <f t="shared" si="168"/>
        <v>0</v>
      </c>
      <c r="BR103">
        <f t="shared" si="168"/>
        <v>0</v>
      </c>
      <c r="BS103">
        <f t="shared" si="168"/>
        <v>0</v>
      </c>
      <c r="BT103">
        <f t="shared" si="168"/>
        <v>0</v>
      </c>
      <c r="BU103">
        <f t="shared" si="168"/>
        <v>0</v>
      </c>
      <c r="BV103">
        <f t="shared" si="168"/>
        <v>0</v>
      </c>
      <c r="BW103">
        <f t="shared" si="168"/>
        <v>0</v>
      </c>
      <c r="BX103">
        <f t="shared" si="168"/>
        <v>0</v>
      </c>
      <c r="BY103">
        <f t="shared" si="168"/>
        <v>0</v>
      </c>
      <c r="BZ103">
        <f t="shared" si="168"/>
        <v>0</v>
      </c>
      <c r="CA103">
        <f t="shared" si="168"/>
        <v>0</v>
      </c>
      <c r="CB103">
        <f t="shared" si="168"/>
        <v>0</v>
      </c>
      <c r="CC103">
        <f t="shared" si="168"/>
        <v>0</v>
      </c>
    </row>
    <row r="104" spans="1:81" x14ac:dyDescent="0.2">
      <c r="B104" s="67">
        <f>SUM(D108:AJ108)/SUM($D$263:$AJ$263)</f>
        <v>6.0159187460325211E-2</v>
      </c>
      <c r="C104" s="9" t="s">
        <v>216</v>
      </c>
      <c r="D104">
        <f t="shared" ref="D104:AI104" si="169">D98-D101</f>
        <v>20</v>
      </c>
      <c r="E104">
        <f t="shared" si="169"/>
        <v>20</v>
      </c>
      <c r="F104">
        <f t="shared" si="169"/>
        <v>20</v>
      </c>
      <c r="G104">
        <f t="shared" si="169"/>
        <v>20</v>
      </c>
      <c r="H104">
        <f t="shared" si="169"/>
        <v>20</v>
      </c>
      <c r="I104">
        <f t="shared" si="169"/>
        <v>20</v>
      </c>
      <c r="J104">
        <f t="shared" si="169"/>
        <v>20</v>
      </c>
      <c r="K104">
        <f t="shared" si="169"/>
        <v>20</v>
      </c>
      <c r="L104">
        <f t="shared" si="169"/>
        <v>20</v>
      </c>
      <c r="M104">
        <f t="shared" si="169"/>
        <v>20</v>
      </c>
      <c r="N104">
        <f t="shared" si="169"/>
        <v>20</v>
      </c>
      <c r="O104">
        <f t="shared" si="169"/>
        <v>20</v>
      </c>
      <c r="P104">
        <f t="shared" si="169"/>
        <v>20</v>
      </c>
      <c r="Q104">
        <f t="shared" si="169"/>
        <v>20</v>
      </c>
      <c r="R104">
        <f t="shared" si="169"/>
        <v>20</v>
      </c>
      <c r="S104">
        <f t="shared" si="169"/>
        <v>20</v>
      </c>
      <c r="T104">
        <f t="shared" si="169"/>
        <v>20</v>
      </c>
      <c r="U104">
        <f t="shared" si="169"/>
        <v>20</v>
      </c>
      <c r="V104">
        <f t="shared" si="169"/>
        <v>20</v>
      </c>
      <c r="W104">
        <f t="shared" si="169"/>
        <v>20</v>
      </c>
      <c r="X104">
        <f t="shared" si="169"/>
        <v>20</v>
      </c>
      <c r="Y104">
        <f t="shared" si="169"/>
        <v>20</v>
      </c>
      <c r="Z104">
        <f t="shared" si="169"/>
        <v>20</v>
      </c>
      <c r="AA104">
        <f t="shared" si="169"/>
        <v>20</v>
      </c>
      <c r="AB104">
        <f t="shared" si="169"/>
        <v>20</v>
      </c>
      <c r="AC104">
        <f t="shared" si="169"/>
        <v>-30</v>
      </c>
      <c r="AD104">
        <f t="shared" si="169"/>
        <v>-80</v>
      </c>
      <c r="AE104">
        <f t="shared" si="169"/>
        <v>-130</v>
      </c>
      <c r="AF104">
        <f t="shared" si="169"/>
        <v>-180</v>
      </c>
      <c r="AG104">
        <f t="shared" si="169"/>
        <v>-220</v>
      </c>
      <c r="AH104">
        <f t="shared" si="169"/>
        <v>-260</v>
      </c>
      <c r="AI104">
        <f t="shared" si="169"/>
        <v>-300</v>
      </c>
      <c r="AJ104">
        <f t="shared" ref="AJ104:BO104" si="170">AJ98-AJ101</f>
        <v>-300</v>
      </c>
      <c r="AK104">
        <f t="shared" si="170"/>
        <v>-300</v>
      </c>
      <c r="AL104">
        <f t="shared" si="170"/>
        <v>-300</v>
      </c>
      <c r="AM104">
        <f t="shared" si="170"/>
        <v>-300</v>
      </c>
      <c r="AN104">
        <f t="shared" si="170"/>
        <v>-311</v>
      </c>
      <c r="AO104">
        <f t="shared" si="170"/>
        <v>-322</v>
      </c>
      <c r="AP104">
        <f t="shared" si="170"/>
        <v>-333</v>
      </c>
      <c r="AQ104">
        <f t="shared" si="170"/>
        <v>-346</v>
      </c>
      <c r="AR104">
        <f t="shared" si="170"/>
        <v>-359</v>
      </c>
      <c r="AS104">
        <f t="shared" si="170"/>
        <v>-370</v>
      </c>
      <c r="AT104">
        <f t="shared" si="170"/>
        <v>-383</v>
      </c>
      <c r="AU104">
        <f t="shared" si="170"/>
        <v>-396</v>
      </c>
      <c r="AV104">
        <f t="shared" si="170"/>
        <v>-409</v>
      </c>
      <c r="AW104">
        <f t="shared" si="170"/>
        <v>-422</v>
      </c>
      <c r="AX104">
        <f t="shared" si="170"/>
        <v>-435</v>
      </c>
      <c r="AY104">
        <f t="shared" si="170"/>
        <v>-445</v>
      </c>
      <c r="AZ104">
        <f t="shared" si="170"/>
        <v>-454</v>
      </c>
      <c r="BA104">
        <f t="shared" si="170"/>
        <v>-463</v>
      </c>
      <c r="BB104">
        <f t="shared" si="170"/>
        <v>-472</v>
      </c>
      <c r="BC104">
        <f t="shared" si="170"/>
        <v>-482</v>
      </c>
      <c r="BD104">
        <f t="shared" si="170"/>
        <v>-492</v>
      </c>
      <c r="BE104">
        <f t="shared" si="170"/>
        <v>-502</v>
      </c>
      <c r="BF104">
        <f t="shared" si="170"/>
        <v>-512</v>
      </c>
      <c r="BG104">
        <f t="shared" si="170"/>
        <v>-522</v>
      </c>
      <c r="BH104">
        <f t="shared" si="170"/>
        <v>-532</v>
      </c>
      <c r="BI104">
        <f t="shared" si="170"/>
        <v>-542</v>
      </c>
      <c r="BJ104">
        <f t="shared" si="170"/>
        <v>-552</v>
      </c>
      <c r="BK104">
        <f t="shared" si="170"/>
        <v>-562</v>
      </c>
      <c r="BL104">
        <f t="shared" si="170"/>
        <v>-572</v>
      </c>
      <c r="BM104">
        <f t="shared" si="170"/>
        <v>-582</v>
      </c>
      <c r="BN104">
        <f t="shared" si="170"/>
        <v>-600</v>
      </c>
      <c r="BO104">
        <f t="shared" si="170"/>
        <v>-600</v>
      </c>
      <c r="BP104">
        <f t="shared" ref="BP104:CC104" si="171">BP98-BP101</f>
        <v>-600</v>
      </c>
      <c r="BQ104">
        <f t="shared" si="171"/>
        <v>-600</v>
      </c>
      <c r="BR104">
        <f t="shared" si="171"/>
        <v>-600</v>
      </c>
      <c r="BS104">
        <f t="shared" si="171"/>
        <v>-608</v>
      </c>
      <c r="BT104">
        <f t="shared" si="171"/>
        <v>-616</v>
      </c>
      <c r="BU104">
        <f t="shared" si="171"/>
        <v>-624</v>
      </c>
      <c r="BV104">
        <f t="shared" si="171"/>
        <v>-632</v>
      </c>
      <c r="BW104">
        <f t="shared" si="171"/>
        <v>-640</v>
      </c>
      <c r="BX104">
        <f t="shared" si="171"/>
        <v>-648</v>
      </c>
      <c r="BY104">
        <f t="shared" si="171"/>
        <v>-656</v>
      </c>
      <c r="BZ104">
        <f t="shared" si="171"/>
        <v>-664</v>
      </c>
      <c r="CA104">
        <f t="shared" si="171"/>
        <v>-672</v>
      </c>
      <c r="CB104">
        <f t="shared" si="171"/>
        <v>-680</v>
      </c>
      <c r="CC104">
        <f t="shared" si="171"/>
        <v>-688</v>
      </c>
    </row>
    <row r="105" spans="1:81" x14ac:dyDescent="0.2">
      <c r="A105" s="43" t="s">
        <v>229</v>
      </c>
      <c r="B105" s="44" t="s">
        <v>208</v>
      </c>
      <c r="C105" s="9" t="s">
        <v>38</v>
      </c>
      <c r="D105" s="58">
        <f>IFERROR(VLOOKUP(A105,OS!$A:$B,2,0),0)</f>
        <v>640</v>
      </c>
      <c r="E105" s="5">
        <f>(D105+D106-D108)</f>
        <v>640</v>
      </c>
      <c r="F105" s="5">
        <f>(E105+E106-E108)</f>
        <v>320</v>
      </c>
      <c r="G105" s="5">
        <f>(F105+F106-F108)</f>
        <v>320</v>
      </c>
      <c r="H105" s="5">
        <f>(G105+G106-G108)</f>
        <v>160</v>
      </c>
      <c r="I105" s="5">
        <f t="shared" ref="I105:AN105" si="172">(H105+H106-H108+D107)</f>
        <v>800</v>
      </c>
      <c r="J105" s="5">
        <f t="shared" si="172"/>
        <v>560</v>
      </c>
      <c r="K105" s="5">
        <f t="shared" si="172"/>
        <v>320</v>
      </c>
      <c r="L105" s="5">
        <f t="shared" si="172"/>
        <v>0</v>
      </c>
      <c r="M105" s="5">
        <f t="shared" si="172"/>
        <v>-320</v>
      </c>
      <c r="N105" s="5">
        <f t="shared" si="172"/>
        <v>-720</v>
      </c>
      <c r="O105" s="5">
        <f t="shared" si="172"/>
        <v>-720</v>
      </c>
      <c r="P105" s="5">
        <f t="shared" si="172"/>
        <v>-720</v>
      </c>
      <c r="Q105" s="5">
        <f t="shared" si="172"/>
        <v>-720</v>
      </c>
      <c r="R105" s="5">
        <f t="shared" si="172"/>
        <v>-720</v>
      </c>
      <c r="S105" s="5">
        <f t="shared" si="172"/>
        <v>-880</v>
      </c>
      <c r="T105" s="5">
        <f t="shared" si="172"/>
        <v>-1120</v>
      </c>
      <c r="U105" s="5">
        <f t="shared" si="172"/>
        <v>-1280</v>
      </c>
      <c r="V105" s="5">
        <f t="shared" si="172"/>
        <v>-1500</v>
      </c>
      <c r="W105" s="5">
        <f t="shared" si="172"/>
        <v>-1720</v>
      </c>
      <c r="X105" s="5">
        <f t="shared" si="172"/>
        <v>-1940</v>
      </c>
      <c r="Y105" s="5">
        <f t="shared" si="172"/>
        <v>-2160</v>
      </c>
      <c r="Z105" s="5">
        <f t="shared" si="172"/>
        <v>-2380</v>
      </c>
      <c r="AA105" s="5">
        <f t="shared" si="172"/>
        <v>-2600</v>
      </c>
      <c r="AB105" s="5">
        <f t="shared" si="172"/>
        <v>-2820</v>
      </c>
      <c r="AC105" s="5">
        <f t="shared" si="172"/>
        <v>-3040</v>
      </c>
      <c r="AD105" s="5">
        <f t="shared" si="172"/>
        <v>-3360</v>
      </c>
      <c r="AE105" s="5">
        <f t="shared" si="172"/>
        <v>-3680</v>
      </c>
      <c r="AF105" s="5">
        <f t="shared" si="172"/>
        <v>-4000</v>
      </c>
      <c r="AG105" s="5">
        <f t="shared" si="172"/>
        <v>-4320</v>
      </c>
      <c r="AH105" s="5">
        <f t="shared" si="172"/>
        <v>-4640</v>
      </c>
      <c r="AI105" s="5">
        <f t="shared" si="172"/>
        <v>-4680</v>
      </c>
      <c r="AJ105" s="5">
        <f t="shared" si="172"/>
        <v>-4720</v>
      </c>
      <c r="AK105" s="5">
        <f t="shared" si="172"/>
        <v>-4720</v>
      </c>
      <c r="AL105" s="5">
        <f t="shared" si="172"/>
        <v>-4720</v>
      </c>
      <c r="AM105" s="5">
        <f t="shared" si="172"/>
        <v>-4720</v>
      </c>
      <c r="AN105" s="5">
        <f t="shared" si="172"/>
        <v>-4720</v>
      </c>
      <c r="AO105" s="5">
        <f t="shared" ref="AO105:BT105" si="173">(AN105+AN106-AN108+AJ107)</f>
        <v>-4883</v>
      </c>
      <c r="AP105" s="5">
        <f t="shared" si="173"/>
        <v>-5046</v>
      </c>
      <c r="AQ105" s="5">
        <f t="shared" si="173"/>
        <v>-5209</v>
      </c>
      <c r="AR105" s="5">
        <f t="shared" si="173"/>
        <v>-5406</v>
      </c>
      <c r="AS105" s="5">
        <f t="shared" si="173"/>
        <v>-5603</v>
      </c>
      <c r="AT105" s="5">
        <f t="shared" si="173"/>
        <v>-5761</v>
      </c>
      <c r="AU105" s="5">
        <f t="shared" si="173"/>
        <v>-5958</v>
      </c>
      <c r="AV105" s="5">
        <f t="shared" si="173"/>
        <v>-6145</v>
      </c>
      <c r="AW105" s="5">
        <f t="shared" si="173"/>
        <v>-6332</v>
      </c>
      <c r="AX105" s="5">
        <f t="shared" si="173"/>
        <v>-6519</v>
      </c>
      <c r="AY105" s="5">
        <f t="shared" si="173"/>
        <v>-6706</v>
      </c>
      <c r="AZ105" s="5">
        <f t="shared" si="173"/>
        <v>-6856</v>
      </c>
      <c r="BA105" s="5">
        <f t="shared" si="173"/>
        <v>-6990</v>
      </c>
      <c r="BB105" s="5">
        <f t="shared" si="173"/>
        <v>-7124</v>
      </c>
      <c r="BC105" s="5">
        <f t="shared" si="173"/>
        <v>-7258</v>
      </c>
      <c r="BD105" s="5">
        <f t="shared" si="173"/>
        <v>-7408</v>
      </c>
      <c r="BE105" s="5">
        <f t="shared" si="173"/>
        <v>-7558</v>
      </c>
      <c r="BF105" s="5">
        <f t="shared" si="173"/>
        <v>-7708</v>
      </c>
      <c r="BG105" s="5">
        <f t="shared" si="173"/>
        <v>-7858</v>
      </c>
      <c r="BH105" s="5">
        <f t="shared" si="173"/>
        <v>-8008</v>
      </c>
      <c r="BI105" s="5">
        <f t="shared" si="173"/>
        <v>-8158</v>
      </c>
      <c r="BJ105" s="5">
        <f t="shared" si="173"/>
        <v>-8308</v>
      </c>
      <c r="BK105" s="5">
        <f t="shared" si="173"/>
        <v>-8458</v>
      </c>
      <c r="BL105" s="5">
        <f t="shared" si="173"/>
        <v>-8608</v>
      </c>
      <c r="BM105" s="5">
        <f t="shared" si="173"/>
        <v>-8757</v>
      </c>
      <c r="BN105" s="5">
        <f t="shared" si="173"/>
        <v>-8906</v>
      </c>
      <c r="BO105" s="5">
        <f t="shared" si="173"/>
        <v>-9178</v>
      </c>
      <c r="BP105" s="5">
        <f t="shared" si="173"/>
        <v>-9178</v>
      </c>
      <c r="BQ105" s="5">
        <f t="shared" si="173"/>
        <v>-9178</v>
      </c>
      <c r="BR105" s="5">
        <f t="shared" si="173"/>
        <v>-9178</v>
      </c>
      <c r="BS105" s="5">
        <f t="shared" si="173"/>
        <v>-9178</v>
      </c>
      <c r="BT105" s="5">
        <f t="shared" si="173"/>
        <v>-9301</v>
      </c>
      <c r="BU105" s="5">
        <f t="shared" ref="BU105:CZ105" si="174">(BT105+BT106-BT108+BP107)</f>
        <v>-9424</v>
      </c>
      <c r="BV105" s="5">
        <f t="shared" si="174"/>
        <v>-9547</v>
      </c>
      <c r="BW105" s="5">
        <f t="shared" si="174"/>
        <v>-9670</v>
      </c>
      <c r="BX105" s="5">
        <f t="shared" si="174"/>
        <v>-9793</v>
      </c>
      <c r="BY105" s="5">
        <f t="shared" si="174"/>
        <v>-9916</v>
      </c>
      <c r="BZ105" s="5">
        <f t="shared" si="174"/>
        <v>-10039</v>
      </c>
      <c r="CA105" s="5">
        <f t="shared" si="174"/>
        <v>-10162</v>
      </c>
      <c r="CB105" s="5">
        <f t="shared" si="174"/>
        <v>-10285</v>
      </c>
      <c r="CC105" s="5">
        <f t="shared" si="174"/>
        <v>-10408</v>
      </c>
    </row>
    <row r="106" spans="1:81" x14ac:dyDescent="0.2">
      <c r="A106" s="5" t="s">
        <v>209</v>
      </c>
      <c r="B106" s="5">
        <v>11.810829999999999</v>
      </c>
      <c r="C106" s="45" t="s">
        <v>39</v>
      </c>
      <c r="D106" s="59">
        <f>IFERROR(VLOOKUP(A105,WIP!$A:$B,2,0),0)</f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</row>
    <row r="107" spans="1:81" x14ac:dyDescent="0.2">
      <c r="A107" s="5" t="s">
        <v>210</v>
      </c>
      <c r="B107" s="5">
        <v>0.34799999999999998</v>
      </c>
      <c r="C107" s="9" t="s">
        <v>211</v>
      </c>
      <c r="D107" s="60">
        <f>IFERROR(VLOOKUP($A105,Plan!$A:B,D$4,0),0)</f>
        <v>800</v>
      </c>
      <c r="E107" s="70">
        <f>IFERROR(VLOOKUP($A105,Plan!$A:C,E$4,0),0)</f>
        <v>0</v>
      </c>
      <c r="F107" s="70">
        <f>IFERROR(VLOOKUP($A105,Plan!$A:D,F$4,0),0)</f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</row>
    <row r="108" spans="1:81" x14ac:dyDescent="0.2">
      <c r="A108" s="5" t="s">
        <v>212</v>
      </c>
      <c r="B108" s="5">
        <v>8.5000000000000006E-2</v>
      </c>
      <c r="C108" s="9" t="s">
        <v>213</v>
      </c>
      <c r="D108" s="61">
        <f>IFERROR(VLOOKUP($A105,Sales!$A:B,D$2,0),0)</f>
        <v>0</v>
      </c>
      <c r="E108" s="61">
        <f>IFERROR(VLOOKUP($A105,Sales!$A:C,E$2,0),0)</f>
        <v>320</v>
      </c>
      <c r="F108" s="61">
        <f>IFERROR(VLOOKUP($A105,Sales!$A:D,F$2,0),0)</f>
        <v>0</v>
      </c>
      <c r="G108" s="61">
        <f>IFERROR(VLOOKUP($A105,Sales!$A:E,G$2,0),0)</f>
        <v>160</v>
      </c>
      <c r="H108" s="61">
        <f>IFERROR(VLOOKUP($A105,Sales!$A:F,H$2,0),0)</f>
        <v>160</v>
      </c>
      <c r="I108" s="61">
        <f>IFERROR(VLOOKUP($A105,Sales!$A:G,I$2,0),0)</f>
        <v>240</v>
      </c>
      <c r="J108" s="61">
        <f>IFERROR(VLOOKUP($A105,Sales!$A:H,J$2,0),0)</f>
        <v>240</v>
      </c>
      <c r="K108" s="61">
        <f>IFERROR(VLOOKUP($A105,Sales!$A:I,K$2,0),0)</f>
        <v>320</v>
      </c>
      <c r="L108" s="61">
        <f>IFERROR(VLOOKUP($A105,Sales!$A:J,L$2,0),0)</f>
        <v>320</v>
      </c>
      <c r="M108" s="61">
        <f>IFERROR(VLOOKUP($A105,Sales!$A:K,M$2,0),0)</f>
        <v>400</v>
      </c>
      <c r="N108" s="61">
        <f>IFERROR(VLOOKUP($A105,Sales!$A:L,N$2,0),0)</f>
        <v>0</v>
      </c>
      <c r="O108" s="61">
        <f>IFERROR(VLOOKUP($A105,Sales!$A:M,O$2,0),0)</f>
        <v>0</v>
      </c>
      <c r="P108" s="61">
        <f>IFERROR(VLOOKUP($A105,Sales!$A:N,P$2,0),0)</f>
        <v>0</v>
      </c>
      <c r="Q108" s="61">
        <f>IFERROR(VLOOKUP($A105,Sales!$A:O,Q$2,0),0)</f>
        <v>0</v>
      </c>
      <c r="R108" s="61">
        <f>IFERROR(VLOOKUP($A105,Sales!$A:P,R$2,0),0)</f>
        <v>160</v>
      </c>
      <c r="S108" s="61">
        <f>IFERROR(VLOOKUP($A105,Sales!$A:Q,S$2,0),0)</f>
        <v>240</v>
      </c>
      <c r="T108" s="61">
        <f>IFERROR(VLOOKUP($A105,Sales!$A:R,T$2,0),0)</f>
        <v>160</v>
      </c>
      <c r="U108" s="61">
        <f>IFERROR(VLOOKUP($A105,Sales!$A:S,U$2,0),0)</f>
        <v>220</v>
      </c>
      <c r="V108" s="61">
        <f>IFERROR(VLOOKUP($A105,Sales!$A:T,V$2,0),0)</f>
        <v>220</v>
      </c>
      <c r="W108" s="61">
        <f>IFERROR(VLOOKUP($A105,Sales!$A:U,W$2,0),0)</f>
        <v>220</v>
      </c>
      <c r="X108" s="61">
        <f>IFERROR(VLOOKUP($A105,Sales!$A:V,X$2,0),0)</f>
        <v>220</v>
      </c>
      <c r="Y108" s="61">
        <f>IFERROR(VLOOKUP($A105,Sales!$A:W,Y$2,0),0)</f>
        <v>220</v>
      </c>
      <c r="Z108" s="61">
        <f>IFERROR(VLOOKUP($A105,Sales!$A:X,Z$2,0),0)</f>
        <v>220</v>
      </c>
      <c r="AA108" s="61">
        <f>IFERROR(VLOOKUP($A105,Sales!$A:Y,AA$2,0),0)</f>
        <v>220</v>
      </c>
      <c r="AB108" s="61">
        <f>IFERROR(VLOOKUP($A105,Sales!$A:Z,AB$2,0),0)</f>
        <v>220</v>
      </c>
      <c r="AC108" s="61">
        <f>IFERROR(VLOOKUP($A105,Sales!$A:AA,AC$2,0),0)</f>
        <v>320</v>
      </c>
      <c r="AD108" s="61">
        <f>IFERROR(VLOOKUP($A105,Sales!$A:AB,AD$2,0),0)</f>
        <v>320</v>
      </c>
      <c r="AE108" s="61">
        <f>IFERROR(VLOOKUP($A105,Sales!$A:AC,AE$2,0),0)</f>
        <v>320</v>
      </c>
      <c r="AF108" s="61">
        <f>IFERROR(VLOOKUP($A105,Sales!$A:AD,AF$2,0),0)</f>
        <v>320</v>
      </c>
      <c r="AG108" s="61">
        <f>IFERROR(VLOOKUP($A105,Sales!$A:AE,AG$2,0),0)</f>
        <v>320</v>
      </c>
      <c r="AH108" s="61">
        <f>IFERROR(VLOOKUP($A105,Sales!$A:AF,AH$2,0),0)</f>
        <v>40</v>
      </c>
      <c r="AI108" s="61">
        <f>IFERROR(VLOOKUP($A105,Sales!$A:AG,AI$2,0),0)</f>
        <v>40</v>
      </c>
      <c r="AJ108" s="61">
        <f>IFERROR(VLOOKUP($A105,Sales!$A:AH,AJ$2,0),0)</f>
        <v>0</v>
      </c>
      <c r="AK108" s="73">
        <f t="shared" ref="AK108:CC108" si="175">CEILING(AK$5*$B104,1)</f>
        <v>0</v>
      </c>
      <c r="AL108" s="73">
        <f t="shared" si="175"/>
        <v>0</v>
      </c>
      <c r="AM108" s="73">
        <f t="shared" si="175"/>
        <v>0</v>
      </c>
      <c r="AN108" s="73">
        <f t="shared" si="175"/>
        <v>163</v>
      </c>
      <c r="AO108" s="73">
        <f t="shared" si="175"/>
        <v>163</v>
      </c>
      <c r="AP108" s="73">
        <f t="shared" si="175"/>
        <v>163</v>
      </c>
      <c r="AQ108" s="73">
        <f t="shared" si="175"/>
        <v>197</v>
      </c>
      <c r="AR108" s="73">
        <f t="shared" si="175"/>
        <v>197</v>
      </c>
      <c r="AS108" s="73">
        <f t="shared" si="175"/>
        <v>158</v>
      </c>
      <c r="AT108" s="73">
        <f t="shared" si="175"/>
        <v>197</v>
      </c>
      <c r="AU108" s="73">
        <f t="shared" si="175"/>
        <v>187</v>
      </c>
      <c r="AV108" s="73">
        <f t="shared" si="175"/>
        <v>187</v>
      </c>
      <c r="AW108" s="73">
        <f t="shared" si="175"/>
        <v>187</v>
      </c>
      <c r="AX108" s="73">
        <f t="shared" si="175"/>
        <v>187</v>
      </c>
      <c r="AY108" s="73">
        <f t="shared" si="175"/>
        <v>150</v>
      </c>
      <c r="AZ108" s="73">
        <f t="shared" si="175"/>
        <v>134</v>
      </c>
      <c r="BA108" s="73">
        <f t="shared" si="175"/>
        <v>134</v>
      </c>
      <c r="BB108" s="73">
        <f t="shared" si="175"/>
        <v>134</v>
      </c>
      <c r="BC108" s="73">
        <f t="shared" si="175"/>
        <v>150</v>
      </c>
      <c r="BD108" s="73">
        <f t="shared" si="175"/>
        <v>150</v>
      </c>
      <c r="BE108" s="73">
        <f t="shared" si="175"/>
        <v>150</v>
      </c>
      <c r="BF108" s="73">
        <f t="shared" si="175"/>
        <v>150</v>
      </c>
      <c r="BG108" s="73">
        <f t="shared" si="175"/>
        <v>150</v>
      </c>
      <c r="BH108" s="73">
        <f t="shared" si="175"/>
        <v>150</v>
      </c>
      <c r="BI108" s="73">
        <f t="shared" si="175"/>
        <v>150</v>
      </c>
      <c r="BJ108" s="73">
        <f t="shared" si="175"/>
        <v>150</v>
      </c>
      <c r="BK108" s="73">
        <f t="shared" si="175"/>
        <v>150</v>
      </c>
      <c r="BL108" s="73">
        <f t="shared" si="175"/>
        <v>149</v>
      </c>
      <c r="BM108" s="73">
        <f t="shared" si="175"/>
        <v>149</v>
      </c>
      <c r="BN108" s="73">
        <f t="shared" si="175"/>
        <v>272</v>
      </c>
      <c r="BO108" s="73">
        <f t="shared" si="175"/>
        <v>0</v>
      </c>
      <c r="BP108" s="73">
        <f t="shared" si="175"/>
        <v>0</v>
      </c>
      <c r="BQ108" s="73">
        <f t="shared" si="175"/>
        <v>0</v>
      </c>
      <c r="BR108" s="73">
        <f t="shared" si="175"/>
        <v>0</v>
      </c>
      <c r="BS108" s="73">
        <f t="shared" si="175"/>
        <v>123</v>
      </c>
      <c r="BT108" s="73">
        <f t="shared" si="175"/>
        <v>123</v>
      </c>
      <c r="BU108" s="73">
        <f t="shared" si="175"/>
        <v>123</v>
      </c>
      <c r="BV108" s="73">
        <f t="shared" si="175"/>
        <v>123</v>
      </c>
      <c r="BW108" s="73">
        <f t="shared" si="175"/>
        <v>123</v>
      </c>
      <c r="BX108" s="73">
        <f t="shared" si="175"/>
        <v>123</v>
      </c>
      <c r="BY108" s="73">
        <f t="shared" si="175"/>
        <v>123</v>
      </c>
      <c r="BZ108" s="73">
        <f t="shared" si="175"/>
        <v>123</v>
      </c>
      <c r="CA108" s="73">
        <f t="shared" si="175"/>
        <v>123</v>
      </c>
      <c r="CB108" s="73">
        <f t="shared" si="175"/>
        <v>123</v>
      </c>
      <c r="CC108" s="73">
        <f t="shared" si="175"/>
        <v>123</v>
      </c>
    </row>
    <row r="109" spans="1:81" x14ac:dyDescent="0.2">
      <c r="A109" s="5" t="s">
        <v>214</v>
      </c>
      <c r="B109" s="5">
        <v>0.433</v>
      </c>
      <c r="C109" s="46" t="s">
        <v>215</v>
      </c>
      <c r="D109" s="11">
        <f t="shared" ref="D109:AI109" si="176">IF(D108=0,0, ROUND(D105 * 1/D108* D$13,1))</f>
        <v>0</v>
      </c>
      <c r="E109" s="11">
        <f t="shared" si="176"/>
        <v>10</v>
      </c>
      <c r="F109" s="11">
        <f t="shared" si="176"/>
        <v>0</v>
      </c>
      <c r="G109" s="11">
        <f t="shared" si="176"/>
        <v>10</v>
      </c>
      <c r="H109" s="11">
        <f t="shared" si="176"/>
        <v>5</v>
      </c>
      <c r="I109" s="11">
        <f t="shared" si="176"/>
        <v>16.7</v>
      </c>
      <c r="J109" s="11">
        <f t="shared" si="176"/>
        <v>11.7</v>
      </c>
      <c r="K109" s="11">
        <f t="shared" si="176"/>
        <v>5</v>
      </c>
      <c r="L109" s="11">
        <f t="shared" si="176"/>
        <v>0</v>
      </c>
      <c r="M109" s="11">
        <f t="shared" si="176"/>
        <v>-4</v>
      </c>
      <c r="N109" s="11">
        <f t="shared" si="176"/>
        <v>0</v>
      </c>
      <c r="O109" s="11">
        <f t="shared" si="176"/>
        <v>0</v>
      </c>
      <c r="P109" s="11">
        <f t="shared" si="176"/>
        <v>0</v>
      </c>
      <c r="Q109" s="11">
        <f t="shared" si="176"/>
        <v>0</v>
      </c>
      <c r="R109" s="11">
        <f t="shared" si="176"/>
        <v>-22.5</v>
      </c>
      <c r="S109" s="11">
        <f t="shared" si="176"/>
        <v>-18.3</v>
      </c>
      <c r="T109" s="11">
        <f t="shared" si="176"/>
        <v>-35</v>
      </c>
      <c r="U109" s="11">
        <f t="shared" si="176"/>
        <v>-29.1</v>
      </c>
      <c r="V109" s="11">
        <f t="shared" si="176"/>
        <v>-34.1</v>
      </c>
      <c r="W109" s="11">
        <f t="shared" si="176"/>
        <v>-39.1</v>
      </c>
      <c r="X109" s="11">
        <f t="shared" si="176"/>
        <v>-44.1</v>
      </c>
      <c r="Y109" s="11">
        <f t="shared" si="176"/>
        <v>-49.1</v>
      </c>
      <c r="Z109" s="11">
        <f t="shared" si="176"/>
        <v>-54.1</v>
      </c>
      <c r="AA109" s="11">
        <f t="shared" si="176"/>
        <v>-59.1</v>
      </c>
      <c r="AB109" s="11">
        <f t="shared" si="176"/>
        <v>-64.099999999999994</v>
      </c>
      <c r="AC109" s="11">
        <f t="shared" si="176"/>
        <v>-47.5</v>
      </c>
      <c r="AD109" s="11">
        <f t="shared" si="176"/>
        <v>-52.5</v>
      </c>
      <c r="AE109" s="11">
        <f t="shared" si="176"/>
        <v>-57.5</v>
      </c>
      <c r="AF109" s="11">
        <f t="shared" si="176"/>
        <v>-62.5</v>
      </c>
      <c r="AG109" s="11">
        <f t="shared" si="176"/>
        <v>-67.5</v>
      </c>
      <c r="AH109" s="11">
        <f t="shared" si="176"/>
        <v>-580</v>
      </c>
      <c r="AI109" s="11">
        <f t="shared" si="176"/>
        <v>-585</v>
      </c>
      <c r="AJ109" s="11">
        <f t="shared" ref="AJ109:BO109" si="177">IF(AJ108=0,0, ROUND(AJ105 * 1/AJ108* AJ$13,1))</f>
        <v>0</v>
      </c>
      <c r="AK109" s="11">
        <f t="shared" si="177"/>
        <v>0</v>
      </c>
      <c r="AL109" s="11">
        <f t="shared" si="177"/>
        <v>0</v>
      </c>
      <c r="AM109" s="11">
        <f t="shared" si="177"/>
        <v>0</v>
      </c>
      <c r="AN109" s="11">
        <f t="shared" si="177"/>
        <v>-144.80000000000001</v>
      </c>
      <c r="AO109" s="11">
        <f t="shared" si="177"/>
        <v>-149.80000000000001</v>
      </c>
      <c r="AP109" s="11">
        <f t="shared" si="177"/>
        <v>-154.80000000000001</v>
      </c>
      <c r="AQ109" s="11">
        <f t="shared" si="177"/>
        <v>-132.19999999999999</v>
      </c>
      <c r="AR109" s="11">
        <f t="shared" si="177"/>
        <v>-137.19999999999999</v>
      </c>
      <c r="AS109" s="11">
        <f t="shared" si="177"/>
        <v>-177.3</v>
      </c>
      <c r="AT109" s="11">
        <f t="shared" si="177"/>
        <v>-146.19999999999999</v>
      </c>
      <c r="AU109" s="11">
        <f t="shared" si="177"/>
        <v>-159.30000000000001</v>
      </c>
      <c r="AV109" s="11">
        <f t="shared" si="177"/>
        <v>-164.3</v>
      </c>
      <c r="AW109" s="11">
        <f t="shared" si="177"/>
        <v>-169.3</v>
      </c>
      <c r="AX109" s="11">
        <f t="shared" si="177"/>
        <v>-174.3</v>
      </c>
      <c r="AY109" s="11">
        <f t="shared" si="177"/>
        <v>-223.5</v>
      </c>
      <c r="AZ109" s="11">
        <f t="shared" si="177"/>
        <v>-255.8</v>
      </c>
      <c r="BA109" s="11">
        <f t="shared" si="177"/>
        <v>-260.8</v>
      </c>
      <c r="BB109" s="11">
        <f t="shared" si="177"/>
        <v>-265.8</v>
      </c>
      <c r="BC109" s="11">
        <f t="shared" si="177"/>
        <v>-241.9</v>
      </c>
      <c r="BD109" s="11">
        <f t="shared" si="177"/>
        <v>-246.9</v>
      </c>
      <c r="BE109" s="11">
        <f t="shared" si="177"/>
        <v>-251.9</v>
      </c>
      <c r="BF109" s="11">
        <f t="shared" si="177"/>
        <v>-256.89999999999998</v>
      </c>
      <c r="BG109" s="11">
        <f t="shared" si="177"/>
        <v>-261.89999999999998</v>
      </c>
      <c r="BH109" s="11">
        <f t="shared" si="177"/>
        <v>-266.89999999999998</v>
      </c>
      <c r="BI109" s="11">
        <f t="shared" si="177"/>
        <v>-271.89999999999998</v>
      </c>
      <c r="BJ109" s="11">
        <f t="shared" si="177"/>
        <v>-276.89999999999998</v>
      </c>
      <c r="BK109" s="11">
        <f t="shared" si="177"/>
        <v>-281.89999999999998</v>
      </c>
      <c r="BL109" s="11">
        <f t="shared" si="177"/>
        <v>-288.89999999999998</v>
      </c>
      <c r="BM109" s="11">
        <f t="shared" si="177"/>
        <v>-293.89999999999998</v>
      </c>
      <c r="BN109" s="11">
        <f t="shared" si="177"/>
        <v>-163.69999999999999</v>
      </c>
      <c r="BO109" s="11">
        <f t="shared" si="177"/>
        <v>0</v>
      </c>
      <c r="BP109" s="11">
        <f t="shared" ref="BP109:CU109" si="178">IF(BP108=0,0, ROUND(BP105 * 1/BP108* BP$13,1))</f>
        <v>0</v>
      </c>
      <c r="BQ109" s="11">
        <f t="shared" si="178"/>
        <v>0</v>
      </c>
      <c r="BR109" s="11">
        <f t="shared" si="178"/>
        <v>0</v>
      </c>
      <c r="BS109" s="11">
        <f t="shared" si="178"/>
        <v>-373.1</v>
      </c>
      <c r="BT109" s="11">
        <f t="shared" si="178"/>
        <v>-378.1</v>
      </c>
      <c r="BU109" s="11">
        <f t="shared" si="178"/>
        <v>-383.1</v>
      </c>
      <c r="BV109" s="11">
        <f t="shared" si="178"/>
        <v>-388.1</v>
      </c>
      <c r="BW109" s="11">
        <f t="shared" si="178"/>
        <v>-393.1</v>
      </c>
      <c r="BX109" s="11">
        <f t="shared" si="178"/>
        <v>-398.1</v>
      </c>
      <c r="BY109" s="11">
        <f t="shared" si="178"/>
        <v>-403.1</v>
      </c>
      <c r="BZ109" s="11">
        <f t="shared" si="178"/>
        <v>-408.1</v>
      </c>
      <c r="CA109" s="11">
        <f t="shared" si="178"/>
        <v>-413.1</v>
      </c>
      <c r="CB109" s="11">
        <f t="shared" si="178"/>
        <v>-418.1</v>
      </c>
      <c r="CC109" s="11">
        <f t="shared" si="178"/>
        <v>-423.1</v>
      </c>
    </row>
    <row r="110" spans="1:81" x14ac:dyDescent="0.2">
      <c r="A110" s="10">
        <v>47</v>
      </c>
      <c r="B110" s="10">
        <v>1</v>
      </c>
      <c r="C110" s="68">
        <v>8.89025</v>
      </c>
      <c r="D110" s="10">
        <f t="shared" ref="D110:AI110" si="179">D107/$B110</f>
        <v>800</v>
      </c>
      <c r="E110" s="10">
        <f t="shared" si="179"/>
        <v>0</v>
      </c>
      <c r="F110" s="10">
        <f t="shared" si="179"/>
        <v>0</v>
      </c>
      <c r="G110" s="10">
        <f t="shared" si="179"/>
        <v>0</v>
      </c>
      <c r="H110" s="10">
        <f t="shared" si="179"/>
        <v>0</v>
      </c>
      <c r="I110" s="10">
        <f t="shared" si="179"/>
        <v>0</v>
      </c>
      <c r="J110" s="10">
        <f t="shared" si="179"/>
        <v>0</v>
      </c>
      <c r="K110" s="10">
        <f t="shared" si="179"/>
        <v>0</v>
      </c>
      <c r="L110" s="10">
        <f t="shared" si="179"/>
        <v>0</v>
      </c>
      <c r="M110" s="10">
        <f t="shared" si="179"/>
        <v>0</v>
      </c>
      <c r="N110" s="10">
        <f t="shared" si="179"/>
        <v>0</v>
      </c>
      <c r="O110" s="10">
        <f t="shared" si="179"/>
        <v>0</v>
      </c>
      <c r="P110" s="10">
        <f t="shared" si="179"/>
        <v>0</v>
      </c>
      <c r="Q110" s="10">
        <f t="shared" si="179"/>
        <v>0</v>
      </c>
      <c r="R110" s="10">
        <f t="shared" si="179"/>
        <v>0</v>
      </c>
      <c r="S110" s="10">
        <f t="shared" si="179"/>
        <v>0</v>
      </c>
      <c r="T110" s="10">
        <f t="shared" si="179"/>
        <v>0</v>
      </c>
      <c r="U110" s="10">
        <f t="shared" si="179"/>
        <v>0</v>
      </c>
      <c r="V110" s="10">
        <f t="shared" si="179"/>
        <v>0</v>
      </c>
      <c r="W110" s="10">
        <f t="shared" si="179"/>
        <v>0</v>
      </c>
      <c r="X110" s="10">
        <f t="shared" si="179"/>
        <v>0</v>
      </c>
      <c r="Y110" s="10">
        <f t="shared" si="179"/>
        <v>0</v>
      </c>
      <c r="Z110" s="10">
        <f t="shared" si="179"/>
        <v>0</v>
      </c>
      <c r="AA110" s="10">
        <f t="shared" si="179"/>
        <v>0</v>
      </c>
      <c r="AB110" s="10">
        <f t="shared" si="179"/>
        <v>0</v>
      </c>
      <c r="AC110" s="10">
        <f t="shared" si="179"/>
        <v>0</v>
      </c>
      <c r="AD110" s="10">
        <f t="shared" si="179"/>
        <v>0</v>
      </c>
      <c r="AE110" s="10">
        <f t="shared" si="179"/>
        <v>0</v>
      </c>
      <c r="AF110" s="10">
        <f t="shared" si="179"/>
        <v>0</v>
      </c>
      <c r="AG110" s="10">
        <f t="shared" si="179"/>
        <v>0</v>
      </c>
      <c r="AH110" s="10">
        <f t="shared" si="179"/>
        <v>0</v>
      </c>
      <c r="AI110" s="10">
        <f t="shared" si="179"/>
        <v>0</v>
      </c>
      <c r="AJ110" s="10">
        <f t="shared" ref="AJ110:BO110" si="180">AJ107/$B110</f>
        <v>0</v>
      </c>
      <c r="AK110" s="10">
        <f t="shared" si="180"/>
        <v>0</v>
      </c>
      <c r="AL110" s="10">
        <f t="shared" si="180"/>
        <v>0</v>
      </c>
      <c r="AM110" s="10">
        <f t="shared" si="180"/>
        <v>0</v>
      </c>
      <c r="AN110" s="10">
        <f t="shared" si="180"/>
        <v>0</v>
      </c>
      <c r="AO110" s="10">
        <f t="shared" si="180"/>
        <v>0</v>
      </c>
      <c r="AP110" s="10">
        <f t="shared" si="180"/>
        <v>0</v>
      </c>
      <c r="AQ110" s="10">
        <f t="shared" si="180"/>
        <v>0</v>
      </c>
      <c r="AR110" s="10">
        <f t="shared" si="180"/>
        <v>0</v>
      </c>
      <c r="AS110" s="10">
        <f t="shared" si="180"/>
        <v>0</v>
      </c>
      <c r="AT110" s="10">
        <f t="shared" si="180"/>
        <v>0</v>
      </c>
      <c r="AU110" s="10">
        <f t="shared" si="180"/>
        <v>0</v>
      </c>
      <c r="AV110" s="10">
        <f t="shared" si="180"/>
        <v>0</v>
      </c>
      <c r="AW110" s="10">
        <f t="shared" si="180"/>
        <v>0</v>
      </c>
      <c r="AX110" s="10">
        <f t="shared" si="180"/>
        <v>0</v>
      </c>
      <c r="AY110" s="10">
        <f t="shared" si="180"/>
        <v>0</v>
      </c>
      <c r="AZ110" s="10">
        <f t="shared" si="180"/>
        <v>0</v>
      </c>
      <c r="BA110" s="10">
        <f t="shared" si="180"/>
        <v>0</v>
      </c>
      <c r="BB110" s="10">
        <f t="shared" si="180"/>
        <v>0</v>
      </c>
      <c r="BC110" s="10">
        <f t="shared" si="180"/>
        <v>0</v>
      </c>
      <c r="BD110" s="10">
        <f t="shared" si="180"/>
        <v>0</v>
      </c>
      <c r="BE110" s="10">
        <f t="shared" si="180"/>
        <v>0</v>
      </c>
      <c r="BF110" s="10">
        <f t="shared" si="180"/>
        <v>0</v>
      </c>
      <c r="BG110" s="10">
        <f t="shared" si="180"/>
        <v>0</v>
      </c>
      <c r="BH110" s="10">
        <f t="shared" si="180"/>
        <v>0</v>
      </c>
      <c r="BI110" s="10">
        <f t="shared" si="180"/>
        <v>0</v>
      </c>
      <c r="BJ110" s="10">
        <f t="shared" si="180"/>
        <v>0</v>
      </c>
      <c r="BK110" s="10">
        <f t="shared" si="180"/>
        <v>0</v>
      </c>
      <c r="BL110" s="10">
        <f t="shared" si="180"/>
        <v>0</v>
      </c>
      <c r="BM110" s="10">
        <f t="shared" si="180"/>
        <v>0</v>
      </c>
      <c r="BN110" s="10">
        <f t="shared" si="180"/>
        <v>0</v>
      </c>
      <c r="BO110" s="10">
        <f t="shared" si="180"/>
        <v>0</v>
      </c>
      <c r="BP110" s="10">
        <f t="shared" ref="BP110:CC110" si="181">BP107/$B110</f>
        <v>0</v>
      </c>
      <c r="BQ110" s="10">
        <f t="shared" si="181"/>
        <v>0</v>
      </c>
      <c r="BR110" s="10">
        <f t="shared" si="181"/>
        <v>0</v>
      </c>
      <c r="BS110" s="10">
        <f t="shared" si="181"/>
        <v>0</v>
      </c>
      <c r="BT110" s="10">
        <f t="shared" si="181"/>
        <v>0</v>
      </c>
      <c r="BU110" s="10">
        <f t="shared" si="181"/>
        <v>0</v>
      </c>
      <c r="BV110" s="10">
        <f t="shared" si="181"/>
        <v>0</v>
      </c>
      <c r="BW110" s="10">
        <f t="shared" si="181"/>
        <v>0</v>
      </c>
      <c r="BX110" s="10">
        <f t="shared" si="181"/>
        <v>0</v>
      </c>
      <c r="BY110" s="10">
        <f t="shared" si="181"/>
        <v>0</v>
      </c>
      <c r="BZ110" s="10">
        <f t="shared" si="181"/>
        <v>0</v>
      </c>
      <c r="CA110" s="10">
        <f t="shared" si="181"/>
        <v>0</v>
      </c>
      <c r="CB110" s="10">
        <f t="shared" si="181"/>
        <v>0</v>
      </c>
      <c r="CC110" s="10">
        <f t="shared" si="181"/>
        <v>0</v>
      </c>
    </row>
    <row r="111" spans="1:81" x14ac:dyDescent="0.2">
      <c r="B111" s="67">
        <f>SUM(D115:AJ115)/SUM($D$263:$AJ$263)</f>
        <v>1.9532203720884809E-4</v>
      </c>
      <c r="C111" s="9" t="s">
        <v>216</v>
      </c>
      <c r="D111">
        <f t="shared" ref="D111:AI111" si="182">D105-D108</f>
        <v>640</v>
      </c>
      <c r="E111">
        <f t="shared" si="182"/>
        <v>320</v>
      </c>
      <c r="F111">
        <f t="shared" si="182"/>
        <v>320</v>
      </c>
      <c r="G111">
        <f t="shared" si="182"/>
        <v>160</v>
      </c>
      <c r="H111">
        <f t="shared" si="182"/>
        <v>0</v>
      </c>
      <c r="I111">
        <f t="shared" si="182"/>
        <v>560</v>
      </c>
      <c r="J111">
        <f t="shared" si="182"/>
        <v>320</v>
      </c>
      <c r="K111">
        <f t="shared" si="182"/>
        <v>0</v>
      </c>
      <c r="L111">
        <f t="shared" si="182"/>
        <v>-320</v>
      </c>
      <c r="M111">
        <f t="shared" si="182"/>
        <v>-720</v>
      </c>
      <c r="N111">
        <f t="shared" si="182"/>
        <v>-720</v>
      </c>
      <c r="O111">
        <f t="shared" si="182"/>
        <v>-720</v>
      </c>
      <c r="P111">
        <f t="shared" si="182"/>
        <v>-720</v>
      </c>
      <c r="Q111">
        <f t="shared" si="182"/>
        <v>-720</v>
      </c>
      <c r="R111">
        <f t="shared" si="182"/>
        <v>-880</v>
      </c>
      <c r="S111">
        <f t="shared" si="182"/>
        <v>-1120</v>
      </c>
      <c r="T111">
        <f t="shared" si="182"/>
        <v>-1280</v>
      </c>
      <c r="U111">
        <f t="shared" si="182"/>
        <v>-1500</v>
      </c>
      <c r="V111">
        <f t="shared" si="182"/>
        <v>-1720</v>
      </c>
      <c r="W111">
        <f t="shared" si="182"/>
        <v>-1940</v>
      </c>
      <c r="X111">
        <f t="shared" si="182"/>
        <v>-2160</v>
      </c>
      <c r="Y111">
        <f t="shared" si="182"/>
        <v>-2380</v>
      </c>
      <c r="Z111">
        <f t="shared" si="182"/>
        <v>-2600</v>
      </c>
      <c r="AA111">
        <f t="shared" si="182"/>
        <v>-2820</v>
      </c>
      <c r="AB111">
        <f t="shared" si="182"/>
        <v>-3040</v>
      </c>
      <c r="AC111">
        <f t="shared" si="182"/>
        <v>-3360</v>
      </c>
      <c r="AD111">
        <f t="shared" si="182"/>
        <v>-3680</v>
      </c>
      <c r="AE111">
        <f t="shared" si="182"/>
        <v>-4000</v>
      </c>
      <c r="AF111">
        <f t="shared" si="182"/>
        <v>-4320</v>
      </c>
      <c r="AG111">
        <f t="shared" si="182"/>
        <v>-4640</v>
      </c>
      <c r="AH111">
        <f t="shared" si="182"/>
        <v>-4680</v>
      </c>
      <c r="AI111">
        <f t="shared" si="182"/>
        <v>-4720</v>
      </c>
      <c r="AJ111">
        <f t="shared" ref="AJ111:BO111" si="183">AJ105-AJ108</f>
        <v>-4720</v>
      </c>
      <c r="AK111">
        <f t="shared" si="183"/>
        <v>-4720</v>
      </c>
      <c r="AL111">
        <f t="shared" si="183"/>
        <v>-4720</v>
      </c>
      <c r="AM111">
        <f t="shared" si="183"/>
        <v>-4720</v>
      </c>
      <c r="AN111">
        <f t="shared" si="183"/>
        <v>-4883</v>
      </c>
      <c r="AO111">
        <f t="shared" si="183"/>
        <v>-5046</v>
      </c>
      <c r="AP111">
        <f t="shared" si="183"/>
        <v>-5209</v>
      </c>
      <c r="AQ111">
        <f t="shared" si="183"/>
        <v>-5406</v>
      </c>
      <c r="AR111">
        <f t="shared" si="183"/>
        <v>-5603</v>
      </c>
      <c r="AS111">
        <f t="shared" si="183"/>
        <v>-5761</v>
      </c>
      <c r="AT111">
        <f t="shared" si="183"/>
        <v>-5958</v>
      </c>
      <c r="AU111">
        <f t="shared" si="183"/>
        <v>-6145</v>
      </c>
      <c r="AV111">
        <f t="shared" si="183"/>
        <v>-6332</v>
      </c>
      <c r="AW111">
        <f t="shared" si="183"/>
        <v>-6519</v>
      </c>
      <c r="AX111">
        <f t="shared" si="183"/>
        <v>-6706</v>
      </c>
      <c r="AY111">
        <f t="shared" si="183"/>
        <v>-6856</v>
      </c>
      <c r="AZ111">
        <f t="shared" si="183"/>
        <v>-6990</v>
      </c>
      <c r="BA111">
        <f t="shared" si="183"/>
        <v>-7124</v>
      </c>
      <c r="BB111">
        <f t="shared" si="183"/>
        <v>-7258</v>
      </c>
      <c r="BC111">
        <f t="shared" si="183"/>
        <v>-7408</v>
      </c>
      <c r="BD111">
        <f t="shared" si="183"/>
        <v>-7558</v>
      </c>
      <c r="BE111">
        <f t="shared" si="183"/>
        <v>-7708</v>
      </c>
      <c r="BF111">
        <f t="shared" si="183"/>
        <v>-7858</v>
      </c>
      <c r="BG111">
        <f t="shared" si="183"/>
        <v>-8008</v>
      </c>
      <c r="BH111">
        <f t="shared" si="183"/>
        <v>-8158</v>
      </c>
      <c r="BI111">
        <f t="shared" si="183"/>
        <v>-8308</v>
      </c>
      <c r="BJ111">
        <f t="shared" si="183"/>
        <v>-8458</v>
      </c>
      <c r="BK111">
        <f t="shared" si="183"/>
        <v>-8608</v>
      </c>
      <c r="BL111">
        <f t="shared" si="183"/>
        <v>-8757</v>
      </c>
      <c r="BM111">
        <f t="shared" si="183"/>
        <v>-8906</v>
      </c>
      <c r="BN111">
        <f t="shared" si="183"/>
        <v>-9178</v>
      </c>
      <c r="BO111">
        <f t="shared" si="183"/>
        <v>-9178</v>
      </c>
      <c r="BP111">
        <f t="shared" ref="BP111:CC111" si="184">BP105-BP108</f>
        <v>-9178</v>
      </c>
      <c r="BQ111">
        <f t="shared" si="184"/>
        <v>-9178</v>
      </c>
      <c r="BR111">
        <f t="shared" si="184"/>
        <v>-9178</v>
      </c>
      <c r="BS111">
        <f t="shared" si="184"/>
        <v>-9301</v>
      </c>
      <c r="BT111">
        <f t="shared" si="184"/>
        <v>-9424</v>
      </c>
      <c r="BU111">
        <f t="shared" si="184"/>
        <v>-9547</v>
      </c>
      <c r="BV111">
        <f t="shared" si="184"/>
        <v>-9670</v>
      </c>
      <c r="BW111">
        <f t="shared" si="184"/>
        <v>-9793</v>
      </c>
      <c r="BX111">
        <f t="shared" si="184"/>
        <v>-9916</v>
      </c>
      <c r="BY111">
        <f t="shared" si="184"/>
        <v>-10039</v>
      </c>
      <c r="BZ111">
        <f t="shared" si="184"/>
        <v>-10162</v>
      </c>
      <c r="CA111">
        <f t="shared" si="184"/>
        <v>-10285</v>
      </c>
      <c r="CB111">
        <f t="shared" si="184"/>
        <v>-10408</v>
      </c>
      <c r="CC111">
        <f t="shared" si="184"/>
        <v>-10531</v>
      </c>
    </row>
    <row r="112" spans="1:81" x14ac:dyDescent="0.2">
      <c r="A112" s="43" t="s">
        <v>230</v>
      </c>
      <c r="B112" s="44" t="s">
        <v>208</v>
      </c>
      <c r="C112" s="9" t="s">
        <v>38</v>
      </c>
      <c r="D112" s="58">
        <f>IFERROR(VLOOKUP(A112,OS!$A:$B,2,0),0)</f>
        <v>20</v>
      </c>
      <c r="E112" s="5">
        <f>(D112+D113-D115)</f>
        <v>20</v>
      </c>
      <c r="F112" s="5">
        <f>(E112+E113-E115)</f>
        <v>20</v>
      </c>
      <c r="G112" s="5">
        <f>(F112+F113-F115)</f>
        <v>20</v>
      </c>
      <c r="H112" s="5">
        <f>(G112+G113-G115)</f>
        <v>20</v>
      </c>
      <c r="I112" s="5">
        <f t="shared" ref="I112:AN112" si="185">(H112+H113-H115+D114)</f>
        <v>20</v>
      </c>
      <c r="J112" s="5">
        <f t="shared" si="185"/>
        <v>20</v>
      </c>
      <c r="K112" s="5">
        <f t="shared" si="185"/>
        <v>20</v>
      </c>
      <c r="L112" s="5">
        <f t="shared" si="185"/>
        <v>20</v>
      </c>
      <c r="M112" s="5">
        <f t="shared" si="185"/>
        <v>20</v>
      </c>
      <c r="N112" s="5">
        <f t="shared" si="185"/>
        <v>20</v>
      </c>
      <c r="O112" s="5">
        <f t="shared" si="185"/>
        <v>20</v>
      </c>
      <c r="P112" s="5">
        <f t="shared" si="185"/>
        <v>20</v>
      </c>
      <c r="Q112" s="5">
        <f t="shared" si="185"/>
        <v>20</v>
      </c>
      <c r="R112" s="5">
        <f t="shared" si="185"/>
        <v>20</v>
      </c>
      <c r="S112" s="5">
        <f t="shared" si="185"/>
        <v>20</v>
      </c>
      <c r="T112" s="5">
        <f t="shared" si="185"/>
        <v>20</v>
      </c>
      <c r="U112" s="5">
        <f t="shared" si="185"/>
        <v>20</v>
      </c>
      <c r="V112" s="5">
        <f t="shared" si="185"/>
        <v>20</v>
      </c>
      <c r="W112" s="5">
        <f t="shared" si="185"/>
        <v>20</v>
      </c>
      <c r="X112" s="5">
        <f t="shared" si="185"/>
        <v>20</v>
      </c>
      <c r="Y112" s="5">
        <f t="shared" si="185"/>
        <v>20</v>
      </c>
      <c r="Z112" s="5">
        <f t="shared" si="185"/>
        <v>20</v>
      </c>
      <c r="AA112" s="5">
        <f t="shared" si="185"/>
        <v>20</v>
      </c>
      <c r="AB112" s="5">
        <f t="shared" si="185"/>
        <v>20</v>
      </c>
      <c r="AC112" s="5">
        <f t="shared" si="185"/>
        <v>20</v>
      </c>
      <c r="AD112" s="5">
        <f t="shared" si="185"/>
        <v>10</v>
      </c>
      <c r="AE112" s="5">
        <f t="shared" si="185"/>
        <v>0</v>
      </c>
      <c r="AF112" s="5">
        <f t="shared" si="185"/>
        <v>0</v>
      </c>
      <c r="AG112" s="5">
        <f t="shared" si="185"/>
        <v>0</v>
      </c>
      <c r="AH112" s="5">
        <f t="shared" si="185"/>
        <v>0</v>
      </c>
      <c r="AI112" s="5">
        <f t="shared" si="185"/>
        <v>0</v>
      </c>
      <c r="AJ112" s="5">
        <f t="shared" si="185"/>
        <v>0</v>
      </c>
      <c r="AK112" s="5">
        <f t="shared" si="185"/>
        <v>0</v>
      </c>
      <c r="AL112" s="5">
        <f t="shared" si="185"/>
        <v>0</v>
      </c>
      <c r="AM112" s="5">
        <f t="shared" si="185"/>
        <v>0</v>
      </c>
      <c r="AN112" s="5">
        <f t="shared" si="185"/>
        <v>0</v>
      </c>
      <c r="AO112" s="5">
        <f t="shared" ref="AO112:BT112" si="186">(AN112+AN113-AN115+AJ114)</f>
        <v>-1</v>
      </c>
      <c r="AP112" s="5">
        <f t="shared" si="186"/>
        <v>-2</v>
      </c>
      <c r="AQ112" s="5">
        <f t="shared" si="186"/>
        <v>-3</v>
      </c>
      <c r="AR112" s="5">
        <f t="shared" si="186"/>
        <v>-4</v>
      </c>
      <c r="AS112" s="5">
        <f t="shared" si="186"/>
        <v>-5</v>
      </c>
      <c r="AT112" s="5">
        <f t="shared" si="186"/>
        <v>-6</v>
      </c>
      <c r="AU112" s="5">
        <f t="shared" si="186"/>
        <v>-7</v>
      </c>
      <c r="AV112" s="5">
        <f t="shared" si="186"/>
        <v>-8</v>
      </c>
      <c r="AW112" s="5">
        <f t="shared" si="186"/>
        <v>-9</v>
      </c>
      <c r="AX112" s="5">
        <f t="shared" si="186"/>
        <v>-10</v>
      </c>
      <c r="AY112" s="5">
        <f t="shared" si="186"/>
        <v>-11</v>
      </c>
      <c r="AZ112" s="5">
        <f t="shared" si="186"/>
        <v>-12</v>
      </c>
      <c r="BA112" s="5">
        <f t="shared" si="186"/>
        <v>-13</v>
      </c>
      <c r="BB112" s="5">
        <f t="shared" si="186"/>
        <v>-14</v>
      </c>
      <c r="BC112" s="5">
        <f t="shared" si="186"/>
        <v>-15</v>
      </c>
      <c r="BD112" s="5">
        <f t="shared" si="186"/>
        <v>-16</v>
      </c>
      <c r="BE112" s="5">
        <f t="shared" si="186"/>
        <v>-17</v>
      </c>
      <c r="BF112" s="5">
        <f t="shared" si="186"/>
        <v>-18</v>
      </c>
      <c r="BG112" s="5">
        <f t="shared" si="186"/>
        <v>-19</v>
      </c>
      <c r="BH112" s="5">
        <f t="shared" si="186"/>
        <v>-20</v>
      </c>
      <c r="BI112" s="5">
        <f t="shared" si="186"/>
        <v>-21</v>
      </c>
      <c r="BJ112" s="5">
        <f t="shared" si="186"/>
        <v>-22</v>
      </c>
      <c r="BK112" s="5">
        <f t="shared" si="186"/>
        <v>-23</v>
      </c>
      <c r="BL112" s="5">
        <f t="shared" si="186"/>
        <v>-24</v>
      </c>
      <c r="BM112" s="5">
        <f t="shared" si="186"/>
        <v>-25</v>
      </c>
      <c r="BN112" s="5">
        <f t="shared" si="186"/>
        <v>-26</v>
      </c>
      <c r="BO112" s="5">
        <f t="shared" si="186"/>
        <v>-27</v>
      </c>
      <c r="BP112" s="5">
        <f t="shared" si="186"/>
        <v>-27</v>
      </c>
      <c r="BQ112" s="5">
        <f t="shared" si="186"/>
        <v>-27</v>
      </c>
      <c r="BR112" s="5">
        <f t="shared" si="186"/>
        <v>-27</v>
      </c>
      <c r="BS112" s="5">
        <f t="shared" si="186"/>
        <v>-27</v>
      </c>
      <c r="BT112" s="5">
        <f t="shared" si="186"/>
        <v>-28</v>
      </c>
      <c r="BU112" s="5">
        <f t="shared" ref="BU112:CZ112" si="187">(BT112+BT113-BT115+BP114)</f>
        <v>-29</v>
      </c>
      <c r="BV112" s="5">
        <f t="shared" si="187"/>
        <v>-30</v>
      </c>
      <c r="BW112" s="5">
        <f t="shared" si="187"/>
        <v>-31</v>
      </c>
      <c r="BX112" s="5">
        <f t="shared" si="187"/>
        <v>-32</v>
      </c>
      <c r="BY112" s="5">
        <f t="shared" si="187"/>
        <v>-33</v>
      </c>
      <c r="BZ112" s="5">
        <f t="shared" si="187"/>
        <v>-34</v>
      </c>
      <c r="CA112" s="5">
        <f t="shared" si="187"/>
        <v>-35</v>
      </c>
      <c r="CB112" s="5">
        <f t="shared" si="187"/>
        <v>-36</v>
      </c>
      <c r="CC112" s="5">
        <f t="shared" si="187"/>
        <v>-37</v>
      </c>
    </row>
    <row r="113" spans="1:81" x14ac:dyDescent="0.2">
      <c r="A113" s="5" t="s">
        <v>209</v>
      </c>
      <c r="B113" s="5">
        <v>19.449670000000001</v>
      </c>
      <c r="C113" s="45" t="s">
        <v>39</v>
      </c>
      <c r="D113" s="72">
        <f>IFERROR(VLOOKUP(A112,WIP!$A:$B,2,0),0)</f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</row>
    <row r="114" spans="1:81" x14ac:dyDescent="0.2">
      <c r="A114" s="5" t="s">
        <v>210</v>
      </c>
      <c r="B114" s="5">
        <v>0.315</v>
      </c>
      <c r="C114" s="9" t="s">
        <v>211</v>
      </c>
      <c r="D114" s="70">
        <f>IFERROR(VLOOKUP($A112,Plan!$A:B,D$4,0),0)</f>
        <v>0</v>
      </c>
      <c r="E114" s="70">
        <f>IFERROR(VLOOKUP($A112,Plan!$A:C,E$4,0),0)</f>
        <v>0</v>
      </c>
      <c r="F114" s="70">
        <f>IFERROR(VLOOKUP($A112,Plan!$A:D,F$4,0),0)</f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</row>
    <row r="115" spans="1:81" x14ac:dyDescent="0.2">
      <c r="A115" s="5" t="s">
        <v>212</v>
      </c>
      <c r="B115" s="5">
        <v>7.9000000000000001E-2</v>
      </c>
      <c r="C115" s="9" t="s">
        <v>213</v>
      </c>
      <c r="D115" s="71">
        <f>IFERROR(VLOOKUP($A112,Sales!$A:B,D$2,0),0)</f>
        <v>0</v>
      </c>
      <c r="E115" s="71">
        <f>IFERROR(VLOOKUP($A112,Sales!$A:C,E$2,0),0)</f>
        <v>0</v>
      </c>
      <c r="F115" s="71">
        <f>IFERROR(VLOOKUP($A112,Sales!$A:D,F$2,0),0)</f>
        <v>0</v>
      </c>
      <c r="G115" s="71">
        <f>IFERROR(VLOOKUP($A112,Sales!$A:E,G$2,0),0)</f>
        <v>0</v>
      </c>
      <c r="H115" s="71">
        <f>IFERROR(VLOOKUP($A112,Sales!$A:F,H$2,0),0)</f>
        <v>0</v>
      </c>
      <c r="I115" s="71">
        <f>IFERROR(VLOOKUP($A112,Sales!$A:G,I$2,0),0)</f>
        <v>0</v>
      </c>
      <c r="J115" s="71">
        <f>IFERROR(VLOOKUP($A112,Sales!$A:H,J$2,0),0)</f>
        <v>0</v>
      </c>
      <c r="K115" s="71">
        <f>IFERROR(VLOOKUP($A112,Sales!$A:I,K$2,0),0)</f>
        <v>0</v>
      </c>
      <c r="L115" s="71">
        <f>IFERROR(VLOOKUP($A112,Sales!$A:J,L$2,0),0)</f>
        <v>0</v>
      </c>
      <c r="M115" s="71">
        <f>IFERROR(VLOOKUP($A112,Sales!$A:K,M$2,0),0)</f>
        <v>0</v>
      </c>
      <c r="N115" s="71">
        <f>IFERROR(VLOOKUP($A112,Sales!$A:L,N$2,0),0)</f>
        <v>0</v>
      </c>
      <c r="O115" s="71">
        <f>IFERROR(VLOOKUP($A112,Sales!$A:M,O$2,0),0)</f>
        <v>0</v>
      </c>
      <c r="P115" s="71">
        <f>IFERROR(VLOOKUP($A112,Sales!$A:N,P$2,0),0)</f>
        <v>0</v>
      </c>
      <c r="Q115" s="71">
        <f>IFERROR(VLOOKUP($A112,Sales!$A:O,Q$2,0),0)</f>
        <v>0</v>
      </c>
      <c r="R115" s="71">
        <f>IFERROR(VLOOKUP($A112,Sales!$A:P,R$2,0),0)</f>
        <v>0</v>
      </c>
      <c r="S115" s="71">
        <f>IFERROR(VLOOKUP($A112,Sales!$A:Q,S$2,0),0)</f>
        <v>0</v>
      </c>
      <c r="T115" s="71">
        <f>IFERROR(VLOOKUP($A112,Sales!$A:R,T$2,0),0)</f>
        <v>0</v>
      </c>
      <c r="U115" s="71">
        <f>IFERROR(VLOOKUP($A112,Sales!$A:S,U$2,0),0)</f>
        <v>0</v>
      </c>
      <c r="V115" s="71">
        <f>IFERROR(VLOOKUP($A112,Sales!$A:T,V$2,0),0)</f>
        <v>0</v>
      </c>
      <c r="W115" s="71">
        <f>IFERROR(VLOOKUP($A112,Sales!$A:U,W$2,0),0)</f>
        <v>0</v>
      </c>
      <c r="X115" s="71">
        <f>IFERROR(VLOOKUP($A112,Sales!$A:V,X$2,0),0)</f>
        <v>0</v>
      </c>
      <c r="Y115" s="71">
        <f>IFERROR(VLOOKUP($A112,Sales!$A:W,Y$2,0),0)</f>
        <v>0</v>
      </c>
      <c r="Z115" s="71">
        <f>IFERROR(VLOOKUP($A112,Sales!$A:X,Z$2,0),0)</f>
        <v>0</v>
      </c>
      <c r="AA115" s="71">
        <f>IFERROR(VLOOKUP($A112,Sales!$A:Y,AA$2,0),0)</f>
        <v>0</v>
      </c>
      <c r="AB115" s="71">
        <f>IFERROR(VLOOKUP($A112,Sales!$A:Z,AB$2,0),0)</f>
        <v>0</v>
      </c>
      <c r="AC115" s="71">
        <f>IFERROR(VLOOKUP($A112,Sales!$A:AA,AC$2,0),0)</f>
        <v>10</v>
      </c>
      <c r="AD115" s="71">
        <f>IFERROR(VLOOKUP($A112,Sales!$A:AB,AD$2,0),0)</f>
        <v>10</v>
      </c>
      <c r="AE115" s="71">
        <f>IFERROR(VLOOKUP($A112,Sales!$A:AC,AE$2,0),0)</f>
        <v>0</v>
      </c>
      <c r="AF115" s="71">
        <f>IFERROR(VLOOKUP($A112,Sales!$A:AD,AF$2,0),0)</f>
        <v>0</v>
      </c>
      <c r="AG115" s="71">
        <f>IFERROR(VLOOKUP($A112,Sales!$A:AE,AG$2,0),0)</f>
        <v>0</v>
      </c>
      <c r="AH115" s="71">
        <f>IFERROR(VLOOKUP($A112,Sales!$A:AF,AH$2,0),0)</f>
        <v>0</v>
      </c>
      <c r="AI115" s="71">
        <f>IFERROR(VLOOKUP($A112,Sales!$A:AG,AI$2,0),0)</f>
        <v>0</v>
      </c>
      <c r="AJ115" s="71">
        <f>IFERROR(VLOOKUP($A112,Sales!$A:AH,AJ$2,0),0)</f>
        <v>0</v>
      </c>
      <c r="AK115" s="73">
        <f t="shared" ref="AK115:CC115" si="188">CEILING(AK$5*$B111,1)</f>
        <v>0</v>
      </c>
      <c r="AL115" s="73">
        <f t="shared" si="188"/>
        <v>0</v>
      </c>
      <c r="AM115" s="73">
        <f t="shared" si="188"/>
        <v>0</v>
      </c>
      <c r="AN115" s="73">
        <f t="shared" si="188"/>
        <v>1</v>
      </c>
      <c r="AO115" s="73">
        <f t="shared" si="188"/>
        <v>1</v>
      </c>
      <c r="AP115" s="73">
        <f t="shared" si="188"/>
        <v>1</v>
      </c>
      <c r="AQ115" s="73">
        <f t="shared" si="188"/>
        <v>1</v>
      </c>
      <c r="AR115" s="73">
        <f t="shared" si="188"/>
        <v>1</v>
      </c>
      <c r="AS115" s="73">
        <f t="shared" si="188"/>
        <v>1</v>
      </c>
      <c r="AT115" s="73">
        <f t="shared" si="188"/>
        <v>1</v>
      </c>
      <c r="AU115" s="73">
        <f t="shared" si="188"/>
        <v>1</v>
      </c>
      <c r="AV115" s="73">
        <f t="shared" si="188"/>
        <v>1</v>
      </c>
      <c r="AW115" s="73">
        <f t="shared" si="188"/>
        <v>1</v>
      </c>
      <c r="AX115" s="73">
        <f t="shared" si="188"/>
        <v>1</v>
      </c>
      <c r="AY115" s="73">
        <f t="shared" si="188"/>
        <v>1</v>
      </c>
      <c r="AZ115" s="73">
        <f t="shared" si="188"/>
        <v>1</v>
      </c>
      <c r="BA115" s="73">
        <f t="shared" si="188"/>
        <v>1</v>
      </c>
      <c r="BB115" s="73">
        <f t="shared" si="188"/>
        <v>1</v>
      </c>
      <c r="BC115" s="73">
        <f t="shared" si="188"/>
        <v>1</v>
      </c>
      <c r="BD115" s="73">
        <f t="shared" si="188"/>
        <v>1</v>
      </c>
      <c r="BE115" s="73">
        <f t="shared" si="188"/>
        <v>1</v>
      </c>
      <c r="BF115" s="73">
        <f t="shared" si="188"/>
        <v>1</v>
      </c>
      <c r="BG115" s="73">
        <f t="shared" si="188"/>
        <v>1</v>
      </c>
      <c r="BH115" s="73">
        <f t="shared" si="188"/>
        <v>1</v>
      </c>
      <c r="BI115" s="73">
        <f t="shared" si="188"/>
        <v>1</v>
      </c>
      <c r="BJ115" s="73">
        <f t="shared" si="188"/>
        <v>1</v>
      </c>
      <c r="BK115" s="73">
        <f t="shared" si="188"/>
        <v>1</v>
      </c>
      <c r="BL115" s="73">
        <f t="shared" si="188"/>
        <v>1</v>
      </c>
      <c r="BM115" s="73">
        <f t="shared" si="188"/>
        <v>1</v>
      </c>
      <c r="BN115" s="73">
        <f t="shared" si="188"/>
        <v>1</v>
      </c>
      <c r="BO115" s="73">
        <f t="shared" si="188"/>
        <v>0</v>
      </c>
      <c r="BP115" s="73">
        <f t="shared" si="188"/>
        <v>0</v>
      </c>
      <c r="BQ115" s="73">
        <f t="shared" si="188"/>
        <v>0</v>
      </c>
      <c r="BR115" s="73">
        <f t="shared" si="188"/>
        <v>0</v>
      </c>
      <c r="BS115" s="73">
        <f t="shared" si="188"/>
        <v>1</v>
      </c>
      <c r="BT115" s="73">
        <f t="shared" si="188"/>
        <v>1</v>
      </c>
      <c r="BU115" s="73">
        <f t="shared" si="188"/>
        <v>1</v>
      </c>
      <c r="BV115" s="73">
        <f t="shared" si="188"/>
        <v>1</v>
      </c>
      <c r="BW115" s="73">
        <f t="shared" si="188"/>
        <v>1</v>
      </c>
      <c r="BX115" s="73">
        <f t="shared" si="188"/>
        <v>1</v>
      </c>
      <c r="BY115" s="73">
        <f t="shared" si="188"/>
        <v>1</v>
      </c>
      <c r="BZ115" s="73">
        <f t="shared" si="188"/>
        <v>1</v>
      </c>
      <c r="CA115" s="73">
        <f t="shared" si="188"/>
        <v>1</v>
      </c>
      <c r="CB115" s="73">
        <f t="shared" si="188"/>
        <v>1</v>
      </c>
      <c r="CC115" s="73">
        <f t="shared" si="188"/>
        <v>1</v>
      </c>
    </row>
    <row r="116" spans="1:81" x14ac:dyDescent="0.2">
      <c r="A116" s="5" t="s">
        <v>214</v>
      </c>
      <c r="B116" s="5">
        <v>0.39400000000000002</v>
      </c>
      <c r="C116" s="46" t="s">
        <v>215</v>
      </c>
      <c r="D116" s="69">
        <f t="shared" ref="D116:AI116" si="189">IF(D115=0,0, ROUND(D112 * 1/D115* D$13,1))</f>
        <v>0</v>
      </c>
      <c r="E116" s="69">
        <f t="shared" si="189"/>
        <v>0</v>
      </c>
      <c r="F116" s="69">
        <f t="shared" si="189"/>
        <v>0</v>
      </c>
      <c r="G116" s="69">
        <f t="shared" si="189"/>
        <v>0</v>
      </c>
      <c r="H116" s="69">
        <f t="shared" si="189"/>
        <v>0</v>
      </c>
      <c r="I116" s="69">
        <f t="shared" si="189"/>
        <v>0</v>
      </c>
      <c r="J116" s="69">
        <f t="shared" si="189"/>
        <v>0</v>
      </c>
      <c r="K116" s="69">
        <f t="shared" si="189"/>
        <v>0</v>
      </c>
      <c r="L116" s="69">
        <f t="shared" si="189"/>
        <v>0</v>
      </c>
      <c r="M116" s="69">
        <f t="shared" si="189"/>
        <v>0</v>
      </c>
      <c r="N116" s="69">
        <f t="shared" si="189"/>
        <v>0</v>
      </c>
      <c r="O116" s="69">
        <f t="shared" si="189"/>
        <v>0</v>
      </c>
      <c r="P116" s="69">
        <f t="shared" si="189"/>
        <v>0</v>
      </c>
      <c r="Q116" s="69">
        <f t="shared" si="189"/>
        <v>0</v>
      </c>
      <c r="R116" s="69">
        <f t="shared" si="189"/>
        <v>0</v>
      </c>
      <c r="S116" s="69">
        <f t="shared" si="189"/>
        <v>0</v>
      </c>
      <c r="T116" s="69">
        <f t="shared" si="189"/>
        <v>0</v>
      </c>
      <c r="U116" s="69">
        <f t="shared" si="189"/>
        <v>0</v>
      </c>
      <c r="V116" s="69">
        <f t="shared" si="189"/>
        <v>0</v>
      </c>
      <c r="W116" s="69">
        <f t="shared" si="189"/>
        <v>0</v>
      </c>
      <c r="X116" s="69">
        <f t="shared" si="189"/>
        <v>0</v>
      </c>
      <c r="Y116" s="69">
        <f t="shared" si="189"/>
        <v>0</v>
      </c>
      <c r="Z116" s="69">
        <f t="shared" si="189"/>
        <v>0</v>
      </c>
      <c r="AA116" s="69">
        <f t="shared" si="189"/>
        <v>0</v>
      </c>
      <c r="AB116" s="69">
        <f t="shared" si="189"/>
        <v>0</v>
      </c>
      <c r="AC116" s="69">
        <f t="shared" si="189"/>
        <v>10</v>
      </c>
      <c r="AD116" s="69">
        <f t="shared" si="189"/>
        <v>5</v>
      </c>
      <c r="AE116" s="69">
        <f t="shared" si="189"/>
        <v>0</v>
      </c>
      <c r="AF116" s="69">
        <f t="shared" si="189"/>
        <v>0</v>
      </c>
      <c r="AG116" s="69">
        <f t="shared" si="189"/>
        <v>0</v>
      </c>
      <c r="AH116" s="69">
        <f t="shared" si="189"/>
        <v>0</v>
      </c>
      <c r="AI116" s="69">
        <f t="shared" si="189"/>
        <v>0</v>
      </c>
      <c r="AJ116" s="69">
        <f t="shared" ref="AJ116:BO116" si="190">IF(AJ115=0,0, ROUND(AJ112 * 1/AJ115* AJ$13,1))</f>
        <v>0</v>
      </c>
      <c r="AK116" s="69">
        <f t="shared" si="190"/>
        <v>0</v>
      </c>
      <c r="AL116" s="69">
        <f t="shared" si="190"/>
        <v>0</v>
      </c>
      <c r="AM116" s="69">
        <f t="shared" si="190"/>
        <v>0</v>
      </c>
      <c r="AN116" s="69">
        <f t="shared" si="190"/>
        <v>0</v>
      </c>
      <c r="AO116" s="69">
        <f t="shared" si="190"/>
        <v>-5</v>
      </c>
      <c r="AP116" s="69">
        <f t="shared" si="190"/>
        <v>-10</v>
      </c>
      <c r="AQ116" s="69">
        <f t="shared" si="190"/>
        <v>-15</v>
      </c>
      <c r="AR116" s="69">
        <f t="shared" si="190"/>
        <v>-20</v>
      </c>
      <c r="AS116" s="69">
        <f t="shared" si="190"/>
        <v>-25</v>
      </c>
      <c r="AT116" s="69">
        <f t="shared" si="190"/>
        <v>-30</v>
      </c>
      <c r="AU116" s="69">
        <f t="shared" si="190"/>
        <v>-35</v>
      </c>
      <c r="AV116" s="69">
        <f t="shared" si="190"/>
        <v>-40</v>
      </c>
      <c r="AW116" s="69">
        <f t="shared" si="190"/>
        <v>-45</v>
      </c>
      <c r="AX116" s="69">
        <f t="shared" si="190"/>
        <v>-50</v>
      </c>
      <c r="AY116" s="69">
        <f t="shared" si="190"/>
        <v>-55</v>
      </c>
      <c r="AZ116" s="69">
        <f t="shared" si="190"/>
        <v>-60</v>
      </c>
      <c r="BA116" s="69">
        <f t="shared" si="190"/>
        <v>-65</v>
      </c>
      <c r="BB116" s="69">
        <f t="shared" si="190"/>
        <v>-70</v>
      </c>
      <c r="BC116" s="69">
        <f t="shared" si="190"/>
        <v>-75</v>
      </c>
      <c r="BD116" s="69">
        <f t="shared" si="190"/>
        <v>-80</v>
      </c>
      <c r="BE116" s="69">
        <f t="shared" si="190"/>
        <v>-85</v>
      </c>
      <c r="BF116" s="69">
        <f t="shared" si="190"/>
        <v>-90</v>
      </c>
      <c r="BG116" s="69">
        <f t="shared" si="190"/>
        <v>-95</v>
      </c>
      <c r="BH116" s="69">
        <f t="shared" si="190"/>
        <v>-100</v>
      </c>
      <c r="BI116" s="69">
        <f t="shared" si="190"/>
        <v>-105</v>
      </c>
      <c r="BJ116" s="69">
        <f t="shared" si="190"/>
        <v>-110</v>
      </c>
      <c r="BK116" s="69">
        <f t="shared" si="190"/>
        <v>-115</v>
      </c>
      <c r="BL116" s="69">
        <f t="shared" si="190"/>
        <v>-120</v>
      </c>
      <c r="BM116" s="69">
        <f t="shared" si="190"/>
        <v>-125</v>
      </c>
      <c r="BN116" s="69">
        <f t="shared" si="190"/>
        <v>-130</v>
      </c>
      <c r="BO116" s="69">
        <f t="shared" si="190"/>
        <v>0</v>
      </c>
      <c r="BP116" s="69">
        <f t="shared" ref="BP116:CU116" si="191">IF(BP115=0,0, ROUND(BP112 * 1/BP115* BP$13,1))</f>
        <v>0</v>
      </c>
      <c r="BQ116" s="69">
        <f t="shared" si="191"/>
        <v>0</v>
      </c>
      <c r="BR116" s="69">
        <f t="shared" si="191"/>
        <v>0</v>
      </c>
      <c r="BS116" s="69">
        <f t="shared" si="191"/>
        <v>-135</v>
      </c>
      <c r="BT116" s="69">
        <f t="shared" si="191"/>
        <v>-140</v>
      </c>
      <c r="BU116" s="69">
        <f t="shared" si="191"/>
        <v>-145</v>
      </c>
      <c r="BV116" s="69">
        <f t="shared" si="191"/>
        <v>-150</v>
      </c>
      <c r="BW116" s="69">
        <f t="shared" si="191"/>
        <v>-155</v>
      </c>
      <c r="BX116" s="69">
        <f t="shared" si="191"/>
        <v>-160</v>
      </c>
      <c r="BY116" s="69">
        <f t="shared" si="191"/>
        <v>-165</v>
      </c>
      <c r="BZ116" s="69">
        <f t="shared" si="191"/>
        <v>-170</v>
      </c>
      <c r="CA116" s="69">
        <f t="shared" si="191"/>
        <v>-175</v>
      </c>
      <c r="CB116" s="69">
        <f t="shared" si="191"/>
        <v>-180</v>
      </c>
      <c r="CC116" s="69">
        <f t="shared" si="191"/>
        <v>-185</v>
      </c>
    </row>
    <row r="117" spans="1:81" x14ac:dyDescent="0.2">
      <c r="A117" s="10">
        <v>42</v>
      </c>
      <c r="B117" s="10">
        <v>1</v>
      </c>
      <c r="C117" s="68">
        <v>8.1008899999999997</v>
      </c>
      <c r="D117">
        <f t="shared" ref="D117:AI117" si="192">D114/$B117</f>
        <v>0</v>
      </c>
      <c r="E117">
        <f t="shared" si="192"/>
        <v>0</v>
      </c>
      <c r="F117">
        <f t="shared" si="192"/>
        <v>0</v>
      </c>
      <c r="G117">
        <f t="shared" si="192"/>
        <v>0</v>
      </c>
      <c r="H117">
        <f t="shared" si="192"/>
        <v>0</v>
      </c>
      <c r="I117">
        <f t="shared" si="192"/>
        <v>0</v>
      </c>
      <c r="J117">
        <f t="shared" si="192"/>
        <v>0</v>
      </c>
      <c r="K117">
        <f t="shared" si="192"/>
        <v>0</v>
      </c>
      <c r="L117">
        <f t="shared" si="192"/>
        <v>0</v>
      </c>
      <c r="M117">
        <f t="shared" si="192"/>
        <v>0</v>
      </c>
      <c r="N117">
        <f t="shared" si="192"/>
        <v>0</v>
      </c>
      <c r="O117">
        <f t="shared" si="192"/>
        <v>0</v>
      </c>
      <c r="P117">
        <f t="shared" si="192"/>
        <v>0</v>
      </c>
      <c r="Q117">
        <f t="shared" si="192"/>
        <v>0</v>
      </c>
      <c r="R117">
        <f t="shared" si="192"/>
        <v>0</v>
      </c>
      <c r="S117">
        <f t="shared" si="192"/>
        <v>0</v>
      </c>
      <c r="T117">
        <f t="shared" si="192"/>
        <v>0</v>
      </c>
      <c r="U117">
        <f t="shared" si="192"/>
        <v>0</v>
      </c>
      <c r="V117">
        <f t="shared" si="192"/>
        <v>0</v>
      </c>
      <c r="W117">
        <f t="shared" si="192"/>
        <v>0</v>
      </c>
      <c r="X117">
        <f t="shared" si="192"/>
        <v>0</v>
      </c>
      <c r="Y117">
        <f t="shared" si="192"/>
        <v>0</v>
      </c>
      <c r="Z117">
        <f t="shared" si="192"/>
        <v>0</v>
      </c>
      <c r="AA117">
        <f t="shared" si="192"/>
        <v>0</v>
      </c>
      <c r="AB117">
        <f t="shared" si="192"/>
        <v>0</v>
      </c>
      <c r="AC117">
        <f t="shared" si="192"/>
        <v>0</v>
      </c>
      <c r="AD117">
        <f t="shared" si="192"/>
        <v>0</v>
      </c>
      <c r="AE117">
        <f t="shared" si="192"/>
        <v>0</v>
      </c>
      <c r="AF117">
        <f t="shared" si="192"/>
        <v>0</v>
      </c>
      <c r="AG117">
        <f t="shared" si="192"/>
        <v>0</v>
      </c>
      <c r="AH117">
        <f t="shared" si="192"/>
        <v>0</v>
      </c>
      <c r="AI117">
        <f t="shared" si="192"/>
        <v>0</v>
      </c>
      <c r="AJ117">
        <f t="shared" ref="AJ117:BO117" si="193">AJ114/$B117</f>
        <v>0</v>
      </c>
      <c r="AK117">
        <f t="shared" si="193"/>
        <v>0</v>
      </c>
      <c r="AL117">
        <f t="shared" si="193"/>
        <v>0</v>
      </c>
      <c r="AM117">
        <f t="shared" si="193"/>
        <v>0</v>
      </c>
      <c r="AN117">
        <f t="shared" si="193"/>
        <v>0</v>
      </c>
      <c r="AO117">
        <f t="shared" si="193"/>
        <v>0</v>
      </c>
      <c r="AP117">
        <f t="shared" si="193"/>
        <v>0</v>
      </c>
      <c r="AQ117">
        <f t="shared" si="193"/>
        <v>0</v>
      </c>
      <c r="AR117">
        <f t="shared" si="193"/>
        <v>0</v>
      </c>
      <c r="AS117">
        <f t="shared" si="193"/>
        <v>0</v>
      </c>
      <c r="AT117">
        <f t="shared" si="193"/>
        <v>0</v>
      </c>
      <c r="AU117">
        <f t="shared" si="193"/>
        <v>0</v>
      </c>
      <c r="AV117">
        <f t="shared" si="193"/>
        <v>0</v>
      </c>
      <c r="AW117">
        <f t="shared" si="193"/>
        <v>0</v>
      </c>
      <c r="AX117">
        <f t="shared" si="193"/>
        <v>0</v>
      </c>
      <c r="AY117">
        <f t="shared" si="193"/>
        <v>0</v>
      </c>
      <c r="AZ117">
        <f t="shared" si="193"/>
        <v>0</v>
      </c>
      <c r="BA117">
        <f t="shared" si="193"/>
        <v>0</v>
      </c>
      <c r="BB117">
        <f t="shared" si="193"/>
        <v>0</v>
      </c>
      <c r="BC117">
        <f t="shared" si="193"/>
        <v>0</v>
      </c>
      <c r="BD117">
        <f t="shared" si="193"/>
        <v>0</v>
      </c>
      <c r="BE117">
        <f t="shared" si="193"/>
        <v>0</v>
      </c>
      <c r="BF117">
        <f t="shared" si="193"/>
        <v>0</v>
      </c>
      <c r="BG117">
        <f t="shared" si="193"/>
        <v>0</v>
      </c>
      <c r="BH117">
        <f t="shared" si="193"/>
        <v>0</v>
      </c>
      <c r="BI117">
        <f t="shared" si="193"/>
        <v>0</v>
      </c>
      <c r="BJ117">
        <f t="shared" si="193"/>
        <v>0</v>
      </c>
      <c r="BK117">
        <f t="shared" si="193"/>
        <v>0</v>
      </c>
      <c r="BL117">
        <f t="shared" si="193"/>
        <v>0</v>
      </c>
      <c r="BM117">
        <f t="shared" si="193"/>
        <v>0</v>
      </c>
      <c r="BN117">
        <f t="shared" si="193"/>
        <v>0</v>
      </c>
      <c r="BO117">
        <f t="shared" si="193"/>
        <v>0</v>
      </c>
      <c r="BP117">
        <f t="shared" ref="BP117:CC117" si="194">BP114/$B117</f>
        <v>0</v>
      </c>
      <c r="BQ117">
        <f t="shared" si="194"/>
        <v>0</v>
      </c>
      <c r="BR117">
        <f t="shared" si="194"/>
        <v>0</v>
      </c>
      <c r="BS117">
        <f t="shared" si="194"/>
        <v>0</v>
      </c>
      <c r="BT117">
        <f t="shared" si="194"/>
        <v>0</v>
      </c>
      <c r="BU117">
        <f t="shared" si="194"/>
        <v>0</v>
      </c>
      <c r="BV117">
        <f t="shared" si="194"/>
        <v>0</v>
      </c>
      <c r="BW117">
        <f t="shared" si="194"/>
        <v>0</v>
      </c>
      <c r="BX117">
        <f t="shared" si="194"/>
        <v>0</v>
      </c>
      <c r="BY117">
        <f t="shared" si="194"/>
        <v>0</v>
      </c>
      <c r="BZ117">
        <f t="shared" si="194"/>
        <v>0</v>
      </c>
      <c r="CA117">
        <f t="shared" si="194"/>
        <v>0</v>
      </c>
      <c r="CB117">
        <f t="shared" si="194"/>
        <v>0</v>
      </c>
      <c r="CC117">
        <f t="shared" si="194"/>
        <v>0</v>
      </c>
    </row>
    <row r="118" spans="1:81" x14ac:dyDescent="0.2">
      <c r="A118" s="10"/>
      <c r="B118" s="67">
        <f>SUM(D122:AJ122)/SUM($D$263:$AJ$263)</f>
        <v>0.16875824014844476</v>
      </c>
      <c r="C118" s="9" t="s">
        <v>216</v>
      </c>
      <c r="D118" s="10">
        <f t="shared" ref="D118:AI118" si="195">D112-D115</f>
        <v>20</v>
      </c>
      <c r="E118" s="10">
        <f t="shared" si="195"/>
        <v>20</v>
      </c>
      <c r="F118" s="10">
        <f t="shared" si="195"/>
        <v>20</v>
      </c>
      <c r="G118" s="10">
        <f t="shared" si="195"/>
        <v>20</v>
      </c>
      <c r="H118" s="10">
        <f t="shared" si="195"/>
        <v>20</v>
      </c>
      <c r="I118" s="10">
        <f t="shared" si="195"/>
        <v>20</v>
      </c>
      <c r="J118" s="10">
        <f t="shared" si="195"/>
        <v>20</v>
      </c>
      <c r="K118" s="10">
        <f t="shared" si="195"/>
        <v>20</v>
      </c>
      <c r="L118" s="10">
        <f t="shared" si="195"/>
        <v>20</v>
      </c>
      <c r="M118" s="10">
        <f t="shared" si="195"/>
        <v>20</v>
      </c>
      <c r="N118" s="10">
        <f t="shared" si="195"/>
        <v>20</v>
      </c>
      <c r="O118" s="10">
        <f t="shared" si="195"/>
        <v>20</v>
      </c>
      <c r="P118" s="10">
        <f t="shared" si="195"/>
        <v>20</v>
      </c>
      <c r="Q118" s="10">
        <f t="shared" si="195"/>
        <v>20</v>
      </c>
      <c r="R118" s="10">
        <f t="shared" si="195"/>
        <v>20</v>
      </c>
      <c r="S118" s="10">
        <f t="shared" si="195"/>
        <v>20</v>
      </c>
      <c r="T118" s="10">
        <f t="shared" si="195"/>
        <v>20</v>
      </c>
      <c r="U118" s="10">
        <f t="shared" si="195"/>
        <v>20</v>
      </c>
      <c r="V118" s="10">
        <f t="shared" si="195"/>
        <v>20</v>
      </c>
      <c r="W118" s="10">
        <f t="shared" si="195"/>
        <v>20</v>
      </c>
      <c r="X118" s="10">
        <f t="shared" si="195"/>
        <v>20</v>
      </c>
      <c r="Y118" s="10">
        <f t="shared" si="195"/>
        <v>20</v>
      </c>
      <c r="Z118" s="10">
        <f t="shared" si="195"/>
        <v>20</v>
      </c>
      <c r="AA118" s="10">
        <f t="shared" si="195"/>
        <v>20</v>
      </c>
      <c r="AB118" s="10">
        <f t="shared" si="195"/>
        <v>20</v>
      </c>
      <c r="AC118" s="10">
        <f t="shared" si="195"/>
        <v>10</v>
      </c>
      <c r="AD118" s="10">
        <f t="shared" si="195"/>
        <v>0</v>
      </c>
      <c r="AE118" s="10">
        <f t="shared" si="195"/>
        <v>0</v>
      </c>
      <c r="AF118" s="10">
        <f t="shared" si="195"/>
        <v>0</v>
      </c>
      <c r="AG118" s="10">
        <f t="shared" si="195"/>
        <v>0</v>
      </c>
      <c r="AH118" s="10">
        <f t="shared" si="195"/>
        <v>0</v>
      </c>
      <c r="AI118" s="10">
        <f t="shared" si="195"/>
        <v>0</v>
      </c>
      <c r="AJ118" s="10">
        <f t="shared" ref="AJ118:BO118" si="196">AJ112-AJ115</f>
        <v>0</v>
      </c>
      <c r="AK118" s="10">
        <f t="shared" si="196"/>
        <v>0</v>
      </c>
      <c r="AL118" s="10">
        <f t="shared" si="196"/>
        <v>0</v>
      </c>
      <c r="AM118" s="10">
        <f t="shared" si="196"/>
        <v>0</v>
      </c>
      <c r="AN118" s="10">
        <f t="shared" si="196"/>
        <v>-1</v>
      </c>
      <c r="AO118" s="10">
        <f t="shared" si="196"/>
        <v>-2</v>
      </c>
      <c r="AP118" s="10">
        <f t="shared" si="196"/>
        <v>-3</v>
      </c>
      <c r="AQ118" s="10">
        <f t="shared" si="196"/>
        <v>-4</v>
      </c>
      <c r="AR118" s="10">
        <f t="shared" si="196"/>
        <v>-5</v>
      </c>
      <c r="AS118" s="10">
        <f t="shared" si="196"/>
        <v>-6</v>
      </c>
      <c r="AT118" s="10">
        <f t="shared" si="196"/>
        <v>-7</v>
      </c>
      <c r="AU118" s="10">
        <f t="shared" si="196"/>
        <v>-8</v>
      </c>
      <c r="AV118" s="10">
        <f t="shared" si="196"/>
        <v>-9</v>
      </c>
      <c r="AW118" s="10">
        <f t="shared" si="196"/>
        <v>-10</v>
      </c>
      <c r="AX118" s="10">
        <f t="shared" si="196"/>
        <v>-11</v>
      </c>
      <c r="AY118" s="10">
        <f t="shared" si="196"/>
        <v>-12</v>
      </c>
      <c r="AZ118" s="10">
        <f t="shared" si="196"/>
        <v>-13</v>
      </c>
      <c r="BA118" s="10">
        <f t="shared" si="196"/>
        <v>-14</v>
      </c>
      <c r="BB118" s="10">
        <f t="shared" si="196"/>
        <v>-15</v>
      </c>
      <c r="BC118" s="10">
        <f t="shared" si="196"/>
        <v>-16</v>
      </c>
      <c r="BD118" s="10">
        <f t="shared" si="196"/>
        <v>-17</v>
      </c>
      <c r="BE118" s="10">
        <f t="shared" si="196"/>
        <v>-18</v>
      </c>
      <c r="BF118" s="10">
        <f t="shared" si="196"/>
        <v>-19</v>
      </c>
      <c r="BG118" s="10">
        <f t="shared" si="196"/>
        <v>-20</v>
      </c>
      <c r="BH118" s="10">
        <f t="shared" si="196"/>
        <v>-21</v>
      </c>
      <c r="BI118" s="10">
        <f t="shared" si="196"/>
        <v>-22</v>
      </c>
      <c r="BJ118" s="10">
        <f t="shared" si="196"/>
        <v>-23</v>
      </c>
      <c r="BK118" s="10">
        <f t="shared" si="196"/>
        <v>-24</v>
      </c>
      <c r="BL118" s="10">
        <f t="shared" si="196"/>
        <v>-25</v>
      </c>
      <c r="BM118" s="10">
        <f t="shared" si="196"/>
        <v>-26</v>
      </c>
      <c r="BN118" s="10">
        <f t="shared" si="196"/>
        <v>-27</v>
      </c>
      <c r="BO118" s="10">
        <f t="shared" si="196"/>
        <v>-27</v>
      </c>
      <c r="BP118" s="10">
        <f t="shared" ref="BP118:CC118" si="197">BP112-BP115</f>
        <v>-27</v>
      </c>
      <c r="BQ118" s="10">
        <f t="shared" si="197"/>
        <v>-27</v>
      </c>
      <c r="BR118" s="10">
        <f t="shared" si="197"/>
        <v>-27</v>
      </c>
      <c r="BS118" s="10">
        <f t="shared" si="197"/>
        <v>-28</v>
      </c>
      <c r="BT118" s="10">
        <f t="shared" si="197"/>
        <v>-29</v>
      </c>
      <c r="BU118" s="10">
        <f t="shared" si="197"/>
        <v>-30</v>
      </c>
      <c r="BV118" s="10">
        <f t="shared" si="197"/>
        <v>-31</v>
      </c>
      <c r="BW118" s="10">
        <f t="shared" si="197"/>
        <v>-32</v>
      </c>
      <c r="BX118" s="10">
        <f t="shared" si="197"/>
        <v>-33</v>
      </c>
      <c r="BY118" s="10">
        <f t="shared" si="197"/>
        <v>-34</v>
      </c>
      <c r="BZ118" s="10">
        <f t="shared" si="197"/>
        <v>-35</v>
      </c>
      <c r="CA118" s="10">
        <f t="shared" si="197"/>
        <v>-36</v>
      </c>
      <c r="CB118" s="10">
        <f t="shared" si="197"/>
        <v>-37</v>
      </c>
      <c r="CC118" s="10">
        <f t="shared" si="197"/>
        <v>-38</v>
      </c>
    </row>
    <row r="119" spans="1:81" x14ac:dyDescent="0.2">
      <c r="A119" s="43" t="s">
        <v>231</v>
      </c>
      <c r="B119" s="44" t="s">
        <v>208</v>
      </c>
      <c r="C119" s="9" t="s">
        <v>38</v>
      </c>
      <c r="D119" s="58">
        <f>IFERROR(VLOOKUP(A119,OS!$A:$B,2,0),0)</f>
        <v>3520</v>
      </c>
      <c r="E119" s="5">
        <f>(D119+D120-D122)</f>
        <v>3741</v>
      </c>
      <c r="F119" s="5">
        <f>(E119+E120-E122)</f>
        <v>2861</v>
      </c>
      <c r="G119" s="5">
        <f>(F119+F120-F122)</f>
        <v>1981</v>
      </c>
      <c r="H119" s="5">
        <f>(G119+G120-G122)</f>
        <v>1181</v>
      </c>
      <c r="I119" s="5">
        <f t="shared" ref="I119:AN119" si="198">(H119+H120-H122+D121)</f>
        <v>661</v>
      </c>
      <c r="J119" s="5">
        <f t="shared" si="198"/>
        <v>1041</v>
      </c>
      <c r="K119" s="5">
        <f t="shared" si="198"/>
        <v>901</v>
      </c>
      <c r="L119" s="5">
        <f t="shared" si="198"/>
        <v>101</v>
      </c>
      <c r="M119" s="5">
        <f t="shared" si="198"/>
        <v>-859</v>
      </c>
      <c r="N119" s="5">
        <f t="shared" si="198"/>
        <v>-1659</v>
      </c>
      <c r="O119" s="5">
        <f t="shared" si="198"/>
        <v>-1659</v>
      </c>
      <c r="P119" s="5">
        <f t="shared" si="198"/>
        <v>-1659</v>
      </c>
      <c r="Q119" s="5">
        <f t="shared" si="198"/>
        <v>-1659</v>
      </c>
      <c r="R119" s="5">
        <f t="shared" si="198"/>
        <v>-1659</v>
      </c>
      <c r="S119" s="5">
        <f t="shared" si="198"/>
        <v>-2219</v>
      </c>
      <c r="T119" s="5">
        <f t="shared" si="198"/>
        <v>-2779</v>
      </c>
      <c r="U119" s="5">
        <f t="shared" si="198"/>
        <v>-3339</v>
      </c>
      <c r="V119" s="5">
        <f t="shared" si="198"/>
        <v>-3959</v>
      </c>
      <c r="W119" s="5">
        <f t="shared" si="198"/>
        <v>-4579</v>
      </c>
      <c r="X119" s="5">
        <f t="shared" si="198"/>
        <v>-5199</v>
      </c>
      <c r="Y119" s="5">
        <f t="shared" si="198"/>
        <v>-5819</v>
      </c>
      <c r="Z119" s="5">
        <f t="shared" si="198"/>
        <v>-6179</v>
      </c>
      <c r="AA119" s="5">
        <f t="shared" si="198"/>
        <v>-6539</v>
      </c>
      <c r="AB119" s="5">
        <f t="shared" si="198"/>
        <v>-6899</v>
      </c>
      <c r="AC119" s="5">
        <f t="shared" si="198"/>
        <v>-7259</v>
      </c>
      <c r="AD119" s="5">
        <f t="shared" si="198"/>
        <v>-7729</v>
      </c>
      <c r="AE119" s="5">
        <f t="shared" si="198"/>
        <v>-8199</v>
      </c>
      <c r="AF119" s="5">
        <f t="shared" si="198"/>
        <v>-8669</v>
      </c>
      <c r="AG119" s="5">
        <f t="shared" si="198"/>
        <v>-9139</v>
      </c>
      <c r="AH119" s="5">
        <f t="shared" si="198"/>
        <v>-9579</v>
      </c>
      <c r="AI119" s="5">
        <f t="shared" si="198"/>
        <v>-10579</v>
      </c>
      <c r="AJ119" s="5">
        <f t="shared" si="198"/>
        <v>-11579</v>
      </c>
      <c r="AK119" s="5">
        <f t="shared" si="198"/>
        <v>-11579</v>
      </c>
      <c r="AL119" s="5">
        <f t="shared" si="198"/>
        <v>-11579</v>
      </c>
      <c r="AM119" s="5">
        <f t="shared" si="198"/>
        <v>-11579</v>
      </c>
      <c r="AN119" s="5">
        <f t="shared" si="198"/>
        <v>-11579</v>
      </c>
      <c r="AO119" s="5">
        <f t="shared" ref="AO119:BT119" si="199">(AN119+AN120-AN122+AJ121)</f>
        <v>-12037</v>
      </c>
      <c r="AP119" s="5">
        <f t="shared" si="199"/>
        <v>-12495</v>
      </c>
      <c r="AQ119" s="5">
        <f t="shared" si="199"/>
        <v>-12953</v>
      </c>
      <c r="AR119" s="5">
        <f t="shared" si="199"/>
        <v>-13506</v>
      </c>
      <c r="AS119" s="5">
        <f t="shared" si="199"/>
        <v>-14059</v>
      </c>
      <c r="AT119" s="5">
        <f t="shared" si="199"/>
        <v>-14501</v>
      </c>
      <c r="AU119" s="5">
        <f t="shared" si="199"/>
        <v>-15054</v>
      </c>
      <c r="AV119" s="5">
        <f t="shared" si="199"/>
        <v>-15579</v>
      </c>
      <c r="AW119" s="5">
        <f t="shared" si="199"/>
        <v>-16104</v>
      </c>
      <c r="AX119" s="5">
        <f t="shared" si="199"/>
        <v>-16629</v>
      </c>
      <c r="AY119" s="5">
        <f t="shared" si="199"/>
        <v>-17154</v>
      </c>
      <c r="AZ119" s="5">
        <f t="shared" si="199"/>
        <v>-17574</v>
      </c>
      <c r="BA119" s="5">
        <f t="shared" si="199"/>
        <v>-17948</v>
      </c>
      <c r="BB119" s="5">
        <f t="shared" si="199"/>
        <v>-18322</v>
      </c>
      <c r="BC119" s="5">
        <f t="shared" si="199"/>
        <v>-18696</v>
      </c>
      <c r="BD119" s="5">
        <f t="shared" si="199"/>
        <v>-19116</v>
      </c>
      <c r="BE119" s="5">
        <f t="shared" si="199"/>
        <v>-19536</v>
      </c>
      <c r="BF119" s="5">
        <f t="shared" si="199"/>
        <v>-19956</v>
      </c>
      <c r="BG119" s="5">
        <f t="shared" si="199"/>
        <v>-20376</v>
      </c>
      <c r="BH119" s="5">
        <f t="shared" si="199"/>
        <v>-20796</v>
      </c>
      <c r="BI119" s="5">
        <f t="shared" si="199"/>
        <v>-21216</v>
      </c>
      <c r="BJ119" s="5">
        <f t="shared" si="199"/>
        <v>-21636</v>
      </c>
      <c r="BK119" s="5">
        <f t="shared" si="199"/>
        <v>-22056</v>
      </c>
      <c r="BL119" s="5">
        <f t="shared" si="199"/>
        <v>-22476</v>
      </c>
      <c r="BM119" s="5">
        <f t="shared" si="199"/>
        <v>-22894</v>
      </c>
      <c r="BN119" s="5">
        <f t="shared" si="199"/>
        <v>-23312</v>
      </c>
      <c r="BO119" s="5">
        <f t="shared" si="199"/>
        <v>-24074</v>
      </c>
      <c r="BP119" s="5">
        <f t="shared" si="199"/>
        <v>-24074</v>
      </c>
      <c r="BQ119" s="5">
        <f t="shared" si="199"/>
        <v>-24074</v>
      </c>
      <c r="BR119" s="5">
        <f t="shared" si="199"/>
        <v>-24074</v>
      </c>
      <c r="BS119" s="5">
        <f t="shared" si="199"/>
        <v>-24074</v>
      </c>
      <c r="BT119" s="5">
        <f t="shared" si="199"/>
        <v>-24419</v>
      </c>
      <c r="BU119" s="5">
        <f t="shared" ref="BU119:CZ119" si="200">(BT119+BT120-BT122+BP121)</f>
        <v>-24764</v>
      </c>
      <c r="BV119" s="5">
        <f t="shared" si="200"/>
        <v>-25109</v>
      </c>
      <c r="BW119" s="5">
        <f t="shared" si="200"/>
        <v>-25454</v>
      </c>
      <c r="BX119" s="5">
        <f t="shared" si="200"/>
        <v>-25799</v>
      </c>
      <c r="BY119" s="5">
        <f t="shared" si="200"/>
        <v>-26144</v>
      </c>
      <c r="BZ119" s="5">
        <f t="shared" si="200"/>
        <v>-26489</v>
      </c>
      <c r="CA119" s="5">
        <f t="shared" si="200"/>
        <v>-26834</v>
      </c>
      <c r="CB119" s="5">
        <f t="shared" si="200"/>
        <v>-27179</v>
      </c>
      <c r="CC119" s="5">
        <f t="shared" si="200"/>
        <v>-27524</v>
      </c>
    </row>
    <row r="120" spans="1:81" x14ac:dyDescent="0.2">
      <c r="A120" s="5" t="s">
        <v>209</v>
      </c>
      <c r="B120" s="5">
        <v>11.44373</v>
      </c>
      <c r="C120" s="45" t="s">
        <v>39</v>
      </c>
      <c r="D120" s="59">
        <f>IFERROR(VLOOKUP(A119,WIP!$A:$B,2,0),0)</f>
        <v>221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</row>
    <row r="121" spans="1:81" x14ac:dyDescent="0.2">
      <c r="A121" s="5" t="s">
        <v>210</v>
      </c>
      <c r="B121" s="5">
        <v>0.33200000000000002</v>
      </c>
      <c r="C121" s="9" t="s">
        <v>211</v>
      </c>
      <c r="D121" s="60">
        <f>IFERROR(VLOOKUP($A119,Plan!$A:B,D$4,0),0)</f>
        <v>200</v>
      </c>
      <c r="E121" s="70">
        <f>IFERROR(VLOOKUP($A119,Plan!$A:C,E$4,0),0)</f>
        <v>1100</v>
      </c>
      <c r="F121" s="70">
        <f>IFERROR(VLOOKUP($A119,Plan!$A:D,F$4,0),0)</f>
        <v>660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</row>
    <row r="122" spans="1:81" x14ac:dyDescent="0.2">
      <c r="A122" s="5" t="s">
        <v>212</v>
      </c>
      <c r="B122" s="5">
        <v>8.4000000000000005E-2</v>
      </c>
      <c r="C122" s="9" t="s">
        <v>213</v>
      </c>
      <c r="D122" s="61">
        <f>IFERROR(VLOOKUP($A119,Sales!$A:B,D$2,0),0)</f>
        <v>0</v>
      </c>
      <c r="E122" s="61">
        <f>IFERROR(VLOOKUP($A119,Sales!$A:C,E$2,0),0)</f>
        <v>880</v>
      </c>
      <c r="F122" s="61">
        <f>IFERROR(VLOOKUP($A119,Sales!$A:D,F$2,0),0)</f>
        <v>880</v>
      </c>
      <c r="G122" s="61">
        <f>IFERROR(VLOOKUP($A119,Sales!$A:E,G$2,0),0)</f>
        <v>800</v>
      </c>
      <c r="H122" s="61">
        <f>IFERROR(VLOOKUP($A119,Sales!$A:F,H$2,0),0)</f>
        <v>720</v>
      </c>
      <c r="I122" s="61">
        <f>IFERROR(VLOOKUP($A119,Sales!$A:G,I$2,0),0)</f>
        <v>720</v>
      </c>
      <c r="J122" s="61">
        <f>IFERROR(VLOOKUP($A119,Sales!$A:H,J$2,0),0)</f>
        <v>800</v>
      </c>
      <c r="K122" s="61">
        <f>IFERROR(VLOOKUP($A119,Sales!$A:I,K$2,0),0)</f>
        <v>800</v>
      </c>
      <c r="L122" s="61">
        <f>IFERROR(VLOOKUP($A119,Sales!$A:J,L$2,0),0)</f>
        <v>960</v>
      </c>
      <c r="M122" s="61">
        <f>IFERROR(VLOOKUP($A119,Sales!$A:K,M$2,0),0)</f>
        <v>800</v>
      </c>
      <c r="N122" s="61">
        <f>IFERROR(VLOOKUP($A119,Sales!$A:L,N$2,0),0)</f>
        <v>0</v>
      </c>
      <c r="O122" s="61">
        <f>IFERROR(VLOOKUP($A119,Sales!$A:M,O$2,0),0)</f>
        <v>0</v>
      </c>
      <c r="P122" s="61">
        <f>IFERROR(VLOOKUP($A119,Sales!$A:N,P$2,0),0)</f>
        <v>0</v>
      </c>
      <c r="Q122" s="61">
        <f>IFERROR(VLOOKUP($A119,Sales!$A:O,Q$2,0),0)</f>
        <v>0</v>
      </c>
      <c r="R122" s="61">
        <f>IFERROR(VLOOKUP($A119,Sales!$A:P,R$2,0),0)</f>
        <v>560</v>
      </c>
      <c r="S122" s="61">
        <f>IFERROR(VLOOKUP($A119,Sales!$A:Q,S$2,0),0)</f>
        <v>560</v>
      </c>
      <c r="T122" s="61">
        <f>IFERROR(VLOOKUP($A119,Sales!$A:R,T$2,0),0)</f>
        <v>560</v>
      </c>
      <c r="U122" s="61">
        <f>IFERROR(VLOOKUP($A119,Sales!$A:S,U$2,0),0)</f>
        <v>620</v>
      </c>
      <c r="V122" s="61">
        <f>IFERROR(VLOOKUP($A119,Sales!$A:T,V$2,0),0)</f>
        <v>620</v>
      </c>
      <c r="W122" s="61">
        <f>IFERROR(VLOOKUP($A119,Sales!$A:U,W$2,0),0)</f>
        <v>620</v>
      </c>
      <c r="X122" s="61">
        <f>IFERROR(VLOOKUP($A119,Sales!$A:V,X$2,0),0)</f>
        <v>620</v>
      </c>
      <c r="Y122" s="61">
        <f>IFERROR(VLOOKUP($A119,Sales!$A:W,Y$2,0),0)</f>
        <v>360</v>
      </c>
      <c r="Z122" s="61">
        <f>IFERROR(VLOOKUP($A119,Sales!$A:X,Z$2,0),0)</f>
        <v>360</v>
      </c>
      <c r="AA122" s="61">
        <f>IFERROR(VLOOKUP($A119,Sales!$A:Y,AA$2,0),0)</f>
        <v>360</v>
      </c>
      <c r="AB122" s="61">
        <f>IFERROR(VLOOKUP($A119,Sales!$A:Z,AB$2,0),0)</f>
        <v>360</v>
      </c>
      <c r="AC122" s="61">
        <f>IFERROR(VLOOKUP($A119,Sales!$A:AA,AC$2,0),0)</f>
        <v>470</v>
      </c>
      <c r="AD122" s="61">
        <f>IFERROR(VLOOKUP($A119,Sales!$A:AB,AD$2,0),0)</f>
        <v>470</v>
      </c>
      <c r="AE122" s="61">
        <f>IFERROR(VLOOKUP($A119,Sales!$A:AC,AE$2,0),0)</f>
        <v>470</v>
      </c>
      <c r="AF122" s="61">
        <f>IFERROR(VLOOKUP($A119,Sales!$A:AD,AF$2,0),0)</f>
        <v>470</v>
      </c>
      <c r="AG122" s="61">
        <f>IFERROR(VLOOKUP($A119,Sales!$A:AE,AG$2,0),0)</f>
        <v>440</v>
      </c>
      <c r="AH122" s="61">
        <f>IFERROR(VLOOKUP($A119,Sales!$A:AF,AH$2,0),0)</f>
        <v>1000</v>
      </c>
      <c r="AI122" s="61">
        <f>IFERROR(VLOOKUP($A119,Sales!$A:AG,AI$2,0),0)</f>
        <v>1000</v>
      </c>
      <c r="AJ122" s="61">
        <f>IFERROR(VLOOKUP($A119,Sales!$A:AH,AJ$2,0),0)</f>
        <v>0</v>
      </c>
      <c r="AK122" s="73">
        <f t="shared" ref="AK122:CC122" si="201">CEILING(AK$5*$B118,1)</f>
        <v>0</v>
      </c>
      <c r="AL122" s="73">
        <f t="shared" si="201"/>
        <v>0</v>
      </c>
      <c r="AM122" s="73">
        <f t="shared" si="201"/>
        <v>0</v>
      </c>
      <c r="AN122" s="73">
        <f t="shared" si="201"/>
        <v>458</v>
      </c>
      <c r="AO122" s="73">
        <f t="shared" si="201"/>
        <v>458</v>
      </c>
      <c r="AP122" s="73">
        <f t="shared" si="201"/>
        <v>458</v>
      </c>
      <c r="AQ122" s="73">
        <f t="shared" si="201"/>
        <v>553</v>
      </c>
      <c r="AR122" s="73">
        <f t="shared" si="201"/>
        <v>553</v>
      </c>
      <c r="AS122" s="73">
        <f t="shared" si="201"/>
        <v>442</v>
      </c>
      <c r="AT122" s="73">
        <f t="shared" si="201"/>
        <v>553</v>
      </c>
      <c r="AU122" s="73">
        <f t="shared" si="201"/>
        <v>525</v>
      </c>
      <c r="AV122" s="73">
        <f t="shared" si="201"/>
        <v>525</v>
      </c>
      <c r="AW122" s="73">
        <f t="shared" si="201"/>
        <v>525</v>
      </c>
      <c r="AX122" s="73">
        <f t="shared" si="201"/>
        <v>525</v>
      </c>
      <c r="AY122" s="73">
        <f t="shared" si="201"/>
        <v>420</v>
      </c>
      <c r="AZ122" s="73">
        <f t="shared" si="201"/>
        <v>374</v>
      </c>
      <c r="BA122" s="73">
        <f t="shared" si="201"/>
        <v>374</v>
      </c>
      <c r="BB122" s="73">
        <f t="shared" si="201"/>
        <v>374</v>
      </c>
      <c r="BC122" s="73">
        <f t="shared" si="201"/>
        <v>420</v>
      </c>
      <c r="BD122" s="73">
        <f t="shared" si="201"/>
        <v>420</v>
      </c>
      <c r="BE122" s="73">
        <f t="shared" si="201"/>
        <v>420</v>
      </c>
      <c r="BF122" s="73">
        <f t="shared" si="201"/>
        <v>420</v>
      </c>
      <c r="BG122" s="73">
        <f t="shared" si="201"/>
        <v>420</v>
      </c>
      <c r="BH122" s="73">
        <f t="shared" si="201"/>
        <v>420</v>
      </c>
      <c r="BI122" s="73">
        <f t="shared" si="201"/>
        <v>420</v>
      </c>
      <c r="BJ122" s="73">
        <f t="shared" si="201"/>
        <v>420</v>
      </c>
      <c r="BK122" s="73">
        <f t="shared" si="201"/>
        <v>420</v>
      </c>
      <c r="BL122" s="73">
        <f t="shared" si="201"/>
        <v>418</v>
      </c>
      <c r="BM122" s="73">
        <f t="shared" si="201"/>
        <v>418</v>
      </c>
      <c r="BN122" s="73">
        <f t="shared" si="201"/>
        <v>762</v>
      </c>
      <c r="BO122" s="73">
        <f t="shared" si="201"/>
        <v>0</v>
      </c>
      <c r="BP122" s="73">
        <f t="shared" si="201"/>
        <v>0</v>
      </c>
      <c r="BQ122" s="73">
        <f t="shared" si="201"/>
        <v>0</v>
      </c>
      <c r="BR122" s="73">
        <f t="shared" si="201"/>
        <v>0</v>
      </c>
      <c r="BS122" s="73">
        <f t="shared" si="201"/>
        <v>345</v>
      </c>
      <c r="BT122" s="73">
        <f t="shared" si="201"/>
        <v>345</v>
      </c>
      <c r="BU122" s="73">
        <f t="shared" si="201"/>
        <v>345</v>
      </c>
      <c r="BV122" s="73">
        <f t="shared" si="201"/>
        <v>345</v>
      </c>
      <c r="BW122" s="73">
        <f t="shared" si="201"/>
        <v>345</v>
      </c>
      <c r="BX122" s="73">
        <f t="shared" si="201"/>
        <v>345</v>
      </c>
      <c r="BY122" s="73">
        <f t="shared" si="201"/>
        <v>345</v>
      </c>
      <c r="BZ122" s="73">
        <f t="shared" si="201"/>
        <v>345</v>
      </c>
      <c r="CA122" s="73">
        <f t="shared" si="201"/>
        <v>345</v>
      </c>
      <c r="CB122" s="73">
        <f t="shared" si="201"/>
        <v>345</v>
      </c>
      <c r="CC122" s="73">
        <f t="shared" si="201"/>
        <v>345</v>
      </c>
    </row>
    <row r="123" spans="1:81" x14ac:dyDescent="0.2">
      <c r="A123" s="5" t="s">
        <v>214</v>
      </c>
      <c r="B123" s="5">
        <v>0.41599999999999998</v>
      </c>
      <c r="C123" s="46" t="s">
        <v>215</v>
      </c>
      <c r="D123" s="11">
        <f t="shared" ref="D123:AI123" si="202">IF(D122=0,0, ROUND(D119 * 1/D122* D$13,1))</f>
        <v>0</v>
      </c>
      <c r="E123" s="11">
        <f t="shared" si="202"/>
        <v>21.3</v>
      </c>
      <c r="F123" s="11">
        <f t="shared" si="202"/>
        <v>16.3</v>
      </c>
      <c r="G123" s="11">
        <f t="shared" si="202"/>
        <v>12.4</v>
      </c>
      <c r="H123" s="11">
        <f t="shared" si="202"/>
        <v>8.1999999999999993</v>
      </c>
      <c r="I123" s="11">
        <f t="shared" si="202"/>
        <v>4.5999999999999996</v>
      </c>
      <c r="J123" s="11">
        <f t="shared" si="202"/>
        <v>6.5</v>
      </c>
      <c r="K123" s="11">
        <f t="shared" si="202"/>
        <v>5.6</v>
      </c>
      <c r="L123" s="11">
        <f t="shared" si="202"/>
        <v>0.5</v>
      </c>
      <c r="M123" s="11">
        <f t="shared" si="202"/>
        <v>-5.4</v>
      </c>
      <c r="N123" s="11">
        <f t="shared" si="202"/>
        <v>0</v>
      </c>
      <c r="O123" s="11">
        <f t="shared" si="202"/>
        <v>0</v>
      </c>
      <c r="P123" s="11">
        <f t="shared" si="202"/>
        <v>0</v>
      </c>
      <c r="Q123" s="11">
        <f t="shared" si="202"/>
        <v>0</v>
      </c>
      <c r="R123" s="11">
        <f t="shared" si="202"/>
        <v>-14.8</v>
      </c>
      <c r="S123" s="11">
        <f t="shared" si="202"/>
        <v>-19.8</v>
      </c>
      <c r="T123" s="11">
        <f t="shared" si="202"/>
        <v>-24.8</v>
      </c>
      <c r="U123" s="11">
        <f t="shared" si="202"/>
        <v>-26.9</v>
      </c>
      <c r="V123" s="11">
        <f t="shared" si="202"/>
        <v>-31.9</v>
      </c>
      <c r="W123" s="11">
        <f t="shared" si="202"/>
        <v>-36.9</v>
      </c>
      <c r="X123" s="11">
        <f t="shared" si="202"/>
        <v>-41.9</v>
      </c>
      <c r="Y123" s="11">
        <f t="shared" si="202"/>
        <v>-80.8</v>
      </c>
      <c r="Z123" s="11">
        <f t="shared" si="202"/>
        <v>-85.8</v>
      </c>
      <c r="AA123" s="11">
        <f t="shared" si="202"/>
        <v>-90.8</v>
      </c>
      <c r="AB123" s="11">
        <f t="shared" si="202"/>
        <v>-95.8</v>
      </c>
      <c r="AC123" s="11">
        <f t="shared" si="202"/>
        <v>-77.2</v>
      </c>
      <c r="AD123" s="11">
        <f t="shared" si="202"/>
        <v>-82.2</v>
      </c>
      <c r="AE123" s="11">
        <f t="shared" si="202"/>
        <v>-87.2</v>
      </c>
      <c r="AF123" s="11">
        <f t="shared" si="202"/>
        <v>-92.2</v>
      </c>
      <c r="AG123" s="11">
        <f t="shared" si="202"/>
        <v>-103.9</v>
      </c>
      <c r="AH123" s="11">
        <f t="shared" si="202"/>
        <v>-47.9</v>
      </c>
      <c r="AI123" s="11">
        <f t="shared" si="202"/>
        <v>-52.9</v>
      </c>
      <c r="AJ123" s="11">
        <f t="shared" ref="AJ123:BO123" si="203">IF(AJ122=0,0, ROUND(AJ119 * 1/AJ122* AJ$13,1))</f>
        <v>0</v>
      </c>
      <c r="AK123" s="11">
        <f t="shared" si="203"/>
        <v>0</v>
      </c>
      <c r="AL123" s="11">
        <f t="shared" si="203"/>
        <v>0</v>
      </c>
      <c r="AM123" s="11">
        <f t="shared" si="203"/>
        <v>0</v>
      </c>
      <c r="AN123" s="11">
        <f t="shared" si="203"/>
        <v>-126.4</v>
      </c>
      <c r="AO123" s="11">
        <f t="shared" si="203"/>
        <v>-131.4</v>
      </c>
      <c r="AP123" s="11">
        <f t="shared" si="203"/>
        <v>-136.4</v>
      </c>
      <c r="AQ123" s="11">
        <f t="shared" si="203"/>
        <v>-117.1</v>
      </c>
      <c r="AR123" s="11">
        <f t="shared" si="203"/>
        <v>-122.1</v>
      </c>
      <c r="AS123" s="11">
        <f t="shared" si="203"/>
        <v>-159</v>
      </c>
      <c r="AT123" s="11">
        <f t="shared" si="203"/>
        <v>-131.1</v>
      </c>
      <c r="AU123" s="11">
        <f t="shared" si="203"/>
        <v>-143.4</v>
      </c>
      <c r="AV123" s="11">
        <f t="shared" si="203"/>
        <v>-148.4</v>
      </c>
      <c r="AW123" s="11">
        <f t="shared" si="203"/>
        <v>-153.4</v>
      </c>
      <c r="AX123" s="11">
        <f t="shared" si="203"/>
        <v>-158.4</v>
      </c>
      <c r="AY123" s="11">
        <f t="shared" si="203"/>
        <v>-204.2</v>
      </c>
      <c r="AZ123" s="11">
        <f t="shared" si="203"/>
        <v>-234.9</v>
      </c>
      <c r="BA123" s="11">
        <f t="shared" si="203"/>
        <v>-239.9</v>
      </c>
      <c r="BB123" s="11">
        <f t="shared" si="203"/>
        <v>-244.9</v>
      </c>
      <c r="BC123" s="11">
        <f t="shared" si="203"/>
        <v>-222.6</v>
      </c>
      <c r="BD123" s="11">
        <f t="shared" si="203"/>
        <v>-227.6</v>
      </c>
      <c r="BE123" s="11">
        <f t="shared" si="203"/>
        <v>-232.6</v>
      </c>
      <c r="BF123" s="11">
        <f t="shared" si="203"/>
        <v>-237.6</v>
      </c>
      <c r="BG123" s="11">
        <f t="shared" si="203"/>
        <v>-242.6</v>
      </c>
      <c r="BH123" s="11">
        <f t="shared" si="203"/>
        <v>-247.6</v>
      </c>
      <c r="BI123" s="11">
        <f t="shared" si="203"/>
        <v>-252.6</v>
      </c>
      <c r="BJ123" s="11">
        <f t="shared" si="203"/>
        <v>-257.60000000000002</v>
      </c>
      <c r="BK123" s="11">
        <f t="shared" si="203"/>
        <v>-262.60000000000002</v>
      </c>
      <c r="BL123" s="11">
        <f t="shared" si="203"/>
        <v>-268.89999999999998</v>
      </c>
      <c r="BM123" s="11">
        <f t="shared" si="203"/>
        <v>-273.89999999999998</v>
      </c>
      <c r="BN123" s="11">
        <f t="shared" si="203"/>
        <v>-153</v>
      </c>
      <c r="BO123" s="11">
        <f t="shared" si="203"/>
        <v>0</v>
      </c>
      <c r="BP123" s="11">
        <f t="shared" ref="BP123:CU123" si="204">IF(BP122=0,0, ROUND(BP119 * 1/BP122* BP$13,1))</f>
        <v>0</v>
      </c>
      <c r="BQ123" s="11">
        <f t="shared" si="204"/>
        <v>0</v>
      </c>
      <c r="BR123" s="11">
        <f t="shared" si="204"/>
        <v>0</v>
      </c>
      <c r="BS123" s="11">
        <f t="shared" si="204"/>
        <v>-348.9</v>
      </c>
      <c r="BT123" s="11">
        <f t="shared" si="204"/>
        <v>-353.9</v>
      </c>
      <c r="BU123" s="11">
        <f t="shared" si="204"/>
        <v>-358.9</v>
      </c>
      <c r="BV123" s="11">
        <f t="shared" si="204"/>
        <v>-363.9</v>
      </c>
      <c r="BW123" s="11">
        <f t="shared" si="204"/>
        <v>-368.9</v>
      </c>
      <c r="BX123" s="11">
        <f t="shared" si="204"/>
        <v>-373.9</v>
      </c>
      <c r="BY123" s="11">
        <f t="shared" si="204"/>
        <v>-378.9</v>
      </c>
      <c r="BZ123" s="11">
        <f t="shared" si="204"/>
        <v>-383.9</v>
      </c>
      <c r="CA123" s="11">
        <f t="shared" si="204"/>
        <v>-388.9</v>
      </c>
      <c r="CB123" s="11">
        <f t="shared" si="204"/>
        <v>-393.9</v>
      </c>
      <c r="CC123" s="11">
        <f t="shared" si="204"/>
        <v>-398.9</v>
      </c>
    </row>
    <row r="124" spans="1:81" x14ac:dyDescent="0.2">
      <c r="A124">
        <v>45</v>
      </c>
      <c r="B124">
        <v>1</v>
      </c>
      <c r="C124" s="8">
        <v>8.6307100000000005</v>
      </c>
      <c r="D124">
        <f t="shared" ref="D124:AI124" si="205">D121/$B124</f>
        <v>200</v>
      </c>
      <c r="E124">
        <f t="shared" si="205"/>
        <v>1100</v>
      </c>
      <c r="F124">
        <f t="shared" si="205"/>
        <v>660</v>
      </c>
      <c r="G124">
        <f t="shared" si="205"/>
        <v>0</v>
      </c>
      <c r="H124">
        <f t="shared" si="205"/>
        <v>0</v>
      </c>
      <c r="I124">
        <f t="shared" si="205"/>
        <v>0</v>
      </c>
      <c r="J124">
        <f t="shared" si="205"/>
        <v>0</v>
      </c>
      <c r="K124">
        <f t="shared" si="205"/>
        <v>0</v>
      </c>
      <c r="L124">
        <f t="shared" si="205"/>
        <v>0</v>
      </c>
      <c r="M124">
        <f t="shared" si="205"/>
        <v>0</v>
      </c>
      <c r="N124">
        <f t="shared" si="205"/>
        <v>0</v>
      </c>
      <c r="O124">
        <f t="shared" si="205"/>
        <v>0</v>
      </c>
      <c r="P124">
        <f t="shared" si="205"/>
        <v>0</v>
      </c>
      <c r="Q124">
        <f t="shared" si="205"/>
        <v>0</v>
      </c>
      <c r="R124">
        <f t="shared" si="205"/>
        <v>0</v>
      </c>
      <c r="S124">
        <f t="shared" si="205"/>
        <v>0</v>
      </c>
      <c r="T124">
        <f t="shared" si="205"/>
        <v>0</v>
      </c>
      <c r="U124">
        <f t="shared" si="205"/>
        <v>0</v>
      </c>
      <c r="V124">
        <f t="shared" si="205"/>
        <v>0</v>
      </c>
      <c r="W124">
        <f t="shared" si="205"/>
        <v>0</v>
      </c>
      <c r="X124">
        <f t="shared" si="205"/>
        <v>0</v>
      </c>
      <c r="Y124">
        <f t="shared" si="205"/>
        <v>0</v>
      </c>
      <c r="Z124">
        <f t="shared" si="205"/>
        <v>0</v>
      </c>
      <c r="AA124">
        <f t="shared" si="205"/>
        <v>0</v>
      </c>
      <c r="AB124">
        <f t="shared" si="205"/>
        <v>0</v>
      </c>
      <c r="AC124">
        <f t="shared" si="205"/>
        <v>0</v>
      </c>
      <c r="AD124">
        <f t="shared" si="205"/>
        <v>0</v>
      </c>
      <c r="AE124">
        <f t="shared" si="205"/>
        <v>0</v>
      </c>
      <c r="AF124">
        <f t="shared" si="205"/>
        <v>0</v>
      </c>
      <c r="AG124">
        <f t="shared" si="205"/>
        <v>0</v>
      </c>
      <c r="AH124">
        <f t="shared" si="205"/>
        <v>0</v>
      </c>
      <c r="AI124">
        <f t="shared" si="205"/>
        <v>0</v>
      </c>
      <c r="AJ124">
        <f t="shared" ref="AJ124:BO124" si="206">AJ121/$B124</f>
        <v>0</v>
      </c>
      <c r="AK124">
        <f t="shared" si="206"/>
        <v>0</v>
      </c>
      <c r="AL124">
        <f t="shared" si="206"/>
        <v>0</v>
      </c>
      <c r="AM124">
        <f t="shared" si="206"/>
        <v>0</v>
      </c>
      <c r="AN124">
        <f t="shared" si="206"/>
        <v>0</v>
      </c>
      <c r="AO124">
        <f t="shared" si="206"/>
        <v>0</v>
      </c>
      <c r="AP124">
        <f t="shared" si="206"/>
        <v>0</v>
      </c>
      <c r="AQ124">
        <f t="shared" si="206"/>
        <v>0</v>
      </c>
      <c r="AR124">
        <f t="shared" si="206"/>
        <v>0</v>
      </c>
      <c r="AS124">
        <f t="shared" si="206"/>
        <v>0</v>
      </c>
      <c r="AT124">
        <f t="shared" si="206"/>
        <v>0</v>
      </c>
      <c r="AU124">
        <f t="shared" si="206"/>
        <v>0</v>
      </c>
      <c r="AV124">
        <f t="shared" si="206"/>
        <v>0</v>
      </c>
      <c r="AW124">
        <f t="shared" si="206"/>
        <v>0</v>
      </c>
      <c r="AX124">
        <f t="shared" si="206"/>
        <v>0</v>
      </c>
      <c r="AY124">
        <f t="shared" si="206"/>
        <v>0</v>
      </c>
      <c r="AZ124">
        <f t="shared" si="206"/>
        <v>0</v>
      </c>
      <c r="BA124">
        <f t="shared" si="206"/>
        <v>0</v>
      </c>
      <c r="BB124">
        <f t="shared" si="206"/>
        <v>0</v>
      </c>
      <c r="BC124">
        <f t="shared" si="206"/>
        <v>0</v>
      </c>
      <c r="BD124">
        <f t="shared" si="206"/>
        <v>0</v>
      </c>
      <c r="BE124">
        <f t="shared" si="206"/>
        <v>0</v>
      </c>
      <c r="BF124">
        <f t="shared" si="206"/>
        <v>0</v>
      </c>
      <c r="BG124">
        <f t="shared" si="206"/>
        <v>0</v>
      </c>
      <c r="BH124">
        <f t="shared" si="206"/>
        <v>0</v>
      </c>
      <c r="BI124">
        <f t="shared" si="206"/>
        <v>0</v>
      </c>
      <c r="BJ124">
        <f t="shared" si="206"/>
        <v>0</v>
      </c>
      <c r="BK124">
        <f t="shared" si="206"/>
        <v>0</v>
      </c>
      <c r="BL124">
        <f t="shared" si="206"/>
        <v>0</v>
      </c>
      <c r="BM124">
        <f t="shared" si="206"/>
        <v>0</v>
      </c>
      <c r="BN124">
        <f t="shared" si="206"/>
        <v>0</v>
      </c>
      <c r="BO124">
        <f t="shared" si="206"/>
        <v>0</v>
      </c>
      <c r="BP124">
        <f t="shared" ref="BP124:CC124" si="207">BP121/$B124</f>
        <v>0</v>
      </c>
      <c r="BQ124">
        <f t="shared" si="207"/>
        <v>0</v>
      </c>
      <c r="BR124">
        <f t="shared" si="207"/>
        <v>0</v>
      </c>
      <c r="BS124">
        <f t="shared" si="207"/>
        <v>0</v>
      </c>
      <c r="BT124">
        <f t="shared" si="207"/>
        <v>0</v>
      </c>
      <c r="BU124">
        <f t="shared" si="207"/>
        <v>0</v>
      </c>
      <c r="BV124">
        <f t="shared" si="207"/>
        <v>0</v>
      </c>
      <c r="BW124">
        <f t="shared" si="207"/>
        <v>0</v>
      </c>
      <c r="BX124">
        <f t="shared" si="207"/>
        <v>0</v>
      </c>
      <c r="BY124">
        <f t="shared" si="207"/>
        <v>0</v>
      </c>
      <c r="BZ124">
        <f t="shared" si="207"/>
        <v>0</v>
      </c>
      <c r="CA124">
        <f t="shared" si="207"/>
        <v>0</v>
      </c>
      <c r="CB124">
        <f t="shared" si="207"/>
        <v>0</v>
      </c>
      <c r="CC124">
        <f t="shared" si="207"/>
        <v>0</v>
      </c>
    </row>
    <row r="125" spans="1:81" x14ac:dyDescent="0.2">
      <c r="A125" s="10"/>
      <c r="B125" s="67">
        <f>SUM(D129:AJ129)/SUM($D$263:$AJ$263)</f>
        <v>1.5625762976707847E-3</v>
      </c>
      <c r="C125" s="9" t="s">
        <v>216</v>
      </c>
      <c r="D125">
        <f t="shared" ref="D125:AI125" si="208">D119-D122</f>
        <v>3520</v>
      </c>
      <c r="E125">
        <f t="shared" si="208"/>
        <v>2861</v>
      </c>
      <c r="F125">
        <f t="shared" si="208"/>
        <v>1981</v>
      </c>
      <c r="G125">
        <f t="shared" si="208"/>
        <v>1181</v>
      </c>
      <c r="H125">
        <f t="shared" si="208"/>
        <v>461</v>
      </c>
      <c r="I125">
        <f t="shared" si="208"/>
        <v>-59</v>
      </c>
      <c r="J125">
        <f t="shared" si="208"/>
        <v>241</v>
      </c>
      <c r="K125">
        <f t="shared" si="208"/>
        <v>101</v>
      </c>
      <c r="L125">
        <f t="shared" si="208"/>
        <v>-859</v>
      </c>
      <c r="M125">
        <f t="shared" si="208"/>
        <v>-1659</v>
      </c>
      <c r="N125">
        <f t="shared" si="208"/>
        <v>-1659</v>
      </c>
      <c r="O125">
        <f t="shared" si="208"/>
        <v>-1659</v>
      </c>
      <c r="P125">
        <f t="shared" si="208"/>
        <v>-1659</v>
      </c>
      <c r="Q125">
        <f t="shared" si="208"/>
        <v>-1659</v>
      </c>
      <c r="R125">
        <f t="shared" si="208"/>
        <v>-2219</v>
      </c>
      <c r="S125">
        <f t="shared" si="208"/>
        <v>-2779</v>
      </c>
      <c r="T125">
        <f t="shared" si="208"/>
        <v>-3339</v>
      </c>
      <c r="U125">
        <f t="shared" si="208"/>
        <v>-3959</v>
      </c>
      <c r="V125">
        <f t="shared" si="208"/>
        <v>-4579</v>
      </c>
      <c r="W125">
        <f t="shared" si="208"/>
        <v>-5199</v>
      </c>
      <c r="X125">
        <f t="shared" si="208"/>
        <v>-5819</v>
      </c>
      <c r="Y125">
        <f t="shared" si="208"/>
        <v>-6179</v>
      </c>
      <c r="Z125">
        <f t="shared" si="208"/>
        <v>-6539</v>
      </c>
      <c r="AA125">
        <f t="shared" si="208"/>
        <v>-6899</v>
      </c>
      <c r="AB125">
        <f t="shared" si="208"/>
        <v>-7259</v>
      </c>
      <c r="AC125">
        <f t="shared" si="208"/>
        <v>-7729</v>
      </c>
      <c r="AD125">
        <f t="shared" si="208"/>
        <v>-8199</v>
      </c>
      <c r="AE125">
        <f t="shared" si="208"/>
        <v>-8669</v>
      </c>
      <c r="AF125">
        <f t="shared" si="208"/>
        <v>-9139</v>
      </c>
      <c r="AG125">
        <f t="shared" si="208"/>
        <v>-9579</v>
      </c>
      <c r="AH125">
        <f t="shared" si="208"/>
        <v>-10579</v>
      </c>
      <c r="AI125">
        <f t="shared" si="208"/>
        <v>-11579</v>
      </c>
      <c r="AJ125">
        <f t="shared" ref="AJ125:BO125" si="209">AJ119-AJ122</f>
        <v>-11579</v>
      </c>
      <c r="AK125">
        <f t="shared" si="209"/>
        <v>-11579</v>
      </c>
      <c r="AL125">
        <f t="shared" si="209"/>
        <v>-11579</v>
      </c>
      <c r="AM125">
        <f t="shared" si="209"/>
        <v>-11579</v>
      </c>
      <c r="AN125">
        <f t="shared" si="209"/>
        <v>-12037</v>
      </c>
      <c r="AO125">
        <f t="shared" si="209"/>
        <v>-12495</v>
      </c>
      <c r="AP125">
        <f t="shared" si="209"/>
        <v>-12953</v>
      </c>
      <c r="AQ125">
        <f t="shared" si="209"/>
        <v>-13506</v>
      </c>
      <c r="AR125">
        <f t="shared" si="209"/>
        <v>-14059</v>
      </c>
      <c r="AS125">
        <f t="shared" si="209"/>
        <v>-14501</v>
      </c>
      <c r="AT125">
        <f t="shared" si="209"/>
        <v>-15054</v>
      </c>
      <c r="AU125">
        <f t="shared" si="209"/>
        <v>-15579</v>
      </c>
      <c r="AV125">
        <f t="shared" si="209"/>
        <v>-16104</v>
      </c>
      <c r="AW125">
        <f t="shared" si="209"/>
        <v>-16629</v>
      </c>
      <c r="AX125">
        <f t="shared" si="209"/>
        <v>-17154</v>
      </c>
      <c r="AY125">
        <f t="shared" si="209"/>
        <v>-17574</v>
      </c>
      <c r="AZ125">
        <f t="shared" si="209"/>
        <v>-17948</v>
      </c>
      <c r="BA125">
        <f t="shared" si="209"/>
        <v>-18322</v>
      </c>
      <c r="BB125">
        <f t="shared" si="209"/>
        <v>-18696</v>
      </c>
      <c r="BC125">
        <f t="shared" si="209"/>
        <v>-19116</v>
      </c>
      <c r="BD125">
        <f t="shared" si="209"/>
        <v>-19536</v>
      </c>
      <c r="BE125">
        <f t="shared" si="209"/>
        <v>-19956</v>
      </c>
      <c r="BF125">
        <f t="shared" si="209"/>
        <v>-20376</v>
      </c>
      <c r="BG125">
        <f t="shared" si="209"/>
        <v>-20796</v>
      </c>
      <c r="BH125">
        <f t="shared" si="209"/>
        <v>-21216</v>
      </c>
      <c r="BI125">
        <f t="shared" si="209"/>
        <v>-21636</v>
      </c>
      <c r="BJ125">
        <f t="shared" si="209"/>
        <v>-22056</v>
      </c>
      <c r="BK125">
        <f t="shared" si="209"/>
        <v>-22476</v>
      </c>
      <c r="BL125">
        <f t="shared" si="209"/>
        <v>-22894</v>
      </c>
      <c r="BM125">
        <f t="shared" si="209"/>
        <v>-23312</v>
      </c>
      <c r="BN125">
        <f t="shared" si="209"/>
        <v>-24074</v>
      </c>
      <c r="BO125">
        <f t="shared" si="209"/>
        <v>-24074</v>
      </c>
      <c r="BP125">
        <f t="shared" ref="BP125:CC125" si="210">BP119-BP122</f>
        <v>-24074</v>
      </c>
      <c r="BQ125">
        <f t="shared" si="210"/>
        <v>-24074</v>
      </c>
      <c r="BR125">
        <f t="shared" si="210"/>
        <v>-24074</v>
      </c>
      <c r="BS125">
        <f t="shared" si="210"/>
        <v>-24419</v>
      </c>
      <c r="BT125">
        <f t="shared" si="210"/>
        <v>-24764</v>
      </c>
      <c r="BU125">
        <f t="shared" si="210"/>
        <v>-25109</v>
      </c>
      <c r="BV125">
        <f t="shared" si="210"/>
        <v>-25454</v>
      </c>
      <c r="BW125">
        <f t="shared" si="210"/>
        <v>-25799</v>
      </c>
      <c r="BX125">
        <f t="shared" si="210"/>
        <v>-26144</v>
      </c>
      <c r="BY125">
        <f t="shared" si="210"/>
        <v>-26489</v>
      </c>
      <c r="BZ125">
        <f t="shared" si="210"/>
        <v>-26834</v>
      </c>
      <c r="CA125">
        <f t="shared" si="210"/>
        <v>-27179</v>
      </c>
      <c r="CB125">
        <f t="shared" si="210"/>
        <v>-27524</v>
      </c>
      <c r="CC125">
        <f t="shared" si="210"/>
        <v>-27869</v>
      </c>
    </row>
    <row r="126" spans="1:81" x14ac:dyDescent="0.2">
      <c r="A126" s="43" t="s">
        <v>232</v>
      </c>
      <c r="B126" s="44" t="s">
        <v>208</v>
      </c>
      <c r="C126" s="9" t="s">
        <v>38</v>
      </c>
      <c r="D126" s="58">
        <f>IFERROR(VLOOKUP(A126,OS!$A:$B,2,0),0)</f>
        <v>20</v>
      </c>
      <c r="E126" s="5">
        <f>(D126+D127-D129)</f>
        <v>20</v>
      </c>
      <c r="F126" s="5">
        <f>(E126+E127-E129)</f>
        <v>20</v>
      </c>
      <c r="G126" s="5">
        <f>(F126+F127-F129)</f>
        <v>20</v>
      </c>
      <c r="H126" s="5">
        <f>(G126+G127-G129)</f>
        <v>20</v>
      </c>
      <c r="I126" s="5">
        <f t="shared" ref="I126:AN126" si="211">(H126+H127-H129+D128)</f>
        <v>20</v>
      </c>
      <c r="J126" s="5">
        <f t="shared" si="211"/>
        <v>20</v>
      </c>
      <c r="K126" s="5">
        <f t="shared" si="211"/>
        <v>20</v>
      </c>
      <c r="L126" s="5">
        <f t="shared" si="211"/>
        <v>20</v>
      </c>
      <c r="M126" s="5">
        <f t="shared" si="211"/>
        <v>20</v>
      </c>
      <c r="N126" s="5">
        <f t="shared" si="211"/>
        <v>20</v>
      </c>
      <c r="O126" s="5">
        <f t="shared" si="211"/>
        <v>20</v>
      </c>
      <c r="P126" s="5">
        <f t="shared" si="211"/>
        <v>20</v>
      </c>
      <c r="Q126" s="5">
        <f t="shared" si="211"/>
        <v>20</v>
      </c>
      <c r="R126" s="5">
        <f t="shared" si="211"/>
        <v>20</v>
      </c>
      <c r="S126" s="5">
        <f t="shared" si="211"/>
        <v>20</v>
      </c>
      <c r="T126" s="5">
        <f t="shared" si="211"/>
        <v>20</v>
      </c>
      <c r="U126" s="5">
        <f t="shared" si="211"/>
        <v>20</v>
      </c>
      <c r="V126" s="5">
        <f t="shared" si="211"/>
        <v>20</v>
      </c>
      <c r="W126" s="5">
        <f t="shared" si="211"/>
        <v>20</v>
      </c>
      <c r="X126" s="5">
        <f t="shared" si="211"/>
        <v>20</v>
      </c>
      <c r="Y126" s="5">
        <f t="shared" si="211"/>
        <v>20</v>
      </c>
      <c r="Z126" s="5">
        <f t="shared" si="211"/>
        <v>20</v>
      </c>
      <c r="AA126" s="5">
        <f t="shared" si="211"/>
        <v>20</v>
      </c>
      <c r="AB126" s="5">
        <f t="shared" si="211"/>
        <v>20</v>
      </c>
      <c r="AC126" s="5">
        <f t="shared" si="211"/>
        <v>20</v>
      </c>
      <c r="AD126" s="5">
        <f t="shared" si="211"/>
        <v>0</v>
      </c>
      <c r="AE126" s="5">
        <f t="shared" si="211"/>
        <v>-20</v>
      </c>
      <c r="AF126" s="5">
        <f t="shared" si="211"/>
        <v>-40</v>
      </c>
      <c r="AG126" s="5">
        <f t="shared" si="211"/>
        <v>-60</v>
      </c>
      <c r="AH126" s="5">
        <f t="shared" si="211"/>
        <v>-60</v>
      </c>
      <c r="AI126" s="5">
        <f t="shared" si="211"/>
        <v>-100</v>
      </c>
      <c r="AJ126" s="5">
        <f t="shared" si="211"/>
        <v>-140</v>
      </c>
      <c r="AK126" s="5">
        <f t="shared" si="211"/>
        <v>-140</v>
      </c>
      <c r="AL126" s="5">
        <f t="shared" si="211"/>
        <v>-140</v>
      </c>
      <c r="AM126" s="5">
        <f t="shared" si="211"/>
        <v>-140</v>
      </c>
      <c r="AN126" s="5">
        <f t="shared" si="211"/>
        <v>-140</v>
      </c>
      <c r="AO126" s="5">
        <f t="shared" ref="AO126:BT126" si="212">(AN126+AN127-AN129+AJ128)</f>
        <v>-145</v>
      </c>
      <c r="AP126" s="5">
        <f t="shared" si="212"/>
        <v>-150</v>
      </c>
      <c r="AQ126" s="5">
        <f t="shared" si="212"/>
        <v>-155</v>
      </c>
      <c r="AR126" s="5">
        <f t="shared" si="212"/>
        <v>-161</v>
      </c>
      <c r="AS126" s="5">
        <f t="shared" si="212"/>
        <v>-167</v>
      </c>
      <c r="AT126" s="5">
        <f t="shared" si="212"/>
        <v>-172</v>
      </c>
      <c r="AU126" s="5">
        <f t="shared" si="212"/>
        <v>-178</v>
      </c>
      <c r="AV126" s="5">
        <f t="shared" si="212"/>
        <v>-183</v>
      </c>
      <c r="AW126" s="5">
        <f t="shared" si="212"/>
        <v>-188</v>
      </c>
      <c r="AX126" s="5">
        <f t="shared" si="212"/>
        <v>-193</v>
      </c>
      <c r="AY126" s="5">
        <f t="shared" si="212"/>
        <v>-198</v>
      </c>
      <c r="AZ126" s="5">
        <f t="shared" si="212"/>
        <v>-202</v>
      </c>
      <c r="BA126" s="5">
        <f t="shared" si="212"/>
        <v>-206</v>
      </c>
      <c r="BB126" s="5">
        <f t="shared" si="212"/>
        <v>-210</v>
      </c>
      <c r="BC126" s="5">
        <f t="shared" si="212"/>
        <v>-214</v>
      </c>
      <c r="BD126" s="5">
        <f t="shared" si="212"/>
        <v>-218</v>
      </c>
      <c r="BE126" s="5">
        <f t="shared" si="212"/>
        <v>-222</v>
      </c>
      <c r="BF126" s="5">
        <f t="shared" si="212"/>
        <v>-226</v>
      </c>
      <c r="BG126" s="5">
        <f t="shared" si="212"/>
        <v>-230</v>
      </c>
      <c r="BH126" s="5">
        <f t="shared" si="212"/>
        <v>-234</v>
      </c>
      <c r="BI126" s="5">
        <f t="shared" si="212"/>
        <v>-238</v>
      </c>
      <c r="BJ126" s="5">
        <f t="shared" si="212"/>
        <v>-242</v>
      </c>
      <c r="BK126" s="5">
        <f t="shared" si="212"/>
        <v>-246</v>
      </c>
      <c r="BL126" s="5">
        <f t="shared" si="212"/>
        <v>-250</v>
      </c>
      <c r="BM126" s="5">
        <f t="shared" si="212"/>
        <v>-254</v>
      </c>
      <c r="BN126" s="5">
        <f t="shared" si="212"/>
        <v>-258</v>
      </c>
      <c r="BO126" s="5">
        <f t="shared" si="212"/>
        <v>-266</v>
      </c>
      <c r="BP126" s="5">
        <f t="shared" si="212"/>
        <v>-266</v>
      </c>
      <c r="BQ126" s="5">
        <f t="shared" si="212"/>
        <v>-266</v>
      </c>
      <c r="BR126" s="5">
        <f t="shared" si="212"/>
        <v>-266</v>
      </c>
      <c r="BS126" s="5">
        <f t="shared" si="212"/>
        <v>-266</v>
      </c>
      <c r="BT126" s="5">
        <f t="shared" si="212"/>
        <v>-270</v>
      </c>
      <c r="BU126" s="5">
        <f t="shared" ref="BU126:CZ126" si="213">(BT126+BT127-BT129+BP128)</f>
        <v>-274</v>
      </c>
      <c r="BV126" s="5">
        <f t="shared" si="213"/>
        <v>-278</v>
      </c>
      <c r="BW126" s="5">
        <f t="shared" si="213"/>
        <v>-282</v>
      </c>
      <c r="BX126" s="5">
        <f t="shared" si="213"/>
        <v>-286</v>
      </c>
      <c r="BY126" s="5">
        <f t="shared" si="213"/>
        <v>-290</v>
      </c>
      <c r="BZ126" s="5">
        <f t="shared" si="213"/>
        <v>-294</v>
      </c>
      <c r="CA126" s="5">
        <f t="shared" si="213"/>
        <v>-298</v>
      </c>
      <c r="CB126" s="5">
        <f t="shared" si="213"/>
        <v>-302</v>
      </c>
      <c r="CC126" s="5">
        <f t="shared" si="213"/>
        <v>-306</v>
      </c>
    </row>
    <row r="127" spans="1:81" x14ac:dyDescent="0.2">
      <c r="A127" s="5" t="s">
        <v>209</v>
      </c>
      <c r="B127" s="5">
        <v>18.733830000000001</v>
      </c>
      <c r="C127" s="45" t="s">
        <v>39</v>
      </c>
      <c r="D127" s="59">
        <f>IFERROR(VLOOKUP(A126,WIP!$A:$B,2,0),0)</f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</row>
    <row r="128" spans="1:81" x14ac:dyDescent="0.2">
      <c r="A128" s="5" t="s">
        <v>210</v>
      </c>
      <c r="B128" s="5">
        <v>0.3</v>
      </c>
      <c r="C128" s="9" t="s">
        <v>211</v>
      </c>
      <c r="D128" s="60">
        <f>IFERROR(VLOOKUP($A126,Plan!$A:B,D$4,0),0)</f>
        <v>0</v>
      </c>
      <c r="E128" s="70">
        <f>IFERROR(VLOOKUP($A126,Plan!$A:C,E$4,0),0)</f>
        <v>0</v>
      </c>
      <c r="F128" s="70">
        <f>IFERROR(VLOOKUP($A126,Plan!$A:D,F$4,0),0)</f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</row>
    <row r="129" spans="1:81" x14ac:dyDescent="0.2">
      <c r="A129" s="5" t="s">
        <v>212</v>
      </c>
      <c r="B129" s="5">
        <v>7.8E-2</v>
      </c>
      <c r="C129" s="9" t="s">
        <v>213</v>
      </c>
      <c r="D129" s="61">
        <f>IFERROR(VLOOKUP($A126,Sales!$A:B,D$2,0),0)</f>
        <v>0</v>
      </c>
      <c r="E129" s="61">
        <f>IFERROR(VLOOKUP($A126,Sales!$A:C,E$2,0),0)</f>
        <v>0</v>
      </c>
      <c r="F129" s="61">
        <f>IFERROR(VLOOKUP($A126,Sales!$A:D,F$2,0),0)</f>
        <v>0</v>
      </c>
      <c r="G129" s="61">
        <f>IFERROR(VLOOKUP($A126,Sales!$A:E,G$2,0),0)</f>
        <v>0</v>
      </c>
      <c r="H129" s="61">
        <f>IFERROR(VLOOKUP($A126,Sales!$A:F,H$2,0),0)</f>
        <v>0</v>
      </c>
      <c r="I129" s="61">
        <f>IFERROR(VLOOKUP($A126,Sales!$A:G,I$2,0),0)</f>
        <v>0</v>
      </c>
      <c r="J129" s="61">
        <f>IFERROR(VLOOKUP($A126,Sales!$A:H,J$2,0),0)</f>
        <v>0</v>
      </c>
      <c r="K129" s="61">
        <f>IFERROR(VLOOKUP($A126,Sales!$A:I,K$2,0),0)</f>
        <v>0</v>
      </c>
      <c r="L129" s="61">
        <f>IFERROR(VLOOKUP($A126,Sales!$A:J,L$2,0),0)</f>
        <v>0</v>
      </c>
      <c r="M129" s="61">
        <f>IFERROR(VLOOKUP($A126,Sales!$A:K,M$2,0),0)</f>
        <v>0</v>
      </c>
      <c r="N129" s="61">
        <f>IFERROR(VLOOKUP($A126,Sales!$A:L,N$2,0),0)</f>
        <v>0</v>
      </c>
      <c r="O129" s="61">
        <f>IFERROR(VLOOKUP($A126,Sales!$A:M,O$2,0),0)</f>
        <v>0</v>
      </c>
      <c r="P129" s="61">
        <f>IFERROR(VLOOKUP($A126,Sales!$A:N,P$2,0),0)</f>
        <v>0</v>
      </c>
      <c r="Q129" s="61">
        <f>IFERROR(VLOOKUP($A126,Sales!$A:O,Q$2,0),0)</f>
        <v>0</v>
      </c>
      <c r="R129" s="61">
        <f>IFERROR(VLOOKUP($A126,Sales!$A:P,R$2,0),0)</f>
        <v>0</v>
      </c>
      <c r="S129" s="61">
        <f>IFERROR(VLOOKUP($A126,Sales!$A:Q,S$2,0),0)</f>
        <v>0</v>
      </c>
      <c r="T129" s="61">
        <f>IFERROR(VLOOKUP($A126,Sales!$A:R,T$2,0),0)</f>
        <v>0</v>
      </c>
      <c r="U129" s="61">
        <f>IFERROR(VLOOKUP($A126,Sales!$A:S,U$2,0),0)</f>
        <v>0</v>
      </c>
      <c r="V129" s="61">
        <f>IFERROR(VLOOKUP($A126,Sales!$A:T,V$2,0),0)</f>
        <v>0</v>
      </c>
      <c r="W129" s="61">
        <f>IFERROR(VLOOKUP($A126,Sales!$A:U,W$2,0),0)</f>
        <v>0</v>
      </c>
      <c r="X129" s="61">
        <f>IFERROR(VLOOKUP($A126,Sales!$A:V,X$2,0),0)</f>
        <v>0</v>
      </c>
      <c r="Y129" s="61">
        <f>IFERROR(VLOOKUP($A126,Sales!$A:W,Y$2,0),0)</f>
        <v>0</v>
      </c>
      <c r="Z129" s="61">
        <f>IFERROR(VLOOKUP($A126,Sales!$A:X,Z$2,0),0)</f>
        <v>0</v>
      </c>
      <c r="AA129" s="61">
        <f>IFERROR(VLOOKUP($A126,Sales!$A:Y,AA$2,0),0)</f>
        <v>0</v>
      </c>
      <c r="AB129" s="61">
        <f>IFERROR(VLOOKUP($A126,Sales!$A:Z,AB$2,0),0)</f>
        <v>0</v>
      </c>
      <c r="AC129" s="61">
        <f>IFERROR(VLOOKUP($A126,Sales!$A:AA,AC$2,0),0)</f>
        <v>20</v>
      </c>
      <c r="AD129" s="61">
        <f>IFERROR(VLOOKUP($A126,Sales!$A:AB,AD$2,0),0)</f>
        <v>20</v>
      </c>
      <c r="AE129" s="61">
        <f>IFERROR(VLOOKUP($A126,Sales!$A:AC,AE$2,0),0)</f>
        <v>20</v>
      </c>
      <c r="AF129" s="61">
        <f>IFERROR(VLOOKUP($A126,Sales!$A:AD,AF$2,0),0)</f>
        <v>20</v>
      </c>
      <c r="AG129" s="61">
        <f>IFERROR(VLOOKUP($A126,Sales!$A:AE,AG$2,0),0)</f>
        <v>0</v>
      </c>
      <c r="AH129" s="61">
        <f>IFERROR(VLOOKUP($A126,Sales!$A:AF,AH$2,0),0)</f>
        <v>40</v>
      </c>
      <c r="AI129" s="61">
        <f>IFERROR(VLOOKUP($A126,Sales!$A:AG,AI$2,0),0)</f>
        <v>40</v>
      </c>
      <c r="AJ129" s="61">
        <f>IFERROR(VLOOKUP($A126,Sales!$A:AH,AJ$2,0),0)</f>
        <v>0</v>
      </c>
      <c r="AK129" s="73">
        <f t="shared" ref="AK129:CC129" si="214">CEILING(AK$5*$B125,1)</f>
        <v>0</v>
      </c>
      <c r="AL129" s="73">
        <f t="shared" si="214"/>
        <v>0</v>
      </c>
      <c r="AM129" s="73">
        <f t="shared" si="214"/>
        <v>0</v>
      </c>
      <c r="AN129" s="73">
        <f t="shared" si="214"/>
        <v>5</v>
      </c>
      <c r="AO129" s="73">
        <f t="shared" si="214"/>
        <v>5</v>
      </c>
      <c r="AP129" s="73">
        <f t="shared" si="214"/>
        <v>5</v>
      </c>
      <c r="AQ129" s="73">
        <f t="shared" si="214"/>
        <v>6</v>
      </c>
      <c r="AR129" s="73">
        <f t="shared" si="214"/>
        <v>6</v>
      </c>
      <c r="AS129" s="73">
        <f t="shared" si="214"/>
        <v>5</v>
      </c>
      <c r="AT129" s="73">
        <f t="shared" si="214"/>
        <v>6</v>
      </c>
      <c r="AU129" s="73">
        <f t="shared" si="214"/>
        <v>5</v>
      </c>
      <c r="AV129" s="73">
        <f t="shared" si="214"/>
        <v>5</v>
      </c>
      <c r="AW129" s="73">
        <f t="shared" si="214"/>
        <v>5</v>
      </c>
      <c r="AX129" s="73">
        <f t="shared" si="214"/>
        <v>5</v>
      </c>
      <c r="AY129" s="73">
        <f t="shared" si="214"/>
        <v>4</v>
      </c>
      <c r="AZ129" s="73">
        <f t="shared" si="214"/>
        <v>4</v>
      </c>
      <c r="BA129" s="73">
        <f t="shared" si="214"/>
        <v>4</v>
      </c>
      <c r="BB129" s="73">
        <f t="shared" si="214"/>
        <v>4</v>
      </c>
      <c r="BC129" s="73">
        <f t="shared" si="214"/>
        <v>4</v>
      </c>
      <c r="BD129" s="73">
        <f t="shared" si="214"/>
        <v>4</v>
      </c>
      <c r="BE129" s="73">
        <f t="shared" si="214"/>
        <v>4</v>
      </c>
      <c r="BF129" s="73">
        <f t="shared" si="214"/>
        <v>4</v>
      </c>
      <c r="BG129" s="73">
        <f t="shared" si="214"/>
        <v>4</v>
      </c>
      <c r="BH129" s="73">
        <f t="shared" si="214"/>
        <v>4</v>
      </c>
      <c r="BI129" s="73">
        <f t="shared" si="214"/>
        <v>4</v>
      </c>
      <c r="BJ129" s="73">
        <f t="shared" si="214"/>
        <v>4</v>
      </c>
      <c r="BK129" s="73">
        <f t="shared" si="214"/>
        <v>4</v>
      </c>
      <c r="BL129" s="73">
        <f t="shared" si="214"/>
        <v>4</v>
      </c>
      <c r="BM129" s="73">
        <f t="shared" si="214"/>
        <v>4</v>
      </c>
      <c r="BN129" s="73">
        <f t="shared" si="214"/>
        <v>8</v>
      </c>
      <c r="BO129" s="73">
        <f t="shared" si="214"/>
        <v>0</v>
      </c>
      <c r="BP129" s="73">
        <f t="shared" si="214"/>
        <v>0</v>
      </c>
      <c r="BQ129" s="73">
        <f t="shared" si="214"/>
        <v>0</v>
      </c>
      <c r="BR129" s="73">
        <f t="shared" si="214"/>
        <v>0</v>
      </c>
      <c r="BS129" s="73">
        <f t="shared" si="214"/>
        <v>4</v>
      </c>
      <c r="BT129" s="73">
        <f t="shared" si="214"/>
        <v>4</v>
      </c>
      <c r="BU129" s="73">
        <f t="shared" si="214"/>
        <v>4</v>
      </c>
      <c r="BV129" s="73">
        <f t="shared" si="214"/>
        <v>4</v>
      </c>
      <c r="BW129" s="73">
        <f t="shared" si="214"/>
        <v>4</v>
      </c>
      <c r="BX129" s="73">
        <f t="shared" si="214"/>
        <v>4</v>
      </c>
      <c r="BY129" s="73">
        <f t="shared" si="214"/>
        <v>4</v>
      </c>
      <c r="BZ129" s="73">
        <f t="shared" si="214"/>
        <v>4</v>
      </c>
      <c r="CA129" s="73">
        <f t="shared" si="214"/>
        <v>4</v>
      </c>
      <c r="CB129" s="73">
        <f t="shared" si="214"/>
        <v>4</v>
      </c>
      <c r="CC129" s="73">
        <f t="shared" si="214"/>
        <v>4</v>
      </c>
    </row>
    <row r="130" spans="1:81" x14ac:dyDescent="0.2">
      <c r="A130" s="5" t="s">
        <v>214</v>
      </c>
      <c r="B130" s="5">
        <v>0.378</v>
      </c>
      <c r="C130" s="46" t="s">
        <v>215</v>
      </c>
      <c r="D130" s="11">
        <f t="shared" ref="D130:AI130" si="215">IF(D129=0,0, ROUND(D126 * 1/D129* D$13,1))</f>
        <v>0</v>
      </c>
      <c r="E130" s="11">
        <f t="shared" si="215"/>
        <v>0</v>
      </c>
      <c r="F130" s="11">
        <f t="shared" si="215"/>
        <v>0</v>
      </c>
      <c r="G130" s="11">
        <f t="shared" si="215"/>
        <v>0</v>
      </c>
      <c r="H130" s="11">
        <f t="shared" si="215"/>
        <v>0</v>
      </c>
      <c r="I130" s="11">
        <f t="shared" si="215"/>
        <v>0</v>
      </c>
      <c r="J130" s="11">
        <f t="shared" si="215"/>
        <v>0</v>
      </c>
      <c r="K130" s="11">
        <f t="shared" si="215"/>
        <v>0</v>
      </c>
      <c r="L130" s="11">
        <f t="shared" si="215"/>
        <v>0</v>
      </c>
      <c r="M130" s="11">
        <f t="shared" si="215"/>
        <v>0</v>
      </c>
      <c r="N130" s="11">
        <f t="shared" si="215"/>
        <v>0</v>
      </c>
      <c r="O130" s="11">
        <f t="shared" si="215"/>
        <v>0</v>
      </c>
      <c r="P130" s="11">
        <f t="shared" si="215"/>
        <v>0</v>
      </c>
      <c r="Q130" s="11">
        <f t="shared" si="215"/>
        <v>0</v>
      </c>
      <c r="R130" s="11">
        <f t="shared" si="215"/>
        <v>0</v>
      </c>
      <c r="S130" s="11">
        <f t="shared" si="215"/>
        <v>0</v>
      </c>
      <c r="T130" s="11">
        <f t="shared" si="215"/>
        <v>0</v>
      </c>
      <c r="U130" s="11">
        <f t="shared" si="215"/>
        <v>0</v>
      </c>
      <c r="V130" s="11">
        <f t="shared" si="215"/>
        <v>0</v>
      </c>
      <c r="W130" s="11">
        <f t="shared" si="215"/>
        <v>0</v>
      </c>
      <c r="X130" s="11">
        <f t="shared" si="215"/>
        <v>0</v>
      </c>
      <c r="Y130" s="11">
        <f t="shared" si="215"/>
        <v>0</v>
      </c>
      <c r="Z130" s="11">
        <f t="shared" si="215"/>
        <v>0</v>
      </c>
      <c r="AA130" s="11">
        <f t="shared" si="215"/>
        <v>0</v>
      </c>
      <c r="AB130" s="11">
        <f t="shared" si="215"/>
        <v>0</v>
      </c>
      <c r="AC130" s="11">
        <f t="shared" si="215"/>
        <v>5</v>
      </c>
      <c r="AD130" s="11">
        <f t="shared" si="215"/>
        <v>0</v>
      </c>
      <c r="AE130" s="11">
        <f t="shared" si="215"/>
        <v>-5</v>
      </c>
      <c r="AF130" s="11">
        <f t="shared" si="215"/>
        <v>-10</v>
      </c>
      <c r="AG130" s="11">
        <f t="shared" si="215"/>
        <v>0</v>
      </c>
      <c r="AH130" s="11">
        <f t="shared" si="215"/>
        <v>-7.5</v>
      </c>
      <c r="AI130" s="11">
        <f t="shared" si="215"/>
        <v>-12.5</v>
      </c>
      <c r="AJ130" s="11">
        <f t="shared" ref="AJ130:BO130" si="216">IF(AJ129=0,0, ROUND(AJ126 * 1/AJ129* AJ$13,1))</f>
        <v>0</v>
      </c>
      <c r="AK130" s="11">
        <f t="shared" si="216"/>
        <v>0</v>
      </c>
      <c r="AL130" s="11">
        <f t="shared" si="216"/>
        <v>0</v>
      </c>
      <c r="AM130" s="11">
        <f t="shared" si="216"/>
        <v>0</v>
      </c>
      <c r="AN130" s="11">
        <f t="shared" si="216"/>
        <v>-140</v>
      </c>
      <c r="AO130" s="11">
        <f t="shared" si="216"/>
        <v>-145</v>
      </c>
      <c r="AP130" s="11">
        <f t="shared" si="216"/>
        <v>-150</v>
      </c>
      <c r="AQ130" s="11">
        <f t="shared" si="216"/>
        <v>-129.19999999999999</v>
      </c>
      <c r="AR130" s="11">
        <f t="shared" si="216"/>
        <v>-134.19999999999999</v>
      </c>
      <c r="AS130" s="11">
        <f t="shared" si="216"/>
        <v>-167</v>
      </c>
      <c r="AT130" s="11">
        <f t="shared" si="216"/>
        <v>-143.30000000000001</v>
      </c>
      <c r="AU130" s="11">
        <f t="shared" si="216"/>
        <v>-178</v>
      </c>
      <c r="AV130" s="11">
        <f t="shared" si="216"/>
        <v>-183</v>
      </c>
      <c r="AW130" s="11">
        <f t="shared" si="216"/>
        <v>-188</v>
      </c>
      <c r="AX130" s="11">
        <f t="shared" si="216"/>
        <v>-193</v>
      </c>
      <c r="AY130" s="11">
        <f t="shared" si="216"/>
        <v>-247.5</v>
      </c>
      <c r="AZ130" s="11">
        <f t="shared" si="216"/>
        <v>-252.5</v>
      </c>
      <c r="BA130" s="11">
        <f t="shared" si="216"/>
        <v>-257.5</v>
      </c>
      <c r="BB130" s="11">
        <f t="shared" si="216"/>
        <v>-262.5</v>
      </c>
      <c r="BC130" s="11">
        <f t="shared" si="216"/>
        <v>-267.5</v>
      </c>
      <c r="BD130" s="11">
        <f t="shared" si="216"/>
        <v>-272.5</v>
      </c>
      <c r="BE130" s="11">
        <f t="shared" si="216"/>
        <v>-277.5</v>
      </c>
      <c r="BF130" s="11">
        <f t="shared" si="216"/>
        <v>-282.5</v>
      </c>
      <c r="BG130" s="11">
        <f t="shared" si="216"/>
        <v>-287.5</v>
      </c>
      <c r="BH130" s="11">
        <f t="shared" si="216"/>
        <v>-292.5</v>
      </c>
      <c r="BI130" s="11">
        <f t="shared" si="216"/>
        <v>-297.5</v>
      </c>
      <c r="BJ130" s="11">
        <f t="shared" si="216"/>
        <v>-302.5</v>
      </c>
      <c r="BK130" s="11">
        <f t="shared" si="216"/>
        <v>-307.5</v>
      </c>
      <c r="BL130" s="11">
        <f t="shared" si="216"/>
        <v>-312.5</v>
      </c>
      <c r="BM130" s="11">
        <f t="shared" si="216"/>
        <v>-317.5</v>
      </c>
      <c r="BN130" s="11">
        <f t="shared" si="216"/>
        <v>-161.30000000000001</v>
      </c>
      <c r="BO130" s="11">
        <f t="shared" si="216"/>
        <v>0</v>
      </c>
      <c r="BP130" s="11">
        <f t="shared" ref="BP130:CU130" si="217">IF(BP129=0,0, ROUND(BP126 * 1/BP129* BP$13,1))</f>
        <v>0</v>
      </c>
      <c r="BQ130" s="11">
        <f t="shared" si="217"/>
        <v>0</v>
      </c>
      <c r="BR130" s="11">
        <f t="shared" si="217"/>
        <v>0</v>
      </c>
      <c r="BS130" s="11">
        <f t="shared" si="217"/>
        <v>-332.5</v>
      </c>
      <c r="BT130" s="11">
        <f t="shared" si="217"/>
        <v>-337.5</v>
      </c>
      <c r="BU130" s="11">
        <f t="shared" si="217"/>
        <v>-342.5</v>
      </c>
      <c r="BV130" s="11">
        <f t="shared" si="217"/>
        <v>-347.5</v>
      </c>
      <c r="BW130" s="11">
        <f t="shared" si="217"/>
        <v>-352.5</v>
      </c>
      <c r="BX130" s="11">
        <f t="shared" si="217"/>
        <v>-357.5</v>
      </c>
      <c r="BY130" s="11">
        <f t="shared" si="217"/>
        <v>-362.5</v>
      </c>
      <c r="BZ130" s="11">
        <f t="shared" si="217"/>
        <v>-367.5</v>
      </c>
      <c r="CA130" s="11">
        <f t="shared" si="217"/>
        <v>-372.5</v>
      </c>
      <c r="CB130" s="11">
        <f t="shared" si="217"/>
        <v>-377.5</v>
      </c>
      <c r="CC130" s="11">
        <f t="shared" si="217"/>
        <v>-382.5</v>
      </c>
    </row>
    <row r="131" spans="1:81" x14ac:dyDescent="0.2">
      <c r="A131" s="10">
        <v>40</v>
      </c>
      <c r="B131" s="10">
        <v>1</v>
      </c>
      <c r="C131" s="68">
        <v>7.8405300000000002</v>
      </c>
      <c r="D131" s="10">
        <f t="shared" ref="D131:AI131" si="218">D128/$B131</f>
        <v>0</v>
      </c>
      <c r="E131" s="10">
        <f t="shared" si="218"/>
        <v>0</v>
      </c>
      <c r="F131" s="10">
        <f t="shared" si="218"/>
        <v>0</v>
      </c>
      <c r="G131" s="10">
        <f t="shared" si="218"/>
        <v>0</v>
      </c>
      <c r="H131" s="10">
        <f t="shared" si="218"/>
        <v>0</v>
      </c>
      <c r="I131" s="10">
        <f t="shared" si="218"/>
        <v>0</v>
      </c>
      <c r="J131" s="10">
        <f t="shared" si="218"/>
        <v>0</v>
      </c>
      <c r="K131" s="10">
        <f t="shared" si="218"/>
        <v>0</v>
      </c>
      <c r="L131" s="10">
        <f t="shared" si="218"/>
        <v>0</v>
      </c>
      <c r="M131" s="10">
        <f t="shared" si="218"/>
        <v>0</v>
      </c>
      <c r="N131" s="10">
        <f t="shared" si="218"/>
        <v>0</v>
      </c>
      <c r="O131" s="10">
        <f t="shared" si="218"/>
        <v>0</v>
      </c>
      <c r="P131" s="10">
        <f t="shared" si="218"/>
        <v>0</v>
      </c>
      <c r="Q131" s="10">
        <f t="shared" si="218"/>
        <v>0</v>
      </c>
      <c r="R131" s="10">
        <f t="shared" si="218"/>
        <v>0</v>
      </c>
      <c r="S131" s="10">
        <f t="shared" si="218"/>
        <v>0</v>
      </c>
      <c r="T131" s="10">
        <f t="shared" si="218"/>
        <v>0</v>
      </c>
      <c r="U131" s="10">
        <f t="shared" si="218"/>
        <v>0</v>
      </c>
      <c r="V131" s="10">
        <f t="shared" si="218"/>
        <v>0</v>
      </c>
      <c r="W131" s="10">
        <f t="shared" si="218"/>
        <v>0</v>
      </c>
      <c r="X131" s="10">
        <f t="shared" si="218"/>
        <v>0</v>
      </c>
      <c r="Y131" s="10">
        <f t="shared" si="218"/>
        <v>0</v>
      </c>
      <c r="Z131" s="10">
        <f t="shared" si="218"/>
        <v>0</v>
      </c>
      <c r="AA131" s="10">
        <f t="shared" si="218"/>
        <v>0</v>
      </c>
      <c r="AB131" s="10">
        <f t="shared" si="218"/>
        <v>0</v>
      </c>
      <c r="AC131" s="10">
        <f t="shared" si="218"/>
        <v>0</v>
      </c>
      <c r="AD131" s="10">
        <f t="shared" si="218"/>
        <v>0</v>
      </c>
      <c r="AE131" s="10">
        <f t="shared" si="218"/>
        <v>0</v>
      </c>
      <c r="AF131" s="10">
        <f t="shared" si="218"/>
        <v>0</v>
      </c>
      <c r="AG131" s="10">
        <f t="shared" si="218"/>
        <v>0</v>
      </c>
      <c r="AH131" s="10">
        <f t="shared" si="218"/>
        <v>0</v>
      </c>
      <c r="AI131" s="10">
        <f t="shared" si="218"/>
        <v>0</v>
      </c>
      <c r="AJ131" s="10">
        <f t="shared" ref="AJ131:BO131" si="219">AJ128/$B131</f>
        <v>0</v>
      </c>
      <c r="AK131" s="10">
        <f t="shared" si="219"/>
        <v>0</v>
      </c>
      <c r="AL131" s="10">
        <f t="shared" si="219"/>
        <v>0</v>
      </c>
      <c r="AM131" s="10">
        <f t="shared" si="219"/>
        <v>0</v>
      </c>
      <c r="AN131" s="10">
        <f t="shared" si="219"/>
        <v>0</v>
      </c>
      <c r="AO131" s="10">
        <f t="shared" si="219"/>
        <v>0</v>
      </c>
      <c r="AP131" s="10">
        <f t="shared" si="219"/>
        <v>0</v>
      </c>
      <c r="AQ131" s="10">
        <f t="shared" si="219"/>
        <v>0</v>
      </c>
      <c r="AR131" s="10">
        <f t="shared" si="219"/>
        <v>0</v>
      </c>
      <c r="AS131" s="10">
        <f t="shared" si="219"/>
        <v>0</v>
      </c>
      <c r="AT131" s="10">
        <f t="shared" si="219"/>
        <v>0</v>
      </c>
      <c r="AU131" s="10">
        <f t="shared" si="219"/>
        <v>0</v>
      </c>
      <c r="AV131" s="10">
        <f t="shared" si="219"/>
        <v>0</v>
      </c>
      <c r="AW131" s="10">
        <f t="shared" si="219"/>
        <v>0</v>
      </c>
      <c r="AX131" s="10">
        <f t="shared" si="219"/>
        <v>0</v>
      </c>
      <c r="AY131" s="10">
        <f t="shared" si="219"/>
        <v>0</v>
      </c>
      <c r="AZ131" s="10">
        <f t="shared" si="219"/>
        <v>0</v>
      </c>
      <c r="BA131" s="10">
        <f t="shared" si="219"/>
        <v>0</v>
      </c>
      <c r="BB131" s="10">
        <f t="shared" si="219"/>
        <v>0</v>
      </c>
      <c r="BC131" s="10">
        <f t="shared" si="219"/>
        <v>0</v>
      </c>
      <c r="BD131" s="10">
        <f t="shared" si="219"/>
        <v>0</v>
      </c>
      <c r="BE131" s="10">
        <f t="shared" si="219"/>
        <v>0</v>
      </c>
      <c r="BF131" s="10">
        <f t="shared" si="219"/>
        <v>0</v>
      </c>
      <c r="BG131" s="10">
        <f t="shared" si="219"/>
        <v>0</v>
      </c>
      <c r="BH131" s="10">
        <f t="shared" si="219"/>
        <v>0</v>
      </c>
      <c r="BI131" s="10">
        <f t="shared" si="219"/>
        <v>0</v>
      </c>
      <c r="BJ131" s="10">
        <f t="shared" si="219"/>
        <v>0</v>
      </c>
      <c r="BK131" s="10">
        <f t="shared" si="219"/>
        <v>0</v>
      </c>
      <c r="BL131" s="10">
        <f t="shared" si="219"/>
        <v>0</v>
      </c>
      <c r="BM131" s="10">
        <f t="shared" si="219"/>
        <v>0</v>
      </c>
      <c r="BN131" s="10">
        <f t="shared" si="219"/>
        <v>0</v>
      </c>
      <c r="BO131" s="10">
        <f t="shared" si="219"/>
        <v>0</v>
      </c>
      <c r="BP131" s="10">
        <f t="shared" ref="BP131:CC131" si="220">BP128/$B131</f>
        <v>0</v>
      </c>
      <c r="BQ131" s="10">
        <f t="shared" si="220"/>
        <v>0</v>
      </c>
      <c r="BR131" s="10">
        <f t="shared" si="220"/>
        <v>0</v>
      </c>
      <c r="BS131" s="10">
        <f t="shared" si="220"/>
        <v>0</v>
      </c>
      <c r="BT131" s="10">
        <f t="shared" si="220"/>
        <v>0</v>
      </c>
      <c r="BU131" s="10">
        <f t="shared" si="220"/>
        <v>0</v>
      </c>
      <c r="BV131" s="10">
        <f t="shared" si="220"/>
        <v>0</v>
      </c>
      <c r="BW131" s="10">
        <f t="shared" si="220"/>
        <v>0</v>
      </c>
      <c r="BX131" s="10">
        <f t="shared" si="220"/>
        <v>0</v>
      </c>
      <c r="BY131" s="10">
        <f t="shared" si="220"/>
        <v>0</v>
      </c>
      <c r="BZ131" s="10">
        <f t="shared" si="220"/>
        <v>0</v>
      </c>
      <c r="CA131" s="10">
        <f t="shared" si="220"/>
        <v>0</v>
      </c>
      <c r="CB131" s="10">
        <f t="shared" si="220"/>
        <v>0</v>
      </c>
      <c r="CC131" s="10">
        <f t="shared" si="220"/>
        <v>0</v>
      </c>
    </row>
    <row r="132" spans="1:81" x14ac:dyDescent="0.2">
      <c r="A132" s="10"/>
      <c r="B132" s="67">
        <f>SUM(D136:AJ136)/SUM($D$263:$AJ$263)</f>
        <v>2.6563797060403339E-2</v>
      </c>
      <c r="C132" s="9" t="s">
        <v>216</v>
      </c>
      <c r="D132">
        <f t="shared" ref="D132:AI132" si="221">D126-D129</f>
        <v>20</v>
      </c>
      <c r="E132">
        <f t="shared" si="221"/>
        <v>20</v>
      </c>
      <c r="F132">
        <f t="shared" si="221"/>
        <v>20</v>
      </c>
      <c r="G132">
        <f t="shared" si="221"/>
        <v>20</v>
      </c>
      <c r="H132">
        <f t="shared" si="221"/>
        <v>20</v>
      </c>
      <c r="I132">
        <f t="shared" si="221"/>
        <v>20</v>
      </c>
      <c r="J132">
        <f t="shared" si="221"/>
        <v>20</v>
      </c>
      <c r="K132">
        <f t="shared" si="221"/>
        <v>20</v>
      </c>
      <c r="L132">
        <f t="shared" si="221"/>
        <v>20</v>
      </c>
      <c r="M132">
        <f t="shared" si="221"/>
        <v>20</v>
      </c>
      <c r="N132">
        <f t="shared" si="221"/>
        <v>20</v>
      </c>
      <c r="O132">
        <f t="shared" si="221"/>
        <v>20</v>
      </c>
      <c r="P132">
        <f t="shared" si="221"/>
        <v>20</v>
      </c>
      <c r="Q132">
        <f t="shared" si="221"/>
        <v>20</v>
      </c>
      <c r="R132">
        <f t="shared" si="221"/>
        <v>20</v>
      </c>
      <c r="S132">
        <f t="shared" si="221"/>
        <v>20</v>
      </c>
      <c r="T132">
        <f t="shared" si="221"/>
        <v>20</v>
      </c>
      <c r="U132">
        <f t="shared" si="221"/>
        <v>20</v>
      </c>
      <c r="V132">
        <f t="shared" si="221"/>
        <v>20</v>
      </c>
      <c r="W132">
        <f t="shared" si="221"/>
        <v>20</v>
      </c>
      <c r="X132">
        <f t="shared" si="221"/>
        <v>20</v>
      </c>
      <c r="Y132">
        <f t="shared" si="221"/>
        <v>20</v>
      </c>
      <c r="Z132">
        <f t="shared" si="221"/>
        <v>20</v>
      </c>
      <c r="AA132">
        <f t="shared" si="221"/>
        <v>20</v>
      </c>
      <c r="AB132">
        <f t="shared" si="221"/>
        <v>20</v>
      </c>
      <c r="AC132">
        <f t="shared" si="221"/>
        <v>0</v>
      </c>
      <c r="AD132">
        <f t="shared" si="221"/>
        <v>-20</v>
      </c>
      <c r="AE132">
        <f t="shared" si="221"/>
        <v>-40</v>
      </c>
      <c r="AF132">
        <f t="shared" si="221"/>
        <v>-60</v>
      </c>
      <c r="AG132">
        <f t="shared" si="221"/>
        <v>-60</v>
      </c>
      <c r="AH132">
        <f t="shared" si="221"/>
        <v>-100</v>
      </c>
      <c r="AI132">
        <f t="shared" si="221"/>
        <v>-140</v>
      </c>
      <c r="AJ132">
        <f t="shared" ref="AJ132:BO132" si="222">AJ126-AJ129</f>
        <v>-140</v>
      </c>
      <c r="AK132">
        <f t="shared" si="222"/>
        <v>-140</v>
      </c>
      <c r="AL132">
        <f t="shared" si="222"/>
        <v>-140</v>
      </c>
      <c r="AM132">
        <f t="shared" si="222"/>
        <v>-140</v>
      </c>
      <c r="AN132">
        <f t="shared" si="222"/>
        <v>-145</v>
      </c>
      <c r="AO132">
        <f t="shared" si="222"/>
        <v>-150</v>
      </c>
      <c r="AP132">
        <f t="shared" si="222"/>
        <v>-155</v>
      </c>
      <c r="AQ132">
        <f t="shared" si="222"/>
        <v>-161</v>
      </c>
      <c r="AR132">
        <f t="shared" si="222"/>
        <v>-167</v>
      </c>
      <c r="AS132">
        <f t="shared" si="222"/>
        <v>-172</v>
      </c>
      <c r="AT132">
        <f t="shared" si="222"/>
        <v>-178</v>
      </c>
      <c r="AU132">
        <f t="shared" si="222"/>
        <v>-183</v>
      </c>
      <c r="AV132">
        <f t="shared" si="222"/>
        <v>-188</v>
      </c>
      <c r="AW132">
        <f t="shared" si="222"/>
        <v>-193</v>
      </c>
      <c r="AX132">
        <f t="shared" si="222"/>
        <v>-198</v>
      </c>
      <c r="AY132">
        <f t="shared" si="222"/>
        <v>-202</v>
      </c>
      <c r="AZ132">
        <f t="shared" si="222"/>
        <v>-206</v>
      </c>
      <c r="BA132">
        <f t="shared" si="222"/>
        <v>-210</v>
      </c>
      <c r="BB132">
        <f t="shared" si="222"/>
        <v>-214</v>
      </c>
      <c r="BC132">
        <f t="shared" si="222"/>
        <v>-218</v>
      </c>
      <c r="BD132">
        <f t="shared" si="222"/>
        <v>-222</v>
      </c>
      <c r="BE132">
        <f t="shared" si="222"/>
        <v>-226</v>
      </c>
      <c r="BF132">
        <f t="shared" si="222"/>
        <v>-230</v>
      </c>
      <c r="BG132">
        <f t="shared" si="222"/>
        <v>-234</v>
      </c>
      <c r="BH132">
        <f t="shared" si="222"/>
        <v>-238</v>
      </c>
      <c r="BI132">
        <f t="shared" si="222"/>
        <v>-242</v>
      </c>
      <c r="BJ132">
        <f t="shared" si="222"/>
        <v>-246</v>
      </c>
      <c r="BK132">
        <f t="shared" si="222"/>
        <v>-250</v>
      </c>
      <c r="BL132">
        <f t="shared" si="222"/>
        <v>-254</v>
      </c>
      <c r="BM132">
        <f t="shared" si="222"/>
        <v>-258</v>
      </c>
      <c r="BN132">
        <f t="shared" si="222"/>
        <v>-266</v>
      </c>
      <c r="BO132">
        <f t="shared" si="222"/>
        <v>-266</v>
      </c>
      <c r="BP132">
        <f t="shared" ref="BP132:CC132" si="223">BP126-BP129</f>
        <v>-266</v>
      </c>
      <c r="BQ132">
        <f t="shared" si="223"/>
        <v>-266</v>
      </c>
      <c r="BR132">
        <f t="shared" si="223"/>
        <v>-266</v>
      </c>
      <c r="BS132">
        <f t="shared" si="223"/>
        <v>-270</v>
      </c>
      <c r="BT132">
        <f t="shared" si="223"/>
        <v>-274</v>
      </c>
      <c r="BU132">
        <f t="shared" si="223"/>
        <v>-278</v>
      </c>
      <c r="BV132">
        <f t="shared" si="223"/>
        <v>-282</v>
      </c>
      <c r="BW132">
        <f t="shared" si="223"/>
        <v>-286</v>
      </c>
      <c r="BX132">
        <f t="shared" si="223"/>
        <v>-290</v>
      </c>
      <c r="BY132">
        <f t="shared" si="223"/>
        <v>-294</v>
      </c>
      <c r="BZ132">
        <f t="shared" si="223"/>
        <v>-298</v>
      </c>
      <c r="CA132">
        <f t="shared" si="223"/>
        <v>-302</v>
      </c>
      <c r="CB132">
        <f t="shared" si="223"/>
        <v>-306</v>
      </c>
      <c r="CC132">
        <f t="shared" si="223"/>
        <v>-310</v>
      </c>
    </row>
    <row r="133" spans="1:81" x14ac:dyDescent="0.2">
      <c r="A133" s="43" t="s">
        <v>233</v>
      </c>
      <c r="B133" s="44" t="s">
        <v>208</v>
      </c>
      <c r="C133" s="9" t="s">
        <v>38</v>
      </c>
      <c r="D133" s="58">
        <f>IFERROR(VLOOKUP(A133,OS!$A:$B,2,0),0)</f>
        <v>680</v>
      </c>
      <c r="E133" s="5">
        <f>(D133+D134-D136)</f>
        <v>600</v>
      </c>
      <c r="F133" s="5">
        <f>(E133+E134-E136)</f>
        <v>520</v>
      </c>
      <c r="G133" s="5">
        <f>(F133+F134-F136)</f>
        <v>520</v>
      </c>
      <c r="H133" s="5">
        <f>(G133+G134-G136)</f>
        <v>360</v>
      </c>
      <c r="I133" s="5">
        <f t="shared" ref="I133:AN133" si="224">(H133+H134-H136+D135)</f>
        <v>280</v>
      </c>
      <c r="J133" s="5">
        <f t="shared" si="224"/>
        <v>404</v>
      </c>
      <c r="K133" s="5">
        <f t="shared" si="224"/>
        <v>244</v>
      </c>
      <c r="L133" s="5">
        <f t="shared" si="224"/>
        <v>84</v>
      </c>
      <c r="M133" s="5">
        <f t="shared" si="224"/>
        <v>-156</v>
      </c>
      <c r="N133" s="5">
        <f t="shared" si="224"/>
        <v>-396</v>
      </c>
      <c r="O133" s="5">
        <f t="shared" si="224"/>
        <v>-396</v>
      </c>
      <c r="P133" s="5">
        <f t="shared" si="224"/>
        <v>-396</v>
      </c>
      <c r="Q133" s="5">
        <f t="shared" si="224"/>
        <v>-396</v>
      </c>
      <c r="R133" s="5">
        <f t="shared" si="224"/>
        <v>-396</v>
      </c>
      <c r="S133" s="5">
        <f t="shared" si="224"/>
        <v>-556</v>
      </c>
      <c r="T133" s="5">
        <f t="shared" si="224"/>
        <v>-636</v>
      </c>
      <c r="U133" s="5">
        <f t="shared" si="224"/>
        <v>-716</v>
      </c>
      <c r="V133" s="5">
        <f t="shared" si="224"/>
        <v>-816</v>
      </c>
      <c r="W133" s="5">
        <f t="shared" si="224"/>
        <v>-916</v>
      </c>
      <c r="X133" s="5">
        <f t="shared" si="224"/>
        <v>-1016</v>
      </c>
      <c r="Y133" s="5">
        <f t="shared" si="224"/>
        <v>-1116</v>
      </c>
      <c r="Z133" s="5">
        <f t="shared" si="224"/>
        <v>-1156</v>
      </c>
      <c r="AA133" s="5">
        <f t="shared" si="224"/>
        <v>-1196</v>
      </c>
      <c r="AB133" s="5">
        <f t="shared" si="224"/>
        <v>-1236</v>
      </c>
      <c r="AC133" s="5">
        <f t="shared" si="224"/>
        <v>-1276</v>
      </c>
      <c r="AD133" s="5">
        <f t="shared" si="224"/>
        <v>-1346</v>
      </c>
      <c r="AE133" s="5">
        <f t="shared" si="224"/>
        <v>-1416</v>
      </c>
      <c r="AF133" s="5">
        <f t="shared" si="224"/>
        <v>-1486</v>
      </c>
      <c r="AG133" s="5">
        <f t="shared" si="224"/>
        <v>-1556</v>
      </c>
      <c r="AH133" s="5">
        <f t="shared" si="224"/>
        <v>-1596</v>
      </c>
      <c r="AI133" s="5">
        <f t="shared" si="224"/>
        <v>-1716</v>
      </c>
      <c r="AJ133" s="5">
        <f t="shared" si="224"/>
        <v>-1836</v>
      </c>
      <c r="AK133" s="5">
        <f t="shared" si="224"/>
        <v>-1836</v>
      </c>
      <c r="AL133" s="5">
        <f t="shared" si="224"/>
        <v>-1836</v>
      </c>
      <c r="AM133" s="5">
        <f t="shared" si="224"/>
        <v>-1836</v>
      </c>
      <c r="AN133" s="5">
        <f t="shared" si="224"/>
        <v>-1836</v>
      </c>
      <c r="AO133" s="5">
        <f t="shared" ref="AO133:BT133" si="225">(AN133+AN134-AN136+AJ135)</f>
        <v>-1908</v>
      </c>
      <c r="AP133" s="5">
        <f t="shared" si="225"/>
        <v>-1980</v>
      </c>
      <c r="AQ133" s="5">
        <f t="shared" si="225"/>
        <v>-2052</v>
      </c>
      <c r="AR133" s="5">
        <f t="shared" si="225"/>
        <v>-2139</v>
      </c>
      <c r="AS133" s="5">
        <f t="shared" si="225"/>
        <v>-2226</v>
      </c>
      <c r="AT133" s="5">
        <f t="shared" si="225"/>
        <v>-2296</v>
      </c>
      <c r="AU133" s="5">
        <f t="shared" si="225"/>
        <v>-2383</v>
      </c>
      <c r="AV133" s="5">
        <f t="shared" si="225"/>
        <v>-2466</v>
      </c>
      <c r="AW133" s="5">
        <f t="shared" si="225"/>
        <v>-2549</v>
      </c>
      <c r="AX133" s="5">
        <f t="shared" si="225"/>
        <v>-2632</v>
      </c>
      <c r="AY133" s="5">
        <f t="shared" si="225"/>
        <v>-2715</v>
      </c>
      <c r="AZ133" s="5">
        <f t="shared" si="225"/>
        <v>-2782</v>
      </c>
      <c r="BA133" s="5">
        <f t="shared" si="225"/>
        <v>-2841</v>
      </c>
      <c r="BB133" s="5">
        <f t="shared" si="225"/>
        <v>-2900</v>
      </c>
      <c r="BC133" s="5">
        <f t="shared" si="225"/>
        <v>-2959</v>
      </c>
      <c r="BD133" s="5">
        <f t="shared" si="225"/>
        <v>-3026</v>
      </c>
      <c r="BE133" s="5">
        <f t="shared" si="225"/>
        <v>-3093</v>
      </c>
      <c r="BF133" s="5">
        <f t="shared" si="225"/>
        <v>-3160</v>
      </c>
      <c r="BG133" s="5">
        <f t="shared" si="225"/>
        <v>-3227</v>
      </c>
      <c r="BH133" s="5">
        <f t="shared" si="225"/>
        <v>-3294</v>
      </c>
      <c r="BI133" s="5">
        <f t="shared" si="225"/>
        <v>-3361</v>
      </c>
      <c r="BJ133" s="5">
        <f t="shared" si="225"/>
        <v>-3428</v>
      </c>
      <c r="BK133" s="5">
        <f t="shared" si="225"/>
        <v>-3495</v>
      </c>
      <c r="BL133" s="5">
        <f t="shared" si="225"/>
        <v>-3562</v>
      </c>
      <c r="BM133" s="5">
        <f t="shared" si="225"/>
        <v>-3628</v>
      </c>
      <c r="BN133" s="5">
        <f t="shared" si="225"/>
        <v>-3694</v>
      </c>
      <c r="BO133" s="5">
        <f t="shared" si="225"/>
        <v>-3814</v>
      </c>
      <c r="BP133" s="5">
        <f t="shared" si="225"/>
        <v>-3814</v>
      </c>
      <c r="BQ133" s="5">
        <f t="shared" si="225"/>
        <v>-3814</v>
      </c>
      <c r="BR133" s="5">
        <f t="shared" si="225"/>
        <v>-3814</v>
      </c>
      <c r="BS133" s="5">
        <f t="shared" si="225"/>
        <v>-3814</v>
      </c>
      <c r="BT133" s="5">
        <f t="shared" si="225"/>
        <v>-3869</v>
      </c>
      <c r="BU133" s="5">
        <f t="shared" ref="BU133:CZ133" si="226">(BT133+BT134-BT136+BP135)</f>
        <v>-3924</v>
      </c>
      <c r="BV133" s="5">
        <f t="shared" si="226"/>
        <v>-3979</v>
      </c>
      <c r="BW133" s="5">
        <f t="shared" si="226"/>
        <v>-4034</v>
      </c>
      <c r="BX133" s="5">
        <f t="shared" si="226"/>
        <v>-4089</v>
      </c>
      <c r="BY133" s="5">
        <f t="shared" si="226"/>
        <v>-4144</v>
      </c>
      <c r="BZ133" s="5">
        <f t="shared" si="226"/>
        <v>-4199</v>
      </c>
      <c r="CA133" s="5">
        <f t="shared" si="226"/>
        <v>-4254</v>
      </c>
      <c r="CB133" s="5">
        <f t="shared" si="226"/>
        <v>-4309</v>
      </c>
      <c r="CC133" s="5">
        <f t="shared" si="226"/>
        <v>-4364</v>
      </c>
    </row>
    <row r="134" spans="1:81" x14ac:dyDescent="0.2">
      <c r="A134" s="5" t="s">
        <v>209</v>
      </c>
      <c r="B134" s="5">
        <v>11.20055</v>
      </c>
      <c r="C134" s="45" t="s">
        <v>39</v>
      </c>
      <c r="D134" s="59">
        <f>IFERROR(VLOOKUP(A133,WIP!$A:$B,2,0),0)</f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</row>
    <row r="135" spans="1:81" x14ac:dyDescent="0.2">
      <c r="A135" s="5" t="s">
        <v>210</v>
      </c>
      <c r="B135" s="5">
        <v>0.32100000000000001</v>
      </c>
      <c r="C135" s="9" t="s">
        <v>211</v>
      </c>
      <c r="D135" s="60">
        <f>IFERROR(VLOOKUP($A133,Plan!$A:B,D$4,0),0)</f>
        <v>0</v>
      </c>
      <c r="E135" s="70">
        <f>IFERROR(VLOOKUP($A133,Plan!$A:C,E$4,0),0)</f>
        <v>204</v>
      </c>
      <c r="F135" s="70">
        <f>IFERROR(VLOOKUP($A133,Plan!$A:D,F$4,0),0)</f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</row>
    <row r="136" spans="1:81" x14ac:dyDescent="0.2">
      <c r="A136" s="5" t="s">
        <v>212</v>
      </c>
      <c r="B136" s="5">
        <v>7.6999999999999999E-2</v>
      </c>
      <c r="C136" s="9" t="s">
        <v>213</v>
      </c>
      <c r="D136" s="61">
        <f>IFERROR(VLOOKUP($A133,Sales!$A:B,D$2,0),0)</f>
        <v>80</v>
      </c>
      <c r="E136" s="61">
        <f>IFERROR(VLOOKUP($A133,Sales!$A:C,E$2,0),0)</f>
        <v>80</v>
      </c>
      <c r="F136" s="61">
        <f>IFERROR(VLOOKUP($A133,Sales!$A:D,F$2,0),0)</f>
        <v>0</v>
      </c>
      <c r="G136" s="61">
        <f>IFERROR(VLOOKUP($A133,Sales!$A:E,G$2,0),0)</f>
        <v>160</v>
      </c>
      <c r="H136" s="61">
        <f>IFERROR(VLOOKUP($A133,Sales!$A:F,H$2,0),0)</f>
        <v>80</v>
      </c>
      <c r="I136" s="61">
        <f>IFERROR(VLOOKUP($A133,Sales!$A:G,I$2,0),0)</f>
        <v>80</v>
      </c>
      <c r="J136" s="61">
        <f>IFERROR(VLOOKUP($A133,Sales!$A:H,J$2,0),0)</f>
        <v>160</v>
      </c>
      <c r="K136" s="61">
        <f>IFERROR(VLOOKUP($A133,Sales!$A:I,K$2,0),0)</f>
        <v>160</v>
      </c>
      <c r="L136" s="61">
        <f>IFERROR(VLOOKUP($A133,Sales!$A:J,L$2,0),0)</f>
        <v>240</v>
      </c>
      <c r="M136" s="61">
        <f>IFERROR(VLOOKUP($A133,Sales!$A:K,M$2,0),0)</f>
        <v>240</v>
      </c>
      <c r="N136" s="61">
        <f>IFERROR(VLOOKUP($A133,Sales!$A:L,N$2,0),0)</f>
        <v>0</v>
      </c>
      <c r="O136" s="61">
        <f>IFERROR(VLOOKUP($A133,Sales!$A:M,O$2,0),0)</f>
        <v>0</v>
      </c>
      <c r="P136" s="61">
        <f>IFERROR(VLOOKUP($A133,Sales!$A:N,P$2,0),0)</f>
        <v>0</v>
      </c>
      <c r="Q136" s="61">
        <f>IFERROR(VLOOKUP($A133,Sales!$A:O,Q$2,0),0)</f>
        <v>0</v>
      </c>
      <c r="R136" s="61">
        <f>IFERROR(VLOOKUP($A133,Sales!$A:P,R$2,0),0)</f>
        <v>160</v>
      </c>
      <c r="S136" s="61">
        <f>IFERROR(VLOOKUP($A133,Sales!$A:Q,S$2,0),0)</f>
        <v>80</v>
      </c>
      <c r="T136" s="61">
        <f>IFERROR(VLOOKUP($A133,Sales!$A:R,T$2,0),0)</f>
        <v>80</v>
      </c>
      <c r="U136" s="61">
        <f>IFERROR(VLOOKUP($A133,Sales!$A:S,U$2,0),0)</f>
        <v>100</v>
      </c>
      <c r="V136" s="61">
        <f>IFERROR(VLOOKUP($A133,Sales!$A:T,V$2,0),0)</f>
        <v>100</v>
      </c>
      <c r="W136" s="61">
        <f>IFERROR(VLOOKUP($A133,Sales!$A:U,W$2,0),0)</f>
        <v>100</v>
      </c>
      <c r="X136" s="61">
        <f>IFERROR(VLOOKUP($A133,Sales!$A:V,X$2,0),0)</f>
        <v>100</v>
      </c>
      <c r="Y136" s="61">
        <f>IFERROR(VLOOKUP($A133,Sales!$A:W,Y$2,0),0)</f>
        <v>40</v>
      </c>
      <c r="Z136" s="61">
        <f>IFERROR(VLOOKUP($A133,Sales!$A:X,Z$2,0),0)</f>
        <v>40</v>
      </c>
      <c r="AA136" s="61">
        <f>IFERROR(VLOOKUP($A133,Sales!$A:Y,AA$2,0),0)</f>
        <v>40</v>
      </c>
      <c r="AB136" s="61">
        <f>IFERROR(VLOOKUP($A133,Sales!$A:Z,AB$2,0),0)</f>
        <v>40</v>
      </c>
      <c r="AC136" s="61">
        <f>IFERROR(VLOOKUP($A133,Sales!$A:AA,AC$2,0),0)</f>
        <v>70</v>
      </c>
      <c r="AD136" s="61">
        <f>IFERROR(VLOOKUP($A133,Sales!$A:AB,AD$2,0),0)</f>
        <v>70</v>
      </c>
      <c r="AE136" s="61">
        <f>IFERROR(VLOOKUP($A133,Sales!$A:AC,AE$2,0),0)</f>
        <v>70</v>
      </c>
      <c r="AF136" s="61">
        <f>IFERROR(VLOOKUP($A133,Sales!$A:AD,AF$2,0),0)</f>
        <v>70</v>
      </c>
      <c r="AG136" s="61">
        <f>IFERROR(VLOOKUP($A133,Sales!$A:AE,AG$2,0),0)</f>
        <v>40</v>
      </c>
      <c r="AH136" s="61">
        <f>IFERROR(VLOOKUP($A133,Sales!$A:AF,AH$2,0),0)</f>
        <v>120</v>
      </c>
      <c r="AI136" s="61">
        <f>IFERROR(VLOOKUP($A133,Sales!$A:AG,AI$2,0),0)</f>
        <v>120</v>
      </c>
      <c r="AJ136" s="61">
        <f>IFERROR(VLOOKUP($A133,Sales!$A:AH,AJ$2,0),0)</f>
        <v>0</v>
      </c>
      <c r="AK136" s="73">
        <f t="shared" ref="AK136:CC136" si="227">CEILING(AK$5*$B132,1)</f>
        <v>0</v>
      </c>
      <c r="AL136" s="73">
        <f t="shared" si="227"/>
        <v>0</v>
      </c>
      <c r="AM136" s="73">
        <f t="shared" si="227"/>
        <v>0</v>
      </c>
      <c r="AN136" s="73">
        <f t="shared" si="227"/>
        <v>72</v>
      </c>
      <c r="AO136" s="73">
        <f t="shared" si="227"/>
        <v>72</v>
      </c>
      <c r="AP136" s="73">
        <f t="shared" si="227"/>
        <v>72</v>
      </c>
      <c r="AQ136" s="73">
        <f t="shared" si="227"/>
        <v>87</v>
      </c>
      <c r="AR136" s="73">
        <f t="shared" si="227"/>
        <v>87</v>
      </c>
      <c r="AS136" s="73">
        <f t="shared" si="227"/>
        <v>70</v>
      </c>
      <c r="AT136" s="73">
        <f t="shared" si="227"/>
        <v>87</v>
      </c>
      <c r="AU136" s="73">
        <f t="shared" si="227"/>
        <v>83</v>
      </c>
      <c r="AV136" s="73">
        <f t="shared" si="227"/>
        <v>83</v>
      </c>
      <c r="AW136" s="73">
        <f t="shared" si="227"/>
        <v>83</v>
      </c>
      <c r="AX136" s="73">
        <f t="shared" si="227"/>
        <v>83</v>
      </c>
      <c r="AY136" s="73">
        <f t="shared" si="227"/>
        <v>67</v>
      </c>
      <c r="AZ136" s="73">
        <f t="shared" si="227"/>
        <v>59</v>
      </c>
      <c r="BA136" s="73">
        <f t="shared" si="227"/>
        <v>59</v>
      </c>
      <c r="BB136" s="73">
        <f t="shared" si="227"/>
        <v>59</v>
      </c>
      <c r="BC136" s="73">
        <f t="shared" si="227"/>
        <v>67</v>
      </c>
      <c r="BD136" s="73">
        <f t="shared" si="227"/>
        <v>67</v>
      </c>
      <c r="BE136" s="73">
        <f t="shared" si="227"/>
        <v>67</v>
      </c>
      <c r="BF136" s="73">
        <f t="shared" si="227"/>
        <v>67</v>
      </c>
      <c r="BG136" s="73">
        <f t="shared" si="227"/>
        <v>67</v>
      </c>
      <c r="BH136" s="73">
        <f t="shared" si="227"/>
        <v>67</v>
      </c>
      <c r="BI136" s="73">
        <f t="shared" si="227"/>
        <v>67</v>
      </c>
      <c r="BJ136" s="73">
        <f t="shared" si="227"/>
        <v>67</v>
      </c>
      <c r="BK136" s="73">
        <f t="shared" si="227"/>
        <v>67</v>
      </c>
      <c r="BL136" s="73">
        <f t="shared" si="227"/>
        <v>66</v>
      </c>
      <c r="BM136" s="73">
        <f t="shared" si="227"/>
        <v>66</v>
      </c>
      <c r="BN136" s="73">
        <f t="shared" si="227"/>
        <v>120</v>
      </c>
      <c r="BO136" s="73">
        <f t="shared" si="227"/>
        <v>0</v>
      </c>
      <c r="BP136" s="73">
        <f t="shared" si="227"/>
        <v>0</v>
      </c>
      <c r="BQ136" s="73">
        <f t="shared" si="227"/>
        <v>0</v>
      </c>
      <c r="BR136" s="73">
        <f t="shared" si="227"/>
        <v>0</v>
      </c>
      <c r="BS136" s="73">
        <f t="shared" si="227"/>
        <v>55</v>
      </c>
      <c r="BT136" s="73">
        <f t="shared" si="227"/>
        <v>55</v>
      </c>
      <c r="BU136" s="73">
        <f t="shared" si="227"/>
        <v>55</v>
      </c>
      <c r="BV136" s="73">
        <f t="shared" si="227"/>
        <v>55</v>
      </c>
      <c r="BW136" s="73">
        <f t="shared" si="227"/>
        <v>55</v>
      </c>
      <c r="BX136" s="73">
        <f t="shared" si="227"/>
        <v>55</v>
      </c>
      <c r="BY136" s="73">
        <f t="shared" si="227"/>
        <v>55</v>
      </c>
      <c r="BZ136" s="73">
        <f t="shared" si="227"/>
        <v>55</v>
      </c>
      <c r="CA136" s="73">
        <f t="shared" si="227"/>
        <v>55</v>
      </c>
      <c r="CB136" s="73">
        <f t="shared" si="227"/>
        <v>55</v>
      </c>
      <c r="CC136" s="73">
        <f t="shared" si="227"/>
        <v>55</v>
      </c>
    </row>
    <row r="137" spans="1:81" x14ac:dyDescent="0.2">
      <c r="A137" s="5" t="s">
        <v>214</v>
      </c>
      <c r="B137" s="5">
        <v>0.39800000000000002</v>
      </c>
      <c r="C137" s="46" t="s">
        <v>215</v>
      </c>
      <c r="D137" s="11">
        <f t="shared" ref="D137:AI137" si="228">IF(D136=0,0, ROUND(D133 * 1/D136* D$13,1))</f>
        <v>42.5</v>
      </c>
      <c r="E137" s="11">
        <f t="shared" si="228"/>
        <v>37.5</v>
      </c>
      <c r="F137" s="11">
        <f t="shared" si="228"/>
        <v>0</v>
      </c>
      <c r="G137" s="11">
        <f t="shared" si="228"/>
        <v>16.3</v>
      </c>
      <c r="H137" s="11">
        <f t="shared" si="228"/>
        <v>22.5</v>
      </c>
      <c r="I137" s="11">
        <f t="shared" si="228"/>
        <v>17.5</v>
      </c>
      <c r="J137" s="11">
        <f t="shared" si="228"/>
        <v>12.6</v>
      </c>
      <c r="K137" s="11">
        <f t="shared" si="228"/>
        <v>7.6</v>
      </c>
      <c r="L137" s="11">
        <f t="shared" si="228"/>
        <v>1.8</v>
      </c>
      <c r="M137" s="11">
        <f t="shared" si="228"/>
        <v>-3.3</v>
      </c>
      <c r="N137" s="11">
        <f t="shared" si="228"/>
        <v>0</v>
      </c>
      <c r="O137" s="11">
        <f t="shared" si="228"/>
        <v>0</v>
      </c>
      <c r="P137" s="11">
        <f t="shared" si="228"/>
        <v>0</v>
      </c>
      <c r="Q137" s="11">
        <f t="shared" si="228"/>
        <v>0</v>
      </c>
      <c r="R137" s="11">
        <f t="shared" si="228"/>
        <v>-12.4</v>
      </c>
      <c r="S137" s="11">
        <f t="shared" si="228"/>
        <v>-34.799999999999997</v>
      </c>
      <c r="T137" s="11">
        <f t="shared" si="228"/>
        <v>-39.799999999999997</v>
      </c>
      <c r="U137" s="11">
        <f t="shared" si="228"/>
        <v>-35.799999999999997</v>
      </c>
      <c r="V137" s="11">
        <f t="shared" si="228"/>
        <v>-40.799999999999997</v>
      </c>
      <c r="W137" s="11">
        <f t="shared" si="228"/>
        <v>-45.8</v>
      </c>
      <c r="X137" s="11">
        <f t="shared" si="228"/>
        <v>-50.8</v>
      </c>
      <c r="Y137" s="11">
        <f t="shared" si="228"/>
        <v>-139.5</v>
      </c>
      <c r="Z137" s="11">
        <f t="shared" si="228"/>
        <v>-144.5</v>
      </c>
      <c r="AA137" s="11">
        <f t="shared" si="228"/>
        <v>-149.5</v>
      </c>
      <c r="AB137" s="11">
        <f t="shared" si="228"/>
        <v>-154.5</v>
      </c>
      <c r="AC137" s="11">
        <f t="shared" si="228"/>
        <v>-91.1</v>
      </c>
      <c r="AD137" s="11">
        <f t="shared" si="228"/>
        <v>-96.1</v>
      </c>
      <c r="AE137" s="11">
        <f t="shared" si="228"/>
        <v>-101.1</v>
      </c>
      <c r="AF137" s="11">
        <f t="shared" si="228"/>
        <v>-106.1</v>
      </c>
      <c r="AG137" s="11">
        <f t="shared" si="228"/>
        <v>-194.5</v>
      </c>
      <c r="AH137" s="11">
        <f t="shared" si="228"/>
        <v>-66.5</v>
      </c>
      <c r="AI137" s="11">
        <f t="shared" si="228"/>
        <v>-71.5</v>
      </c>
      <c r="AJ137" s="11">
        <f t="shared" ref="AJ137:BO137" si="229">IF(AJ136=0,0, ROUND(AJ133 * 1/AJ136* AJ$13,1))</f>
        <v>0</v>
      </c>
      <c r="AK137" s="11">
        <f t="shared" si="229"/>
        <v>0</v>
      </c>
      <c r="AL137" s="11">
        <f t="shared" si="229"/>
        <v>0</v>
      </c>
      <c r="AM137" s="11">
        <f t="shared" si="229"/>
        <v>0</v>
      </c>
      <c r="AN137" s="11">
        <f t="shared" si="229"/>
        <v>-127.5</v>
      </c>
      <c r="AO137" s="11">
        <f t="shared" si="229"/>
        <v>-132.5</v>
      </c>
      <c r="AP137" s="11">
        <f t="shared" si="229"/>
        <v>-137.5</v>
      </c>
      <c r="AQ137" s="11">
        <f t="shared" si="229"/>
        <v>-117.9</v>
      </c>
      <c r="AR137" s="11">
        <f t="shared" si="229"/>
        <v>-122.9</v>
      </c>
      <c r="AS137" s="11">
        <f t="shared" si="229"/>
        <v>-159</v>
      </c>
      <c r="AT137" s="11">
        <f t="shared" si="229"/>
        <v>-132</v>
      </c>
      <c r="AU137" s="11">
        <f t="shared" si="229"/>
        <v>-143.6</v>
      </c>
      <c r="AV137" s="11">
        <f t="shared" si="229"/>
        <v>-148.6</v>
      </c>
      <c r="AW137" s="11">
        <f t="shared" si="229"/>
        <v>-153.6</v>
      </c>
      <c r="AX137" s="11">
        <f t="shared" si="229"/>
        <v>-158.6</v>
      </c>
      <c r="AY137" s="11">
        <f t="shared" si="229"/>
        <v>-202.6</v>
      </c>
      <c r="AZ137" s="11">
        <f t="shared" si="229"/>
        <v>-235.8</v>
      </c>
      <c r="BA137" s="11">
        <f t="shared" si="229"/>
        <v>-240.8</v>
      </c>
      <c r="BB137" s="11">
        <f t="shared" si="229"/>
        <v>-245.8</v>
      </c>
      <c r="BC137" s="11">
        <f t="shared" si="229"/>
        <v>-220.8</v>
      </c>
      <c r="BD137" s="11">
        <f t="shared" si="229"/>
        <v>-225.8</v>
      </c>
      <c r="BE137" s="11">
        <f t="shared" si="229"/>
        <v>-230.8</v>
      </c>
      <c r="BF137" s="11">
        <f t="shared" si="229"/>
        <v>-235.8</v>
      </c>
      <c r="BG137" s="11">
        <f t="shared" si="229"/>
        <v>-240.8</v>
      </c>
      <c r="BH137" s="11">
        <f t="shared" si="229"/>
        <v>-245.8</v>
      </c>
      <c r="BI137" s="11">
        <f t="shared" si="229"/>
        <v>-250.8</v>
      </c>
      <c r="BJ137" s="11">
        <f t="shared" si="229"/>
        <v>-255.8</v>
      </c>
      <c r="BK137" s="11">
        <f t="shared" si="229"/>
        <v>-260.8</v>
      </c>
      <c r="BL137" s="11">
        <f t="shared" si="229"/>
        <v>-269.8</v>
      </c>
      <c r="BM137" s="11">
        <f t="shared" si="229"/>
        <v>-274.8</v>
      </c>
      <c r="BN137" s="11">
        <f t="shared" si="229"/>
        <v>-153.9</v>
      </c>
      <c r="BO137" s="11">
        <f t="shared" si="229"/>
        <v>0</v>
      </c>
      <c r="BP137" s="11">
        <f t="shared" ref="BP137:CU137" si="230">IF(BP136=0,0, ROUND(BP133 * 1/BP136* BP$13,1))</f>
        <v>0</v>
      </c>
      <c r="BQ137" s="11">
        <f t="shared" si="230"/>
        <v>0</v>
      </c>
      <c r="BR137" s="11">
        <f t="shared" si="230"/>
        <v>0</v>
      </c>
      <c r="BS137" s="11">
        <f t="shared" si="230"/>
        <v>-346.7</v>
      </c>
      <c r="BT137" s="11">
        <f t="shared" si="230"/>
        <v>-351.7</v>
      </c>
      <c r="BU137" s="11">
        <f t="shared" si="230"/>
        <v>-356.7</v>
      </c>
      <c r="BV137" s="11">
        <f t="shared" si="230"/>
        <v>-361.7</v>
      </c>
      <c r="BW137" s="11">
        <f t="shared" si="230"/>
        <v>-366.7</v>
      </c>
      <c r="BX137" s="11">
        <f t="shared" si="230"/>
        <v>-371.7</v>
      </c>
      <c r="BY137" s="11">
        <f t="shared" si="230"/>
        <v>-376.7</v>
      </c>
      <c r="BZ137" s="11">
        <f t="shared" si="230"/>
        <v>-381.7</v>
      </c>
      <c r="CA137" s="11">
        <f t="shared" si="230"/>
        <v>-386.7</v>
      </c>
      <c r="CB137" s="11">
        <f t="shared" si="230"/>
        <v>-391.7</v>
      </c>
      <c r="CC137" s="11">
        <f t="shared" si="230"/>
        <v>-396.7</v>
      </c>
    </row>
    <row r="138" spans="1:81" x14ac:dyDescent="0.2">
      <c r="A138" s="10">
        <v>40</v>
      </c>
      <c r="B138" s="10">
        <v>1</v>
      </c>
      <c r="C138" s="68">
        <v>8.48733</v>
      </c>
      <c r="D138">
        <f t="shared" ref="D138:AI138" si="231">D135/$B138</f>
        <v>0</v>
      </c>
      <c r="E138">
        <f t="shared" si="231"/>
        <v>204</v>
      </c>
      <c r="F138">
        <f t="shared" si="231"/>
        <v>0</v>
      </c>
      <c r="G138">
        <f t="shared" si="231"/>
        <v>0</v>
      </c>
      <c r="H138">
        <f t="shared" si="231"/>
        <v>0</v>
      </c>
      <c r="I138">
        <f t="shared" si="231"/>
        <v>0</v>
      </c>
      <c r="J138">
        <f t="shared" si="231"/>
        <v>0</v>
      </c>
      <c r="K138">
        <f t="shared" si="231"/>
        <v>0</v>
      </c>
      <c r="L138">
        <f t="shared" si="231"/>
        <v>0</v>
      </c>
      <c r="M138">
        <f t="shared" si="231"/>
        <v>0</v>
      </c>
      <c r="N138">
        <f t="shared" si="231"/>
        <v>0</v>
      </c>
      <c r="O138">
        <f t="shared" si="231"/>
        <v>0</v>
      </c>
      <c r="P138">
        <f t="shared" si="231"/>
        <v>0</v>
      </c>
      <c r="Q138">
        <f t="shared" si="231"/>
        <v>0</v>
      </c>
      <c r="R138">
        <f t="shared" si="231"/>
        <v>0</v>
      </c>
      <c r="S138">
        <f t="shared" si="231"/>
        <v>0</v>
      </c>
      <c r="T138">
        <f t="shared" si="231"/>
        <v>0</v>
      </c>
      <c r="U138">
        <f t="shared" si="231"/>
        <v>0</v>
      </c>
      <c r="V138">
        <f t="shared" si="231"/>
        <v>0</v>
      </c>
      <c r="W138">
        <f t="shared" si="231"/>
        <v>0</v>
      </c>
      <c r="X138">
        <f t="shared" si="231"/>
        <v>0</v>
      </c>
      <c r="Y138">
        <f t="shared" si="231"/>
        <v>0</v>
      </c>
      <c r="Z138">
        <f t="shared" si="231"/>
        <v>0</v>
      </c>
      <c r="AA138">
        <f t="shared" si="231"/>
        <v>0</v>
      </c>
      <c r="AB138">
        <f t="shared" si="231"/>
        <v>0</v>
      </c>
      <c r="AC138">
        <f t="shared" si="231"/>
        <v>0</v>
      </c>
      <c r="AD138">
        <f t="shared" si="231"/>
        <v>0</v>
      </c>
      <c r="AE138">
        <f t="shared" si="231"/>
        <v>0</v>
      </c>
      <c r="AF138">
        <f t="shared" si="231"/>
        <v>0</v>
      </c>
      <c r="AG138">
        <f t="shared" si="231"/>
        <v>0</v>
      </c>
      <c r="AH138">
        <f t="shared" si="231"/>
        <v>0</v>
      </c>
      <c r="AI138">
        <f t="shared" si="231"/>
        <v>0</v>
      </c>
      <c r="AJ138">
        <f t="shared" ref="AJ138:BO138" si="232">AJ135/$B138</f>
        <v>0</v>
      </c>
      <c r="AK138">
        <f t="shared" si="232"/>
        <v>0</v>
      </c>
      <c r="AL138">
        <f t="shared" si="232"/>
        <v>0</v>
      </c>
      <c r="AM138">
        <f t="shared" si="232"/>
        <v>0</v>
      </c>
      <c r="AN138">
        <f t="shared" si="232"/>
        <v>0</v>
      </c>
      <c r="AO138">
        <f t="shared" si="232"/>
        <v>0</v>
      </c>
      <c r="AP138">
        <f t="shared" si="232"/>
        <v>0</v>
      </c>
      <c r="AQ138">
        <f t="shared" si="232"/>
        <v>0</v>
      </c>
      <c r="AR138">
        <f t="shared" si="232"/>
        <v>0</v>
      </c>
      <c r="AS138">
        <f t="shared" si="232"/>
        <v>0</v>
      </c>
      <c r="AT138">
        <f t="shared" si="232"/>
        <v>0</v>
      </c>
      <c r="AU138">
        <f t="shared" si="232"/>
        <v>0</v>
      </c>
      <c r="AV138">
        <f t="shared" si="232"/>
        <v>0</v>
      </c>
      <c r="AW138">
        <f t="shared" si="232"/>
        <v>0</v>
      </c>
      <c r="AX138">
        <f t="shared" si="232"/>
        <v>0</v>
      </c>
      <c r="AY138">
        <f t="shared" si="232"/>
        <v>0</v>
      </c>
      <c r="AZ138">
        <f t="shared" si="232"/>
        <v>0</v>
      </c>
      <c r="BA138">
        <f t="shared" si="232"/>
        <v>0</v>
      </c>
      <c r="BB138">
        <f t="shared" si="232"/>
        <v>0</v>
      </c>
      <c r="BC138">
        <f t="shared" si="232"/>
        <v>0</v>
      </c>
      <c r="BD138">
        <f t="shared" si="232"/>
        <v>0</v>
      </c>
      <c r="BE138">
        <f t="shared" si="232"/>
        <v>0</v>
      </c>
      <c r="BF138">
        <f t="shared" si="232"/>
        <v>0</v>
      </c>
      <c r="BG138">
        <f t="shared" si="232"/>
        <v>0</v>
      </c>
      <c r="BH138">
        <f t="shared" si="232"/>
        <v>0</v>
      </c>
      <c r="BI138">
        <f t="shared" si="232"/>
        <v>0</v>
      </c>
      <c r="BJ138">
        <f t="shared" si="232"/>
        <v>0</v>
      </c>
      <c r="BK138">
        <f t="shared" si="232"/>
        <v>0</v>
      </c>
      <c r="BL138">
        <f t="shared" si="232"/>
        <v>0</v>
      </c>
      <c r="BM138">
        <f t="shared" si="232"/>
        <v>0</v>
      </c>
      <c r="BN138">
        <f t="shared" si="232"/>
        <v>0</v>
      </c>
      <c r="BO138">
        <f t="shared" si="232"/>
        <v>0</v>
      </c>
      <c r="BP138">
        <f t="shared" ref="BP138:CC138" si="233">BP135/$B138</f>
        <v>0</v>
      </c>
      <c r="BQ138">
        <f t="shared" si="233"/>
        <v>0</v>
      </c>
      <c r="BR138">
        <f t="shared" si="233"/>
        <v>0</v>
      </c>
      <c r="BS138">
        <f t="shared" si="233"/>
        <v>0</v>
      </c>
      <c r="BT138">
        <f t="shared" si="233"/>
        <v>0</v>
      </c>
      <c r="BU138">
        <f t="shared" si="233"/>
        <v>0</v>
      </c>
      <c r="BV138">
        <f t="shared" si="233"/>
        <v>0</v>
      </c>
      <c r="BW138">
        <f t="shared" si="233"/>
        <v>0</v>
      </c>
      <c r="BX138">
        <f t="shared" si="233"/>
        <v>0</v>
      </c>
      <c r="BY138">
        <f t="shared" si="233"/>
        <v>0</v>
      </c>
      <c r="BZ138">
        <f t="shared" si="233"/>
        <v>0</v>
      </c>
      <c r="CA138">
        <f t="shared" si="233"/>
        <v>0</v>
      </c>
      <c r="CB138">
        <f t="shared" si="233"/>
        <v>0</v>
      </c>
      <c r="CC138">
        <f t="shared" si="233"/>
        <v>0</v>
      </c>
    </row>
    <row r="139" spans="1:81" x14ac:dyDescent="0.2">
      <c r="A139" s="10"/>
      <c r="B139" s="67">
        <f>SUM(D143:AJ143)/SUM($D$263:$AJ$263)</f>
        <v>1.3281898530201669E-2</v>
      </c>
      <c r="C139" s="9" t="s">
        <v>216</v>
      </c>
      <c r="D139">
        <f t="shared" ref="D139:AI139" si="234">D133-D136</f>
        <v>600</v>
      </c>
      <c r="E139">
        <f t="shared" si="234"/>
        <v>520</v>
      </c>
      <c r="F139">
        <f t="shared" si="234"/>
        <v>520</v>
      </c>
      <c r="G139">
        <f t="shared" si="234"/>
        <v>360</v>
      </c>
      <c r="H139">
        <f t="shared" si="234"/>
        <v>280</v>
      </c>
      <c r="I139">
        <f t="shared" si="234"/>
        <v>200</v>
      </c>
      <c r="J139">
        <f t="shared" si="234"/>
        <v>244</v>
      </c>
      <c r="K139">
        <f t="shared" si="234"/>
        <v>84</v>
      </c>
      <c r="L139">
        <f t="shared" si="234"/>
        <v>-156</v>
      </c>
      <c r="M139">
        <f t="shared" si="234"/>
        <v>-396</v>
      </c>
      <c r="N139">
        <f t="shared" si="234"/>
        <v>-396</v>
      </c>
      <c r="O139">
        <f t="shared" si="234"/>
        <v>-396</v>
      </c>
      <c r="P139">
        <f t="shared" si="234"/>
        <v>-396</v>
      </c>
      <c r="Q139">
        <f t="shared" si="234"/>
        <v>-396</v>
      </c>
      <c r="R139">
        <f t="shared" si="234"/>
        <v>-556</v>
      </c>
      <c r="S139">
        <f t="shared" si="234"/>
        <v>-636</v>
      </c>
      <c r="T139">
        <f t="shared" si="234"/>
        <v>-716</v>
      </c>
      <c r="U139">
        <f t="shared" si="234"/>
        <v>-816</v>
      </c>
      <c r="V139">
        <f t="shared" si="234"/>
        <v>-916</v>
      </c>
      <c r="W139">
        <f t="shared" si="234"/>
        <v>-1016</v>
      </c>
      <c r="X139">
        <f t="shared" si="234"/>
        <v>-1116</v>
      </c>
      <c r="Y139">
        <f t="shared" si="234"/>
        <v>-1156</v>
      </c>
      <c r="Z139">
        <f t="shared" si="234"/>
        <v>-1196</v>
      </c>
      <c r="AA139">
        <f t="shared" si="234"/>
        <v>-1236</v>
      </c>
      <c r="AB139">
        <f t="shared" si="234"/>
        <v>-1276</v>
      </c>
      <c r="AC139">
        <f t="shared" si="234"/>
        <v>-1346</v>
      </c>
      <c r="AD139">
        <f t="shared" si="234"/>
        <v>-1416</v>
      </c>
      <c r="AE139">
        <f t="shared" si="234"/>
        <v>-1486</v>
      </c>
      <c r="AF139">
        <f t="shared" si="234"/>
        <v>-1556</v>
      </c>
      <c r="AG139">
        <f t="shared" si="234"/>
        <v>-1596</v>
      </c>
      <c r="AH139">
        <f t="shared" si="234"/>
        <v>-1716</v>
      </c>
      <c r="AI139">
        <f t="shared" si="234"/>
        <v>-1836</v>
      </c>
      <c r="AJ139">
        <f t="shared" ref="AJ139:BO139" si="235">AJ133-AJ136</f>
        <v>-1836</v>
      </c>
      <c r="AK139">
        <f t="shared" si="235"/>
        <v>-1836</v>
      </c>
      <c r="AL139">
        <f t="shared" si="235"/>
        <v>-1836</v>
      </c>
      <c r="AM139">
        <f t="shared" si="235"/>
        <v>-1836</v>
      </c>
      <c r="AN139">
        <f t="shared" si="235"/>
        <v>-1908</v>
      </c>
      <c r="AO139">
        <f t="shared" si="235"/>
        <v>-1980</v>
      </c>
      <c r="AP139">
        <f t="shared" si="235"/>
        <v>-2052</v>
      </c>
      <c r="AQ139">
        <f t="shared" si="235"/>
        <v>-2139</v>
      </c>
      <c r="AR139">
        <f t="shared" si="235"/>
        <v>-2226</v>
      </c>
      <c r="AS139">
        <f t="shared" si="235"/>
        <v>-2296</v>
      </c>
      <c r="AT139">
        <f t="shared" si="235"/>
        <v>-2383</v>
      </c>
      <c r="AU139">
        <f t="shared" si="235"/>
        <v>-2466</v>
      </c>
      <c r="AV139">
        <f t="shared" si="235"/>
        <v>-2549</v>
      </c>
      <c r="AW139">
        <f t="shared" si="235"/>
        <v>-2632</v>
      </c>
      <c r="AX139">
        <f t="shared" si="235"/>
        <v>-2715</v>
      </c>
      <c r="AY139">
        <f t="shared" si="235"/>
        <v>-2782</v>
      </c>
      <c r="AZ139">
        <f t="shared" si="235"/>
        <v>-2841</v>
      </c>
      <c r="BA139">
        <f t="shared" si="235"/>
        <v>-2900</v>
      </c>
      <c r="BB139">
        <f t="shared" si="235"/>
        <v>-2959</v>
      </c>
      <c r="BC139">
        <f t="shared" si="235"/>
        <v>-3026</v>
      </c>
      <c r="BD139">
        <f t="shared" si="235"/>
        <v>-3093</v>
      </c>
      <c r="BE139">
        <f t="shared" si="235"/>
        <v>-3160</v>
      </c>
      <c r="BF139">
        <f t="shared" si="235"/>
        <v>-3227</v>
      </c>
      <c r="BG139">
        <f t="shared" si="235"/>
        <v>-3294</v>
      </c>
      <c r="BH139">
        <f t="shared" si="235"/>
        <v>-3361</v>
      </c>
      <c r="BI139">
        <f t="shared" si="235"/>
        <v>-3428</v>
      </c>
      <c r="BJ139">
        <f t="shared" si="235"/>
        <v>-3495</v>
      </c>
      <c r="BK139">
        <f t="shared" si="235"/>
        <v>-3562</v>
      </c>
      <c r="BL139">
        <f t="shared" si="235"/>
        <v>-3628</v>
      </c>
      <c r="BM139">
        <f t="shared" si="235"/>
        <v>-3694</v>
      </c>
      <c r="BN139">
        <f t="shared" si="235"/>
        <v>-3814</v>
      </c>
      <c r="BO139">
        <f t="shared" si="235"/>
        <v>-3814</v>
      </c>
      <c r="BP139">
        <f t="shared" ref="BP139:CC139" si="236">BP133-BP136</f>
        <v>-3814</v>
      </c>
      <c r="BQ139">
        <f t="shared" si="236"/>
        <v>-3814</v>
      </c>
      <c r="BR139">
        <f t="shared" si="236"/>
        <v>-3814</v>
      </c>
      <c r="BS139">
        <f t="shared" si="236"/>
        <v>-3869</v>
      </c>
      <c r="BT139">
        <f t="shared" si="236"/>
        <v>-3924</v>
      </c>
      <c r="BU139">
        <f t="shared" si="236"/>
        <v>-3979</v>
      </c>
      <c r="BV139">
        <f t="shared" si="236"/>
        <v>-4034</v>
      </c>
      <c r="BW139">
        <f t="shared" si="236"/>
        <v>-4089</v>
      </c>
      <c r="BX139">
        <f t="shared" si="236"/>
        <v>-4144</v>
      </c>
      <c r="BY139">
        <f t="shared" si="236"/>
        <v>-4199</v>
      </c>
      <c r="BZ139">
        <f t="shared" si="236"/>
        <v>-4254</v>
      </c>
      <c r="CA139">
        <f t="shared" si="236"/>
        <v>-4309</v>
      </c>
      <c r="CB139">
        <f t="shared" si="236"/>
        <v>-4364</v>
      </c>
      <c r="CC139">
        <f t="shared" si="236"/>
        <v>-4419</v>
      </c>
    </row>
    <row r="140" spans="1:81" x14ac:dyDescent="0.2">
      <c r="A140" s="43" t="s">
        <v>234</v>
      </c>
      <c r="B140" s="44" t="s">
        <v>208</v>
      </c>
      <c r="C140" s="9" t="s">
        <v>38</v>
      </c>
      <c r="D140" s="58">
        <f>IFERROR(VLOOKUP(A140,OS!$A:$B,2,0),0)</f>
        <v>580</v>
      </c>
      <c r="E140" s="5">
        <f>(D140+D141-D143)</f>
        <v>580</v>
      </c>
      <c r="F140" s="5">
        <f>(E140+E141-E143)</f>
        <v>420</v>
      </c>
      <c r="G140" s="5">
        <f>(F140+F141-F143)</f>
        <v>420</v>
      </c>
      <c r="H140" s="5">
        <f>(G140+G141-G143)</f>
        <v>340</v>
      </c>
      <c r="I140" s="5">
        <f t="shared" ref="I140:AN140" si="237">(H140+H141-H143+D142)</f>
        <v>340</v>
      </c>
      <c r="J140" s="5">
        <f t="shared" si="237"/>
        <v>340</v>
      </c>
      <c r="K140" s="5">
        <f t="shared" si="237"/>
        <v>260</v>
      </c>
      <c r="L140" s="5">
        <f t="shared" si="237"/>
        <v>180</v>
      </c>
      <c r="M140" s="5">
        <f t="shared" si="237"/>
        <v>100</v>
      </c>
      <c r="N140" s="5">
        <f t="shared" si="237"/>
        <v>20</v>
      </c>
      <c r="O140" s="5">
        <f t="shared" si="237"/>
        <v>20</v>
      </c>
      <c r="P140" s="5">
        <f t="shared" si="237"/>
        <v>20</v>
      </c>
      <c r="Q140" s="5">
        <f t="shared" si="237"/>
        <v>20</v>
      </c>
      <c r="R140" s="5">
        <f t="shared" si="237"/>
        <v>20</v>
      </c>
      <c r="S140" s="5">
        <f t="shared" si="237"/>
        <v>-60</v>
      </c>
      <c r="T140" s="5">
        <f t="shared" si="237"/>
        <v>-140</v>
      </c>
      <c r="U140" s="5">
        <f t="shared" si="237"/>
        <v>-140</v>
      </c>
      <c r="V140" s="5">
        <f t="shared" si="237"/>
        <v>-200</v>
      </c>
      <c r="W140" s="5">
        <f t="shared" si="237"/>
        <v>-260</v>
      </c>
      <c r="X140" s="5">
        <f t="shared" si="237"/>
        <v>-320</v>
      </c>
      <c r="Y140" s="5">
        <f t="shared" si="237"/>
        <v>-380</v>
      </c>
      <c r="Z140" s="5">
        <f t="shared" si="237"/>
        <v>-420</v>
      </c>
      <c r="AA140" s="5">
        <f t="shared" si="237"/>
        <v>-460</v>
      </c>
      <c r="AB140" s="5">
        <f t="shared" si="237"/>
        <v>-500</v>
      </c>
      <c r="AC140" s="5">
        <f t="shared" si="237"/>
        <v>-540</v>
      </c>
      <c r="AD140" s="5">
        <f t="shared" si="237"/>
        <v>-580</v>
      </c>
      <c r="AE140" s="5">
        <f t="shared" si="237"/>
        <v>-620</v>
      </c>
      <c r="AF140" s="5">
        <f t="shared" si="237"/>
        <v>-660</v>
      </c>
      <c r="AG140" s="5">
        <f t="shared" si="237"/>
        <v>-700</v>
      </c>
      <c r="AH140" s="5">
        <f t="shared" si="237"/>
        <v>-700</v>
      </c>
      <c r="AI140" s="5">
        <f t="shared" si="237"/>
        <v>-740</v>
      </c>
      <c r="AJ140" s="5">
        <f t="shared" si="237"/>
        <v>-780</v>
      </c>
      <c r="AK140" s="5">
        <f t="shared" si="237"/>
        <v>-780</v>
      </c>
      <c r="AL140" s="5">
        <f t="shared" si="237"/>
        <v>-780</v>
      </c>
      <c r="AM140" s="5">
        <f t="shared" si="237"/>
        <v>-780</v>
      </c>
      <c r="AN140" s="5">
        <f t="shared" si="237"/>
        <v>-780</v>
      </c>
      <c r="AO140" s="5">
        <f t="shared" ref="AO140:BT140" si="238">(AN140+AN141-AN143+AJ142)</f>
        <v>-816</v>
      </c>
      <c r="AP140" s="5">
        <f t="shared" si="238"/>
        <v>-852</v>
      </c>
      <c r="AQ140" s="5">
        <f t="shared" si="238"/>
        <v>-888</v>
      </c>
      <c r="AR140" s="5">
        <f t="shared" si="238"/>
        <v>-932</v>
      </c>
      <c r="AS140" s="5">
        <f t="shared" si="238"/>
        <v>-976</v>
      </c>
      <c r="AT140" s="5">
        <f t="shared" si="238"/>
        <v>-1011</v>
      </c>
      <c r="AU140" s="5">
        <f t="shared" si="238"/>
        <v>-1055</v>
      </c>
      <c r="AV140" s="5">
        <f t="shared" si="238"/>
        <v>-1097</v>
      </c>
      <c r="AW140" s="5">
        <f t="shared" si="238"/>
        <v>-1139</v>
      </c>
      <c r="AX140" s="5">
        <f t="shared" si="238"/>
        <v>-1181</v>
      </c>
      <c r="AY140" s="5">
        <f t="shared" si="238"/>
        <v>-1223</v>
      </c>
      <c r="AZ140" s="5">
        <f t="shared" si="238"/>
        <v>-1257</v>
      </c>
      <c r="BA140" s="5">
        <f t="shared" si="238"/>
        <v>-1287</v>
      </c>
      <c r="BB140" s="5">
        <f t="shared" si="238"/>
        <v>-1317</v>
      </c>
      <c r="BC140" s="5">
        <f t="shared" si="238"/>
        <v>-1347</v>
      </c>
      <c r="BD140" s="5">
        <f t="shared" si="238"/>
        <v>-1381</v>
      </c>
      <c r="BE140" s="5">
        <f t="shared" si="238"/>
        <v>-1415</v>
      </c>
      <c r="BF140" s="5">
        <f t="shared" si="238"/>
        <v>-1449</v>
      </c>
      <c r="BG140" s="5">
        <f t="shared" si="238"/>
        <v>-1483</v>
      </c>
      <c r="BH140" s="5">
        <f t="shared" si="238"/>
        <v>-1517</v>
      </c>
      <c r="BI140" s="5">
        <f t="shared" si="238"/>
        <v>-1551</v>
      </c>
      <c r="BJ140" s="5">
        <f t="shared" si="238"/>
        <v>-1585</v>
      </c>
      <c r="BK140" s="5">
        <f t="shared" si="238"/>
        <v>-1619</v>
      </c>
      <c r="BL140" s="5">
        <f t="shared" si="238"/>
        <v>-1653</v>
      </c>
      <c r="BM140" s="5">
        <f t="shared" si="238"/>
        <v>-1686</v>
      </c>
      <c r="BN140" s="5">
        <f t="shared" si="238"/>
        <v>-1719</v>
      </c>
      <c r="BO140" s="5">
        <f t="shared" si="238"/>
        <v>-1779</v>
      </c>
      <c r="BP140" s="5">
        <f t="shared" si="238"/>
        <v>-1779</v>
      </c>
      <c r="BQ140" s="5">
        <f t="shared" si="238"/>
        <v>-1779</v>
      </c>
      <c r="BR140" s="5">
        <f t="shared" si="238"/>
        <v>-1779</v>
      </c>
      <c r="BS140" s="5">
        <f t="shared" si="238"/>
        <v>-1779</v>
      </c>
      <c r="BT140" s="5">
        <f t="shared" si="238"/>
        <v>-1807</v>
      </c>
      <c r="BU140" s="5">
        <f t="shared" ref="BU140:CZ140" si="239">(BT140+BT141-BT143+BP142)</f>
        <v>-1835</v>
      </c>
      <c r="BV140" s="5">
        <f t="shared" si="239"/>
        <v>-1863</v>
      </c>
      <c r="BW140" s="5">
        <f t="shared" si="239"/>
        <v>-1891</v>
      </c>
      <c r="BX140" s="5">
        <f t="shared" si="239"/>
        <v>-1919</v>
      </c>
      <c r="BY140" s="5">
        <f t="shared" si="239"/>
        <v>-1947</v>
      </c>
      <c r="BZ140" s="5">
        <f t="shared" si="239"/>
        <v>-1975</v>
      </c>
      <c r="CA140" s="5">
        <f t="shared" si="239"/>
        <v>-2003</v>
      </c>
      <c r="CB140" s="5">
        <f t="shared" si="239"/>
        <v>-2031</v>
      </c>
      <c r="CC140" s="5">
        <f t="shared" si="239"/>
        <v>-2059</v>
      </c>
    </row>
    <row r="141" spans="1:81" x14ac:dyDescent="0.2">
      <c r="A141" s="5" t="s">
        <v>209</v>
      </c>
      <c r="B141" s="5">
        <v>10.154730000000001</v>
      </c>
      <c r="C141" s="45" t="s">
        <v>39</v>
      </c>
      <c r="D141" s="59">
        <f>IFERROR(VLOOKUP(A140,WIP!$A:$B,2,0),0)</f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</row>
    <row r="142" spans="1:81" x14ac:dyDescent="0.2">
      <c r="A142" s="5" t="s">
        <v>210</v>
      </c>
      <c r="B142" s="5">
        <v>0.28799999999999998</v>
      </c>
      <c r="C142" s="9" t="s">
        <v>211</v>
      </c>
      <c r="D142" s="60">
        <f>IFERROR(VLOOKUP($A140,Plan!$A:B,D$4,0),0)</f>
        <v>0</v>
      </c>
      <c r="E142" s="70">
        <f>IFERROR(VLOOKUP($A140,Plan!$A:C,E$4,0),0)</f>
        <v>0</v>
      </c>
      <c r="F142" s="70">
        <f>IFERROR(VLOOKUP($A140,Plan!$A:D,F$4,0),0)</f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 spans="1:81" x14ac:dyDescent="0.2">
      <c r="A143" s="5" t="s">
        <v>212</v>
      </c>
      <c r="B143" s="5">
        <v>7.0999999999999994E-2</v>
      </c>
      <c r="C143" s="9" t="s">
        <v>213</v>
      </c>
      <c r="D143" s="61">
        <f>IFERROR(VLOOKUP($A140,Sales!$A:B,D$2,0),0)</f>
        <v>0</v>
      </c>
      <c r="E143" s="61">
        <f>IFERROR(VLOOKUP($A140,Sales!$A:C,E$2,0),0)</f>
        <v>160</v>
      </c>
      <c r="F143" s="61">
        <f>IFERROR(VLOOKUP($A140,Sales!$A:D,F$2,0),0)</f>
        <v>0</v>
      </c>
      <c r="G143" s="61">
        <f>IFERROR(VLOOKUP($A140,Sales!$A:E,G$2,0),0)</f>
        <v>80</v>
      </c>
      <c r="H143" s="61">
        <f>IFERROR(VLOOKUP($A140,Sales!$A:F,H$2,0),0)</f>
        <v>0</v>
      </c>
      <c r="I143" s="61">
        <f>IFERROR(VLOOKUP($A140,Sales!$A:G,I$2,0),0)</f>
        <v>0</v>
      </c>
      <c r="J143" s="61">
        <f>IFERROR(VLOOKUP($A140,Sales!$A:H,J$2,0),0)</f>
        <v>80</v>
      </c>
      <c r="K143" s="61">
        <f>IFERROR(VLOOKUP($A140,Sales!$A:I,K$2,0),0)</f>
        <v>80</v>
      </c>
      <c r="L143" s="61">
        <f>IFERROR(VLOOKUP($A140,Sales!$A:J,L$2,0),0)</f>
        <v>80</v>
      </c>
      <c r="M143" s="61">
        <f>IFERROR(VLOOKUP($A140,Sales!$A:K,M$2,0),0)</f>
        <v>80</v>
      </c>
      <c r="N143" s="61">
        <f>IFERROR(VLOOKUP($A140,Sales!$A:L,N$2,0),0)</f>
        <v>0</v>
      </c>
      <c r="O143" s="61">
        <f>IFERROR(VLOOKUP($A140,Sales!$A:M,O$2,0),0)</f>
        <v>0</v>
      </c>
      <c r="P143" s="61">
        <f>IFERROR(VLOOKUP($A140,Sales!$A:N,P$2,0),0)</f>
        <v>0</v>
      </c>
      <c r="Q143" s="61">
        <f>IFERROR(VLOOKUP($A140,Sales!$A:O,Q$2,0),0)</f>
        <v>0</v>
      </c>
      <c r="R143" s="61">
        <f>IFERROR(VLOOKUP($A140,Sales!$A:P,R$2,0),0)</f>
        <v>80</v>
      </c>
      <c r="S143" s="61">
        <f>IFERROR(VLOOKUP($A140,Sales!$A:Q,S$2,0),0)</f>
        <v>80</v>
      </c>
      <c r="T143" s="61">
        <f>IFERROR(VLOOKUP($A140,Sales!$A:R,T$2,0),0)</f>
        <v>0</v>
      </c>
      <c r="U143" s="61">
        <f>IFERROR(VLOOKUP($A140,Sales!$A:S,U$2,0),0)</f>
        <v>60</v>
      </c>
      <c r="V143" s="61">
        <f>IFERROR(VLOOKUP($A140,Sales!$A:T,V$2,0),0)</f>
        <v>60</v>
      </c>
      <c r="W143" s="61">
        <f>IFERROR(VLOOKUP($A140,Sales!$A:U,W$2,0),0)</f>
        <v>60</v>
      </c>
      <c r="X143" s="61">
        <f>IFERROR(VLOOKUP($A140,Sales!$A:V,X$2,0),0)</f>
        <v>60</v>
      </c>
      <c r="Y143" s="61">
        <f>IFERROR(VLOOKUP($A140,Sales!$A:W,Y$2,0),0)</f>
        <v>40</v>
      </c>
      <c r="Z143" s="61">
        <f>IFERROR(VLOOKUP($A140,Sales!$A:X,Z$2,0),0)</f>
        <v>40</v>
      </c>
      <c r="AA143" s="61">
        <f>IFERROR(VLOOKUP($A140,Sales!$A:Y,AA$2,0),0)</f>
        <v>40</v>
      </c>
      <c r="AB143" s="61">
        <f>IFERROR(VLOOKUP($A140,Sales!$A:Z,AB$2,0),0)</f>
        <v>40</v>
      </c>
      <c r="AC143" s="61">
        <f>IFERROR(VLOOKUP($A140,Sales!$A:AA,AC$2,0),0)</f>
        <v>40</v>
      </c>
      <c r="AD143" s="61">
        <f>IFERROR(VLOOKUP($A140,Sales!$A:AB,AD$2,0),0)</f>
        <v>40</v>
      </c>
      <c r="AE143" s="61">
        <f>IFERROR(VLOOKUP($A140,Sales!$A:AC,AE$2,0),0)</f>
        <v>40</v>
      </c>
      <c r="AF143" s="61">
        <f>IFERROR(VLOOKUP($A140,Sales!$A:AD,AF$2,0),0)</f>
        <v>40</v>
      </c>
      <c r="AG143" s="61">
        <f>IFERROR(VLOOKUP($A140,Sales!$A:AE,AG$2,0),0)</f>
        <v>0</v>
      </c>
      <c r="AH143" s="61">
        <f>IFERROR(VLOOKUP($A140,Sales!$A:AF,AH$2,0),0)</f>
        <v>40</v>
      </c>
      <c r="AI143" s="61">
        <f>IFERROR(VLOOKUP($A140,Sales!$A:AG,AI$2,0),0)</f>
        <v>40</v>
      </c>
      <c r="AJ143" s="61">
        <f>IFERROR(VLOOKUP($A140,Sales!$A:AH,AJ$2,0),0)</f>
        <v>0</v>
      </c>
      <c r="AK143" s="73">
        <f t="shared" ref="AK143:CC143" si="240">CEILING(AK$5*$B139,1)</f>
        <v>0</v>
      </c>
      <c r="AL143" s="73">
        <f t="shared" si="240"/>
        <v>0</v>
      </c>
      <c r="AM143" s="73">
        <f t="shared" si="240"/>
        <v>0</v>
      </c>
      <c r="AN143" s="73">
        <f t="shared" si="240"/>
        <v>36</v>
      </c>
      <c r="AO143" s="73">
        <f t="shared" si="240"/>
        <v>36</v>
      </c>
      <c r="AP143" s="73">
        <f t="shared" si="240"/>
        <v>36</v>
      </c>
      <c r="AQ143" s="73">
        <f t="shared" si="240"/>
        <v>44</v>
      </c>
      <c r="AR143" s="73">
        <f t="shared" si="240"/>
        <v>44</v>
      </c>
      <c r="AS143" s="73">
        <f t="shared" si="240"/>
        <v>35</v>
      </c>
      <c r="AT143" s="73">
        <f t="shared" si="240"/>
        <v>44</v>
      </c>
      <c r="AU143" s="73">
        <f t="shared" si="240"/>
        <v>42</v>
      </c>
      <c r="AV143" s="73">
        <f t="shared" si="240"/>
        <v>42</v>
      </c>
      <c r="AW143" s="73">
        <f t="shared" si="240"/>
        <v>42</v>
      </c>
      <c r="AX143" s="73">
        <f t="shared" si="240"/>
        <v>42</v>
      </c>
      <c r="AY143" s="73">
        <f t="shared" si="240"/>
        <v>34</v>
      </c>
      <c r="AZ143" s="73">
        <f t="shared" si="240"/>
        <v>30</v>
      </c>
      <c r="BA143" s="73">
        <f t="shared" si="240"/>
        <v>30</v>
      </c>
      <c r="BB143" s="73">
        <f t="shared" si="240"/>
        <v>30</v>
      </c>
      <c r="BC143" s="73">
        <f t="shared" si="240"/>
        <v>34</v>
      </c>
      <c r="BD143" s="73">
        <f t="shared" si="240"/>
        <v>34</v>
      </c>
      <c r="BE143" s="73">
        <f t="shared" si="240"/>
        <v>34</v>
      </c>
      <c r="BF143" s="73">
        <f t="shared" si="240"/>
        <v>34</v>
      </c>
      <c r="BG143" s="73">
        <f t="shared" si="240"/>
        <v>34</v>
      </c>
      <c r="BH143" s="73">
        <f t="shared" si="240"/>
        <v>34</v>
      </c>
      <c r="BI143" s="73">
        <f t="shared" si="240"/>
        <v>34</v>
      </c>
      <c r="BJ143" s="73">
        <f t="shared" si="240"/>
        <v>34</v>
      </c>
      <c r="BK143" s="73">
        <f t="shared" si="240"/>
        <v>34</v>
      </c>
      <c r="BL143" s="73">
        <f t="shared" si="240"/>
        <v>33</v>
      </c>
      <c r="BM143" s="73">
        <f t="shared" si="240"/>
        <v>33</v>
      </c>
      <c r="BN143" s="73">
        <f t="shared" si="240"/>
        <v>60</v>
      </c>
      <c r="BO143" s="73">
        <f t="shared" si="240"/>
        <v>0</v>
      </c>
      <c r="BP143" s="73">
        <f t="shared" si="240"/>
        <v>0</v>
      </c>
      <c r="BQ143" s="73">
        <f t="shared" si="240"/>
        <v>0</v>
      </c>
      <c r="BR143" s="73">
        <f t="shared" si="240"/>
        <v>0</v>
      </c>
      <c r="BS143" s="73">
        <f t="shared" si="240"/>
        <v>28</v>
      </c>
      <c r="BT143" s="73">
        <f t="shared" si="240"/>
        <v>28</v>
      </c>
      <c r="BU143" s="73">
        <f t="shared" si="240"/>
        <v>28</v>
      </c>
      <c r="BV143" s="73">
        <f t="shared" si="240"/>
        <v>28</v>
      </c>
      <c r="BW143" s="73">
        <f t="shared" si="240"/>
        <v>28</v>
      </c>
      <c r="BX143" s="73">
        <f t="shared" si="240"/>
        <v>28</v>
      </c>
      <c r="BY143" s="73">
        <f t="shared" si="240"/>
        <v>28</v>
      </c>
      <c r="BZ143" s="73">
        <f t="shared" si="240"/>
        <v>28</v>
      </c>
      <c r="CA143" s="73">
        <f t="shared" si="240"/>
        <v>28</v>
      </c>
      <c r="CB143" s="73">
        <f t="shared" si="240"/>
        <v>28</v>
      </c>
      <c r="CC143" s="73">
        <f t="shared" si="240"/>
        <v>28</v>
      </c>
    </row>
    <row r="144" spans="1:81" x14ac:dyDescent="0.2">
      <c r="A144" s="5" t="s">
        <v>214</v>
      </c>
      <c r="B144" s="5">
        <v>0.35899999999999999</v>
      </c>
      <c r="C144" s="46" t="s">
        <v>215</v>
      </c>
      <c r="D144" s="11">
        <f t="shared" ref="D144:AI144" si="241">IF(D143=0,0, ROUND(D140 * 1/D143* D$13,1))</f>
        <v>0</v>
      </c>
      <c r="E144" s="11">
        <f t="shared" si="241"/>
        <v>18.100000000000001</v>
      </c>
      <c r="F144" s="11">
        <f t="shared" si="241"/>
        <v>0</v>
      </c>
      <c r="G144" s="11">
        <f t="shared" si="241"/>
        <v>26.3</v>
      </c>
      <c r="H144" s="11">
        <f t="shared" si="241"/>
        <v>0</v>
      </c>
      <c r="I144" s="11">
        <f t="shared" si="241"/>
        <v>0</v>
      </c>
      <c r="J144" s="11">
        <f t="shared" si="241"/>
        <v>21.3</v>
      </c>
      <c r="K144" s="11">
        <f t="shared" si="241"/>
        <v>16.3</v>
      </c>
      <c r="L144" s="11">
        <f t="shared" si="241"/>
        <v>11.3</v>
      </c>
      <c r="M144" s="11">
        <f t="shared" si="241"/>
        <v>6.3</v>
      </c>
      <c r="N144" s="11">
        <f t="shared" si="241"/>
        <v>0</v>
      </c>
      <c r="O144" s="11">
        <f t="shared" si="241"/>
        <v>0</v>
      </c>
      <c r="P144" s="11">
        <f t="shared" si="241"/>
        <v>0</v>
      </c>
      <c r="Q144" s="11">
        <f t="shared" si="241"/>
        <v>0</v>
      </c>
      <c r="R144" s="11">
        <f t="shared" si="241"/>
        <v>1.3</v>
      </c>
      <c r="S144" s="11">
        <f t="shared" si="241"/>
        <v>-3.8</v>
      </c>
      <c r="T144" s="11">
        <f t="shared" si="241"/>
        <v>0</v>
      </c>
      <c r="U144" s="11">
        <f t="shared" si="241"/>
        <v>-11.7</v>
      </c>
      <c r="V144" s="11">
        <f t="shared" si="241"/>
        <v>-16.7</v>
      </c>
      <c r="W144" s="11">
        <f t="shared" si="241"/>
        <v>-21.7</v>
      </c>
      <c r="X144" s="11">
        <f t="shared" si="241"/>
        <v>-26.7</v>
      </c>
      <c r="Y144" s="11">
        <f t="shared" si="241"/>
        <v>-47.5</v>
      </c>
      <c r="Z144" s="11">
        <f t="shared" si="241"/>
        <v>-52.5</v>
      </c>
      <c r="AA144" s="11">
        <f t="shared" si="241"/>
        <v>-57.5</v>
      </c>
      <c r="AB144" s="11">
        <f t="shared" si="241"/>
        <v>-62.5</v>
      </c>
      <c r="AC144" s="11">
        <f t="shared" si="241"/>
        <v>-67.5</v>
      </c>
      <c r="AD144" s="11">
        <f t="shared" si="241"/>
        <v>-72.5</v>
      </c>
      <c r="AE144" s="11">
        <f t="shared" si="241"/>
        <v>-77.5</v>
      </c>
      <c r="AF144" s="11">
        <f t="shared" si="241"/>
        <v>-82.5</v>
      </c>
      <c r="AG144" s="11">
        <f t="shared" si="241"/>
        <v>0</v>
      </c>
      <c r="AH144" s="11">
        <f t="shared" si="241"/>
        <v>-87.5</v>
      </c>
      <c r="AI144" s="11">
        <f t="shared" si="241"/>
        <v>-92.5</v>
      </c>
      <c r="AJ144" s="11">
        <f t="shared" ref="AJ144:BO144" si="242">IF(AJ143=0,0, ROUND(AJ140 * 1/AJ143* AJ$13,1))</f>
        <v>0</v>
      </c>
      <c r="AK144" s="11">
        <f t="shared" si="242"/>
        <v>0</v>
      </c>
      <c r="AL144" s="11">
        <f t="shared" si="242"/>
        <v>0</v>
      </c>
      <c r="AM144" s="11">
        <f t="shared" si="242"/>
        <v>0</v>
      </c>
      <c r="AN144" s="11">
        <f t="shared" si="242"/>
        <v>-108.3</v>
      </c>
      <c r="AO144" s="11">
        <f t="shared" si="242"/>
        <v>-113.3</v>
      </c>
      <c r="AP144" s="11">
        <f t="shared" si="242"/>
        <v>-118.3</v>
      </c>
      <c r="AQ144" s="11">
        <f t="shared" si="242"/>
        <v>-100.9</v>
      </c>
      <c r="AR144" s="11">
        <f t="shared" si="242"/>
        <v>-105.9</v>
      </c>
      <c r="AS144" s="11">
        <f t="shared" si="242"/>
        <v>-139.4</v>
      </c>
      <c r="AT144" s="11">
        <f t="shared" si="242"/>
        <v>-114.9</v>
      </c>
      <c r="AU144" s="11">
        <f t="shared" si="242"/>
        <v>-125.6</v>
      </c>
      <c r="AV144" s="11">
        <f t="shared" si="242"/>
        <v>-130.6</v>
      </c>
      <c r="AW144" s="11">
        <f t="shared" si="242"/>
        <v>-135.6</v>
      </c>
      <c r="AX144" s="11">
        <f t="shared" si="242"/>
        <v>-140.6</v>
      </c>
      <c r="AY144" s="11">
        <f t="shared" si="242"/>
        <v>-179.9</v>
      </c>
      <c r="AZ144" s="11">
        <f t="shared" si="242"/>
        <v>-209.5</v>
      </c>
      <c r="BA144" s="11">
        <f t="shared" si="242"/>
        <v>-214.5</v>
      </c>
      <c r="BB144" s="11">
        <f t="shared" si="242"/>
        <v>-219.5</v>
      </c>
      <c r="BC144" s="11">
        <f t="shared" si="242"/>
        <v>-198.1</v>
      </c>
      <c r="BD144" s="11">
        <f t="shared" si="242"/>
        <v>-203.1</v>
      </c>
      <c r="BE144" s="11">
        <f t="shared" si="242"/>
        <v>-208.1</v>
      </c>
      <c r="BF144" s="11">
        <f t="shared" si="242"/>
        <v>-213.1</v>
      </c>
      <c r="BG144" s="11">
        <f t="shared" si="242"/>
        <v>-218.1</v>
      </c>
      <c r="BH144" s="11">
        <f t="shared" si="242"/>
        <v>-223.1</v>
      </c>
      <c r="BI144" s="11">
        <f t="shared" si="242"/>
        <v>-228.1</v>
      </c>
      <c r="BJ144" s="11">
        <f t="shared" si="242"/>
        <v>-233.1</v>
      </c>
      <c r="BK144" s="11">
        <f t="shared" si="242"/>
        <v>-238.1</v>
      </c>
      <c r="BL144" s="11">
        <f t="shared" si="242"/>
        <v>-250.5</v>
      </c>
      <c r="BM144" s="11">
        <f t="shared" si="242"/>
        <v>-255.5</v>
      </c>
      <c r="BN144" s="11">
        <f t="shared" si="242"/>
        <v>-143.30000000000001</v>
      </c>
      <c r="BO144" s="11">
        <f t="shared" si="242"/>
        <v>0</v>
      </c>
      <c r="BP144" s="11">
        <f t="shared" ref="BP144:CU144" si="243">IF(BP143=0,0, ROUND(BP140 * 1/BP143* BP$13,1))</f>
        <v>0</v>
      </c>
      <c r="BQ144" s="11">
        <f t="shared" si="243"/>
        <v>0</v>
      </c>
      <c r="BR144" s="11">
        <f t="shared" si="243"/>
        <v>0</v>
      </c>
      <c r="BS144" s="11">
        <f t="shared" si="243"/>
        <v>-317.7</v>
      </c>
      <c r="BT144" s="11">
        <f t="shared" si="243"/>
        <v>-322.7</v>
      </c>
      <c r="BU144" s="11">
        <f t="shared" si="243"/>
        <v>-327.7</v>
      </c>
      <c r="BV144" s="11">
        <f t="shared" si="243"/>
        <v>-332.7</v>
      </c>
      <c r="BW144" s="11">
        <f t="shared" si="243"/>
        <v>-337.7</v>
      </c>
      <c r="BX144" s="11">
        <f t="shared" si="243"/>
        <v>-342.7</v>
      </c>
      <c r="BY144" s="11">
        <f t="shared" si="243"/>
        <v>-347.7</v>
      </c>
      <c r="BZ144" s="11">
        <f t="shared" si="243"/>
        <v>-352.7</v>
      </c>
      <c r="CA144" s="11">
        <f t="shared" si="243"/>
        <v>-357.7</v>
      </c>
      <c r="CB144" s="11">
        <f t="shared" si="243"/>
        <v>-362.7</v>
      </c>
      <c r="CC144" s="11">
        <f t="shared" si="243"/>
        <v>-367.7</v>
      </c>
    </row>
    <row r="145" spans="1:81" x14ac:dyDescent="0.2">
      <c r="A145">
        <v>35</v>
      </c>
      <c r="B145">
        <v>1</v>
      </c>
      <c r="C145" s="68">
        <v>7.6975699999999998</v>
      </c>
      <c r="D145">
        <f t="shared" ref="D145:AI145" si="244">D142/$B145</f>
        <v>0</v>
      </c>
      <c r="E145">
        <f t="shared" si="244"/>
        <v>0</v>
      </c>
      <c r="F145">
        <f t="shared" si="244"/>
        <v>0</v>
      </c>
      <c r="G145">
        <f t="shared" si="244"/>
        <v>0</v>
      </c>
      <c r="H145">
        <f t="shared" si="244"/>
        <v>0</v>
      </c>
      <c r="I145">
        <f t="shared" si="244"/>
        <v>0</v>
      </c>
      <c r="J145">
        <f t="shared" si="244"/>
        <v>0</v>
      </c>
      <c r="K145">
        <f t="shared" si="244"/>
        <v>0</v>
      </c>
      <c r="L145">
        <f t="shared" si="244"/>
        <v>0</v>
      </c>
      <c r="M145">
        <f t="shared" si="244"/>
        <v>0</v>
      </c>
      <c r="N145">
        <f t="shared" si="244"/>
        <v>0</v>
      </c>
      <c r="O145">
        <f t="shared" si="244"/>
        <v>0</v>
      </c>
      <c r="P145">
        <f t="shared" si="244"/>
        <v>0</v>
      </c>
      <c r="Q145">
        <f t="shared" si="244"/>
        <v>0</v>
      </c>
      <c r="R145">
        <f t="shared" si="244"/>
        <v>0</v>
      </c>
      <c r="S145">
        <f t="shared" si="244"/>
        <v>0</v>
      </c>
      <c r="T145">
        <f t="shared" si="244"/>
        <v>0</v>
      </c>
      <c r="U145">
        <f t="shared" si="244"/>
        <v>0</v>
      </c>
      <c r="V145">
        <f t="shared" si="244"/>
        <v>0</v>
      </c>
      <c r="W145">
        <f t="shared" si="244"/>
        <v>0</v>
      </c>
      <c r="X145">
        <f t="shared" si="244"/>
        <v>0</v>
      </c>
      <c r="Y145">
        <f t="shared" si="244"/>
        <v>0</v>
      </c>
      <c r="Z145">
        <f t="shared" si="244"/>
        <v>0</v>
      </c>
      <c r="AA145">
        <f t="shared" si="244"/>
        <v>0</v>
      </c>
      <c r="AB145">
        <f t="shared" si="244"/>
        <v>0</v>
      </c>
      <c r="AC145">
        <f t="shared" si="244"/>
        <v>0</v>
      </c>
      <c r="AD145">
        <f t="shared" si="244"/>
        <v>0</v>
      </c>
      <c r="AE145">
        <f t="shared" si="244"/>
        <v>0</v>
      </c>
      <c r="AF145">
        <f t="shared" si="244"/>
        <v>0</v>
      </c>
      <c r="AG145">
        <f t="shared" si="244"/>
        <v>0</v>
      </c>
      <c r="AH145">
        <f t="shared" si="244"/>
        <v>0</v>
      </c>
      <c r="AI145">
        <f t="shared" si="244"/>
        <v>0</v>
      </c>
      <c r="AJ145">
        <f t="shared" ref="AJ145:BO145" si="245">AJ142/$B145</f>
        <v>0</v>
      </c>
      <c r="AK145">
        <f t="shared" si="245"/>
        <v>0</v>
      </c>
      <c r="AL145">
        <f t="shared" si="245"/>
        <v>0</v>
      </c>
      <c r="AM145">
        <f t="shared" si="245"/>
        <v>0</v>
      </c>
      <c r="AN145">
        <f t="shared" si="245"/>
        <v>0</v>
      </c>
      <c r="AO145">
        <f t="shared" si="245"/>
        <v>0</v>
      </c>
      <c r="AP145">
        <f t="shared" si="245"/>
        <v>0</v>
      </c>
      <c r="AQ145">
        <f t="shared" si="245"/>
        <v>0</v>
      </c>
      <c r="AR145">
        <f t="shared" si="245"/>
        <v>0</v>
      </c>
      <c r="AS145">
        <f t="shared" si="245"/>
        <v>0</v>
      </c>
      <c r="AT145">
        <f t="shared" si="245"/>
        <v>0</v>
      </c>
      <c r="AU145">
        <f t="shared" si="245"/>
        <v>0</v>
      </c>
      <c r="AV145">
        <f t="shared" si="245"/>
        <v>0</v>
      </c>
      <c r="AW145">
        <f t="shared" si="245"/>
        <v>0</v>
      </c>
      <c r="AX145">
        <f t="shared" si="245"/>
        <v>0</v>
      </c>
      <c r="AY145">
        <f t="shared" si="245"/>
        <v>0</v>
      </c>
      <c r="AZ145">
        <f t="shared" si="245"/>
        <v>0</v>
      </c>
      <c r="BA145">
        <f t="shared" si="245"/>
        <v>0</v>
      </c>
      <c r="BB145">
        <f t="shared" si="245"/>
        <v>0</v>
      </c>
      <c r="BC145">
        <f t="shared" si="245"/>
        <v>0</v>
      </c>
      <c r="BD145">
        <f t="shared" si="245"/>
        <v>0</v>
      </c>
      <c r="BE145">
        <f t="shared" si="245"/>
        <v>0</v>
      </c>
      <c r="BF145">
        <f t="shared" si="245"/>
        <v>0</v>
      </c>
      <c r="BG145">
        <f t="shared" si="245"/>
        <v>0</v>
      </c>
      <c r="BH145">
        <f t="shared" si="245"/>
        <v>0</v>
      </c>
      <c r="BI145">
        <f t="shared" si="245"/>
        <v>0</v>
      </c>
      <c r="BJ145">
        <f t="shared" si="245"/>
        <v>0</v>
      </c>
      <c r="BK145">
        <f t="shared" si="245"/>
        <v>0</v>
      </c>
      <c r="BL145">
        <f t="shared" si="245"/>
        <v>0</v>
      </c>
      <c r="BM145">
        <f t="shared" si="245"/>
        <v>0</v>
      </c>
      <c r="BN145">
        <f t="shared" si="245"/>
        <v>0</v>
      </c>
      <c r="BO145">
        <f t="shared" si="245"/>
        <v>0</v>
      </c>
      <c r="BP145">
        <f t="shared" ref="BP145:CC145" si="246">BP142/$B145</f>
        <v>0</v>
      </c>
      <c r="BQ145">
        <f t="shared" si="246"/>
        <v>0</v>
      </c>
      <c r="BR145">
        <f t="shared" si="246"/>
        <v>0</v>
      </c>
      <c r="BS145">
        <f t="shared" si="246"/>
        <v>0</v>
      </c>
      <c r="BT145">
        <f t="shared" si="246"/>
        <v>0</v>
      </c>
      <c r="BU145">
        <f t="shared" si="246"/>
        <v>0</v>
      </c>
      <c r="BV145">
        <f t="shared" si="246"/>
        <v>0</v>
      </c>
      <c r="BW145">
        <f t="shared" si="246"/>
        <v>0</v>
      </c>
      <c r="BX145">
        <f t="shared" si="246"/>
        <v>0</v>
      </c>
      <c r="BY145">
        <f t="shared" si="246"/>
        <v>0</v>
      </c>
      <c r="BZ145">
        <f t="shared" si="246"/>
        <v>0</v>
      </c>
      <c r="CA145">
        <f t="shared" si="246"/>
        <v>0</v>
      </c>
      <c r="CB145">
        <f t="shared" si="246"/>
        <v>0</v>
      </c>
      <c r="CC145">
        <f t="shared" si="246"/>
        <v>0</v>
      </c>
    </row>
    <row r="146" spans="1:81" x14ac:dyDescent="0.2">
      <c r="A146" s="10"/>
      <c r="B146" s="67">
        <f>SUM(D150:AJ150)/SUM($D$263:$AJ$263)</f>
        <v>0.11016162898579032</v>
      </c>
      <c r="C146" s="9" t="s">
        <v>216</v>
      </c>
      <c r="D146">
        <f t="shared" ref="D146:AI146" si="247">D140-D143</f>
        <v>580</v>
      </c>
      <c r="E146">
        <f t="shared" si="247"/>
        <v>420</v>
      </c>
      <c r="F146">
        <f t="shared" si="247"/>
        <v>420</v>
      </c>
      <c r="G146">
        <f t="shared" si="247"/>
        <v>340</v>
      </c>
      <c r="H146">
        <f t="shared" si="247"/>
        <v>340</v>
      </c>
      <c r="I146">
        <f t="shared" si="247"/>
        <v>340</v>
      </c>
      <c r="J146">
        <f t="shared" si="247"/>
        <v>260</v>
      </c>
      <c r="K146">
        <f t="shared" si="247"/>
        <v>180</v>
      </c>
      <c r="L146">
        <f t="shared" si="247"/>
        <v>100</v>
      </c>
      <c r="M146">
        <f t="shared" si="247"/>
        <v>20</v>
      </c>
      <c r="N146">
        <f t="shared" si="247"/>
        <v>20</v>
      </c>
      <c r="O146">
        <f t="shared" si="247"/>
        <v>20</v>
      </c>
      <c r="P146">
        <f t="shared" si="247"/>
        <v>20</v>
      </c>
      <c r="Q146">
        <f t="shared" si="247"/>
        <v>20</v>
      </c>
      <c r="R146">
        <f t="shared" si="247"/>
        <v>-60</v>
      </c>
      <c r="S146">
        <f t="shared" si="247"/>
        <v>-140</v>
      </c>
      <c r="T146">
        <f t="shared" si="247"/>
        <v>-140</v>
      </c>
      <c r="U146">
        <f t="shared" si="247"/>
        <v>-200</v>
      </c>
      <c r="V146">
        <f t="shared" si="247"/>
        <v>-260</v>
      </c>
      <c r="W146">
        <f t="shared" si="247"/>
        <v>-320</v>
      </c>
      <c r="X146">
        <f t="shared" si="247"/>
        <v>-380</v>
      </c>
      <c r="Y146">
        <f t="shared" si="247"/>
        <v>-420</v>
      </c>
      <c r="Z146">
        <f t="shared" si="247"/>
        <v>-460</v>
      </c>
      <c r="AA146">
        <f t="shared" si="247"/>
        <v>-500</v>
      </c>
      <c r="AB146">
        <f t="shared" si="247"/>
        <v>-540</v>
      </c>
      <c r="AC146">
        <f t="shared" si="247"/>
        <v>-580</v>
      </c>
      <c r="AD146">
        <f t="shared" si="247"/>
        <v>-620</v>
      </c>
      <c r="AE146">
        <f t="shared" si="247"/>
        <v>-660</v>
      </c>
      <c r="AF146">
        <f t="shared" si="247"/>
        <v>-700</v>
      </c>
      <c r="AG146">
        <f t="shared" si="247"/>
        <v>-700</v>
      </c>
      <c r="AH146">
        <f t="shared" si="247"/>
        <v>-740</v>
      </c>
      <c r="AI146">
        <f t="shared" si="247"/>
        <v>-780</v>
      </c>
      <c r="AJ146">
        <f t="shared" ref="AJ146:BO146" si="248">AJ140-AJ143</f>
        <v>-780</v>
      </c>
      <c r="AK146">
        <f t="shared" si="248"/>
        <v>-780</v>
      </c>
      <c r="AL146">
        <f t="shared" si="248"/>
        <v>-780</v>
      </c>
      <c r="AM146">
        <f t="shared" si="248"/>
        <v>-780</v>
      </c>
      <c r="AN146">
        <f t="shared" si="248"/>
        <v>-816</v>
      </c>
      <c r="AO146">
        <f t="shared" si="248"/>
        <v>-852</v>
      </c>
      <c r="AP146">
        <f t="shared" si="248"/>
        <v>-888</v>
      </c>
      <c r="AQ146">
        <f t="shared" si="248"/>
        <v>-932</v>
      </c>
      <c r="AR146">
        <f t="shared" si="248"/>
        <v>-976</v>
      </c>
      <c r="AS146">
        <f t="shared" si="248"/>
        <v>-1011</v>
      </c>
      <c r="AT146">
        <f t="shared" si="248"/>
        <v>-1055</v>
      </c>
      <c r="AU146">
        <f t="shared" si="248"/>
        <v>-1097</v>
      </c>
      <c r="AV146">
        <f t="shared" si="248"/>
        <v>-1139</v>
      </c>
      <c r="AW146">
        <f t="shared" si="248"/>
        <v>-1181</v>
      </c>
      <c r="AX146">
        <f t="shared" si="248"/>
        <v>-1223</v>
      </c>
      <c r="AY146">
        <f t="shared" si="248"/>
        <v>-1257</v>
      </c>
      <c r="AZ146">
        <f t="shared" si="248"/>
        <v>-1287</v>
      </c>
      <c r="BA146">
        <f t="shared" si="248"/>
        <v>-1317</v>
      </c>
      <c r="BB146">
        <f t="shared" si="248"/>
        <v>-1347</v>
      </c>
      <c r="BC146">
        <f t="shared" si="248"/>
        <v>-1381</v>
      </c>
      <c r="BD146">
        <f t="shared" si="248"/>
        <v>-1415</v>
      </c>
      <c r="BE146">
        <f t="shared" si="248"/>
        <v>-1449</v>
      </c>
      <c r="BF146">
        <f t="shared" si="248"/>
        <v>-1483</v>
      </c>
      <c r="BG146">
        <f t="shared" si="248"/>
        <v>-1517</v>
      </c>
      <c r="BH146">
        <f t="shared" si="248"/>
        <v>-1551</v>
      </c>
      <c r="BI146">
        <f t="shared" si="248"/>
        <v>-1585</v>
      </c>
      <c r="BJ146">
        <f t="shared" si="248"/>
        <v>-1619</v>
      </c>
      <c r="BK146">
        <f t="shared" si="248"/>
        <v>-1653</v>
      </c>
      <c r="BL146">
        <f t="shared" si="248"/>
        <v>-1686</v>
      </c>
      <c r="BM146">
        <f t="shared" si="248"/>
        <v>-1719</v>
      </c>
      <c r="BN146">
        <f t="shared" si="248"/>
        <v>-1779</v>
      </c>
      <c r="BO146">
        <f t="shared" si="248"/>
        <v>-1779</v>
      </c>
      <c r="BP146">
        <f t="shared" ref="BP146:CC146" si="249">BP140-BP143</f>
        <v>-1779</v>
      </c>
      <c r="BQ146">
        <f t="shared" si="249"/>
        <v>-1779</v>
      </c>
      <c r="BR146">
        <f t="shared" si="249"/>
        <v>-1779</v>
      </c>
      <c r="BS146">
        <f t="shared" si="249"/>
        <v>-1807</v>
      </c>
      <c r="BT146">
        <f t="shared" si="249"/>
        <v>-1835</v>
      </c>
      <c r="BU146">
        <f t="shared" si="249"/>
        <v>-1863</v>
      </c>
      <c r="BV146">
        <f t="shared" si="249"/>
        <v>-1891</v>
      </c>
      <c r="BW146">
        <f t="shared" si="249"/>
        <v>-1919</v>
      </c>
      <c r="BX146">
        <f t="shared" si="249"/>
        <v>-1947</v>
      </c>
      <c r="BY146">
        <f t="shared" si="249"/>
        <v>-1975</v>
      </c>
      <c r="BZ146">
        <f t="shared" si="249"/>
        <v>-2003</v>
      </c>
      <c r="CA146">
        <f t="shared" si="249"/>
        <v>-2031</v>
      </c>
      <c r="CB146">
        <f t="shared" si="249"/>
        <v>-2059</v>
      </c>
      <c r="CC146">
        <f t="shared" si="249"/>
        <v>-2087</v>
      </c>
    </row>
    <row r="147" spans="1:81" x14ac:dyDescent="0.2">
      <c r="A147" s="43" t="s">
        <v>235</v>
      </c>
      <c r="B147" s="44" t="s">
        <v>208</v>
      </c>
      <c r="C147" s="9" t="s">
        <v>38</v>
      </c>
      <c r="D147" s="58">
        <f>IFERROR(VLOOKUP(A147,OS!$A:$B,2,0),0)</f>
        <v>2380</v>
      </c>
      <c r="E147" s="5">
        <f>(D147+D148-D150)</f>
        <v>2700</v>
      </c>
      <c r="F147" s="5">
        <f>(E147+E148-E150)</f>
        <v>1980</v>
      </c>
      <c r="G147" s="5">
        <f>(F147+F148-F150)</f>
        <v>1980</v>
      </c>
      <c r="H147" s="5">
        <f>(G147+G148-G150)</f>
        <v>1740</v>
      </c>
      <c r="I147" s="5">
        <f t="shared" ref="I147:AN147" si="250">(H147+H148-H150+D149)</f>
        <v>1420</v>
      </c>
      <c r="J147" s="5">
        <f t="shared" si="250"/>
        <v>1180</v>
      </c>
      <c r="K147" s="5">
        <f t="shared" si="250"/>
        <v>860</v>
      </c>
      <c r="L147" s="5">
        <f t="shared" si="250"/>
        <v>460</v>
      </c>
      <c r="M147" s="5">
        <f t="shared" si="250"/>
        <v>-100</v>
      </c>
      <c r="N147" s="5">
        <f t="shared" si="250"/>
        <v>-980</v>
      </c>
      <c r="O147" s="5">
        <f t="shared" si="250"/>
        <v>-980</v>
      </c>
      <c r="P147" s="5">
        <f t="shared" si="250"/>
        <v>-980</v>
      </c>
      <c r="Q147" s="5">
        <f t="shared" si="250"/>
        <v>-980</v>
      </c>
      <c r="R147" s="5">
        <f t="shared" si="250"/>
        <v>-980</v>
      </c>
      <c r="S147" s="5">
        <f t="shared" si="250"/>
        <v>-1460</v>
      </c>
      <c r="T147" s="5">
        <f t="shared" si="250"/>
        <v>-1860</v>
      </c>
      <c r="U147" s="5">
        <f t="shared" si="250"/>
        <v>-2340</v>
      </c>
      <c r="V147" s="5">
        <f t="shared" si="250"/>
        <v>-2800</v>
      </c>
      <c r="W147" s="5">
        <f t="shared" si="250"/>
        <v>-3260</v>
      </c>
      <c r="X147" s="5">
        <f t="shared" si="250"/>
        <v>-3720</v>
      </c>
      <c r="Y147" s="5">
        <f t="shared" si="250"/>
        <v>-4180</v>
      </c>
      <c r="Z147" s="5">
        <f t="shared" si="250"/>
        <v>-4460</v>
      </c>
      <c r="AA147" s="5">
        <f t="shared" si="250"/>
        <v>-4740</v>
      </c>
      <c r="AB147" s="5">
        <f t="shared" si="250"/>
        <v>-5020</v>
      </c>
      <c r="AC147" s="5">
        <f t="shared" si="250"/>
        <v>-5300</v>
      </c>
      <c r="AD147" s="5">
        <f t="shared" si="250"/>
        <v>-5770</v>
      </c>
      <c r="AE147" s="5">
        <f t="shared" si="250"/>
        <v>-6240</v>
      </c>
      <c r="AF147" s="5">
        <f t="shared" si="250"/>
        <v>-6710</v>
      </c>
      <c r="AG147" s="5">
        <f t="shared" si="250"/>
        <v>-7180</v>
      </c>
      <c r="AH147" s="5">
        <f t="shared" si="250"/>
        <v>-7620</v>
      </c>
      <c r="AI147" s="5">
        <f t="shared" si="250"/>
        <v>-8100</v>
      </c>
      <c r="AJ147" s="5">
        <f t="shared" si="250"/>
        <v>-8580</v>
      </c>
      <c r="AK147" s="5">
        <f t="shared" si="250"/>
        <v>-8580</v>
      </c>
      <c r="AL147" s="5">
        <f t="shared" si="250"/>
        <v>-8580</v>
      </c>
      <c r="AM147" s="5">
        <f t="shared" si="250"/>
        <v>-8580</v>
      </c>
      <c r="AN147" s="5">
        <f t="shared" si="250"/>
        <v>-8580</v>
      </c>
      <c r="AO147" s="5">
        <f t="shared" ref="AO147:BT147" si="251">(AN147+AN148-AN150+AJ149)</f>
        <v>-8879</v>
      </c>
      <c r="AP147" s="5">
        <f t="shared" si="251"/>
        <v>-9178</v>
      </c>
      <c r="AQ147" s="5">
        <f t="shared" si="251"/>
        <v>-9477</v>
      </c>
      <c r="AR147" s="5">
        <f t="shared" si="251"/>
        <v>-9838</v>
      </c>
      <c r="AS147" s="5">
        <f t="shared" si="251"/>
        <v>-10199</v>
      </c>
      <c r="AT147" s="5">
        <f t="shared" si="251"/>
        <v>-10488</v>
      </c>
      <c r="AU147" s="5">
        <f t="shared" si="251"/>
        <v>-10849</v>
      </c>
      <c r="AV147" s="5">
        <f t="shared" si="251"/>
        <v>-11192</v>
      </c>
      <c r="AW147" s="5">
        <f t="shared" si="251"/>
        <v>-11535</v>
      </c>
      <c r="AX147" s="5">
        <f t="shared" si="251"/>
        <v>-11878</v>
      </c>
      <c r="AY147" s="5">
        <f t="shared" si="251"/>
        <v>-12221</v>
      </c>
      <c r="AZ147" s="5">
        <f t="shared" si="251"/>
        <v>-12495</v>
      </c>
      <c r="BA147" s="5">
        <f t="shared" si="251"/>
        <v>-12739</v>
      </c>
      <c r="BB147" s="5">
        <f t="shared" si="251"/>
        <v>-12983</v>
      </c>
      <c r="BC147" s="5">
        <f t="shared" si="251"/>
        <v>-13227</v>
      </c>
      <c r="BD147" s="5">
        <f t="shared" si="251"/>
        <v>-13501</v>
      </c>
      <c r="BE147" s="5">
        <f t="shared" si="251"/>
        <v>-13775</v>
      </c>
      <c r="BF147" s="5">
        <f t="shared" si="251"/>
        <v>-14049</v>
      </c>
      <c r="BG147" s="5">
        <f t="shared" si="251"/>
        <v>-14323</v>
      </c>
      <c r="BH147" s="5">
        <f t="shared" si="251"/>
        <v>-14597</v>
      </c>
      <c r="BI147" s="5">
        <f t="shared" si="251"/>
        <v>-14871</v>
      </c>
      <c r="BJ147" s="5">
        <f t="shared" si="251"/>
        <v>-15145</v>
      </c>
      <c r="BK147" s="5">
        <f t="shared" si="251"/>
        <v>-15419</v>
      </c>
      <c r="BL147" s="5">
        <f t="shared" si="251"/>
        <v>-15693</v>
      </c>
      <c r="BM147" s="5">
        <f t="shared" si="251"/>
        <v>-15966</v>
      </c>
      <c r="BN147" s="5">
        <f t="shared" si="251"/>
        <v>-16239</v>
      </c>
      <c r="BO147" s="5">
        <f t="shared" si="251"/>
        <v>-16737</v>
      </c>
      <c r="BP147" s="5">
        <f t="shared" si="251"/>
        <v>-16737</v>
      </c>
      <c r="BQ147" s="5">
        <f t="shared" si="251"/>
        <v>-16737</v>
      </c>
      <c r="BR147" s="5">
        <f t="shared" si="251"/>
        <v>-16737</v>
      </c>
      <c r="BS147" s="5">
        <f t="shared" si="251"/>
        <v>-16737</v>
      </c>
      <c r="BT147" s="5">
        <f t="shared" si="251"/>
        <v>-16962</v>
      </c>
      <c r="BU147" s="5">
        <f t="shared" ref="BU147:CZ147" si="252">(BT147+BT148-BT150+BP149)</f>
        <v>-17187</v>
      </c>
      <c r="BV147" s="5">
        <f t="shared" si="252"/>
        <v>-17412</v>
      </c>
      <c r="BW147" s="5">
        <f t="shared" si="252"/>
        <v>-17637</v>
      </c>
      <c r="BX147" s="5">
        <f t="shared" si="252"/>
        <v>-17862</v>
      </c>
      <c r="BY147" s="5">
        <f t="shared" si="252"/>
        <v>-18087</v>
      </c>
      <c r="BZ147" s="5">
        <f t="shared" si="252"/>
        <v>-18312</v>
      </c>
      <c r="CA147" s="5">
        <f t="shared" si="252"/>
        <v>-18537</v>
      </c>
      <c r="CB147" s="5">
        <f t="shared" si="252"/>
        <v>-18762</v>
      </c>
      <c r="CC147" s="5">
        <f t="shared" si="252"/>
        <v>-18987</v>
      </c>
    </row>
    <row r="148" spans="1:81" x14ac:dyDescent="0.2">
      <c r="A148" s="5" t="s">
        <v>209</v>
      </c>
      <c r="B148" s="5">
        <v>12.343260000000001</v>
      </c>
      <c r="C148" s="45" t="s">
        <v>39</v>
      </c>
      <c r="D148" s="59">
        <f>IFERROR(VLOOKUP(A147,WIP!$A:$B,2,0),0)</f>
        <v>320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</row>
    <row r="149" spans="1:81" x14ac:dyDescent="0.2">
      <c r="A149" s="5" t="s">
        <v>210</v>
      </c>
      <c r="B149" s="5">
        <v>0.33200000000000002</v>
      </c>
      <c r="C149" s="9" t="s">
        <v>211</v>
      </c>
      <c r="D149" s="60">
        <f>IFERROR(VLOOKUP($A147,Plan!$A:B,D$4,0),0)</f>
        <v>0</v>
      </c>
      <c r="E149" s="70">
        <f>IFERROR(VLOOKUP($A147,Plan!$A:C,E$4,0),0)</f>
        <v>0</v>
      </c>
      <c r="F149" s="70">
        <f>IFERROR(VLOOKUP($A147,Plan!$A:D,F$4,0),0)</f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</row>
    <row r="150" spans="1:81" x14ac:dyDescent="0.2">
      <c r="A150" s="5" t="s">
        <v>212</v>
      </c>
      <c r="B150" s="5">
        <v>8.7999999999999995E-2</v>
      </c>
      <c r="C150" s="9" t="s">
        <v>213</v>
      </c>
      <c r="D150" s="61">
        <f>IFERROR(VLOOKUP($A147,Sales!$A:B,D$2,0),0)</f>
        <v>0</v>
      </c>
      <c r="E150" s="61">
        <f>IFERROR(VLOOKUP($A147,Sales!$A:C,E$2,0),0)</f>
        <v>720</v>
      </c>
      <c r="F150" s="61">
        <f>IFERROR(VLOOKUP($A147,Sales!$A:D,F$2,0),0)</f>
        <v>0</v>
      </c>
      <c r="G150" s="61">
        <f>IFERROR(VLOOKUP($A147,Sales!$A:E,G$2,0),0)</f>
        <v>240</v>
      </c>
      <c r="H150" s="61">
        <f>IFERROR(VLOOKUP($A147,Sales!$A:F,H$2,0),0)</f>
        <v>320</v>
      </c>
      <c r="I150" s="61">
        <f>IFERROR(VLOOKUP($A147,Sales!$A:G,I$2,0),0)</f>
        <v>240</v>
      </c>
      <c r="J150" s="61">
        <f>IFERROR(VLOOKUP($A147,Sales!$A:H,J$2,0),0)</f>
        <v>320</v>
      </c>
      <c r="K150" s="61">
        <f>IFERROR(VLOOKUP($A147,Sales!$A:I,K$2,0),0)</f>
        <v>400</v>
      </c>
      <c r="L150" s="61">
        <f>IFERROR(VLOOKUP($A147,Sales!$A:J,L$2,0),0)</f>
        <v>560</v>
      </c>
      <c r="M150" s="61">
        <f>IFERROR(VLOOKUP($A147,Sales!$A:K,M$2,0),0)</f>
        <v>880</v>
      </c>
      <c r="N150" s="61">
        <f>IFERROR(VLOOKUP($A147,Sales!$A:L,N$2,0),0)</f>
        <v>0</v>
      </c>
      <c r="O150" s="61">
        <f>IFERROR(VLOOKUP($A147,Sales!$A:M,O$2,0),0)</f>
        <v>0</v>
      </c>
      <c r="P150" s="61">
        <f>IFERROR(VLOOKUP($A147,Sales!$A:N,P$2,0),0)</f>
        <v>0</v>
      </c>
      <c r="Q150" s="61">
        <f>IFERROR(VLOOKUP($A147,Sales!$A:O,Q$2,0),0)</f>
        <v>0</v>
      </c>
      <c r="R150" s="61">
        <f>IFERROR(VLOOKUP($A147,Sales!$A:P,R$2,0),0)</f>
        <v>480</v>
      </c>
      <c r="S150" s="61">
        <f>IFERROR(VLOOKUP($A147,Sales!$A:Q,S$2,0),0)</f>
        <v>400</v>
      </c>
      <c r="T150" s="61">
        <f>IFERROR(VLOOKUP($A147,Sales!$A:R,T$2,0),0)</f>
        <v>480</v>
      </c>
      <c r="U150" s="61">
        <f>IFERROR(VLOOKUP($A147,Sales!$A:S,U$2,0),0)</f>
        <v>460</v>
      </c>
      <c r="V150" s="61">
        <f>IFERROR(VLOOKUP($A147,Sales!$A:T,V$2,0),0)</f>
        <v>460</v>
      </c>
      <c r="W150" s="61">
        <f>IFERROR(VLOOKUP($A147,Sales!$A:U,W$2,0),0)</f>
        <v>460</v>
      </c>
      <c r="X150" s="61">
        <f>IFERROR(VLOOKUP($A147,Sales!$A:V,X$2,0),0)</f>
        <v>460</v>
      </c>
      <c r="Y150" s="61">
        <f>IFERROR(VLOOKUP($A147,Sales!$A:W,Y$2,0),0)</f>
        <v>280</v>
      </c>
      <c r="Z150" s="61">
        <f>IFERROR(VLOOKUP($A147,Sales!$A:X,Z$2,0),0)</f>
        <v>280</v>
      </c>
      <c r="AA150" s="61">
        <f>IFERROR(VLOOKUP($A147,Sales!$A:Y,AA$2,0),0)</f>
        <v>280</v>
      </c>
      <c r="AB150" s="61">
        <f>IFERROR(VLOOKUP($A147,Sales!$A:Z,AB$2,0),0)</f>
        <v>280</v>
      </c>
      <c r="AC150" s="61">
        <f>IFERROR(VLOOKUP($A147,Sales!$A:AA,AC$2,0),0)</f>
        <v>470</v>
      </c>
      <c r="AD150" s="61">
        <f>IFERROR(VLOOKUP($A147,Sales!$A:AB,AD$2,0),0)</f>
        <v>470</v>
      </c>
      <c r="AE150" s="61">
        <f>IFERROR(VLOOKUP($A147,Sales!$A:AC,AE$2,0),0)</f>
        <v>470</v>
      </c>
      <c r="AF150" s="61">
        <f>IFERROR(VLOOKUP($A147,Sales!$A:AD,AF$2,0),0)</f>
        <v>470</v>
      </c>
      <c r="AG150" s="61">
        <f>IFERROR(VLOOKUP($A147,Sales!$A:AE,AG$2,0),0)</f>
        <v>440</v>
      </c>
      <c r="AH150" s="61">
        <f>IFERROR(VLOOKUP($A147,Sales!$A:AF,AH$2,0),0)</f>
        <v>480</v>
      </c>
      <c r="AI150" s="61">
        <f>IFERROR(VLOOKUP($A147,Sales!$A:AG,AI$2,0),0)</f>
        <v>480</v>
      </c>
      <c r="AJ150" s="61">
        <f>IFERROR(VLOOKUP($A147,Sales!$A:AH,AJ$2,0),0)</f>
        <v>0</v>
      </c>
      <c r="AK150" s="73">
        <f t="shared" ref="AK150:CC150" si="253">CEILING(AK$5*$B146,1)</f>
        <v>0</v>
      </c>
      <c r="AL150" s="73">
        <f t="shared" si="253"/>
        <v>0</v>
      </c>
      <c r="AM150" s="73">
        <f t="shared" si="253"/>
        <v>0</v>
      </c>
      <c r="AN150" s="73">
        <f t="shared" si="253"/>
        <v>299</v>
      </c>
      <c r="AO150" s="73">
        <f t="shared" si="253"/>
        <v>299</v>
      </c>
      <c r="AP150" s="73">
        <f t="shared" si="253"/>
        <v>299</v>
      </c>
      <c r="AQ150" s="73">
        <f t="shared" si="253"/>
        <v>361</v>
      </c>
      <c r="AR150" s="73">
        <f t="shared" si="253"/>
        <v>361</v>
      </c>
      <c r="AS150" s="73">
        <f t="shared" si="253"/>
        <v>289</v>
      </c>
      <c r="AT150" s="73">
        <f t="shared" si="253"/>
        <v>361</v>
      </c>
      <c r="AU150" s="73">
        <f t="shared" si="253"/>
        <v>343</v>
      </c>
      <c r="AV150" s="73">
        <f t="shared" si="253"/>
        <v>343</v>
      </c>
      <c r="AW150" s="73">
        <f t="shared" si="253"/>
        <v>343</v>
      </c>
      <c r="AX150" s="73">
        <f t="shared" si="253"/>
        <v>343</v>
      </c>
      <c r="AY150" s="73">
        <f t="shared" si="253"/>
        <v>274</v>
      </c>
      <c r="AZ150" s="73">
        <f t="shared" si="253"/>
        <v>244</v>
      </c>
      <c r="BA150" s="73">
        <f t="shared" si="253"/>
        <v>244</v>
      </c>
      <c r="BB150" s="73">
        <f t="shared" si="253"/>
        <v>244</v>
      </c>
      <c r="BC150" s="73">
        <f t="shared" si="253"/>
        <v>274</v>
      </c>
      <c r="BD150" s="73">
        <f t="shared" si="253"/>
        <v>274</v>
      </c>
      <c r="BE150" s="73">
        <f t="shared" si="253"/>
        <v>274</v>
      </c>
      <c r="BF150" s="73">
        <f t="shared" si="253"/>
        <v>274</v>
      </c>
      <c r="BG150" s="73">
        <f t="shared" si="253"/>
        <v>274</v>
      </c>
      <c r="BH150" s="73">
        <f t="shared" si="253"/>
        <v>274</v>
      </c>
      <c r="BI150" s="73">
        <f t="shared" si="253"/>
        <v>274</v>
      </c>
      <c r="BJ150" s="73">
        <f t="shared" si="253"/>
        <v>274</v>
      </c>
      <c r="BK150" s="73">
        <f t="shared" si="253"/>
        <v>274</v>
      </c>
      <c r="BL150" s="73">
        <f t="shared" si="253"/>
        <v>273</v>
      </c>
      <c r="BM150" s="73">
        <f t="shared" si="253"/>
        <v>273</v>
      </c>
      <c r="BN150" s="73">
        <f t="shared" si="253"/>
        <v>498</v>
      </c>
      <c r="BO150" s="73">
        <f t="shared" si="253"/>
        <v>0</v>
      </c>
      <c r="BP150" s="73">
        <f t="shared" si="253"/>
        <v>0</v>
      </c>
      <c r="BQ150" s="73">
        <f t="shared" si="253"/>
        <v>0</v>
      </c>
      <c r="BR150" s="73">
        <f t="shared" si="253"/>
        <v>0</v>
      </c>
      <c r="BS150" s="73">
        <f t="shared" si="253"/>
        <v>225</v>
      </c>
      <c r="BT150" s="73">
        <f t="shared" si="253"/>
        <v>225</v>
      </c>
      <c r="BU150" s="73">
        <f t="shared" si="253"/>
        <v>225</v>
      </c>
      <c r="BV150" s="73">
        <f t="shared" si="253"/>
        <v>225</v>
      </c>
      <c r="BW150" s="73">
        <f t="shared" si="253"/>
        <v>225</v>
      </c>
      <c r="BX150" s="73">
        <f t="shared" si="253"/>
        <v>225</v>
      </c>
      <c r="BY150" s="73">
        <f t="shared" si="253"/>
        <v>225</v>
      </c>
      <c r="BZ150" s="73">
        <f t="shared" si="253"/>
        <v>225</v>
      </c>
      <c r="CA150" s="73">
        <f t="shared" si="253"/>
        <v>225</v>
      </c>
      <c r="CB150" s="73">
        <f t="shared" si="253"/>
        <v>225</v>
      </c>
      <c r="CC150" s="73">
        <f t="shared" si="253"/>
        <v>225</v>
      </c>
    </row>
    <row r="151" spans="1:81" x14ac:dyDescent="0.2">
      <c r="A151" s="5" t="s">
        <v>214</v>
      </c>
      <c r="B151" s="5">
        <v>0.42</v>
      </c>
      <c r="C151" s="46" t="s">
        <v>215</v>
      </c>
      <c r="D151" s="11">
        <f t="shared" ref="D151:AI151" si="254">IF(D150=0,0, ROUND(D147 * 1/D150* D$13,1))</f>
        <v>0</v>
      </c>
      <c r="E151" s="11">
        <f t="shared" si="254"/>
        <v>18.8</v>
      </c>
      <c r="F151" s="11">
        <f t="shared" si="254"/>
        <v>0</v>
      </c>
      <c r="G151" s="11">
        <f t="shared" si="254"/>
        <v>41.3</v>
      </c>
      <c r="H151" s="11">
        <f t="shared" si="254"/>
        <v>27.2</v>
      </c>
      <c r="I151" s="11">
        <f t="shared" si="254"/>
        <v>29.6</v>
      </c>
      <c r="J151" s="11">
        <f t="shared" si="254"/>
        <v>18.399999999999999</v>
      </c>
      <c r="K151" s="11">
        <f t="shared" si="254"/>
        <v>10.8</v>
      </c>
      <c r="L151" s="11">
        <f t="shared" si="254"/>
        <v>4.0999999999999996</v>
      </c>
      <c r="M151" s="11">
        <f t="shared" si="254"/>
        <v>-0.6</v>
      </c>
      <c r="N151" s="11">
        <f t="shared" si="254"/>
        <v>0</v>
      </c>
      <c r="O151" s="11">
        <f t="shared" si="254"/>
        <v>0</v>
      </c>
      <c r="P151" s="11">
        <f t="shared" si="254"/>
        <v>0</v>
      </c>
      <c r="Q151" s="11">
        <f t="shared" si="254"/>
        <v>0</v>
      </c>
      <c r="R151" s="11">
        <f t="shared" si="254"/>
        <v>-10.199999999999999</v>
      </c>
      <c r="S151" s="11">
        <f t="shared" si="254"/>
        <v>-18.3</v>
      </c>
      <c r="T151" s="11">
        <f t="shared" si="254"/>
        <v>-19.399999999999999</v>
      </c>
      <c r="U151" s="11">
        <f t="shared" si="254"/>
        <v>-25.4</v>
      </c>
      <c r="V151" s="11">
        <f t="shared" si="254"/>
        <v>-30.4</v>
      </c>
      <c r="W151" s="11">
        <f t="shared" si="254"/>
        <v>-35.4</v>
      </c>
      <c r="X151" s="11">
        <f t="shared" si="254"/>
        <v>-40.4</v>
      </c>
      <c r="Y151" s="11">
        <f t="shared" si="254"/>
        <v>-74.599999999999994</v>
      </c>
      <c r="Z151" s="11">
        <f t="shared" si="254"/>
        <v>-79.599999999999994</v>
      </c>
      <c r="AA151" s="11">
        <f t="shared" si="254"/>
        <v>-84.6</v>
      </c>
      <c r="AB151" s="11">
        <f t="shared" si="254"/>
        <v>-89.6</v>
      </c>
      <c r="AC151" s="11">
        <f t="shared" si="254"/>
        <v>-56.4</v>
      </c>
      <c r="AD151" s="11">
        <f t="shared" si="254"/>
        <v>-61.4</v>
      </c>
      <c r="AE151" s="11">
        <f t="shared" si="254"/>
        <v>-66.400000000000006</v>
      </c>
      <c r="AF151" s="11">
        <f t="shared" si="254"/>
        <v>-71.400000000000006</v>
      </c>
      <c r="AG151" s="11">
        <f t="shared" si="254"/>
        <v>-81.599999999999994</v>
      </c>
      <c r="AH151" s="11">
        <f t="shared" si="254"/>
        <v>-79.400000000000006</v>
      </c>
      <c r="AI151" s="11">
        <f t="shared" si="254"/>
        <v>-84.4</v>
      </c>
      <c r="AJ151" s="11">
        <f t="shared" ref="AJ151:BO151" si="255">IF(AJ150=0,0, ROUND(AJ147 * 1/AJ150* AJ$13,1))</f>
        <v>0</v>
      </c>
      <c r="AK151" s="11">
        <f t="shared" si="255"/>
        <v>0</v>
      </c>
      <c r="AL151" s="11">
        <f t="shared" si="255"/>
        <v>0</v>
      </c>
      <c r="AM151" s="11">
        <f t="shared" si="255"/>
        <v>0</v>
      </c>
      <c r="AN151" s="11">
        <f t="shared" si="255"/>
        <v>-143.5</v>
      </c>
      <c r="AO151" s="11">
        <f t="shared" si="255"/>
        <v>-148.5</v>
      </c>
      <c r="AP151" s="11">
        <f t="shared" si="255"/>
        <v>-153.5</v>
      </c>
      <c r="AQ151" s="11">
        <f t="shared" si="255"/>
        <v>-131.30000000000001</v>
      </c>
      <c r="AR151" s="11">
        <f t="shared" si="255"/>
        <v>-136.30000000000001</v>
      </c>
      <c r="AS151" s="11">
        <f t="shared" si="255"/>
        <v>-176.5</v>
      </c>
      <c r="AT151" s="11">
        <f t="shared" si="255"/>
        <v>-145.30000000000001</v>
      </c>
      <c r="AU151" s="11">
        <f t="shared" si="255"/>
        <v>-158.1</v>
      </c>
      <c r="AV151" s="11">
        <f t="shared" si="255"/>
        <v>-163.1</v>
      </c>
      <c r="AW151" s="11">
        <f t="shared" si="255"/>
        <v>-168.1</v>
      </c>
      <c r="AX151" s="11">
        <f t="shared" si="255"/>
        <v>-173.1</v>
      </c>
      <c r="AY151" s="11">
        <f t="shared" si="255"/>
        <v>-223</v>
      </c>
      <c r="AZ151" s="11">
        <f t="shared" si="255"/>
        <v>-256</v>
      </c>
      <c r="BA151" s="11">
        <f t="shared" si="255"/>
        <v>-261</v>
      </c>
      <c r="BB151" s="11">
        <f t="shared" si="255"/>
        <v>-266</v>
      </c>
      <c r="BC151" s="11">
        <f t="shared" si="255"/>
        <v>-241.4</v>
      </c>
      <c r="BD151" s="11">
        <f t="shared" si="255"/>
        <v>-246.4</v>
      </c>
      <c r="BE151" s="11">
        <f t="shared" si="255"/>
        <v>-251.4</v>
      </c>
      <c r="BF151" s="11">
        <f t="shared" si="255"/>
        <v>-256.39999999999998</v>
      </c>
      <c r="BG151" s="11">
        <f t="shared" si="255"/>
        <v>-261.39999999999998</v>
      </c>
      <c r="BH151" s="11">
        <f t="shared" si="255"/>
        <v>-266.39999999999998</v>
      </c>
      <c r="BI151" s="11">
        <f t="shared" si="255"/>
        <v>-271.39999999999998</v>
      </c>
      <c r="BJ151" s="11">
        <f t="shared" si="255"/>
        <v>-276.39999999999998</v>
      </c>
      <c r="BK151" s="11">
        <f t="shared" si="255"/>
        <v>-281.39999999999998</v>
      </c>
      <c r="BL151" s="11">
        <f t="shared" si="255"/>
        <v>-287.39999999999998</v>
      </c>
      <c r="BM151" s="11">
        <f t="shared" si="255"/>
        <v>-292.39999999999998</v>
      </c>
      <c r="BN151" s="11">
        <f t="shared" si="255"/>
        <v>-163</v>
      </c>
      <c r="BO151" s="11">
        <f t="shared" si="255"/>
        <v>0</v>
      </c>
      <c r="BP151" s="11">
        <f t="shared" ref="BP151:CU151" si="256">IF(BP150=0,0, ROUND(BP147 * 1/BP150* BP$13,1))</f>
        <v>0</v>
      </c>
      <c r="BQ151" s="11">
        <f t="shared" si="256"/>
        <v>0</v>
      </c>
      <c r="BR151" s="11">
        <f t="shared" si="256"/>
        <v>0</v>
      </c>
      <c r="BS151" s="11">
        <f t="shared" si="256"/>
        <v>-371.9</v>
      </c>
      <c r="BT151" s="11">
        <f t="shared" si="256"/>
        <v>-376.9</v>
      </c>
      <c r="BU151" s="11">
        <f t="shared" si="256"/>
        <v>-381.9</v>
      </c>
      <c r="BV151" s="11">
        <f t="shared" si="256"/>
        <v>-386.9</v>
      </c>
      <c r="BW151" s="11">
        <f t="shared" si="256"/>
        <v>-391.9</v>
      </c>
      <c r="BX151" s="11">
        <f t="shared" si="256"/>
        <v>-396.9</v>
      </c>
      <c r="BY151" s="11">
        <f t="shared" si="256"/>
        <v>-401.9</v>
      </c>
      <c r="BZ151" s="11">
        <f t="shared" si="256"/>
        <v>-406.9</v>
      </c>
      <c r="CA151" s="11">
        <f t="shared" si="256"/>
        <v>-411.9</v>
      </c>
      <c r="CB151" s="11">
        <f t="shared" si="256"/>
        <v>-416.9</v>
      </c>
      <c r="CC151" s="11">
        <f t="shared" si="256"/>
        <v>-421.9</v>
      </c>
    </row>
    <row r="152" spans="1:81" x14ac:dyDescent="0.2">
      <c r="A152" s="10">
        <v>43</v>
      </c>
      <c r="B152" s="10">
        <v>1</v>
      </c>
      <c r="C152" s="68">
        <v>9.4358400000000007</v>
      </c>
      <c r="D152">
        <f t="shared" ref="D152:AI152" si="257">D149/$B152</f>
        <v>0</v>
      </c>
      <c r="E152">
        <f t="shared" si="257"/>
        <v>0</v>
      </c>
      <c r="F152">
        <f t="shared" si="257"/>
        <v>0</v>
      </c>
      <c r="G152">
        <f t="shared" si="257"/>
        <v>0</v>
      </c>
      <c r="H152">
        <f t="shared" si="257"/>
        <v>0</v>
      </c>
      <c r="I152">
        <f t="shared" si="257"/>
        <v>0</v>
      </c>
      <c r="J152">
        <f t="shared" si="257"/>
        <v>0</v>
      </c>
      <c r="K152">
        <f t="shared" si="257"/>
        <v>0</v>
      </c>
      <c r="L152">
        <f t="shared" si="257"/>
        <v>0</v>
      </c>
      <c r="M152">
        <f t="shared" si="257"/>
        <v>0</v>
      </c>
      <c r="N152">
        <f t="shared" si="257"/>
        <v>0</v>
      </c>
      <c r="O152">
        <f t="shared" si="257"/>
        <v>0</v>
      </c>
      <c r="P152">
        <f t="shared" si="257"/>
        <v>0</v>
      </c>
      <c r="Q152">
        <f t="shared" si="257"/>
        <v>0</v>
      </c>
      <c r="R152">
        <f t="shared" si="257"/>
        <v>0</v>
      </c>
      <c r="S152">
        <f t="shared" si="257"/>
        <v>0</v>
      </c>
      <c r="T152">
        <f t="shared" si="257"/>
        <v>0</v>
      </c>
      <c r="U152">
        <f t="shared" si="257"/>
        <v>0</v>
      </c>
      <c r="V152">
        <f t="shared" si="257"/>
        <v>0</v>
      </c>
      <c r="W152">
        <f t="shared" si="257"/>
        <v>0</v>
      </c>
      <c r="X152">
        <f t="shared" si="257"/>
        <v>0</v>
      </c>
      <c r="Y152">
        <f t="shared" si="257"/>
        <v>0</v>
      </c>
      <c r="Z152">
        <f t="shared" si="257"/>
        <v>0</v>
      </c>
      <c r="AA152">
        <f t="shared" si="257"/>
        <v>0</v>
      </c>
      <c r="AB152">
        <f t="shared" si="257"/>
        <v>0</v>
      </c>
      <c r="AC152">
        <f t="shared" si="257"/>
        <v>0</v>
      </c>
      <c r="AD152">
        <f t="shared" si="257"/>
        <v>0</v>
      </c>
      <c r="AE152">
        <f t="shared" si="257"/>
        <v>0</v>
      </c>
      <c r="AF152">
        <f t="shared" si="257"/>
        <v>0</v>
      </c>
      <c r="AG152">
        <f t="shared" si="257"/>
        <v>0</v>
      </c>
      <c r="AH152">
        <f t="shared" si="257"/>
        <v>0</v>
      </c>
      <c r="AI152">
        <f t="shared" si="257"/>
        <v>0</v>
      </c>
      <c r="AJ152">
        <f t="shared" ref="AJ152:BO152" si="258">AJ149/$B152</f>
        <v>0</v>
      </c>
      <c r="AK152">
        <f t="shared" si="258"/>
        <v>0</v>
      </c>
      <c r="AL152">
        <f t="shared" si="258"/>
        <v>0</v>
      </c>
      <c r="AM152">
        <f t="shared" si="258"/>
        <v>0</v>
      </c>
      <c r="AN152">
        <f t="shared" si="258"/>
        <v>0</v>
      </c>
      <c r="AO152">
        <f t="shared" si="258"/>
        <v>0</v>
      </c>
      <c r="AP152">
        <f t="shared" si="258"/>
        <v>0</v>
      </c>
      <c r="AQ152">
        <f t="shared" si="258"/>
        <v>0</v>
      </c>
      <c r="AR152">
        <f t="shared" si="258"/>
        <v>0</v>
      </c>
      <c r="AS152">
        <f t="shared" si="258"/>
        <v>0</v>
      </c>
      <c r="AT152">
        <f t="shared" si="258"/>
        <v>0</v>
      </c>
      <c r="AU152">
        <f t="shared" si="258"/>
        <v>0</v>
      </c>
      <c r="AV152">
        <f t="shared" si="258"/>
        <v>0</v>
      </c>
      <c r="AW152">
        <f t="shared" si="258"/>
        <v>0</v>
      </c>
      <c r="AX152">
        <f t="shared" si="258"/>
        <v>0</v>
      </c>
      <c r="AY152">
        <f t="shared" si="258"/>
        <v>0</v>
      </c>
      <c r="AZ152">
        <f t="shared" si="258"/>
        <v>0</v>
      </c>
      <c r="BA152">
        <f t="shared" si="258"/>
        <v>0</v>
      </c>
      <c r="BB152">
        <f t="shared" si="258"/>
        <v>0</v>
      </c>
      <c r="BC152">
        <f t="shared" si="258"/>
        <v>0</v>
      </c>
      <c r="BD152">
        <f t="shared" si="258"/>
        <v>0</v>
      </c>
      <c r="BE152">
        <f t="shared" si="258"/>
        <v>0</v>
      </c>
      <c r="BF152">
        <f t="shared" si="258"/>
        <v>0</v>
      </c>
      <c r="BG152">
        <f t="shared" si="258"/>
        <v>0</v>
      </c>
      <c r="BH152">
        <f t="shared" si="258"/>
        <v>0</v>
      </c>
      <c r="BI152">
        <f t="shared" si="258"/>
        <v>0</v>
      </c>
      <c r="BJ152">
        <f t="shared" si="258"/>
        <v>0</v>
      </c>
      <c r="BK152">
        <f t="shared" si="258"/>
        <v>0</v>
      </c>
      <c r="BL152">
        <f t="shared" si="258"/>
        <v>0</v>
      </c>
      <c r="BM152">
        <f t="shared" si="258"/>
        <v>0</v>
      </c>
      <c r="BN152">
        <f t="shared" si="258"/>
        <v>0</v>
      </c>
      <c r="BO152">
        <f t="shared" si="258"/>
        <v>0</v>
      </c>
      <c r="BP152">
        <f t="shared" ref="BP152:CC152" si="259">BP149/$B152</f>
        <v>0</v>
      </c>
      <c r="BQ152">
        <f t="shared" si="259"/>
        <v>0</v>
      </c>
      <c r="BR152">
        <f t="shared" si="259"/>
        <v>0</v>
      </c>
      <c r="BS152">
        <f t="shared" si="259"/>
        <v>0</v>
      </c>
      <c r="BT152">
        <f t="shared" si="259"/>
        <v>0</v>
      </c>
      <c r="BU152">
        <f t="shared" si="259"/>
        <v>0</v>
      </c>
      <c r="BV152">
        <f t="shared" si="259"/>
        <v>0</v>
      </c>
      <c r="BW152">
        <f t="shared" si="259"/>
        <v>0</v>
      </c>
      <c r="BX152">
        <f t="shared" si="259"/>
        <v>0</v>
      </c>
      <c r="BY152">
        <f t="shared" si="259"/>
        <v>0</v>
      </c>
      <c r="BZ152">
        <f t="shared" si="259"/>
        <v>0</v>
      </c>
      <c r="CA152">
        <f t="shared" si="259"/>
        <v>0</v>
      </c>
      <c r="CB152">
        <f t="shared" si="259"/>
        <v>0</v>
      </c>
      <c r="CC152">
        <f t="shared" si="259"/>
        <v>0</v>
      </c>
    </row>
    <row r="153" spans="1:81" x14ac:dyDescent="0.2">
      <c r="B153" s="67">
        <f>SUM(D157:AJ157)/SUM($D$263:$AJ$263)</f>
        <v>0.2976707847062845</v>
      </c>
      <c r="C153" s="9" t="s">
        <v>216</v>
      </c>
      <c r="D153">
        <f t="shared" ref="D153:AI153" si="260">D147-D150</f>
        <v>2380</v>
      </c>
      <c r="E153">
        <f t="shared" si="260"/>
        <v>1980</v>
      </c>
      <c r="F153">
        <f t="shared" si="260"/>
        <v>1980</v>
      </c>
      <c r="G153">
        <f t="shared" si="260"/>
        <v>1740</v>
      </c>
      <c r="H153">
        <f t="shared" si="260"/>
        <v>1420</v>
      </c>
      <c r="I153">
        <f t="shared" si="260"/>
        <v>1180</v>
      </c>
      <c r="J153">
        <f t="shared" si="260"/>
        <v>860</v>
      </c>
      <c r="K153">
        <f t="shared" si="260"/>
        <v>460</v>
      </c>
      <c r="L153">
        <f t="shared" si="260"/>
        <v>-100</v>
      </c>
      <c r="M153">
        <f t="shared" si="260"/>
        <v>-980</v>
      </c>
      <c r="N153">
        <f t="shared" si="260"/>
        <v>-980</v>
      </c>
      <c r="O153">
        <f t="shared" si="260"/>
        <v>-980</v>
      </c>
      <c r="P153">
        <f t="shared" si="260"/>
        <v>-980</v>
      </c>
      <c r="Q153">
        <f t="shared" si="260"/>
        <v>-980</v>
      </c>
      <c r="R153">
        <f t="shared" si="260"/>
        <v>-1460</v>
      </c>
      <c r="S153">
        <f t="shared" si="260"/>
        <v>-1860</v>
      </c>
      <c r="T153">
        <f t="shared" si="260"/>
        <v>-2340</v>
      </c>
      <c r="U153">
        <f t="shared" si="260"/>
        <v>-2800</v>
      </c>
      <c r="V153">
        <f t="shared" si="260"/>
        <v>-3260</v>
      </c>
      <c r="W153">
        <f t="shared" si="260"/>
        <v>-3720</v>
      </c>
      <c r="X153">
        <f t="shared" si="260"/>
        <v>-4180</v>
      </c>
      <c r="Y153">
        <f t="shared" si="260"/>
        <v>-4460</v>
      </c>
      <c r="Z153">
        <f t="shared" si="260"/>
        <v>-4740</v>
      </c>
      <c r="AA153">
        <f t="shared" si="260"/>
        <v>-5020</v>
      </c>
      <c r="AB153">
        <f t="shared" si="260"/>
        <v>-5300</v>
      </c>
      <c r="AC153">
        <f t="shared" si="260"/>
        <v>-5770</v>
      </c>
      <c r="AD153">
        <f t="shared" si="260"/>
        <v>-6240</v>
      </c>
      <c r="AE153">
        <f t="shared" si="260"/>
        <v>-6710</v>
      </c>
      <c r="AF153">
        <f t="shared" si="260"/>
        <v>-7180</v>
      </c>
      <c r="AG153">
        <f t="shared" si="260"/>
        <v>-7620</v>
      </c>
      <c r="AH153">
        <f t="shared" si="260"/>
        <v>-8100</v>
      </c>
      <c r="AI153">
        <f t="shared" si="260"/>
        <v>-8580</v>
      </c>
      <c r="AJ153">
        <f t="shared" ref="AJ153:BO153" si="261">AJ147-AJ150</f>
        <v>-8580</v>
      </c>
      <c r="AK153">
        <f t="shared" si="261"/>
        <v>-8580</v>
      </c>
      <c r="AL153">
        <f t="shared" si="261"/>
        <v>-8580</v>
      </c>
      <c r="AM153">
        <f t="shared" si="261"/>
        <v>-8580</v>
      </c>
      <c r="AN153">
        <f t="shared" si="261"/>
        <v>-8879</v>
      </c>
      <c r="AO153">
        <f t="shared" si="261"/>
        <v>-9178</v>
      </c>
      <c r="AP153">
        <f t="shared" si="261"/>
        <v>-9477</v>
      </c>
      <c r="AQ153">
        <f t="shared" si="261"/>
        <v>-9838</v>
      </c>
      <c r="AR153">
        <f t="shared" si="261"/>
        <v>-10199</v>
      </c>
      <c r="AS153">
        <f t="shared" si="261"/>
        <v>-10488</v>
      </c>
      <c r="AT153">
        <f t="shared" si="261"/>
        <v>-10849</v>
      </c>
      <c r="AU153">
        <f t="shared" si="261"/>
        <v>-11192</v>
      </c>
      <c r="AV153">
        <f t="shared" si="261"/>
        <v>-11535</v>
      </c>
      <c r="AW153">
        <f t="shared" si="261"/>
        <v>-11878</v>
      </c>
      <c r="AX153">
        <f t="shared" si="261"/>
        <v>-12221</v>
      </c>
      <c r="AY153">
        <f t="shared" si="261"/>
        <v>-12495</v>
      </c>
      <c r="AZ153">
        <f t="shared" si="261"/>
        <v>-12739</v>
      </c>
      <c r="BA153">
        <f t="shared" si="261"/>
        <v>-12983</v>
      </c>
      <c r="BB153">
        <f t="shared" si="261"/>
        <v>-13227</v>
      </c>
      <c r="BC153">
        <f t="shared" si="261"/>
        <v>-13501</v>
      </c>
      <c r="BD153">
        <f t="shared" si="261"/>
        <v>-13775</v>
      </c>
      <c r="BE153">
        <f t="shared" si="261"/>
        <v>-14049</v>
      </c>
      <c r="BF153">
        <f t="shared" si="261"/>
        <v>-14323</v>
      </c>
      <c r="BG153">
        <f t="shared" si="261"/>
        <v>-14597</v>
      </c>
      <c r="BH153">
        <f t="shared" si="261"/>
        <v>-14871</v>
      </c>
      <c r="BI153">
        <f t="shared" si="261"/>
        <v>-15145</v>
      </c>
      <c r="BJ153">
        <f t="shared" si="261"/>
        <v>-15419</v>
      </c>
      <c r="BK153">
        <f t="shared" si="261"/>
        <v>-15693</v>
      </c>
      <c r="BL153">
        <f t="shared" si="261"/>
        <v>-15966</v>
      </c>
      <c r="BM153">
        <f t="shared" si="261"/>
        <v>-16239</v>
      </c>
      <c r="BN153">
        <f t="shared" si="261"/>
        <v>-16737</v>
      </c>
      <c r="BO153">
        <f t="shared" si="261"/>
        <v>-16737</v>
      </c>
      <c r="BP153">
        <f t="shared" ref="BP153:CC153" si="262">BP147-BP150</f>
        <v>-16737</v>
      </c>
      <c r="BQ153">
        <f t="shared" si="262"/>
        <v>-16737</v>
      </c>
      <c r="BR153">
        <f t="shared" si="262"/>
        <v>-16737</v>
      </c>
      <c r="BS153">
        <f t="shared" si="262"/>
        <v>-16962</v>
      </c>
      <c r="BT153">
        <f t="shared" si="262"/>
        <v>-17187</v>
      </c>
      <c r="BU153">
        <f t="shared" si="262"/>
        <v>-17412</v>
      </c>
      <c r="BV153">
        <f t="shared" si="262"/>
        <v>-17637</v>
      </c>
      <c r="BW153">
        <f t="shared" si="262"/>
        <v>-17862</v>
      </c>
      <c r="BX153">
        <f t="shared" si="262"/>
        <v>-18087</v>
      </c>
      <c r="BY153">
        <f t="shared" si="262"/>
        <v>-18312</v>
      </c>
      <c r="BZ153">
        <f t="shared" si="262"/>
        <v>-18537</v>
      </c>
      <c r="CA153">
        <f t="shared" si="262"/>
        <v>-18762</v>
      </c>
      <c r="CB153">
        <f t="shared" si="262"/>
        <v>-18987</v>
      </c>
      <c r="CC153">
        <f t="shared" si="262"/>
        <v>-19212</v>
      </c>
    </row>
    <row r="154" spans="1:81" x14ac:dyDescent="0.2">
      <c r="A154" s="43" t="s">
        <v>236</v>
      </c>
      <c r="B154" s="44" t="s">
        <v>208</v>
      </c>
      <c r="C154" s="9" t="s">
        <v>38</v>
      </c>
      <c r="D154" s="58">
        <f>IFERROR(VLOOKUP(A154,OS!$A:$B,2,0),0)</f>
        <v>5980</v>
      </c>
      <c r="E154" s="5">
        <f>(D154+D155-D157)</f>
        <v>6580</v>
      </c>
      <c r="F154" s="5">
        <f>(E154+E155-E157)</f>
        <v>4980</v>
      </c>
      <c r="G154" s="5">
        <f>(F154+F155-F157)</f>
        <v>3380</v>
      </c>
      <c r="H154" s="5">
        <f>(G154+G155-G157)</f>
        <v>2020</v>
      </c>
      <c r="I154" s="5">
        <f t="shared" ref="I154:AN154" si="263">(H154+H155-H157+D156)</f>
        <v>1400</v>
      </c>
      <c r="J154" s="5">
        <f t="shared" si="263"/>
        <v>1240</v>
      </c>
      <c r="K154" s="5">
        <f t="shared" si="263"/>
        <v>610</v>
      </c>
      <c r="L154" s="5">
        <f t="shared" si="263"/>
        <v>-430</v>
      </c>
      <c r="M154" s="5">
        <f t="shared" si="263"/>
        <v>-1950</v>
      </c>
      <c r="N154" s="5">
        <f t="shared" si="263"/>
        <v>-4030</v>
      </c>
      <c r="O154" s="5">
        <f t="shared" si="263"/>
        <v>-4030</v>
      </c>
      <c r="P154" s="5">
        <f t="shared" si="263"/>
        <v>-4030</v>
      </c>
      <c r="Q154" s="5">
        <f t="shared" si="263"/>
        <v>-4030</v>
      </c>
      <c r="R154" s="5">
        <f t="shared" si="263"/>
        <v>-4030</v>
      </c>
      <c r="S154" s="5">
        <f t="shared" si="263"/>
        <v>-5150</v>
      </c>
      <c r="T154" s="5">
        <f t="shared" si="263"/>
        <v>-6190</v>
      </c>
      <c r="U154" s="5">
        <f t="shared" si="263"/>
        <v>-7230</v>
      </c>
      <c r="V154" s="5">
        <f t="shared" si="263"/>
        <v>-8370</v>
      </c>
      <c r="W154" s="5">
        <f t="shared" si="263"/>
        <v>-9510</v>
      </c>
      <c r="X154" s="5">
        <f t="shared" si="263"/>
        <v>-10650</v>
      </c>
      <c r="Y154" s="5">
        <f t="shared" si="263"/>
        <v>-11790</v>
      </c>
      <c r="Z154" s="5">
        <f t="shared" si="263"/>
        <v>-12590</v>
      </c>
      <c r="AA154" s="5">
        <f t="shared" si="263"/>
        <v>-13390</v>
      </c>
      <c r="AB154" s="5">
        <f t="shared" si="263"/>
        <v>-14190</v>
      </c>
      <c r="AC154" s="5">
        <f t="shared" si="263"/>
        <v>-14990</v>
      </c>
      <c r="AD154" s="5">
        <f t="shared" si="263"/>
        <v>-15950</v>
      </c>
      <c r="AE154" s="5">
        <f t="shared" si="263"/>
        <v>-16910</v>
      </c>
      <c r="AF154" s="5">
        <f t="shared" si="263"/>
        <v>-17870</v>
      </c>
      <c r="AG154" s="5">
        <f t="shared" si="263"/>
        <v>-18830</v>
      </c>
      <c r="AH154" s="5">
        <f t="shared" si="263"/>
        <v>-19790</v>
      </c>
      <c r="AI154" s="5">
        <f t="shared" si="263"/>
        <v>-20630</v>
      </c>
      <c r="AJ154" s="5">
        <f t="shared" si="263"/>
        <v>-21470</v>
      </c>
      <c r="AK154" s="5">
        <f t="shared" si="263"/>
        <v>-21470</v>
      </c>
      <c r="AL154" s="5">
        <f t="shared" si="263"/>
        <v>-21470</v>
      </c>
      <c r="AM154" s="5">
        <f t="shared" si="263"/>
        <v>-21470</v>
      </c>
      <c r="AN154" s="5">
        <f t="shared" si="263"/>
        <v>-21470</v>
      </c>
      <c r="AO154" s="5">
        <f t="shared" ref="AO154:BT154" si="264">(AN154+AN155-AN157+AJ156)</f>
        <v>-22277</v>
      </c>
      <c r="AP154" s="5">
        <f t="shared" si="264"/>
        <v>-23084</v>
      </c>
      <c r="AQ154" s="5">
        <f t="shared" si="264"/>
        <v>-23891</v>
      </c>
      <c r="AR154" s="5">
        <f t="shared" si="264"/>
        <v>-24865</v>
      </c>
      <c r="AS154" s="5">
        <f t="shared" si="264"/>
        <v>-25839</v>
      </c>
      <c r="AT154" s="5">
        <f t="shared" si="264"/>
        <v>-26619</v>
      </c>
      <c r="AU154" s="5">
        <f t="shared" si="264"/>
        <v>-27593</v>
      </c>
      <c r="AV154" s="5">
        <f t="shared" si="264"/>
        <v>-28519</v>
      </c>
      <c r="AW154" s="5">
        <f t="shared" si="264"/>
        <v>-29445</v>
      </c>
      <c r="AX154" s="5">
        <f t="shared" si="264"/>
        <v>-30371</v>
      </c>
      <c r="AY154" s="5">
        <f t="shared" si="264"/>
        <v>-31297</v>
      </c>
      <c r="AZ154" s="5">
        <f t="shared" si="264"/>
        <v>-32038</v>
      </c>
      <c r="BA154" s="5">
        <f t="shared" si="264"/>
        <v>-32698</v>
      </c>
      <c r="BB154" s="5">
        <f t="shared" si="264"/>
        <v>-33358</v>
      </c>
      <c r="BC154" s="5">
        <f t="shared" si="264"/>
        <v>-34018</v>
      </c>
      <c r="BD154" s="5">
        <f t="shared" si="264"/>
        <v>-34759</v>
      </c>
      <c r="BE154" s="5">
        <f t="shared" si="264"/>
        <v>-35500</v>
      </c>
      <c r="BF154" s="5">
        <f t="shared" si="264"/>
        <v>-36241</v>
      </c>
      <c r="BG154" s="5">
        <f t="shared" si="264"/>
        <v>-36982</v>
      </c>
      <c r="BH154" s="5">
        <f t="shared" si="264"/>
        <v>-37723</v>
      </c>
      <c r="BI154" s="5">
        <f t="shared" si="264"/>
        <v>-38464</v>
      </c>
      <c r="BJ154" s="5">
        <f t="shared" si="264"/>
        <v>-39205</v>
      </c>
      <c r="BK154" s="5">
        <f t="shared" si="264"/>
        <v>-39946</v>
      </c>
      <c r="BL154" s="5">
        <f t="shared" si="264"/>
        <v>-40687</v>
      </c>
      <c r="BM154" s="5">
        <f t="shared" si="264"/>
        <v>-41424</v>
      </c>
      <c r="BN154" s="5">
        <f t="shared" si="264"/>
        <v>-42161</v>
      </c>
      <c r="BO154" s="5">
        <f t="shared" si="264"/>
        <v>-43505</v>
      </c>
      <c r="BP154" s="5">
        <f t="shared" si="264"/>
        <v>-43505</v>
      </c>
      <c r="BQ154" s="5">
        <f t="shared" si="264"/>
        <v>-43505</v>
      </c>
      <c r="BR154" s="5">
        <f t="shared" si="264"/>
        <v>-43505</v>
      </c>
      <c r="BS154" s="5">
        <f t="shared" si="264"/>
        <v>-43505</v>
      </c>
      <c r="BT154" s="5">
        <f t="shared" si="264"/>
        <v>-44113</v>
      </c>
      <c r="BU154" s="5">
        <f t="shared" ref="BU154:CZ154" si="265">(BT154+BT155-BT157+BP156)</f>
        <v>-44721</v>
      </c>
      <c r="BV154" s="5">
        <f t="shared" si="265"/>
        <v>-45329</v>
      </c>
      <c r="BW154" s="5">
        <f t="shared" si="265"/>
        <v>-45937</v>
      </c>
      <c r="BX154" s="5">
        <f t="shared" si="265"/>
        <v>-46545</v>
      </c>
      <c r="BY154" s="5">
        <f t="shared" si="265"/>
        <v>-47153</v>
      </c>
      <c r="BZ154" s="5">
        <f t="shared" si="265"/>
        <v>-47761</v>
      </c>
      <c r="CA154" s="5">
        <f t="shared" si="265"/>
        <v>-48369</v>
      </c>
      <c r="CB154" s="5">
        <f t="shared" si="265"/>
        <v>-48977</v>
      </c>
      <c r="CC154" s="5">
        <f t="shared" si="265"/>
        <v>-49585</v>
      </c>
    </row>
    <row r="155" spans="1:81" x14ac:dyDescent="0.2">
      <c r="A155" s="5" t="s">
        <v>209</v>
      </c>
      <c r="B155" s="5">
        <v>11.540190000000001</v>
      </c>
      <c r="C155" s="45" t="s">
        <v>39</v>
      </c>
      <c r="D155" s="59">
        <f>IFERROR(VLOOKUP(A154,WIP!$A:$B,2,0),0)</f>
        <v>680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</row>
    <row r="156" spans="1:81" x14ac:dyDescent="0.2">
      <c r="A156" s="5" t="s">
        <v>210</v>
      </c>
      <c r="B156" s="5">
        <v>0.33200000000000002</v>
      </c>
      <c r="C156" s="9" t="s">
        <v>211</v>
      </c>
      <c r="D156" s="60">
        <f>IFERROR(VLOOKUP($A154,Plan!$A:B,D$4,0),0)</f>
        <v>740</v>
      </c>
      <c r="E156" s="70">
        <f>IFERROR(VLOOKUP($A154,Plan!$A:C,E$4,0),0)</f>
        <v>1040</v>
      </c>
      <c r="F156" s="70">
        <f>IFERROR(VLOOKUP($A154,Plan!$A:D,F$4,0),0)</f>
        <v>570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</row>
    <row r="157" spans="1:81" x14ac:dyDescent="0.2">
      <c r="A157" s="5" t="s">
        <v>212</v>
      </c>
      <c r="B157" s="5">
        <v>8.1000000000000003E-2</v>
      </c>
      <c r="C157" s="9" t="s">
        <v>213</v>
      </c>
      <c r="D157" s="61">
        <f>IFERROR(VLOOKUP($A154,Sales!$A:B,D$2,0),0)</f>
        <v>80</v>
      </c>
      <c r="E157" s="61">
        <f>IFERROR(VLOOKUP($A154,Sales!$A:C,E$2,0),0)</f>
        <v>1600</v>
      </c>
      <c r="F157" s="61">
        <f>IFERROR(VLOOKUP($A154,Sales!$A:D,F$2,0),0)</f>
        <v>1600</v>
      </c>
      <c r="G157" s="61">
        <f>IFERROR(VLOOKUP($A154,Sales!$A:E,G$2,0),0)</f>
        <v>1360</v>
      </c>
      <c r="H157" s="61">
        <f>IFERROR(VLOOKUP($A154,Sales!$A:F,H$2,0),0)</f>
        <v>1360</v>
      </c>
      <c r="I157" s="61">
        <f>IFERROR(VLOOKUP($A154,Sales!$A:G,I$2,0),0)</f>
        <v>1200</v>
      </c>
      <c r="J157" s="61">
        <f>IFERROR(VLOOKUP($A154,Sales!$A:H,J$2,0),0)</f>
        <v>1200</v>
      </c>
      <c r="K157" s="61">
        <f>IFERROR(VLOOKUP($A154,Sales!$A:I,K$2,0),0)</f>
        <v>1040</v>
      </c>
      <c r="L157" s="61">
        <f>IFERROR(VLOOKUP($A154,Sales!$A:J,L$2,0),0)</f>
        <v>1520</v>
      </c>
      <c r="M157" s="61">
        <f>IFERROR(VLOOKUP($A154,Sales!$A:K,M$2,0),0)</f>
        <v>2080</v>
      </c>
      <c r="N157" s="61">
        <f>IFERROR(VLOOKUP($A154,Sales!$A:L,N$2,0),0)</f>
        <v>0</v>
      </c>
      <c r="O157" s="61">
        <f>IFERROR(VLOOKUP($A154,Sales!$A:M,O$2,0),0)</f>
        <v>0</v>
      </c>
      <c r="P157" s="61">
        <f>IFERROR(VLOOKUP($A154,Sales!$A:N,P$2,0),0)</f>
        <v>0</v>
      </c>
      <c r="Q157" s="61">
        <f>IFERROR(VLOOKUP($A154,Sales!$A:O,Q$2,0),0)</f>
        <v>0</v>
      </c>
      <c r="R157" s="61">
        <f>IFERROR(VLOOKUP($A154,Sales!$A:P,R$2,0),0)</f>
        <v>1120</v>
      </c>
      <c r="S157" s="61">
        <f>IFERROR(VLOOKUP($A154,Sales!$A:Q,S$2,0),0)</f>
        <v>1040</v>
      </c>
      <c r="T157" s="61">
        <f>IFERROR(VLOOKUP($A154,Sales!$A:R,T$2,0),0)</f>
        <v>1040</v>
      </c>
      <c r="U157" s="61">
        <f>IFERROR(VLOOKUP($A154,Sales!$A:S,U$2,0),0)</f>
        <v>1140</v>
      </c>
      <c r="V157" s="61">
        <f>IFERROR(VLOOKUP($A154,Sales!$A:T,V$2,0),0)</f>
        <v>1140</v>
      </c>
      <c r="W157" s="61">
        <f>IFERROR(VLOOKUP($A154,Sales!$A:U,W$2,0),0)</f>
        <v>1140</v>
      </c>
      <c r="X157" s="61">
        <f>IFERROR(VLOOKUP($A154,Sales!$A:V,X$2,0),0)</f>
        <v>1140</v>
      </c>
      <c r="Y157" s="61">
        <f>IFERROR(VLOOKUP($A154,Sales!$A:W,Y$2,0),0)</f>
        <v>800</v>
      </c>
      <c r="Z157" s="61">
        <f>IFERROR(VLOOKUP($A154,Sales!$A:X,Z$2,0),0)</f>
        <v>800</v>
      </c>
      <c r="AA157" s="61">
        <f>IFERROR(VLOOKUP($A154,Sales!$A:Y,AA$2,0),0)</f>
        <v>800</v>
      </c>
      <c r="AB157" s="61">
        <f>IFERROR(VLOOKUP($A154,Sales!$A:Z,AB$2,0),0)</f>
        <v>800</v>
      </c>
      <c r="AC157" s="61">
        <f>IFERROR(VLOOKUP($A154,Sales!$A:AA,AC$2,0),0)</f>
        <v>960</v>
      </c>
      <c r="AD157" s="61">
        <f>IFERROR(VLOOKUP($A154,Sales!$A:AB,AD$2,0),0)</f>
        <v>960</v>
      </c>
      <c r="AE157" s="61">
        <f>IFERROR(VLOOKUP($A154,Sales!$A:AC,AE$2,0),0)</f>
        <v>960</v>
      </c>
      <c r="AF157" s="61">
        <f>IFERROR(VLOOKUP($A154,Sales!$A:AD,AF$2,0),0)</f>
        <v>960</v>
      </c>
      <c r="AG157" s="61">
        <f>IFERROR(VLOOKUP($A154,Sales!$A:AE,AG$2,0),0)</f>
        <v>960</v>
      </c>
      <c r="AH157" s="61">
        <f>IFERROR(VLOOKUP($A154,Sales!$A:AF,AH$2,0),0)</f>
        <v>840</v>
      </c>
      <c r="AI157" s="61">
        <f>IFERROR(VLOOKUP($A154,Sales!$A:AG,AI$2,0),0)</f>
        <v>840</v>
      </c>
      <c r="AJ157" s="61">
        <f>IFERROR(VLOOKUP($A154,Sales!$A:AH,AJ$2,0),0)</f>
        <v>0</v>
      </c>
      <c r="AK157" s="73">
        <f t="shared" ref="AK157:CC157" si="266">CEILING(AK$5*$B153,1)</f>
        <v>0</v>
      </c>
      <c r="AL157" s="73">
        <f t="shared" si="266"/>
        <v>0</v>
      </c>
      <c r="AM157" s="73">
        <f t="shared" si="266"/>
        <v>0</v>
      </c>
      <c r="AN157" s="73">
        <f t="shared" si="266"/>
        <v>807</v>
      </c>
      <c r="AO157" s="73">
        <f t="shared" si="266"/>
        <v>807</v>
      </c>
      <c r="AP157" s="73">
        <f t="shared" si="266"/>
        <v>807</v>
      </c>
      <c r="AQ157" s="73">
        <f t="shared" si="266"/>
        <v>974</v>
      </c>
      <c r="AR157" s="73">
        <f t="shared" si="266"/>
        <v>974</v>
      </c>
      <c r="AS157" s="73">
        <f t="shared" si="266"/>
        <v>780</v>
      </c>
      <c r="AT157" s="73">
        <f t="shared" si="266"/>
        <v>974</v>
      </c>
      <c r="AU157" s="73">
        <f t="shared" si="266"/>
        <v>926</v>
      </c>
      <c r="AV157" s="73">
        <f t="shared" si="266"/>
        <v>926</v>
      </c>
      <c r="AW157" s="73">
        <f t="shared" si="266"/>
        <v>926</v>
      </c>
      <c r="AX157" s="73">
        <f t="shared" si="266"/>
        <v>926</v>
      </c>
      <c r="AY157" s="73">
        <f t="shared" si="266"/>
        <v>741</v>
      </c>
      <c r="AZ157" s="73">
        <f t="shared" si="266"/>
        <v>660</v>
      </c>
      <c r="BA157" s="73">
        <f t="shared" si="266"/>
        <v>660</v>
      </c>
      <c r="BB157" s="73">
        <f t="shared" si="266"/>
        <v>660</v>
      </c>
      <c r="BC157" s="73">
        <f t="shared" si="266"/>
        <v>741</v>
      </c>
      <c r="BD157" s="73">
        <f t="shared" si="266"/>
        <v>741</v>
      </c>
      <c r="BE157" s="73">
        <f t="shared" si="266"/>
        <v>741</v>
      </c>
      <c r="BF157" s="73">
        <f t="shared" si="266"/>
        <v>741</v>
      </c>
      <c r="BG157" s="73">
        <f t="shared" si="266"/>
        <v>741</v>
      </c>
      <c r="BH157" s="73">
        <f t="shared" si="266"/>
        <v>741</v>
      </c>
      <c r="BI157" s="73">
        <f t="shared" si="266"/>
        <v>741</v>
      </c>
      <c r="BJ157" s="73">
        <f t="shared" si="266"/>
        <v>741</v>
      </c>
      <c r="BK157" s="73">
        <f t="shared" si="266"/>
        <v>741</v>
      </c>
      <c r="BL157" s="73">
        <f t="shared" si="266"/>
        <v>737</v>
      </c>
      <c r="BM157" s="73">
        <f t="shared" si="266"/>
        <v>737</v>
      </c>
      <c r="BN157" s="73">
        <f t="shared" si="266"/>
        <v>1344</v>
      </c>
      <c r="BO157" s="73">
        <f t="shared" si="266"/>
        <v>0</v>
      </c>
      <c r="BP157" s="73">
        <f t="shared" si="266"/>
        <v>0</v>
      </c>
      <c r="BQ157" s="73">
        <f t="shared" si="266"/>
        <v>0</v>
      </c>
      <c r="BR157" s="73">
        <f t="shared" si="266"/>
        <v>0</v>
      </c>
      <c r="BS157" s="73">
        <f t="shared" si="266"/>
        <v>608</v>
      </c>
      <c r="BT157" s="73">
        <f t="shared" si="266"/>
        <v>608</v>
      </c>
      <c r="BU157" s="73">
        <f t="shared" si="266"/>
        <v>608</v>
      </c>
      <c r="BV157" s="73">
        <f t="shared" si="266"/>
        <v>608</v>
      </c>
      <c r="BW157" s="73">
        <f t="shared" si="266"/>
        <v>608</v>
      </c>
      <c r="BX157" s="73">
        <f t="shared" si="266"/>
        <v>608</v>
      </c>
      <c r="BY157" s="73">
        <f t="shared" si="266"/>
        <v>608</v>
      </c>
      <c r="BZ157" s="73">
        <f t="shared" si="266"/>
        <v>608</v>
      </c>
      <c r="CA157" s="73">
        <f t="shared" si="266"/>
        <v>608</v>
      </c>
      <c r="CB157" s="73">
        <f t="shared" si="266"/>
        <v>608</v>
      </c>
      <c r="CC157" s="73">
        <f t="shared" si="266"/>
        <v>608</v>
      </c>
    </row>
    <row r="158" spans="1:81" x14ac:dyDescent="0.2">
      <c r="A158" s="5" t="s">
        <v>214</v>
      </c>
      <c r="B158" s="5">
        <v>0.41299999999999998</v>
      </c>
      <c r="C158" s="46" t="s">
        <v>215</v>
      </c>
      <c r="D158" s="11">
        <f t="shared" ref="D158:AI158" si="267">IF(D157=0,0, ROUND(D154 * 1/D157* D$13,1))</f>
        <v>373.8</v>
      </c>
      <c r="E158" s="11">
        <f t="shared" si="267"/>
        <v>20.6</v>
      </c>
      <c r="F158" s="11">
        <f t="shared" si="267"/>
        <v>15.6</v>
      </c>
      <c r="G158" s="11">
        <f t="shared" si="267"/>
        <v>12.4</v>
      </c>
      <c r="H158" s="11">
        <f t="shared" si="267"/>
        <v>7.4</v>
      </c>
      <c r="I158" s="11">
        <f t="shared" si="267"/>
        <v>5.8</v>
      </c>
      <c r="J158" s="11">
        <f t="shared" si="267"/>
        <v>5.2</v>
      </c>
      <c r="K158" s="11">
        <f t="shared" si="267"/>
        <v>2.9</v>
      </c>
      <c r="L158" s="11">
        <f t="shared" si="267"/>
        <v>-1.4</v>
      </c>
      <c r="M158" s="11">
        <f t="shared" si="267"/>
        <v>-4.7</v>
      </c>
      <c r="N158" s="11">
        <f t="shared" si="267"/>
        <v>0</v>
      </c>
      <c r="O158" s="11">
        <f t="shared" si="267"/>
        <v>0</v>
      </c>
      <c r="P158" s="11">
        <f t="shared" si="267"/>
        <v>0</v>
      </c>
      <c r="Q158" s="11">
        <f t="shared" si="267"/>
        <v>0</v>
      </c>
      <c r="R158" s="11">
        <f t="shared" si="267"/>
        <v>-18</v>
      </c>
      <c r="S158" s="11">
        <f t="shared" si="267"/>
        <v>-24.8</v>
      </c>
      <c r="T158" s="11">
        <f t="shared" si="267"/>
        <v>-29.8</v>
      </c>
      <c r="U158" s="11">
        <f t="shared" si="267"/>
        <v>-31.7</v>
      </c>
      <c r="V158" s="11">
        <f t="shared" si="267"/>
        <v>-36.700000000000003</v>
      </c>
      <c r="W158" s="11">
        <f t="shared" si="267"/>
        <v>-41.7</v>
      </c>
      <c r="X158" s="11">
        <f t="shared" si="267"/>
        <v>-46.7</v>
      </c>
      <c r="Y158" s="11">
        <f t="shared" si="267"/>
        <v>-73.7</v>
      </c>
      <c r="Z158" s="11">
        <f t="shared" si="267"/>
        <v>-78.7</v>
      </c>
      <c r="AA158" s="11">
        <f t="shared" si="267"/>
        <v>-83.7</v>
      </c>
      <c r="AB158" s="11">
        <f t="shared" si="267"/>
        <v>-88.7</v>
      </c>
      <c r="AC158" s="11">
        <f t="shared" si="267"/>
        <v>-78.099999999999994</v>
      </c>
      <c r="AD158" s="11">
        <f t="shared" si="267"/>
        <v>-83.1</v>
      </c>
      <c r="AE158" s="11">
        <f t="shared" si="267"/>
        <v>-88.1</v>
      </c>
      <c r="AF158" s="11">
        <f t="shared" si="267"/>
        <v>-93.1</v>
      </c>
      <c r="AG158" s="11">
        <f t="shared" si="267"/>
        <v>-98.1</v>
      </c>
      <c r="AH158" s="11">
        <f t="shared" si="267"/>
        <v>-117.8</v>
      </c>
      <c r="AI158" s="11">
        <f t="shared" si="267"/>
        <v>-122.8</v>
      </c>
      <c r="AJ158" s="11">
        <f t="shared" ref="AJ158:BO158" si="268">IF(AJ157=0,0, ROUND(AJ154 * 1/AJ157* AJ$13,1))</f>
        <v>0</v>
      </c>
      <c r="AK158" s="11">
        <f t="shared" si="268"/>
        <v>0</v>
      </c>
      <c r="AL158" s="11">
        <f t="shared" si="268"/>
        <v>0</v>
      </c>
      <c r="AM158" s="11">
        <f t="shared" si="268"/>
        <v>0</v>
      </c>
      <c r="AN158" s="11">
        <f t="shared" si="268"/>
        <v>-133</v>
      </c>
      <c r="AO158" s="11">
        <f t="shared" si="268"/>
        <v>-138</v>
      </c>
      <c r="AP158" s="11">
        <f t="shared" si="268"/>
        <v>-143</v>
      </c>
      <c r="AQ158" s="11">
        <f t="shared" si="268"/>
        <v>-122.6</v>
      </c>
      <c r="AR158" s="11">
        <f t="shared" si="268"/>
        <v>-127.6</v>
      </c>
      <c r="AS158" s="11">
        <f t="shared" si="268"/>
        <v>-165.6</v>
      </c>
      <c r="AT158" s="11">
        <f t="shared" si="268"/>
        <v>-136.6</v>
      </c>
      <c r="AU158" s="11">
        <f t="shared" si="268"/>
        <v>-149</v>
      </c>
      <c r="AV158" s="11">
        <f t="shared" si="268"/>
        <v>-154</v>
      </c>
      <c r="AW158" s="11">
        <f t="shared" si="268"/>
        <v>-159</v>
      </c>
      <c r="AX158" s="11">
        <f t="shared" si="268"/>
        <v>-164</v>
      </c>
      <c r="AY158" s="11">
        <f t="shared" si="268"/>
        <v>-211.2</v>
      </c>
      <c r="AZ158" s="11">
        <f t="shared" si="268"/>
        <v>-242.7</v>
      </c>
      <c r="BA158" s="11">
        <f t="shared" si="268"/>
        <v>-247.7</v>
      </c>
      <c r="BB158" s="11">
        <f t="shared" si="268"/>
        <v>-252.7</v>
      </c>
      <c r="BC158" s="11">
        <f t="shared" si="268"/>
        <v>-229.5</v>
      </c>
      <c r="BD158" s="11">
        <f t="shared" si="268"/>
        <v>-234.5</v>
      </c>
      <c r="BE158" s="11">
        <f t="shared" si="268"/>
        <v>-239.5</v>
      </c>
      <c r="BF158" s="11">
        <f t="shared" si="268"/>
        <v>-244.5</v>
      </c>
      <c r="BG158" s="11">
        <f t="shared" si="268"/>
        <v>-249.5</v>
      </c>
      <c r="BH158" s="11">
        <f t="shared" si="268"/>
        <v>-254.5</v>
      </c>
      <c r="BI158" s="11">
        <f t="shared" si="268"/>
        <v>-259.5</v>
      </c>
      <c r="BJ158" s="11">
        <f t="shared" si="268"/>
        <v>-264.5</v>
      </c>
      <c r="BK158" s="11">
        <f t="shared" si="268"/>
        <v>-269.5</v>
      </c>
      <c r="BL158" s="11">
        <f t="shared" si="268"/>
        <v>-276</v>
      </c>
      <c r="BM158" s="11">
        <f t="shared" si="268"/>
        <v>-281</v>
      </c>
      <c r="BN158" s="11">
        <f t="shared" si="268"/>
        <v>-156.80000000000001</v>
      </c>
      <c r="BO158" s="11">
        <f t="shared" si="268"/>
        <v>0</v>
      </c>
      <c r="BP158" s="11">
        <f t="shared" ref="BP158:CU158" si="269">IF(BP157=0,0, ROUND(BP154 * 1/BP157* BP$13,1))</f>
        <v>0</v>
      </c>
      <c r="BQ158" s="11">
        <f t="shared" si="269"/>
        <v>0</v>
      </c>
      <c r="BR158" s="11">
        <f t="shared" si="269"/>
        <v>0</v>
      </c>
      <c r="BS158" s="11">
        <f t="shared" si="269"/>
        <v>-357.8</v>
      </c>
      <c r="BT158" s="11">
        <f t="shared" si="269"/>
        <v>-362.8</v>
      </c>
      <c r="BU158" s="11">
        <f t="shared" si="269"/>
        <v>-367.8</v>
      </c>
      <c r="BV158" s="11">
        <f t="shared" si="269"/>
        <v>-372.8</v>
      </c>
      <c r="BW158" s="11">
        <f t="shared" si="269"/>
        <v>-377.8</v>
      </c>
      <c r="BX158" s="11">
        <f t="shared" si="269"/>
        <v>-382.8</v>
      </c>
      <c r="BY158" s="11">
        <f t="shared" si="269"/>
        <v>-387.8</v>
      </c>
      <c r="BZ158" s="11">
        <f t="shared" si="269"/>
        <v>-392.8</v>
      </c>
      <c r="CA158" s="11">
        <f t="shared" si="269"/>
        <v>-397.8</v>
      </c>
      <c r="CB158" s="11">
        <f t="shared" si="269"/>
        <v>-402.8</v>
      </c>
      <c r="CC158" s="11">
        <f t="shared" si="269"/>
        <v>-407.8</v>
      </c>
    </row>
    <row r="159" spans="1:81" x14ac:dyDescent="0.2">
      <c r="A159">
        <v>42</v>
      </c>
      <c r="B159">
        <v>1</v>
      </c>
      <c r="C159" s="68">
        <v>8.73184</v>
      </c>
      <c r="D159">
        <f t="shared" ref="D159:AI159" si="270">D156/$B159</f>
        <v>740</v>
      </c>
      <c r="E159">
        <f t="shared" si="270"/>
        <v>1040</v>
      </c>
      <c r="F159">
        <f t="shared" si="270"/>
        <v>570</v>
      </c>
      <c r="G159">
        <f t="shared" si="270"/>
        <v>0</v>
      </c>
      <c r="H159">
        <f t="shared" si="270"/>
        <v>0</v>
      </c>
      <c r="I159">
        <f t="shared" si="270"/>
        <v>0</v>
      </c>
      <c r="J159">
        <f t="shared" si="270"/>
        <v>0</v>
      </c>
      <c r="K159">
        <f t="shared" si="270"/>
        <v>0</v>
      </c>
      <c r="L159">
        <f t="shared" si="270"/>
        <v>0</v>
      </c>
      <c r="M159">
        <f t="shared" si="270"/>
        <v>0</v>
      </c>
      <c r="N159">
        <f t="shared" si="270"/>
        <v>0</v>
      </c>
      <c r="O159">
        <f t="shared" si="270"/>
        <v>0</v>
      </c>
      <c r="P159">
        <f t="shared" si="270"/>
        <v>0</v>
      </c>
      <c r="Q159">
        <f t="shared" si="270"/>
        <v>0</v>
      </c>
      <c r="R159">
        <f t="shared" si="270"/>
        <v>0</v>
      </c>
      <c r="S159">
        <f t="shared" si="270"/>
        <v>0</v>
      </c>
      <c r="T159">
        <f t="shared" si="270"/>
        <v>0</v>
      </c>
      <c r="U159">
        <f t="shared" si="270"/>
        <v>0</v>
      </c>
      <c r="V159">
        <f t="shared" si="270"/>
        <v>0</v>
      </c>
      <c r="W159">
        <f t="shared" si="270"/>
        <v>0</v>
      </c>
      <c r="X159">
        <f t="shared" si="270"/>
        <v>0</v>
      </c>
      <c r="Y159">
        <f t="shared" si="270"/>
        <v>0</v>
      </c>
      <c r="Z159">
        <f t="shared" si="270"/>
        <v>0</v>
      </c>
      <c r="AA159">
        <f t="shared" si="270"/>
        <v>0</v>
      </c>
      <c r="AB159">
        <f t="shared" si="270"/>
        <v>0</v>
      </c>
      <c r="AC159">
        <f t="shared" si="270"/>
        <v>0</v>
      </c>
      <c r="AD159">
        <f t="shared" si="270"/>
        <v>0</v>
      </c>
      <c r="AE159">
        <f t="shared" si="270"/>
        <v>0</v>
      </c>
      <c r="AF159">
        <f t="shared" si="270"/>
        <v>0</v>
      </c>
      <c r="AG159">
        <f t="shared" si="270"/>
        <v>0</v>
      </c>
      <c r="AH159">
        <f t="shared" si="270"/>
        <v>0</v>
      </c>
      <c r="AI159">
        <f t="shared" si="270"/>
        <v>0</v>
      </c>
      <c r="AJ159">
        <f t="shared" ref="AJ159:BO159" si="271">AJ156/$B159</f>
        <v>0</v>
      </c>
      <c r="AK159">
        <f t="shared" si="271"/>
        <v>0</v>
      </c>
      <c r="AL159">
        <f t="shared" si="271"/>
        <v>0</v>
      </c>
      <c r="AM159">
        <f t="shared" si="271"/>
        <v>0</v>
      </c>
      <c r="AN159">
        <f t="shared" si="271"/>
        <v>0</v>
      </c>
      <c r="AO159">
        <f t="shared" si="271"/>
        <v>0</v>
      </c>
      <c r="AP159">
        <f t="shared" si="271"/>
        <v>0</v>
      </c>
      <c r="AQ159">
        <f t="shared" si="271"/>
        <v>0</v>
      </c>
      <c r="AR159">
        <f t="shared" si="271"/>
        <v>0</v>
      </c>
      <c r="AS159">
        <f t="shared" si="271"/>
        <v>0</v>
      </c>
      <c r="AT159">
        <f t="shared" si="271"/>
        <v>0</v>
      </c>
      <c r="AU159">
        <f t="shared" si="271"/>
        <v>0</v>
      </c>
      <c r="AV159">
        <f t="shared" si="271"/>
        <v>0</v>
      </c>
      <c r="AW159">
        <f t="shared" si="271"/>
        <v>0</v>
      </c>
      <c r="AX159">
        <f t="shared" si="271"/>
        <v>0</v>
      </c>
      <c r="AY159">
        <f t="shared" si="271"/>
        <v>0</v>
      </c>
      <c r="AZ159">
        <f t="shared" si="271"/>
        <v>0</v>
      </c>
      <c r="BA159">
        <f t="shared" si="271"/>
        <v>0</v>
      </c>
      <c r="BB159">
        <f t="shared" si="271"/>
        <v>0</v>
      </c>
      <c r="BC159">
        <f t="shared" si="271"/>
        <v>0</v>
      </c>
      <c r="BD159">
        <f t="shared" si="271"/>
        <v>0</v>
      </c>
      <c r="BE159">
        <f t="shared" si="271"/>
        <v>0</v>
      </c>
      <c r="BF159">
        <f t="shared" si="271"/>
        <v>0</v>
      </c>
      <c r="BG159">
        <f t="shared" si="271"/>
        <v>0</v>
      </c>
      <c r="BH159">
        <f t="shared" si="271"/>
        <v>0</v>
      </c>
      <c r="BI159">
        <f t="shared" si="271"/>
        <v>0</v>
      </c>
      <c r="BJ159">
        <f t="shared" si="271"/>
        <v>0</v>
      </c>
      <c r="BK159">
        <f t="shared" si="271"/>
        <v>0</v>
      </c>
      <c r="BL159">
        <f t="shared" si="271"/>
        <v>0</v>
      </c>
      <c r="BM159">
        <f t="shared" si="271"/>
        <v>0</v>
      </c>
      <c r="BN159">
        <f t="shared" si="271"/>
        <v>0</v>
      </c>
      <c r="BO159">
        <f t="shared" si="271"/>
        <v>0</v>
      </c>
      <c r="BP159">
        <f t="shared" ref="BP159:CC159" si="272">BP156/$B159</f>
        <v>0</v>
      </c>
      <c r="BQ159">
        <f t="shared" si="272"/>
        <v>0</v>
      </c>
      <c r="BR159">
        <f t="shared" si="272"/>
        <v>0</v>
      </c>
      <c r="BS159">
        <f t="shared" si="272"/>
        <v>0</v>
      </c>
      <c r="BT159">
        <f t="shared" si="272"/>
        <v>0</v>
      </c>
      <c r="BU159">
        <f t="shared" si="272"/>
        <v>0</v>
      </c>
      <c r="BV159">
        <f t="shared" si="272"/>
        <v>0</v>
      </c>
      <c r="BW159">
        <f t="shared" si="272"/>
        <v>0</v>
      </c>
      <c r="BX159">
        <f t="shared" si="272"/>
        <v>0</v>
      </c>
      <c r="BY159">
        <f t="shared" si="272"/>
        <v>0</v>
      </c>
      <c r="BZ159">
        <f t="shared" si="272"/>
        <v>0</v>
      </c>
      <c r="CA159">
        <f t="shared" si="272"/>
        <v>0</v>
      </c>
      <c r="CB159">
        <f t="shared" si="272"/>
        <v>0</v>
      </c>
      <c r="CC159">
        <f t="shared" si="272"/>
        <v>0</v>
      </c>
    </row>
    <row r="160" spans="1:81" x14ac:dyDescent="0.2">
      <c r="B160" s="67">
        <f>SUM(D164:AJ164)/SUM($D$263:$AJ$263)</f>
        <v>2.7345085209238732E-2</v>
      </c>
      <c r="C160" s="9" t="s">
        <v>216</v>
      </c>
      <c r="D160">
        <f t="shared" ref="D160:AI160" si="273">D154-D157</f>
        <v>5900</v>
      </c>
      <c r="E160">
        <f t="shared" si="273"/>
        <v>4980</v>
      </c>
      <c r="F160">
        <f t="shared" si="273"/>
        <v>3380</v>
      </c>
      <c r="G160">
        <f t="shared" si="273"/>
        <v>2020</v>
      </c>
      <c r="H160">
        <f t="shared" si="273"/>
        <v>660</v>
      </c>
      <c r="I160">
        <f t="shared" si="273"/>
        <v>200</v>
      </c>
      <c r="J160">
        <f t="shared" si="273"/>
        <v>40</v>
      </c>
      <c r="K160">
        <f t="shared" si="273"/>
        <v>-430</v>
      </c>
      <c r="L160">
        <f t="shared" si="273"/>
        <v>-1950</v>
      </c>
      <c r="M160">
        <f t="shared" si="273"/>
        <v>-4030</v>
      </c>
      <c r="N160">
        <f t="shared" si="273"/>
        <v>-4030</v>
      </c>
      <c r="O160">
        <f t="shared" si="273"/>
        <v>-4030</v>
      </c>
      <c r="P160">
        <f t="shared" si="273"/>
        <v>-4030</v>
      </c>
      <c r="Q160">
        <f t="shared" si="273"/>
        <v>-4030</v>
      </c>
      <c r="R160">
        <f t="shared" si="273"/>
        <v>-5150</v>
      </c>
      <c r="S160">
        <f t="shared" si="273"/>
        <v>-6190</v>
      </c>
      <c r="T160">
        <f t="shared" si="273"/>
        <v>-7230</v>
      </c>
      <c r="U160">
        <f t="shared" si="273"/>
        <v>-8370</v>
      </c>
      <c r="V160">
        <f t="shared" si="273"/>
        <v>-9510</v>
      </c>
      <c r="W160">
        <f t="shared" si="273"/>
        <v>-10650</v>
      </c>
      <c r="X160">
        <f t="shared" si="273"/>
        <v>-11790</v>
      </c>
      <c r="Y160">
        <f t="shared" si="273"/>
        <v>-12590</v>
      </c>
      <c r="Z160">
        <f t="shared" si="273"/>
        <v>-13390</v>
      </c>
      <c r="AA160">
        <f t="shared" si="273"/>
        <v>-14190</v>
      </c>
      <c r="AB160">
        <f t="shared" si="273"/>
        <v>-14990</v>
      </c>
      <c r="AC160">
        <f t="shared" si="273"/>
        <v>-15950</v>
      </c>
      <c r="AD160">
        <f t="shared" si="273"/>
        <v>-16910</v>
      </c>
      <c r="AE160">
        <f t="shared" si="273"/>
        <v>-17870</v>
      </c>
      <c r="AF160">
        <f t="shared" si="273"/>
        <v>-18830</v>
      </c>
      <c r="AG160">
        <f t="shared" si="273"/>
        <v>-19790</v>
      </c>
      <c r="AH160">
        <f t="shared" si="273"/>
        <v>-20630</v>
      </c>
      <c r="AI160">
        <f t="shared" si="273"/>
        <v>-21470</v>
      </c>
      <c r="AJ160">
        <f t="shared" ref="AJ160:BO160" si="274">AJ154-AJ157</f>
        <v>-21470</v>
      </c>
      <c r="AK160">
        <f t="shared" si="274"/>
        <v>-21470</v>
      </c>
      <c r="AL160">
        <f t="shared" si="274"/>
        <v>-21470</v>
      </c>
      <c r="AM160">
        <f t="shared" si="274"/>
        <v>-21470</v>
      </c>
      <c r="AN160">
        <f t="shared" si="274"/>
        <v>-22277</v>
      </c>
      <c r="AO160">
        <f t="shared" si="274"/>
        <v>-23084</v>
      </c>
      <c r="AP160">
        <f t="shared" si="274"/>
        <v>-23891</v>
      </c>
      <c r="AQ160">
        <f t="shared" si="274"/>
        <v>-24865</v>
      </c>
      <c r="AR160">
        <f t="shared" si="274"/>
        <v>-25839</v>
      </c>
      <c r="AS160">
        <f t="shared" si="274"/>
        <v>-26619</v>
      </c>
      <c r="AT160">
        <f t="shared" si="274"/>
        <v>-27593</v>
      </c>
      <c r="AU160">
        <f t="shared" si="274"/>
        <v>-28519</v>
      </c>
      <c r="AV160">
        <f t="shared" si="274"/>
        <v>-29445</v>
      </c>
      <c r="AW160">
        <f t="shared" si="274"/>
        <v>-30371</v>
      </c>
      <c r="AX160">
        <f t="shared" si="274"/>
        <v>-31297</v>
      </c>
      <c r="AY160">
        <f t="shared" si="274"/>
        <v>-32038</v>
      </c>
      <c r="AZ160">
        <f t="shared" si="274"/>
        <v>-32698</v>
      </c>
      <c r="BA160">
        <f t="shared" si="274"/>
        <v>-33358</v>
      </c>
      <c r="BB160">
        <f t="shared" si="274"/>
        <v>-34018</v>
      </c>
      <c r="BC160">
        <f t="shared" si="274"/>
        <v>-34759</v>
      </c>
      <c r="BD160">
        <f t="shared" si="274"/>
        <v>-35500</v>
      </c>
      <c r="BE160">
        <f t="shared" si="274"/>
        <v>-36241</v>
      </c>
      <c r="BF160">
        <f t="shared" si="274"/>
        <v>-36982</v>
      </c>
      <c r="BG160">
        <f t="shared" si="274"/>
        <v>-37723</v>
      </c>
      <c r="BH160">
        <f t="shared" si="274"/>
        <v>-38464</v>
      </c>
      <c r="BI160">
        <f t="shared" si="274"/>
        <v>-39205</v>
      </c>
      <c r="BJ160">
        <f t="shared" si="274"/>
        <v>-39946</v>
      </c>
      <c r="BK160">
        <f t="shared" si="274"/>
        <v>-40687</v>
      </c>
      <c r="BL160">
        <f t="shared" si="274"/>
        <v>-41424</v>
      </c>
      <c r="BM160">
        <f t="shared" si="274"/>
        <v>-42161</v>
      </c>
      <c r="BN160">
        <f t="shared" si="274"/>
        <v>-43505</v>
      </c>
      <c r="BO160">
        <f t="shared" si="274"/>
        <v>-43505</v>
      </c>
      <c r="BP160">
        <f t="shared" ref="BP160:CC160" si="275">BP154-BP157</f>
        <v>-43505</v>
      </c>
      <c r="BQ160">
        <f t="shared" si="275"/>
        <v>-43505</v>
      </c>
      <c r="BR160">
        <f t="shared" si="275"/>
        <v>-43505</v>
      </c>
      <c r="BS160">
        <f t="shared" si="275"/>
        <v>-44113</v>
      </c>
      <c r="BT160">
        <f t="shared" si="275"/>
        <v>-44721</v>
      </c>
      <c r="BU160">
        <f t="shared" si="275"/>
        <v>-45329</v>
      </c>
      <c r="BV160">
        <f t="shared" si="275"/>
        <v>-45937</v>
      </c>
      <c r="BW160">
        <f t="shared" si="275"/>
        <v>-46545</v>
      </c>
      <c r="BX160">
        <f t="shared" si="275"/>
        <v>-47153</v>
      </c>
      <c r="BY160">
        <f t="shared" si="275"/>
        <v>-47761</v>
      </c>
      <c r="BZ160">
        <f t="shared" si="275"/>
        <v>-48369</v>
      </c>
      <c r="CA160">
        <f t="shared" si="275"/>
        <v>-48977</v>
      </c>
      <c r="CB160">
        <f t="shared" si="275"/>
        <v>-49585</v>
      </c>
      <c r="CC160">
        <f t="shared" si="275"/>
        <v>-50193</v>
      </c>
    </row>
    <row r="161" spans="1:81" x14ac:dyDescent="0.2">
      <c r="A161" s="43" t="s">
        <v>237</v>
      </c>
      <c r="B161" s="44" t="s">
        <v>208</v>
      </c>
      <c r="C161" s="9" t="s">
        <v>38</v>
      </c>
      <c r="D161" s="58">
        <f>IFERROR(VLOOKUP(A161,OS!$A:$B,2,0),0)</f>
        <v>340</v>
      </c>
      <c r="E161" s="5">
        <f>(D161+D162-D164)</f>
        <v>340</v>
      </c>
      <c r="F161" s="5">
        <f>(E161+E162-E164)</f>
        <v>340</v>
      </c>
      <c r="G161" s="5">
        <f>(F161+F162-F164)</f>
        <v>340</v>
      </c>
      <c r="H161" s="5">
        <f>(G161+G162-G164)</f>
        <v>260</v>
      </c>
      <c r="I161" s="5">
        <f t="shared" ref="I161:AN161" si="276">(H161+H162-H164+D163)</f>
        <v>260</v>
      </c>
      <c r="J161" s="5">
        <f t="shared" si="276"/>
        <v>180</v>
      </c>
      <c r="K161" s="5">
        <f t="shared" si="276"/>
        <v>180</v>
      </c>
      <c r="L161" s="5">
        <f t="shared" si="276"/>
        <v>180</v>
      </c>
      <c r="M161" s="5">
        <f t="shared" si="276"/>
        <v>100</v>
      </c>
      <c r="N161" s="5">
        <f t="shared" si="276"/>
        <v>100</v>
      </c>
      <c r="O161" s="5">
        <f t="shared" si="276"/>
        <v>100</v>
      </c>
      <c r="P161" s="5">
        <f t="shared" si="276"/>
        <v>100</v>
      </c>
      <c r="Q161" s="5">
        <f t="shared" si="276"/>
        <v>100</v>
      </c>
      <c r="R161" s="5">
        <f t="shared" si="276"/>
        <v>100</v>
      </c>
      <c r="S161" s="5">
        <f t="shared" si="276"/>
        <v>20</v>
      </c>
      <c r="T161" s="5">
        <f t="shared" si="276"/>
        <v>20</v>
      </c>
      <c r="U161" s="5">
        <f t="shared" si="276"/>
        <v>20</v>
      </c>
      <c r="V161" s="5">
        <f t="shared" si="276"/>
        <v>0</v>
      </c>
      <c r="W161" s="5">
        <f t="shared" si="276"/>
        <v>-20</v>
      </c>
      <c r="X161" s="5">
        <f t="shared" si="276"/>
        <v>-40</v>
      </c>
      <c r="Y161" s="5">
        <f t="shared" si="276"/>
        <v>-60</v>
      </c>
      <c r="Z161" s="5">
        <f t="shared" si="276"/>
        <v>-100</v>
      </c>
      <c r="AA161" s="5">
        <f t="shared" si="276"/>
        <v>-140</v>
      </c>
      <c r="AB161" s="5">
        <f t="shared" si="276"/>
        <v>-180</v>
      </c>
      <c r="AC161" s="5">
        <f t="shared" si="276"/>
        <v>-220</v>
      </c>
      <c r="AD161" s="5">
        <f t="shared" si="276"/>
        <v>-560</v>
      </c>
      <c r="AE161" s="5">
        <f t="shared" si="276"/>
        <v>-900</v>
      </c>
      <c r="AF161" s="5">
        <f t="shared" si="276"/>
        <v>-1240</v>
      </c>
      <c r="AG161" s="5">
        <f t="shared" si="276"/>
        <v>-1580</v>
      </c>
      <c r="AH161" s="5">
        <f t="shared" si="276"/>
        <v>-1900</v>
      </c>
      <c r="AI161" s="5">
        <f t="shared" si="276"/>
        <v>-2180</v>
      </c>
      <c r="AJ161" s="5">
        <f t="shared" si="276"/>
        <v>-2460</v>
      </c>
      <c r="AK161" s="5">
        <f t="shared" si="276"/>
        <v>-2460</v>
      </c>
      <c r="AL161" s="5">
        <f t="shared" si="276"/>
        <v>-2460</v>
      </c>
      <c r="AM161" s="5">
        <f t="shared" si="276"/>
        <v>-2460</v>
      </c>
      <c r="AN161" s="5">
        <f t="shared" si="276"/>
        <v>-2460</v>
      </c>
      <c r="AO161" s="5">
        <f t="shared" ref="AO161:BT161" si="277">(AN161+AN162-AN164+AJ163)</f>
        <v>-2535</v>
      </c>
      <c r="AP161" s="5">
        <f t="shared" si="277"/>
        <v>-2610</v>
      </c>
      <c r="AQ161" s="5">
        <f t="shared" si="277"/>
        <v>-2685</v>
      </c>
      <c r="AR161" s="5">
        <f t="shared" si="277"/>
        <v>-2775</v>
      </c>
      <c r="AS161" s="5">
        <f t="shared" si="277"/>
        <v>-2865</v>
      </c>
      <c r="AT161" s="5">
        <f t="shared" si="277"/>
        <v>-2937</v>
      </c>
      <c r="AU161" s="5">
        <f t="shared" si="277"/>
        <v>-3027</v>
      </c>
      <c r="AV161" s="5">
        <f t="shared" si="277"/>
        <v>-3112</v>
      </c>
      <c r="AW161" s="5">
        <f t="shared" si="277"/>
        <v>-3197</v>
      </c>
      <c r="AX161" s="5">
        <f t="shared" si="277"/>
        <v>-3282</v>
      </c>
      <c r="AY161" s="5">
        <f t="shared" si="277"/>
        <v>-3367</v>
      </c>
      <c r="AZ161" s="5">
        <f t="shared" si="277"/>
        <v>-3436</v>
      </c>
      <c r="BA161" s="5">
        <f t="shared" si="277"/>
        <v>-3497</v>
      </c>
      <c r="BB161" s="5">
        <f t="shared" si="277"/>
        <v>-3558</v>
      </c>
      <c r="BC161" s="5">
        <f t="shared" si="277"/>
        <v>-3619</v>
      </c>
      <c r="BD161" s="5">
        <f t="shared" si="277"/>
        <v>-3688</v>
      </c>
      <c r="BE161" s="5">
        <f t="shared" si="277"/>
        <v>-3757</v>
      </c>
      <c r="BF161" s="5">
        <f t="shared" si="277"/>
        <v>-3826</v>
      </c>
      <c r="BG161" s="5">
        <f t="shared" si="277"/>
        <v>-3895</v>
      </c>
      <c r="BH161" s="5">
        <f t="shared" si="277"/>
        <v>-3964</v>
      </c>
      <c r="BI161" s="5">
        <f t="shared" si="277"/>
        <v>-4033</v>
      </c>
      <c r="BJ161" s="5">
        <f t="shared" si="277"/>
        <v>-4102</v>
      </c>
      <c r="BK161" s="5">
        <f t="shared" si="277"/>
        <v>-4171</v>
      </c>
      <c r="BL161" s="5">
        <f t="shared" si="277"/>
        <v>-4240</v>
      </c>
      <c r="BM161" s="5">
        <f t="shared" si="277"/>
        <v>-4308</v>
      </c>
      <c r="BN161" s="5">
        <f t="shared" si="277"/>
        <v>-4376</v>
      </c>
      <c r="BO161" s="5">
        <f t="shared" si="277"/>
        <v>-4500</v>
      </c>
      <c r="BP161" s="5">
        <f t="shared" si="277"/>
        <v>-4500</v>
      </c>
      <c r="BQ161" s="5">
        <f t="shared" si="277"/>
        <v>-4500</v>
      </c>
      <c r="BR161" s="5">
        <f t="shared" si="277"/>
        <v>-4500</v>
      </c>
      <c r="BS161" s="5">
        <f t="shared" si="277"/>
        <v>-4500</v>
      </c>
      <c r="BT161" s="5">
        <f t="shared" si="277"/>
        <v>-4556</v>
      </c>
      <c r="BU161" s="5">
        <f t="shared" ref="BU161:CZ161" si="278">(BT161+BT162-BT164+BP163)</f>
        <v>-4612</v>
      </c>
      <c r="BV161" s="5">
        <f t="shared" si="278"/>
        <v>-4668</v>
      </c>
      <c r="BW161" s="5">
        <f t="shared" si="278"/>
        <v>-4724</v>
      </c>
      <c r="BX161" s="5">
        <f t="shared" si="278"/>
        <v>-4780</v>
      </c>
      <c r="BY161" s="5">
        <f t="shared" si="278"/>
        <v>-4836</v>
      </c>
      <c r="BZ161" s="5">
        <f t="shared" si="278"/>
        <v>-4892</v>
      </c>
      <c r="CA161" s="5">
        <f t="shared" si="278"/>
        <v>-4948</v>
      </c>
      <c r="CB161" s="5">
        <f t="shared" si="278"/>
        <v>-5004</v>
      </c>
      <c r="CC161" s="5">
        <f t="shared" si="278"/>
        <v>-5060</v>
      </c>
    </row>
    <row r="162" spans="1:81" x14ac:dyDescent="0.2">
      <c r="A162" s="5" t="s">
        <v>209</v>
      </c>
      <c r="B162" s="5">
        <v>10.494859999999999</v>
      </c>
      <c r="C162" s="45" t="s">
        <v>39</v>
      </c>
      <c r="D162" s="72">
        <f>IFERROR(VLOOKUP(A161,WIP!$A:$B,2,0),0)</f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</row>
    <row r="163" spans="1:81" x14ac:dyDescent="0.2">
      <c r="A163" s="5" t="s">
        <v>210</v>
      </c>
      <c r="B163" s="5">
        <v>0.29899999999999999</v>
      </c>
      <c r="C163" s="9" t="s">
        <v>211</v>
      </c>
      <c r="D163" s="70">
        <f>IFERROR(VLOOKUP($A161,Plan!$A:B,D$4,0),0)</f>
        <v>0</v>
      </c>
      <c r="E163" s="70">
        <f>IFERROR(VLOOKUP($A161,Plan!$A:C,E$4,0),0)</f>
        <v>0</v>
      </c>
      <c r="F163" s="70">
        <f>IFERROR(VLOOKUP($A161,Plan!$A:D,F$4,0),0)</f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0">
        <v>0</v>
      </c>
      <c r="CA163" s="10">
        <v>0</v>
      </c>
      <c r="CB163" s="10">
        <v>0</v>
      </c>
      <c r="CC163" s="10">
        <v>0</v>
      </c>
    </row>
    <row r="164" spans="1:81" x14ac:dyDescent="0.2">
      <c r="A164" s="5" t="s">
        <v>212</v>
      </c>
      <c r="B164" s="5">
        <v>7.4999999999999997E-2</v>
      </c>
      <c r="C164" s="9" t="s">
        <v>213</v>
      </c>
      <c r="D164" s="71">
        <f>IFERROR(VLOOKUP($A161,Sales!$A:B,D$2,0),0)</f>
        <v>0</v>
      </c>
      <c r="E164" s="71">
        <f>IFERROR(VLOOKUP($A161,Sales!$A:C,E$2,0),0)</f>
        <v>0</v>
      </c>
      <c r="F164" s="71">
        <f>IFERROR(VLOOKUP($A161,Sales!$A:D,F$2,0),0)</f>
        <v>0</v>
      </c>
      <c r="G164" s="71">
        <f>IFERROR(VLOOKUP($A161,Sales!$A:E,G$2,0),0)</f>
        <v>80</v>
      </c>
      <c r="H164" s="71">
        <f>IFERROR(VLOOKUP($A161,Sales!$A:F,H$2,0),0)</f>
        <v>0</v>
      </c>
      <c r="I164" s="71">
        <f>IFERROR(VLOOKUP($A161,Sales!$A:G,I$2,0),0)</f>
        <v>80</v>
      </c>
      <c r="J164" s="71">
        <f>IFERROR(VLOOKUP($A161,Sales!$A:H,J$2,0),0)</f>
        <v>0</v>
      </c>
      <c r="K164" s="71">
        <f>IFERROR(VLOOKUP($A161,Sales!$A:I,K$2,0),0)</f>
        <v>0</v>
      </c>
      <c r="L164" s="71">
        <f>IFERROR(VLOOKUP($A161,Sales!$A:J,L$2,0),0)</f>
        <v>80</v>
      </c>
      <c r="M164" s="71">
        <f>IFERROR(VLOOKUP($A161,Sales!$A:K,M$2,0),0)</f>
        <v>0</v>
      </c>
      <c r="N164" s="71">
        <f>IFERROR(VLOOKUP($A161,Sales!$A:L,N$2,0),0)</f>
        <v>0</v>
      </c>
      <c r="O164" s="71">
        <f>IFERROR(VLOOKUP($A161,Sales!$A:M,O$2,0),0)</f>
        <v>0</v>
      </c>
      <c r="P164" s="71">
        <f>IFERROR(VLOOKUP($A161,Sales!$A:N,P$2,0),0)</f>
        <v>0</v>
      </c>
      <c r="Q164" s="71">
        <f>IFERROR(VLOOKUP($A161,Sales!$A:O,Q$2,0),0)</f>
        <v>0</v>
      </c>
      <c r="R164" s="71">
        <f>IFERROR(VLOOKUP($A161,Sales!$A:P,R$2,0),0)</f>
        <v>80</v>
      </c>
      <c r="S164" s="71">
        <f>IFERROR(VLOOKUP($A161,Sales!$A:Q,S$2,0),0)</f>
        <v>0</v>
      </c>
      <c r="T164" s="71">
        <f>IFERROR(VLOOKUP($A161,Sales!$A:R,T$2,0),0)</f>
        <v>0</v>
      </c>
      <c r="U164" s="71">
        <f>IFERROR(VLOOKUP($A161,Sales!$A:S,U$2,0),0)</f>
        <v>20</v>
      </c>
      <c r="V164" s="71">
        <f>IFERROR(VLOOKUP($A161,Sales!$A:T,V$2,0),0)</f>
        <v>20</v>
      </c>
      <c r="W164" s="71">
        <f>IFERROR(VLOOKUP($A161,Sales!$A:U,W$2,0),0)</f>
        <v>20</v>
      </c>
      <c r="X164" s="71">
        <f>IFERROR(VLOOKUP($A161,Sales!$A:V,X$2,0),0)</f>
        <v>20</v>
      </c>
      <c r="Y164" s="71">
        <f>IFERROR(VLOOKUP($A161,Sales!$A:W,Y$2,0),0)</f>
        <v>40</v>
      </c>
      <c r="Z164" s="71">
        <f>IFERROR(VLOOKUP($A161,Sales!$A:X,Z$2,0),0)</f>
        <v>40</v>
      </c>
      <c r="AA164" s="71">
        <f>IFERROR(VLOOKUP($A161,Sales!$A:Y,AA$2,0),0)</f>
        <v>40</v>
      </c>
      <c r="AB164" s="71">
        <f>IFERROR(VLOOKUP($A161,Sales!$A:Z,AB$2,0),0)</f>
        <v>40</v>
      </c>
      <c r="AC164" s="71">
        <f>IFERROR(VLOOKUP($A161,Sales!$A:AA,AC$2,0),0)</f>
        <v>340</v>
      </c>
      <c r="AD164" s="71">
        <f>IFERROR(VLOOKUP($A161,Sales!$A:AB,AD$2,0),0)</f>
        <v>340</v>
      </c>
      <c r="AE164" s="71">
        <f>IFERROR(VLOOKUP($A161,Sales!$A:AC,AE$2,0),0)</f>
        <v>340</v>
      </c>
      <c r="AF164" s="71">
        <f>IFERROR(VLOOKUP($A161,Sales!$A:AD,AF$2,0),0)</f>
        <v>340</v>
      </c>
      <c r="AG164" s="71">
        <f>IFERROR(VLOOKUP($A161,Sales!$A:AE,AG$2,0),0)</f>
        <v>320</v>
      </c>
      <c r="AH164" s="71">
        <f>IFERROR(VLOOKUP($A161,Sales!$A:AF,AH$2,0),0)</f>
        <v>280</v>
      </c>
      <c r="AI164" s="71">
        <f>IFERROR(VLOOKUP($A161,Sales!$A:AG,AI$2,0),0)</f>
        <v>280</v>
      </c>
      <c r="AJ164" s="71">
        <f>IFERROR(VLOOKUP($A161,Sales!$A:AH,AJ$2,0),0)</f>
        <v>0</v>
      </c>
      <c r="AK164" s="73">
        <f t="shared" ref="AK164:CC164" si="279">CEILING(AK$5*$B160,1)</f>
        <v>0</v>
      </c>
      <c r="AL164" s="73">
        <f t="shared" si="279"/>
        <v>0</v>
      </c>
      <c r="AM164" s="73">
        <f t="shared" si="279"/>
        <v>0</v>
      </c>
      <c r="AN164" s="73">
        <f t="shared" si="279"/>
        <v>75</v>
      </c>
      <c r="AO164" s="73">
        <f t="shared" si="279"/>
        <v>75</v>
      </c>
      <c r="AP164" s="73">
        <f t="shared" si="279"/>
        <v>75</v>
      </c>
      <c r="AQ164" s="73">
        <f t="shared" si="279"/>
        <v>90</v>
      </c>
      <c r="AR164" s="73">
        <f t="shared" si="279"/>
        <v>90</v>
      </c>
      <c r="AS164" s="73">
        <f t="shared" si="279"/>
        <v>72</v>
      </c>
      <c r="AT164" s="73">
        <f t="shared" si="279"/>
        <v>90</v>
      </c>
      <c r="AU164" s="73">
        <f t="shared" si="279"/>
        <v>85</v>
      </c>
      <c r="AV164" s="73">
        <f t="shared" si="279"/>
        <v>85</v>
      </c>
      <c r="AW164" s="73">
        <f t="shared" si="279"/>
        <v>85</v>
      </c>
      <c r="AX164" s="73">
        <f t="shared" si="279"/>
        <v>85</v>
      </c>
      <c r="AY164" s="73">
        <f t="shared" si="279"/>
        <v>69</v>
      </c>
      <c r="AZ164" s="73">
        <f t="shared" si="279"/>
        <v>61</v>
      </c>
      <c r="BA164" s="73">
        <f t="shared" si="279"/>
        <v>61</v>
      </c>
      <c r="BB164" s="73">
        <f t="shared" si="279"/>
        <v>61</v>
      </c>
      <c r="BC164" s="73">
        <f t="shared" si="279"/>
        <v>69</v>
      </c>
      <c r="BD164" s="73">
        <f t="shared" si="279"/>
        <v>69</v>
      </c>
      <c r="BE164" s="73">
        <f t="shared" si="279"/>
        <v>69</v>
      </c>
      <c r="BF164" s="73">
        <f t="shared" si="279"/>
        <v>69</v>
      </c>
      <c r="BG164" s="73">
        <f t="shared" si="279"/>
        <v>69</v>
      </c>
      <c r="BH164" s="73">
        <f t="shared" si="279"/>
        <v>69</v>
      </c>
      <c r="BI164" s="73">
        <f t="shared" si="279"/>
        <v>69</v>
      </c>
      <c r="BJ164" s="73">
        <f t="shared" si="279"/>
        <v>69</v>
      </c>
      <c r="BK164" s="73">
        <f t="shared" si="279"/>
        <v>69</v>
      </c>
      <c r="BL164" s="73">
        <f t="shared" si="279"/>
        <v>68</v>
      </c>
      <c r="BM164" s="73">
        <f t="shared" si="279"/>
        <v>68</v>
      </c>
      <c r="BN164" s="73">
        <f t="shared" si="279"/>
        <v>124</v>
      </c>
      <c r="BO164" s="73">
        <f t="shared" si="279"/>
        <v>0</v>
      </c>
      <c r="BP164" s="73">
        <f t="shared" si="279"/>
        <v>0</v>
      </c>
      <c r="BQ164" s="73">
        <f t="shared" si="279"/>
        <v>0</v>
      </c>
      <c r="BR164" s="73">
        <f t="shared" si="279"/>
        <v>0</v>
      </c>
      <c r="BS164" s="73">
        <f t="shared" si="279"/>
        <v>56</v>
      </c>
      <c r="BT164" s="73">
        <f t="shared" si="279"/>
        <v>56</v>
      </c>
      <c r="BU164" s="73">
        <f t="shared" si="279"/>
        <v>56</v>
      </c>
      <c r="BV164" s="73">
        <f t="shared" si="279"/>
        <v>56</v>
      </c>
      <c r="BW164" s="73">
        <f t="shared" si="279"/>
        <v>56</v>
      </c>
      <c r="BX164" s="73">
        <f t="shared" si="279"/>
        <v>56</v>
      </c>
      <c r="BY164" s="73">
        <f t="shared" si="279"/>
        <v>56</v>
      </c>
      <c r="BZ164" s="73">
        <f t="shared" si="279"/>
        <v>56</v>
      </c>
      <c r="CA164" s="73">
        <f t="shared" si="279"/>
        <v>56</v>
      </c>
      <c r="CB164" s="73">
        <f t="shared" si="279"/>
        <v>56</v>
      </c>
      <c r="CC164" s="73">
        <f t="shared" si="279"/>
        <v>56</v>
      </c>
    </row>
    <row r="165" spans="1:81" x14ac:dyDescent="0.2">
      <c r="A165" s="5" t="s">
        <v>214</v>
      </c>
      <c r="B165" s="5">
        <v>0.374</v>
      </c>
      <c r="C165" s="46" t="s">
        <v>215</v>
      </c>
      <c r="D165" s="69">
        <f t="shared" ref="D165:AI165" si="280">IF(D164=0,0, ROUND(D161 * 1/D164* D$13,1))</f>
        <v>0</v>
      </c>
      <c r="E165" s="69">
        <f t="shared" si="280"/>
        <v>0</v>
      </c>
      <c r="F165" s="69">
        <f t="shared" si="280"/>
        <v>0</v>
      </c>
      <c r="G165" s="69">
        <f t="shared" si="280"/>
        <v>21.3</v>
      </c>
      <c r="H165" s="69">
        <f t="shared" si="280"/>
        <v>0</v>
      </c>
      <c r="I165" s="69">
        <f t="shared" si="280"/>
        <v>16.3</v>
      </c>
      <c r="J165" s="69">
        <f t="shared" si="280"/>
        <v>0</v>
      </c>
      <c r="K165" s="69">
        <f t="shared" si="280"/>
        <v>0</v>
      </c>
      <c r="L165" s="69">
        <f t="shared" si="280"/>
        <v>11.3</v>
      </c>
      <c r="M165" s="69">
        <f t="shared" si="280"/>
        <v>0</v>
      </c>
      <c r="N165" s="69">
        <f t="shared" si="280"/>
        <v>0</v>
      </c>
      <c r="O165" s="69">
        <f t="shared" si="280"/>
        <v>0</v>
      </c>
      <c r="P165" s="69">
        <f t="shared" si="280"/>
        <v>0</v>
      </c>
      <c r="Q165" s="69">
        <f t="shared" si="280"/>
        <v>0</v>
      </c>
      <c r="R165" s="69">
        <f t="shared" si="280"/>
        <v>6.3</v>
      </c>
      <c r="S165" s="69">
        <f t="shared" si="280"/>
        <v>0</v>
      </c>
      <c r="T165" s="69">
        <f t="shared" si="280"/>
        <v>0</v>
      </c>
      <c r="U165" s="69">
        <f t="shared" si="280"/>
        <v>5</v>
      </c>
      <c r="V165" s="69">
        <f t="shared" si="280"/>
        <v>0</v>
      </c>
      <c r="W165" s="69">
        <f t="shared" si="280"/>
        <v>-5</v>
      </c>
      <c r="X165" s="69">
        <f t="shared" si="280"/>
        <v>-10</v>
      </c>
      <c r="Y165" s="69">
        <f t="shared" si="280"/>
        <v>-7.5</v>
      </c>
      <c r="Z165" s="69">
        <f t="shared" si="280"/>
        <v>-12.5</v>
      </c>
      <c r="AA165" s="69">
        <f t="shared" si="280"/>
        <v>-17.5</v>
      </c>
      <c r="AB165" s="69">
        <f t="shared" si="280"/>
        <v>-22.5</v>
      </c>
      <c r="AC165" s="69">
        <f t="shared" si="280"/>
        <v>-3.2</v>
      </c>
      <c r="AD165" s="69">
        <f t="shared" si="280"/>
        <v>-8.1999999999999993</v>
      </c>
      <c r="AE165" s="69">
        <f t="shared" si="280"/>
        <v>-13.2</v>
      </c>
      <c r="AF165" s="69">
        <f t="shared" si="280"/>
        <v>-18.2</v>
      </c>
      <c r="AG165" s="69">
        <f t="shared" si="280"/>
        <v>-24.7</v>
      </c>
      <c r="AH165" s="69">
        <f t="shared" si="280"/>
        <v>-33.9</v>
      </c>
      <c r="AI165" s="69">
        <f t="shared" si="280"/>
        <v>-38.9</v>
      </c>
      <c r="AJ165" s="69">
        <f t="shared" ref="AJ165:BO165" si="281">IF(AJ164=0,0, ROUND(AJ161 * 1/AJ164* AJ$13,1))</f>
        <v>0</v>
      </c>
      <c r="AK165" s="69">
        <f t="shared" si="281"/>
        <v>0</v>
      </c>
      <c r="AL165" s="69">
        <f t="shared" si="281"/>
        <v>0</v>
      </c>
      <c r="AM165" s="69">
        <f t="shared" si="281"/>
        <v>0</v>
      </c>
      <c r="AN165" s="69">
        <f t="shared" si="281"/>
        <v>-164</v>
      </c>
      <c r="AO165" s="69">
        <f t="shared" si="281"/>
        <v>-169</v>
      </c>
      <c r="AP165" s="69">
        <f t="shared" si="281"/>
        <v>-174</v>
      </c>
      <c r="AQ165" s="69">
        <f t="shared" si="281"/>
        <v>-149.19999999999999</v>
      </c>
      <c r="AR165" s="69">
        <f t="shared" si="281"/>
        <v>-154.19999999999999</v>
      </c>
      <c r="AS165" s="69">
        <f t="shared" si="281"/>
        <v>-199</v>
      </c>
      <c r="AT165" s="69">
        <f t="shared" si="281"/>
        <v>-163.19999999999999</v>
      </c>
      <c r="AU165" s="69">
        <f t="shared" si="281"/>
        <v>-178.1</v>
      </c>
      <c r="AV165" s="69">
        <f t="shared" si="281"/>
        <v>-183.1</v>
      </c>
      <c r="AW165" s="69">
        <f t="shared" si="281"/>
        <v>-188.1</v>
      </c>
      <c r="AX165" s="69">
        <f t="shared" si="281"/>
        <v>-193.1</v>
      </c>
      <c r="AY165" s="69">
        <f t="shared" si="281"/>
        <v>-244</v>
      </c>
      <c r="AZ165" s="69">
        <f t="shared" si="281"/>
        <v>-281.60000000000002</v>
      </c>
      <c r="BA165" s="69">
        <f t="shared" si="281"/>
        <v>-286.60000000000002</v>
      </c>
      <c r="BB165" s="69">
        <f t="shared" si="281"/>
        <v>-291.60000000000002</v>
      </c>
      <c r="BC165" s="69">
        <f t="shared" si="281"/>
        <v>-262.2</v>
      </c>
      <c r="BD165" s="69">
        <f t="shared" si="281"/>
        <v>-267.2</v>
      </c>
      <c r="BE165" s="69">
        <f t="shared" si="281"/>
        <v>-272.2</v>
      </c>
      <c r="BF165" s="69">
        <f t="shared" si="281"/>
        <v>-277.2</v>
      </c>
      <c r="BG165" s="69">
        <f t="shared" si="281"/>
        <v>-282.2</v>
      </c>
      <c r="BH165" s="69">
        <f t="shared" si="281"/>
        <v>-287.2</v>
      </c>
      <c r="BI165" s="69">
        <f t="shared" si="281"/>
        <v>-292.2</v>
      </c>
      <c r="BJ165" s="69">
        <f t="shared" si="281"/>
        <v>-297.2</v>
      </c>
      <c r="BK165" s="69">
        <f t="shared" si="281"/>
        <v>-302.2</v>
      </c>
      <c r="BL165" s="69">
        <f t="shared" si="281"/>
        <v>-311.8</v>
      </c>
      <c r="BM165" s="69">
        <f t="shared" si="281"/>
        <v>-316.8</v>
      </c>
      <c r="BN165" s="69">
        <f t="shared" si="281"/>
        <v>-176.5</v>
      </c>
      <c r="BO165" s="69">
        <f t="shared" si="281"/>
        <v>0</v>
      </c>
      <c r="BP165" s="69">
        <f t="shared" ref="BP165:CU165" si="282">IF(BP164=0,0, ROUND(BP161 * 1/BP164* BP$13,1))</f>
        <v>0</v>
      </c>
      <c r="BQ165" s="69">
        <f t="shared" si="282"/>
        <v>0</v>
      </c>
      <c r="BR165" s="69">
        <f t="shared" si="282"/>
        <v>0</v>
      </c>
      <c r="BS165" s="69">
        <f t="shared" si="282"/>
        <v>-401.8</v>
      </c>
      <c r="BT165" s="69">
        <f t="shared" si="282"/>
        <v>-406.8</v>
      </c>
      <c r="BU165" s="69">
        <f t="shared" si="282"/>
        <v>-411.8</v>
      </c>
      <c r="BV165" s="69">
        <f t="shared" si="282"/>
        <v>-416.8</v>
      </c>
      <c r="BW165" s="69">
        <f t="shared" si="282"/>
        <v>-421.8</v>
      </c>
      <c r="BX165" s="69">
        <f t="shared" si="282"/>
        <v>-426.8</v>
      </c>
      <c r="BY165" s="69">
        <f t="shared" si="282"/>
        <v>-431.8</v>
      </c>
      <c r="BZ165" s="69">
        <f t="shared" si="282"/>
        <v>-436.8</v>
      </c>
      <c r="CA165" s="69">
        <f t="shared" si="282"/>
        <v>-441.8</v>
      </c>
      <c r="CB165" s="69">
        <f t="shared" si="282"/>
        <v>-446.8</v>
      </c>
      <c r="CC165" s="69">
        <f t="shared" si="282"/>
        <v>-451.8</v>
      </c>
    </row>
    <row r="166" spans="1:81" x14ac:dyDescent="0.2">
      <c r="A166" s="10">
        <v>37</v>
      </c>
      <c r="B166" s="10">
        <v>1</v>
      </c>
      <c r="C166" s="68">
        <v>7.9420700000000002</v>
      </c>
      <c r="D166">
        <f t="shared" ref="D166:AI166" si="283">D163/$B166</f>
        <v>0</v>
      </c>
      <c r="E166">
        <f t="shared" si="283"/>
        <v>0</v>
      </c>
      <c r="F166">
        <f t="shared" si="283"/>
        <v>0</v>
      </c>
      <c r="G166">
        <f t="shared" si="283"/>
        <v>0</v>
      </c>
      <c r="H166">
        <f t="shared" si="283"/>
        <v>0</v>
      </c>
      <c r="I166">
        <f t="shared" si="283"/>
        <v>0</v>
      </c>
      <c r="J166">
        <f t="shared" si="283"/>
        <v>0</v>
      </c>
      <c r="K166">
        <f t="shared" si="283"/>
        <v>0</v>
      </c>
      <c r="L166">
        <f t="shared" si="283"/>
        <v>0</v>
      </c>
      <c r="M166">
        <f t="shared" si="283"/>
        <v>0</v>
      </c>
      <c r="N166">
        <f t="shared" si="283"/>
        <v>0</v>
      </c>
      <c r="O166">
        <f t="shared" si="283"/>
        <v>0</v>
      </c>
      <c r="P166">
        <f t="shared" si="283"/>
        <v>0</v>
      </c>
      <c r="Q166">
        <f t="shared" si="283"/>
        <v>0</v>
      </c>
      <c r="R166">
        <f t="shared" si="283"/>
        <v>0</v>
      </c>
      <c r="S166">
        <f t="shared" si="283"/>
        <v>0</v>
      </c>
      <c r="T166">
        <f t="shared" si="283"/>
        <v>0</v>
      </c>
      <c r="U166">
        <f t="shared" si="283"/>
        <v>0</v>
      </c>
      <c r="V166">
        <f t="shared" si="283"/>
        <v>0</v>
      </c>
      <c r="W166">
        <f t="shared" si="283"/>
        <v>0</v>
      </c>
      <c r="X166">
        <f t="shared" si="283"/>
        <v>0</v>
      </c>
      <c r="Y166">
        <f t="shared" si="283"/>
        <v>0</v>
      </c>
      <c r="Z166">
        <f t="shared" si="283"/>
        <v>0</v>
      </c>
      <c r="AA166">
        <f t="shared" si="283"/>
        <v>0</v>
      </c>
      <c r="AB166">
        <f t="shared" si="283"/>
        <v>0</v>
      </c>
      <c r="AC166">
        <f t="shared" si="283"/>
        <v>0</v>
      </c>
      <c r="AD166">
        <f t="shared" si="283"/>
        <v>0</v>
      </c>
      <c r="AE166">
        <f t="shared" si="283"/>
        <v>0</v>
      </c>
      <c r="AF166">
        <f t="shared" si="283"/>
        <v>0</v>
      </c>
      <c r="AG166">
        <f t="shared" si="283"/>
        <v>0</v>
      </c>
      <c r="AH166">
        <f t="shared" si="283"/>
        <v>0</v>
      </c>
      <c r="AI166">
        <f t="shared" si="283"/>
        <v>0</v>
      </c>
      <c r="AJ166">
        <f t="shared" ref="AJ166:BO166" si="284">AJ163/$B166</f>
        <v>0</v>
      </c>
      <c r="AK166">
        <f t="shared" si="284"/>
        <v>0</v>
      </c>
      <c r="AL166">
        <f t="shared" si="284"/>
        <v>0</v>
      </c>
      <c r="AM166">
        <f t="shared" si="284"/>
        <v>0</v>
      </c>
      <c r="AN166">
        <f t="shared" si="284"/>
        <v>0</v>
      </c>
      <c r="AO166">
        <f t="shared" si="284"/>
        <v>0</v>
      </c>
      <c r="AP166">
        <f t="shared" si="284"/>
        <v>0</v>
      </c>
      <c r="AQ166">
        <f t="shared" si="284"/>
        <v>0</v>
      </c>
      <c r="AR166">
        <f t="shared" si="284"/>
        <v>0</v>
      </c>
      <c r="AS166">
        <f t="shared" si="284"/>
        <v>0</v>
      </c>
      <c r="AT166">
        <f t="shared" si="284"/>
        <v>0</v>
      </c>
      <c r="AU166">
        <f t="shared" si="284"/>
        <v>0</v>
      </c>
      <c r="AV166">
        <f t="shared" si="284"/>
        <v>0</v>
      </c>
      <c r="AW166">
        <f t="shared" si="284"/>
        <v>0</v>
      </c>
      <c r="AX166">
        <f t="shared" si="284"/>
        <v>0</v>
      </c>
      <c r="AY166">
        <f t="shared" si="284"/>
        <v>0</v>
      </c>
      <c r="AZ166">
        <f t="shared" si="284"/>
        <v>0</v>
      </c>
      <c r="BA166">
        <f t="shared" si="284"/>
        <v>0</v>
      </c>
      <c r="BB166">
        <f t="shared" si="284"/>
        <v>0</v>
      </c>
      <c r="BC166">
        <f t="shared" si="284"/>
        <v>0</v>
      </c>
      <c r="BD166">
        <f t="shared" si="284"/>
        <v>0</v>
      </c>
      <c r="BE166">
        <f t="shared" si="284"/>
        <v>0</v>
      </c>
      <c r="BF166">
        <f t="shared" si="284"/>
        <v>0</v>
      </c>
      <c r="BG166">
        <f t="shared" si="284"/>
        <v>0</v>
      </c>
      <c r="BH166">
        <f t="shared" si="284"/>
        <v>0</v>
      </c>
      <c r="BI166">
        <f t="shared" si="284"/>
        <v>0</v>
      </c>
      <c r="BJ166">
        <f t="shared" si="284"/>
        <v>0</v>
      </c>
      <c r="BK166">
        <f t="shared" si="284"/>
        <v>0</v>
      </c>
      <c r="BL166">
        <f t="shared" si="284"/>
        <v>0</v>
      </c>
      <c r="BM166">
        <f t="shared" si="284"/>
        <v>0</v>
      </c>
      <c r="BN166">
        <f t="shared" si="284"/>
        <v>0</v>
      </c>
      <c r="BO166">
        <f t="shared" si="284"/>
        <v>0</v>
      </c>
      <c r="BP166">
        <f t="shared" ref="BP166:CC166" si="285">BP163/$B166</f>
        <v>0</v>
      </c>
      <c r="BQ166">
        <f t="shared" si="285"/>
        <v>0</v>
      </c>
      <c r="BR166">
        <f t="shared" si="285"/>
        <v>0</v>
      </c>
      <c r="BS166">
        <f t="shared" si="285"/>
        <v>0</v>
      </c>
      <c r="BT166">
        <f t="shared" si="285"/>
        <v>0</v>
      </c>
      <c r="BU166">
        <f t="shared" si="285"/>
        <v>0</v>
      </c>
      <c r="BV166">
        <f t="shared" si="285"/>
        <v>0</v>
      </c>
      <c r="BW166">
        <f t="shared" si="285"/>
        <v>0</v>
      </c>
      <c r="BX166">
        <f t="shared" si="285"/>
        <v>0</v>
      </c>
      <c r="BY166">
        <f t="shared" si="285"/>
        <v>0</v>
      </c>
      <c r="BZ166">
        <f t="shared" si="285"/>
        <v>0</v>
      </c>
      <c r="CA166">
        <f t="shared" si="285"/>
        <v>0</v>
      </c>
      <c r="CB166">
        <f t="shared" si="285"/>
        <v>0</v>
      </c>
      <c r="CC166">
        <f t="shared" si="285"/>
        <v>0</v>
      </c>
    </row>
    <row r="167" spans="1:81" x14ac:dyDescent="0.2">
      <c r="A167" s="10"/>
      <c r="B167" s="67">
        <f>SUM(D171:AJ171)/SUM($D$263:$AJ$263)</f>
        <v>3.906440744176962E-3</v>
      </c>
      <c r="C167" s="9" t="s">
        <v>216</v>
      </c>
      <c r="D167" s="10">
        <f t="shared" ref="D167:AI167" si="286">D161-D164</f>
        <v>340</v>
      </c>
      <c r="E167" s="10">
        <f t="shared" si="286"/>
        <v>340</v>
      </c>
      <c r="F167" s="10">
        <f t="shared" si="286"/>
        <v>340</v>
      </c>
      <c r="G167" s="10">
        <f t="shared" si="286"/>
        <v>260</v>
      </c>
      <c r="H167" s="10">
        <f t="shared" si="286"/>
        <v>260</v>
      </c>
      <c r="I167" s="10">
        <f t="shared" si="286"/>
        <v>180</v>
      </c>
      <c r="J167" s="10">
        <f t="shared" si="286"/>
        <v>180</v>
      </c>
      <c r="K167" s="10">
        <f t="shared" si="286"/>
        <v>180</v>
      </c>
      <c r="L167" s="10">
        <f t="shared" si="286"/>
        <v>100</v>
      </c>
      <c r="M167" s="10">
        <f t="shared" si="286"/>
        <v>100</v>
      </c>
      <c r="N167" s="10">
        <f t="shared" si="286"/>
        <v>100</v>
      </c>
      <c r="O167" s="10">
        <f t="shared" si="286"/>
        <v>100</v>
      </c>
      <c r="P167" s="10">
        <f t="shared" si="286"/>
        <v>100</v>
      </c>
      <c r="Q167" s="10">
        <f t="shared" si="286"/>
        <v>100</v>
      </c>
      <c r="R167" s="10">
        <f t="shared" si="286"/>
        <v>20</v>
      </c>
      <c r="S167" s="10">
        <f t="shared" si="286"/>
        <v>20</v>
      </c>
      <c r="T167" s="10">
        <f t="shared" si="286"/>
        <v>20</v>
      </c>
      <c r="U167" s="10">
        <f t="shared" si="286"/>
        <v>0</v>
      </c>
      <c r="V167" s="10">
        <f t="shared" si="286"/>
        <v>-20</v>
      </c>
      <c r="W167" s="10">
        <f t="shared" si="286"/>
        <v>-40</v>
      </c>
      <c r="X167" s="10">
        <f t="shared" si="286"/>
        <v>-60</v>
      </c>
      <c r="Y167" s="10">
        <f t="shared" si="286"/>
        <v>-100</v>
      </c>
      <c r="Z167" s="10">
        <f t="shared" si="286"/>
        <v>-140</v>
      </c>
      <c r="AA167" s="10">
        <f t="shared" si="286"/>
        <v>-180</v>
      </c>
      <c r="AB167" s="10">
        <f t="shared" si="286"/>
        <v>-220</v>
      </c>
      <c r="AC167" s="10">
        <f t="shared" si="286"/>
        <v>-560</v>
      </c>
      <c r="AD167" s="10">
        <f t="shared" si="286"/>
        <v>-900</v>
      </c>
      <c r="AE167" s="10">
        <f t="shared" si="286"/>
        <v>-1240</v>
      </c>
      <c r="AF167" s="10">
        <f t="shared" si="286"/>
        <v>-1580</v>
      </c>
      <c r="AG167" s="10">
        <f t="shared" si="286"/>
        <v>-1900</v>
      </c>
      <c r="AH167" s="10">
        <f t="shared" si="286"/>
        <v>-2180</v>
      </c>
      <c r="AI167" s="10">
        <f t="shared" si="286"/>
        <v>-2460</v>
      </c>
      <c r="AJ167" s="10">
        <f t="shared" ref="AJ167:BO167" si="287">AJ161-AJ164</f>
        <v>-2460</v>
      </c>
      <c r="AK167" s="10">
        <f t="shared" si="287"/>
        <v>-2460</v>
      </c>
      <c r="AL167" s="10">
        <f t="shared" si="287"/>
        <v>-2460</v>
      </c>
      <c r="AM167" s="10">
        <f t="shared" si="287"/>
        <v>-2460</v>
      </c>
      <c r="AN167" s="10">
        <f t="shared" si="287"/>
        <v>-2535</v>
      </c>
      <c r="AO167" s="10">
        <f t="shared" si="287"/>
        <v>-2610</v>
      </c>
      <c r="AP167" s="10">
        <f t="shared" si="287"/>
        <v>-2685</v>
      </c>
      <c r="AQ167" s="10">
        <f t="shared" si="287"/>
        <v>-2775</v>
      </c>
      <c r="AR167" s="10">
        <f t="shared" si="287"/>
        <v>-2865</v>
      </c>
      <c r="AS167" s="10">
        <f t="shared" si="287"/>
        <v>-2937</v>
      </c>
      <c r="AT167" s="10">
        <f t="shared" si="287"/>
        <v>-3027</v>
      </c>
      <c r="AU167" s="10">
        <f t="shared" si="287"/>
        <v>-3112</v>
      </c>
      <c r="AV167" s="10">
        <f t="shared" si="287"/>
        <v>-3197</v>
      </c>
      <c r="AW167" s="10">
        <f t="shared" si="287"/>
        <v>-3282</v>
      </c>
      <c r="AX167" s="10">
        <f t="shared" si="287"/>
        <v>-3367</v>
      </c>
      <c r="AY167" s="10">
        <f t="shared" si="287"/>
        <v>-3436</v>
      </c>
      <c r="AZ167" s="10">
        <f t="shared" si="287"/>
        <v>-3497</v>
      </c>
      <c r="BA167" s="10">
        <f t="shared" si="287"/>
        <v>-3558</v>
      </c>
      <c r="BB167" s="10">
        <f t="shared" si="287"/>
        <v>-3619</v>
      </c>
      <c r="BC167" s="10">
        <f t="shared" si="287"/>
        <v>-3688</v>
      </c>
      <c r="BD167" s="10">
        <f t="shared" si="287"/>
        <v>-3757</v>
      </c>
      <c r="BE167" s="10">
        <f t="shared" si="287"/>
        <v>-3826</v>
      </c>
      <c r="BF167" s="10">
        <f t="shared" si="287"/>
        <v>-3895</v>
      </c>
      <c r="BG167" s="10">
        <f t="shared" si="287"/>
        <v>-3964</v>
      </c>
      <c r="BH167" s="10">
        <f t="shared" si="287"/>
        <v>-4033</v>
      </c>
      <c r="BI167" s="10">
        <f t="shared" si="287"/>
        <v>-4102</v>
      </c>
      <c r="BJ167" s="10">
        <f t="shared" si="287"/>
        <v>-4171</v>
      </c>
      <c r="BK167" s="10">
        <f t="shared" si="287"/>
        <v>-4240</v>
      </c>
      <c r="BL167" s="10">
        <f t="shared" si="287"/>
        <v>-4308</v>
      </c>
      <c r="BM167" s="10">
        <f t="shared" si="287"/>
        <v>-4376</v>
      </c>
      <c r="BN167" s="10">
        <f t="shared" si="287"/>
        <v>-4500</v>
      </c>
      <c r="BO167" s="10">
        <f t="shared" si="287"/>
        <v>-4500</v>
      </c>
      <c r="BP167" s="10">
        <f t="shared" ref="BP167:CC167" si="288">BP161-BP164</f>
        <v>-4500</v>
      </c>
      <c r="BQ167" s="10">
        <f t="shared" si="288"/>
        <v>-4500</v>
      </c>
      <c r="BR167" s="10">
        <f t="shared" si="288"/>
        <v>-4500</v>
      </c>
      <c r="BS167" s="10">
        <f t="shared" si="288"/>
        <v>-4556</v>
      </c>
      <c r="BT167" s="10">
        <f t="shared" si="288"/>
        <v>-4612</v>
      </c>
      <c r="BU167" s="10">
        <f t="shared" si="288"/>
        <v>-4668</v>
      </c>
      <c r="BV167" s="10">
        <f t="shared" si="288"/>
        <v>-4724</v>
      </c>
      <c r="BW167" s="10">
        <f t="shared" si="288"/>
        <v>-4780</v>
      </c>
      <c r="BX167" s="10">
        <f t="shared" si="288"/>
        <v>-4836</v>
      </c>
      <c r="BY167" s="10">
        <f t="shared" si="288"/>
        <v>-4892</v>
      </c>
      <c r="BZ167" s="10">
        <f t="shared" si="288"/>
        <v>-4948</v>
      </c>
      <c r="CA167" s="10">
        <f t="shared" si="288"/>
        <v>-5004</v>
      </c>
      <c r="CB167" s="10">
        <f t="shared" si="288"/>
        <v>-5060</v>
      </c>
      <c r="CC167" s="10">
        <f t="shared" si="288"/>
        <v>-5116</v>
      </c>
    </row>
    <row r="168" spans="1:81" x14ac:dyDescent="0.2">
      <c r="A168" s="43" t="s">
        <v>238</v>
      </c>
      <c r="B168" s="44" t="s">
        <v>208</v>
      </c>
      <c r="C168" s="9" t="s">
        <v>38</v>
      </c>
      <c r="D168" s="58">
        <f>IFERROR(VLOOKUP(A168,OS!$A:$B,2,0),0)</f>
        <v>350</v>
      </c>
      <c r="E168" s="5">
        <f>(D168+D169-D171)</f>
        <v>350</v>
      </c>
      <c r="F168" s="5">
        <f>(E168+E169-E171)</f>
        <v>350</v>
      </c>
      <c r="G168" s="5">
        <f>(F168+F169-F171)</f>
        <v>350</v>
      </c>
      <c r="H168" s="5">
        <f>(G168+G169-G171)</f>
        <v>350</v>
      </c>
      <c r="I168" s="5">
        <f t="shared" ref="I168:AN168" si="289">(H168+H169-H171+D170)</f>
        <v>250</v>
      </c>
      <c r="J168" s="5">
        <f t="shared" si="289"/>
        <v>250</v>
      </c>
      <c r="K168" s="5">
        <f t="shared" si="289"/>
        <v>250</v>
      </c>
      <c r="L168" s="5">
        <f t="shared" si="289"/>
        <v>250</v>
      </c>
      <c r="M168" s="5">
        <f t="shared" si="289"/>
        <v>250</v>
      </c>
      <c r="N168" s="5">
        <f t="shared" si="289"/>
        <v>250</v>
      </c>
      <c r="O168" s="5">
        <f t="shared" si="289"/>
        <v>250</v>
      </c>
      <c r="P168" s="5">
        <f t="shared" si="289"/>
        <v>250</v>
      </c>
      <c r="Q168" s="5">
        <f t="shared" si="289"/>
        <v>250</v>
      </c>
      <c r="R168" s="5">
        <f t="shared" si="289"/>
        <v>250</v>
      </c>
      <c r="S168" s="5">
        <f t="shared" si="289"/>
        <v>250</v>
      </c>
      <c r="T168" s="5">
        <f t="shared" si="289"/>
        <v>250</v>
      </c>
      <c r="U168" s="5">
        <f t="shared" si="289"/>
        <v>250</v>
      </c>
      <c r="V168" s="5">
        <f t="shared" si="289"/>
        <v>220</v>
      </c>
      <c r="W168" s="5">
        <f t="shared" si="289"/>
        <v>190</v>
      </c>
      <c r="X168" s="5">
        <f t="shared" si="289"/>
        <v>160</v>
      </c>
      <c r="Y168" s="5">
        <f t="shared" si="289"/>
        <v>150</v>
      </c>
      <c r="Z168" s="5">
        <f t="shared" si="289"/>
        <v>150</v>
      </c>
      <c r="AA168" s="5">
        <f t="shared" si="289"/>
        <v>150</v>
      </c>
      <c r="AB168" s="5">
        <f t="shared" si="289"/>
        <v>150</v>
      </c>
      <c r="AC168" s="5">
        <f t="shared" si="289"/>
        <v>150</v>
      </c>
      <c r="AD168" s="5">
        <f t="shared" si="289"/>
        <v>130</v>
      </c>
      <c r="AE168" s="5">
        <f t="shared" si="289"/>
        <v>110</v>
      </c>
      <c r="AF168" s="5">
        <f t="shared" si="289"/>
        <v>90</v>
      </c>
      <c r="AG168" s="5">
        <f t="shared" si="289"/>
        <v>70</v>
      </c>
      <c r="AH168" s="5">
        <f t="shared" si="289"/>
        <v>50</v>
      </c>
      <c r="AI168" s="5">
        <f t="shared" si="289"/>
        <v>0</v>
      </c>
      <c r="AJ168" s="5">
        <f t="shared" si="289"/>
        <v>-50</v>
      </c>
      <c r="AK168" s="5">
        <f t="shared" si="289"/>
        <v>-50</v>
      </c>
      <c r="AL168" s="5">
        <f t="shared" si="289"/>
        <v>-50</v>
      </c>
      <c r="AM168" s="5">
        <f t="shared" si="289"/>
        <v>-50</v>
      </c>
      <c r="AN168" s="5">
        <f t="shared" si="289"/>
        <v>-50</v>
      </c>
      <c r="AO168" s="5">
        <f t="shared" ref="AO168:BT168" si="290">(AN168+AN169-AN171+AJ170)</f>
        <v>-61</v>
      </c>
      <c r="AP168" s="5">
        <f t="shared" si="290"/>
        <v>-72</v>
      </c>
      <c r="AQ168" s="5">
        <f t="shared" si="290"/>
        <v>-83</v>
      </c>
      <c r="AR168" s="5">
        <f t="shared" si="290"/>
        <v>-96</v>
      </c>
      <c r="AS168" s="5">
        <f t="shared" si="290"/>
        <v>-109</v>
      </c>
      <c r="AT168" s="5">
        <f t="shared" si="290"/>
        <v>-120</v>
      </c>
      <c r="AU168" s="5">
        <f t="shared" si="290"/>
        <v>-133</v>
      </c>
      <c r="AV168" s="5">
        <f t="shared" si="290"/>
        <v>-146</v>
      </c>
      <c r="AW168" s="5">
        <f t="shared" si="290"/>
        <v>-159</v>
      </c>
      <c r="AX168" s="5">
        <f t="shared" si="290"/>
        <v>-172</v>
      </c>
      <c r="AY168" s="5">
        <f t="shared" si="290"/>
        <v>-185</v>
      </c>
      <c r="AZ168" s="5">
        <f t="shared" si="290"/>
        <v>-195</v>
      </c>
      <c r="BA168" s="5">
        <f t="shared" si="290"/>
        <v>-204</v>
      </c>
      <c r="BB168" s="5">
        <f t="shared" si="290"/>
        <v>-213</v>
      </c>
      <c r="BC168" s="5">
        <f t="shared" si="290"/>
        <v>-222</v>
      </c>
      <c r="BD168" s="5">
        <f t="shared" si="290"/>
        <v>-232</v>
      </c>
      <c r="BE168" s="5">
        <f t="shared" si="290"/>
        <v>-242</v>
      </c>
      <c r="BF168" s="5">
        <f t="shared" si="290"/>
        <v>-252</v>
      </c>
      <c r="BG168" s="5">
        <f t="shared" si="290"/>
        <v>-262</v>
      </c>
      <c r="BH168" s="5">
        <f t="shared" si="290"/>
        <v>-272</v>
      </c>
      <c r="BI168" s="5">
        <f t="shared" si="290"/>
        <v>-282</v>
      </c>
      <c r="BJ168" s="5">
        <f t="shared" si="290"/>
        <v>-292</v>
      </c>
      <c r="BK168" s="5">
        <f t="shared" si="290"/>
        <v>-302</v>
      </c>
      <c r="BL168" s="5">
        <f t="shared" si="290"/>
        <v>-312</v>
      </c>
      <c r="BM168" s="5">
        <f t="shared" si="290"/>
        <v>-322</v>
      </c>
      <c r="BN168" s="5">
        <f t="shared" si="290"/>
        <v>-332</v>
      </c>
      <c r="BO168" s="5">
        <f t="shared" si="290"/>
        <v>-350</v>
      </c>
      <c r="BP168" s="5">
        <f t="shared" si="290"/>
        <v>-350</v>
      </c>
      <c r="BQ168" s="5">
        <f t="shared" si="290"/>
        <v>-350</v>
      </c>
      <c r="BR168" s="5">
        <f t="shared" si="290"/>
        <v>-350</v>
      </c>
      <c r="BS168" s="5">
        <f t="shared" si="290"/>
        <v>-350</v>
      </c>
      <c r="BT168" s="5">
        <f t="shared" si="290"/>
        <v>-358</v>
      </c>
      <c r="BU168" s="5">
        <f t="shared" ref="BU168:CZ168" si="291">(BT168+BT169-BT171+BP170)</f>
        <v>-366</v>
      </c>
      <c r="BV168" s="5">
        <f t="shared" si="291"/>
        <v>-374</v>
      </c>
      <c r="BW168" s="5">
        <f t="shared" si="291"/>
        <v>-382</v>
      </c>
      <c r="BX168" s="5">
        <f t="shared" si="291"/>
        <v>-390</v>
      </c>
      <c r="BY168" s="5">
        <f t="shared" si="291"/>
        <v>-398</v>
      </c>
      <c r="BZ168" s="5">
        <f t="shared" si="291"/>
        <v>-406</v>
      </c>
      <c r="CA168" s="5">
        <f t="shared" si="291"/>
        <v>-414</v>
      </c>
      <c r="CB168" s="5">
        <f t="shared" si="291"/>
        <v>-422</v>
      </c>
      <c r="CC168" s="5">
        <f t="shared" si="291"/>
        <v>-430</v>
      </c>
    </row>
    <row r="169" spans="1:81" x14ac:dyDescent="0.2">
      <c r="A169" s="5" t="s">
        <v>209</v>
      </c>
      <c r="B169" s="5">
        <v>7.9481900000000003</v>
      </c>
      <c r="C169" s="45" t="s">
        <v>39</v>
      </c>
      <c r="D169" s="59">
        <f>IFERROR(VLOOKUP(A168,WIP!$A:$B,2,0),0)</f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 spans="1:81" x14ac:dyDescent="0.2">
      <c r="A170" s="5" t="s">
        <v>210</v>
      </c>
      <c r="B170" s="5">
        <v>0.245</v>
      </c>
      <c r="C170" s="9" t="s">
        <v>211</v>
      </c>
      <c r="D170" s="60">
        <f>IFERROR(VLOOKUP($A168,Plan!$A:B,D$4,0),0)</f>
        <v>0</v>
      </c>
      <c r="E170" s="70">
        <f>IFERROR(VLOOKUP($A168,Plan!$A:C,E$4,0),0)</f>
        <v>0</v>
      </c>
      <c r="F170" s="70">
        <f>IFERROR(VLOOKUP($A168,Plan!$A:D,F$4,0),0)</f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</row>
    <row r="171" spans="1:81" x14ac:dyDescent="0.2">
      <c r="A171" s="5" t="s">
        <v>212</v>
      </c>
      <c r="B171" s="5">
        <v>3.4000000000000002E-2</v>
      </c>
      <c r="C171" s="9" t="s">
        <v>213</v>
      </c>
      <c r="D171" s="61">
        <f>IFERROR(VLOOKUP($A168,Sales!$A:B,D$2,0),0)</f>
        <v>0</v>
      </c>
      <c r="E171" s="61">
        <f>IFERROR(VLOOKUP($A168,Sales!$A:C,E$2,0),0)</f>
        <v>0</v>
      </c>
      <c r="F171" s="61">
        <f>IFERROR(VLOOKUP($A168,Sales!$A:D,F$2,0),0)</f>
        <v>0</v>
      </c>
      <c r="G171" s="61">
        <f>IFERROR(VLOOKUP($A168,Sales!$A:E,G$2,0),0)</f>
        <v>0</v>
      </c>
      <c r="H171" s="61">
        <f>IFERROR(VLOOKUP($A168,Sales!$A:F,H$2,0),0)</f>
        <v>100</v>
      </c>
      <c r="I171" s="61">
        <f>IFERROR(VLOOKUP($A168,Sales!$A:G,I$2,0),0)</f>
        <v>0</v>
      </c>
      <c r="J171" s="61">
        <f>IFERROR(VLOOKUP($A168,Sales!$A:H,J$2,0),0)</f>
        <v>0</v>
      </c>
      <c r="K171" s="61">
        <f>IFERROR(VLOOKUP($A168,Sales!$A:I,K$2,0),0)</f>
        <v>0</v>
      </c>
      <c r="L171" s="61">
        <f>IFERROR(VLOOKUP($A168,Sales!$A:J,L$2,0),0)</f>
        <v>0</v>
      </c>
      <c r="M171" s="61">
        <f>IFERROR(VLOOKUP($A168,Sales!$A:K,M$2,0),0)</f>
        <v>0</v>
      </c>
      <c r="N171" s="61">
        <f>IFERROR(VLOOKUP($A168,Sales!$A:L,N$2,0),0)</f>
        <v>0</v>
      </c>
      <c r="O171" s="61">
        <f>IFERROR(VLOOKUP($A168,Sales!$A:M,O$2,0),0)</f>
        <v>0</v>
      </c>
      <c r="P171" s="61">
        <f>IFERROR(VLOOKUP($A168,Sales!$A:N,P$2,0),0)</f>
        <v>0</v>
      </c>
      <c r="Q171" s="61">
        <f>IFERROR(VLOOKUP($A168,Sales!$A:O,Q$2,0),0)</f>
        <v>0</v>
      </c>
      <c r="R171" s="61">
        <f>IFERROR(VLOOKUP($A168,Sales!$A:P,R$2,0),0)</f>
        <v>0</v>
      </c>
      <c r="S171" s="61">
        <f>IFERROR(VLOOKUP($A168,Sales!$A:Q,S$2,0),0)</f>
        <v>0</v>
      </c>
      <c r="T171" s="61">
        <f>IFERROR(VLOOKUP($A168,Sales!$A:R,T$2,0),0)</f>
        <v>0</v>
      </c>
      <c r="U171" s="61">
        <f>IFERROR(VLOOKUP($A168,Sales!$A:S,U$2,0),0)</f>
        <v>30</v>
      </c>
      <c r="V171" s="61">
        <f>IFERROR(VLOOKUP($A168,Sales!$A:T,V$2,0),0)</f>
        <v>30</v>
      </c>
      <c r="W171" s="61">
        <f>IFERROR(VLOOKUP($A168,Sales!$A:U,W$2,0),0)</f>
        <v>30</v>
      </c>
      <c r="X171" s="61">
        <f>IFERROR(VLOOKUP($A168,Sales!$A:V,X$2,0),0)</f>
        <v>10</v>
      </c>
      <c r="Y171" s="61">
        <f>IFERROR(VLOOKUP($A168,Sales!$A:W,Y$2,0),0)</f>
        <v>0</v>
      </c>
      <c r="Z171" s="61">
        <f>IFERROR(VLOOKUP($A168,Sales!$A:X,Z$2,0),0)</f>
        <v>0</v>
      </c>
      <c r="AA171" s="61">
        <f>IFERROR(VLOOKUP($A168,Sales!$A:Y,AA$2,0),0)</f>
        <v>0</v>
      </c>
      <c r="AB171" s="61">
        <f>IFERROR(VLOOKUP($A168,Sales!$A:Z,AB$2,0),0)</f>
        <v>0</v>
      </c>
      <c r="AC171" s="61">
        <f>IFERROR(VLOOKUP($A168,Sales!$A:AA,AC$2,0),0)</f>
        <v>20</v>
      </c>
      <c r="AD171" s="61">
        <f>IFERROR(VLOOKUP($A168,Sales!$A:AB,AD$2,0),0)</f>
        <v>20</v>
      </c>
      <c r="AE171" s="61">
        <f>IFERROR(VLOOKUP($A168,Sales!$A:AC,AE$2,0),0)</f>
        <v>20</v>
      </c>
      <c r="AF171" s="61">
        <f>IFERROR(VLOOKUP($A168,Sales!$A:AD,AF$2,0),0)</f>
        <v>20</v>
      </c>
      <c r="AG171" s="61">
        <f>IFERROR(VLOOKUP($A168,Sales!$A:AE,AG$2,0),0)</f>
        <v>20</v>
      </c>
      <c r="AH171" s="61">
        <f>IFERROR(VLOOKUP($A168,Sales!$A:AF,AH$2,0),0)</f>
        <v>50</v>
      </c>
      <c r="AI171" s="61">
        <f>IFERROR(VLOOKUP($A168,Sales!$A:AG,AI$2,0),0)</f>
        <v>50</v>
      </c>
      <c r="AJ171" s="61">
        <f>IFERROR(VLOOKUP($A168,Sales!$A:AH,AJ$2,0),0)</f>
        <v>0</v>
      </c>
      <c r="AK171" s="73">
        <f t="shared" ref="AK171:CC171" si="292">CEILING(AK$5*$B167,1)</f>
        <v>0</v>
      </c>
      <c r="AL171" s="73">
        <f t="shared" si="292"/>
        <v>0</v>
      </c>
      <c r="AM171" s="73">
        <f t="shared" si="292"/>
        <v>0</v>
      </c>
      <c r="AN171" s="73">
        <f t="shared" si="292"/>
        <v>11</v>
      </c>
      <c r="AO171" s="73">
        <f t="shared" si="292"/>
        <v>11</v>
      </c>
      <c r="AP171" s="73">
        <f t="shared" si="292"/>
        <v>11</v>
      </c>
      <c r="AQ171" s="73">
        <f t="shared" si="292"/>
        <v>13</v>
      </c>
      <c r="AR171" s="73">
        <f t="shared" si="292"/>
        <v>13</v>
      </c>
      <c r="AS171" s="73">
        <f t="shared" si="292"/>
        <v>11</v>
      </c>
      <c r="AT171" s="73">
        <f t="shared" si="292"/>
        <v>13</v>
      </c>
      <c r="AU171" s="73">
        <f t="shared" si="292"/>
        <v>13</v>
      </c>
      <c r="AV171" s="73">
        <f t="shared" si="292"/>
        <v>13</v>
      </c>
      <c r="AW171" s="73">
        <f t="shared" si="292"/>
        <v>13</v>
      </c>
      <c r="AX171" s="73">
        <f t="shared" si="292"/>
        <v>13</v>
      </c>
      <c r="AY171" s="73">
        <f t="shared" si="292"/>
        <v>10</v>
      </c>
      <c r="AZ171" s="73">
        <f t="shared" si="292"/>
        <v>9</v>
      </c>
      <c r="BA171" s="73">
        <f t="shared" si="292"/>
        <v>9</v>
      </c>
      <c r="BB171" s="73">
        <f t="shared" si="292"/>
        <v>9</v>
      </c>
      <c r="BC171" s="73">
        <f t="shared" si="292"/>
        <v>10</v>
      </c>
      <c r="BD171" s="73">
        <f t="shared" si="292"/>
        <v>10</v>
      </c>
      <c r="BE171" s="73">
        <f t="shared" si="292"/>
        <v>10</v>
      </c>
      <c r="BF171" s="73">
        <f t="shared" si="292"/>
        <v>10</v>
      </c>
      <c r="BG171" s="73">
        <f t="shared" si="292"/>
        <v>10</v>
      </c>
      <c r="BH171" s="73">
        <f t="shared" si="292"/>
        <v>10</v>
      </c>
      <c r="BI171" s="73">
        <f t="shared" si="292"/>
        <v>10</v>
      </c>
      <c r="BJ171" s="73">
        <f t="shared" si="292"/>
        <v>10</v>
      </c>
      <c r="BK171" s="73">
        <f t="shared" si="292"/>
        <v>10</v>
      </c>
      <c r="BL171" s="73">
        <f t="shared" si="292"/>
        <v>10</v>
      </c>
      <c r="BM171" s="73">
        <f t="shared" si="292"/>
        <v>10</v>
      </c>
      <c r="BN171" s="73">
        <f t="shared" si="292"/>
        <v>18</v>
      </c>
      <c r="BO171" s="73">
        <f t="shared" si="292"/>
        <v>0</v>
      </c>
      <c r="BP171" s="73">
        <f t="shared" si="292"/>
        <v>0</v>
      </c>
      <c r="BQ171" s="73">
        <f t="shared" si="292"/>
        <v>0</v>
      </c>
      <c r="BR171" s="73">
        <f t="shared" si="292"/>
        <v>0</v>
      </c>
      <c r="BS171" s="73">
        <f t="shared" si="292"/>
        <v>8</v>
      </c>
      <c r="BT171" s="73">
        <f t="shared" si="292"/>
        <v>8</v>
      </c>
      <c r="BU171" s="73">
        <f t="shared" si="292"/>
        <v>8</v>
      </c>
      <c r="BV171" s="73">
        <f t="shared" si="292"/>
        <v>8</v>
      </c>
      <c r="BW171" s="73">
        <f t="shared" si="292"/>
        <v>8</v>
      </c>
      <c r="BX171" s="73">
        <f t="shared" si="292"/>
        <v>8</v>
      </c>
      <c r="BY171" s="73">
        <f t="shared" si="292"/>
        <v>8</v>
      </c>
      <c r="BZ171" s="73">
        <f t="shared" si="292"/>
        <v>8</v>
      </c>
      <c r="CA171" s="73">
        <f t="shared" si="292"/>
        <v>8</v>
      </c>
      <c r="CB171" s="73">
        <f t="shared" si="292"/>
        <v>8</v>
      </c>
      <c r="CC171" s="73">
        <f t="shared" si="292"/>
        <v>8</v>
      </c>
    </row>
    <row r="172" spans="1:81" x14ac:dyDescent="0.2">
      <c r="A172" s="5" t="s">
        <v>214</v>
      </c>
      <c r="B172" s="5">
        <v>0.27900000000000003</v>
      </c>
      <c r="C172" s="46" t="s">
        <v>215</v>
      </c>
      <c r="D172" s="11">
        <f t="shared" ref="D172:AI172" si="293">IF(D171=0,0, ROUND(D168 * 1/D171* D$13,1))</f>
        <v>0</v>
      </c>
      <c r="E172" s="11">
        <f t="shared" si="293"/>
        <v>0</v>
      </c>
      <c r="F172" s="11">
        <f t="shared" si="293"/>
        <v>0</v>
      </c>
      <c r="G172" s="11">
        <f t="shared" si="293"/>
        <v>0</v>
      </c>
      <c r="H172" s="11">
        <f t="shared" si="293"/>
        <v>17.5</v>
      </c>
      <c r="I172" s="11">
        <f t="shared" si="293"/>
        <v>0</v>
      </c>
      <c r="J172" s="11">
        <f t="shared" si="293"/>
        <v>0</v>
      </c>
      <c r="K172" s="11">
        <f t="shared" si="293"/>
        <v>0</v>
      </c>
      <c r="L172" s="11">
        <f t="shared" si="293"/>
        <v>0</v>
      </c>
      <c r="M172" s="11">
        <f t="shared" si="293"/>
        <v>0</v>
      </c>
      <c r="N172" s="11">
        <f t="shared" si="293"/>
        <v>0</v>
      </c>
      <c r="O172" s="11">
        <f t="shared" si="293"/>
        <v>0</v>
      </c>
      <c r="P172" s="11">
        <f t="shared" si="293"/>
        <v>0</v>
      </c>
      <c r="Q172" s="11">
        <f t="shared" si="293"/>
        <v>0</v>
      </c>
      <c r="R172" s="11">
        <f t="shared" si="293"/>
        <v>0</v>
      </c>
      <c r="S172" s="11">
        <f t="shared" si="293"/>
        <v>0</v>
      </c>
      <c r="T172" s="11">
        <f t="shared" si="293"/>
        <v>0</v>
      </c>
      <c r="U172" s="11">
        <f t="shared" si="293"/>
        <v>41.7</v>
      </c>
      <c r="V172" s="11">
        <f t="shared" si="293"/>
        <v>36.700000000000003</v>
      </c>
      <c r="W172" s="11">
        <f t="shared" si="293"/>
        <v>31.7</v>
      </c>
      <c r="X172" s="11">
        <f t="shared" si="293"/>
        <v>80</v>
      </c>
      <c r="Y172" s="11">
        <f t="shared" si="293"/>
        <v>0</v>
      </c>
      <c r="Z172" s="11">
        <f t="shared" si="293"/>
        <v>0</v>
      </c>
      <c r="AA172" s="11">
        <f t="shared" si="293"/>
        <v>0</v>
      </c>
      <c r="AB172" s="11">
        <f t="shared" si="293"/>
        <v>0</v>
      </c>
      <c r="AC172" s="11">
        <f t="shared" si="293"/>
        <v>37.5</v>
      </c>
      <c r="AD172" s="11">
        <f t="shared" si="293"/>
        <v>32.5</v>
      </c>
      <c r="AE172" s="11">
        <f t="shared" si="293"/>
        <v>27.5</v>
      </c>
      <c r="AF172" s="11">
        <f t="shared" si="293"/>
        <v>22.5</v>
      </c>
      <c r="AG172" s="11">
        <f t="shared" si="293"/>
        <v>17.5</v>
      </c>
      <c r="AH172" s="11">
        <f t="shared" si="293"/>
        <v>5</v>
      </c>
      <c r="AI172" s="11">
        <f t="shared" si="293"/>
        <v>0</v>
      </c>
      <c r="AJ172" s="11">
        <f t="shared" ref="AJ172:BO172" si="294">IF(AJ171=0,0, ROUND(AJ168 * 1/AJ171* AJ$13,1))</f>
        <v>0</v>
      </c>
      <c r="AK172" s="11">
        <f t="shared" si="294"/>
        <v>0</v>
      </c>
      <c r="AL172" s="11">
        <f t="shared" si="294"/>
        <v>0</v>
      </c>
      <c r="AM172" s="11">
        <f t="shared" si="294"/>
        <v>0</v>
      </c>
      <c r="AN172" s="11">
        <f t="shared" si="294"/>
        <v>-22.7</v>
      </c>
      <c r="AO172" s="11">
        <f t="shared" si="294"/>
        <v>-27.7</v>
      </c>
      <c r="AP172" s="11">
        <f t="shared" si="294"/>
        <v>-32.700000000000003</v>
      </c>
      <c r="AQ172" s="11">
        <f t="shared" si="294"/>
        <v>-31.9</v>
      </c>
      <c r="AR172" s="11">
        <f t="shared" si="294"/>
        <v>-36.9</v>
      </c>
      <c r="AS172" s="11">
        <f t="shared" si="294"/>
        <v>-49.5</v>
      </c>
      <c r="AT172" s="11">
        <f t="shared" si="294"/>
        <v>-46.2</v>
      </c>
      <c r="AU172" s="11">
        <f t="shared" si="294"/>
        <v>-51.2</v>
      </c>
      <c r="AV172" s="11">
        <f t="shared" si="294"/>
        <v>-56.2</v>
      </c>
      <c r="AW172" s="11">
        <f t="shared" si="294"/>
        <v>-61.2</v>
      </c>
      <c r="AX172" s="11">
        <f t="shared" si="294"/>
        <v>-66.2</v>
      </c>
      <c r="AY172" s="11">
        <f t="shared" si="294"/>
        <v>-92.5</v>
      </c>
      <c r="AZ172" s="11">
        <f t="shared" si="294"/>
        <v>-108.3</v>
      </c>
      <c r="BA172" s="11">
        <f t="shared" si="294"/>
        <v>-113.3</v>
      </c>
      <c r="BB172" s="11">
        <f t="shared" si="294"/>
        <v>-118.3</v>
      </c>
      <c r="BC172" s="11">
        <f t="shared" si="294"/>
        <v>-111</v>
      </c>
      <c r="BD172" s="11">
        <f t="shared" si="294"/>
        <v>-116</v>
      </c>
      <c r="BE172" s="11">
        <f t="shared" si="294"/>
        <v>-121</v>
      </c>
      <c r="BF172" s="11">
        <f t="shared" si="294"/>
        <v>-126</v>
      </c>
      <c r="BG172" s="11">
        <f t="shared" si="294"/>
        <v>-131</v>
      </c>
      <c r="BH172" s="11">
        <f t="shared" si="294"/>
        <v>-136</v>
      </c>
      <c r="BI172" s="11">
        <f t="shared" si="294"/>
        <v>-141</v>
      </c>
      <c r="BJ172" s="11">
        <f t="shared" si="294"/>
        <v>-146</v>
      </c>
      <c r="BK172" s="11">
        <f t="shared" si="294"/>
        <v>-151</v>
      </c>
      <c r="BL172" s="11">
        <f t="shared" si="294"/>
        <v>-156</v>
      </c>
      <c r="BM172" s="11">
        <f t="shared" si="294"/>
        <v>-161</v>
      </c>
      <c r="BN172" s="11">
        <f t="shared" si="294"/>
        <v>-92.2</v>
      </c>
      <c r="BO172" s="11">
        <f t="shared" si="294"/>
        <v>0</v>
      </c>
      <c r="BP172" s="11">
        <f t="shared" ref="BP172:CU172" si="295">IF(BP171=0,0, ROUND(BP168 * 1/BP171* BP$13,1))</f>
        <v>0</v>
      </c>
      <c r="BQ172" s="11">
        <f t="shared" si="295"/>
        <v>0</v>
      </c>
      <c r="BR172" s="11">
        <f t="shared" si="295"/>
        <v>0</v>
      </c>
      <c r="BS172" s="11">
        <f t="shared" si="295"/>
        <v>-218.8</v>
      </c>
      <c r="BT172" s="11">
        <f t="shared" si="295"/>
        <v>-223.8</v>
      </c>
      <c r="BU172" s="11">
        <f t="shared" si="295"/>
        <v>-228.8</v>
      </c>
      <c r="BV172" s="11">
        <f t="shared" si="295"/>
        <v>-233.8</v>
      </c>
      <c r="BW172" s="11">
        <f t="shared" si="295"/>
        <v>-238.8</v>
      </c>
      <c r="BX172" s="11">
        <f t="shared" si="295"/>
        <v>-243.8</v>
      </c>
      <c r="BY172" s="11">
        <f t="shared" si="295"/>
        <v>-248.8</v>
      </c>
      <c r="BZ172" s="11">
        <f t="shared" si="295"/>
        <v>-253.8</v>
      </c>
      <c r="CA172" s="11">
        <f t="shared" si="295"/>
        <v>-258.8</v>
      </c>
      <c r="CB172" s="11">
        <f t="shared" si="295"/>
        <v>-263.8</v>
      </c>
      <c r="CC172" s="11">
        <f t="shared" si="295"/>
        <v>-268.8</v>
      </c>
    </row>
    <row r="173" spans="1:81" x14ac:dyDescent="0.2">
      <c r="A173" s="10">
        <v>22</v>
      </c>
      <c r="B173" s="10">
        <v>1</v>
      </c>
      <c r="C173" s="68">
        <v>6.04528</v>
      </c>
      <c r="D173">
        <f t="shared" ref="D173:AI173" si="296">D170/$B173</f>
        <v>0</v>
      </c>
      <c r="E173">
        <f t="shared" si="296"/>
        <v>0</v>
      </c>
      <c r="F173">
        <f t="shared" si="296"/>
        <v>0</v>
      </c>
      <c r="G173">
        <f t="shared" si="296"/>
        <v>0</v>
      </c>
      <c r="H173">
        <f t="shared" si="296"/>
        <v>0</v>
      </c>
      <c r="I173">
        <f t="shared" si="296"/>
        <v>0</v>
      </c>
      <c r="J173">
        <f t="shared" si="296"/>
        <v>0</v>
      </c>
      <c r="K173">
        <f t="shared" si="296"/>
        <v>0</v>
      </c>
      <c r="L173">
        <f t="shared" si="296"/>
        <v>0</v>
      </c>
      <c r="M173">
        <f t="shared" si="296"/>
        <v>0</v>
      </c>
      <c r="N173">
        <f t="shared" si="296"/>
        <v>0</v>
      </c>
      <c r="O173">
        <f t="shared" si="296"/>
        <v>0</v>
      </c>
      <c r="P173">
        <f t="shared" si="296"/>
        <v>0</v>
      </c>
      <c r="Q173">
        <f t="shared" si="296"/>
        <v>0</v>
      </c>
      <c r="R173">
        <f t="shared" si="296"/>
        <v>0</v>
      </c>
      <c r="S173">
        <f t="shared" si="296"/>
        <v>0</v>
      </c>
      <c r="T173">
        <f t="shared" si="296"/>
        <v>0</v>
      </c>
      <c r="U173">
        <f t="shared" si="296"/>
        <v>0</v>
      </c>
      <c r="V173">
        <f t="shared" si="296"/>
        <v>0</v>
      </c>
      <c r="W173">
        <f t="shared" si="296"/>
        <v>0</v>
      </c>
      <c r="X173">
        <f t="shared" si="296"/>
        <v>0</v>
      </c>
      <c r="Y173">
        <f t="shared" si="296"/>
        <v>0</v>
      </c>
      <c r="Z173">
        <f t="shared" si="296"/>
        <v>0</v>
      </c>
      <c r="AA173">
        <f t="shared" si="296"/>
        <v>0</v>
      </c>
      <c r="AB173">
        <f t="shared" si="296"/>
        <v>0</v>
      </c>
      <c r="AC173">
        <f t="shared" si="296"/>
        <v>0</v>
      </c>
      <c r="AD173">
        <f t="shared" si="296"/>
        <v>0</v>
      </c>
      <c r="AE173">
        <f t="shared" si="296"/>
        <v>0</v>
      </c>
      <c r="AF173">
        <f t="shared" si="296"/>
        <v>0</v>
      </c>
      <c r="AG173">
        <f t="shared" si="296"/>
        <v>0</v>
      </c>
      <c r="AH173">
        <f t="shared" si="296"/>
        <v>0</v>
      </c>
      <c r="AI173">
        <f t="shared" si="296"/>
        <v>0</v>
      </c>
      <c r="AJ173">
        <f t="shared" ref="AJ173:BO173" si="297">AJ170/$B173</f>
        <v>0</v>
      </c>
      <c r="AK173">
        <f t="shared" si="297"/>
        <v>0</v>
      </c>
      <c r="AL173">
        <f t="shared" si="297"/>
        <v>0</v>
      </c>
      <c r="AM173">
        <f t="shared" si="297"/>
        <v>0</v>
      </c>
      <c r="AN173">
        <f t="shared" si="297"/>
        <v>0</v>
      </c>
      <c r="AO173">
        <f t="shared" si="297"/>
        <v>0</v>
      </c>
      <c r="AP173">
        <f t="shared" si="297"/>
        <v>0</v>
      </c>
      <c r="AQ173">
        <f t="shared" si="297"/>
        <v>0</v>
      </c>
      <c r="AR173">
        <f t="shared" si="297"/>
        <v>0</v>
      </c>
      <c r="AS173">
        <f t="shared" si="297"/>
        <v>0</v>
      </c>
      <c r="AT173">
        <f t="shared" si="297"/>
        <v>0</v>
      </c>
      <c r="AU173">
        <f t="shared" si="297"/>
        <v>0</v>
      </c>
      <c r="AV173">
        <f t="shared" si="297"/>
        <v>0</v>
      </c>
      <c r="AW173">
        <f t="shared" si="297"/>
        <v>0</v>
      </c>
      <c r="AX173">
        <f t="shared" si="297"/>
        <v>0</v>
      </c>
      <c r="AY173">
        <f t="shared" si="297"/>
        <v>0</v>
      </c>
      <c r="AZ173">
        <f t="shared" si="297"/>
        <v>0</v>
      </c>
      <c r="BA173">
        <f t="shared" si="297"/>
        <v>0</v>
      </c>
      <c r="BB173">
        <f t="shared" si="297"/>
        <v>0</v>
      </c>
      <c r="BC173">
        <f t="shared" si="297"/>
        <v>0</v>
      </c>
      <c r="BD173">
        <f t="shared" si="297"/>
        <v>0</v>
      </c>
      <c r="BE173">
        <f t="shared" si="297"/>
        <v>0</v>
      </c>
      <c r="BF173">
        <f t="shared" si="297"/>
        <v>0</v>
      </c>
      <c r="BG173">
        <f t="shared" si="297"/>
        <v>0</v>
      </c>
      <c r="BH173">
        <f t="shared" si="297"/>
        <v>0</v>
      </c>
      <c r="BI173">
        <f t="shared" si="297"/>
        <v>0</v>
      </c>
      <c r="BJ173">
        <f t="shared" si="297"/>
        <v>0</v>
      </c>
      <c r="BK173">
        <f t="shared" si="297"/>
        <v>0</v>
      </c>
      <c r="BL173">
        <f t="shared" si="297"/>
        <v>0</v>
      </c>
      <c r="BM173">
        <f t="shared" si="297"/>
        <v>0</v>
      </c>
      <c r="BN173">
        <f t="shared" si="297"/>
        <v>0</v>
      </c>
      <c r="BO173">
        <f t="shared" si="297"/>
        <v>0</v>
      </c>
      <c r="BP173">
        <f t="shared" ref="BP173:CC173" si="298">BP170/$B173</f>
        <v>0</v>
      </c>
      <c r="BQ173">
        <f t="shared" si="298"/>
        <v>0</v>
      </c>
      <c r="BR173">
        <f t="shared" si="298"/>
        <v>0</v>
      </c>
      <c r="BS173">
        <f t="shared" si="298"/>
        <v>0</v>
      </c>
      <c r="BT173">
        <f t="shared" si="298"/>
        <v>0</v>
      </c>
      <c r="BU173">
        <f t="shared" si="298"/>
        <v>0</v>
      </c>
      <c r="BV173">
        <f t="shared" si="298"/>
        <v>0</v>
      </c>
      <c r="BW173">
        <f t="shared" si="298"/>
        <v>0</v>
      </c>
      <c r="BX173">
        <f t="shared" si="298"/>
        <v>0</v>
      </c>
      <c r="BY173">
        <f t="shared" si="298"/>
        <v>0</v>
      </c>
      <c r="BZ173">
        <f t="shared" si="298"/>
        <v>0</v>
      </c>
      <c r="CA173">
        <f t="shared" si="298"/>
        <v>0</v>
      </c>
      <c r="CB173">
        <f t="shared" si="298"/>
        <v>0</v>
      </c>
      <c r="CC173">
        <f t="shared" si="298"/>
        <v>0</v>
      </c>
    </row>
    <row r="174" spans="1:81" x14ac:dyDescent="0.2">
      <c r="A174" s="10"/>
      <c r="B174" s="67">
        <f>SUM(D178:AJ178)/SUM($D$263:$AJ$263)</f>
        <v>1.7090678255774208E-3</v>
      </c>
      <c r="C174" s="9" t="s">
        <v>216</v>
      </c>
      <c r="D174">
        <f t="shared" ref="D174:AI174" si="299">D168-D171</f>
        <v>350</v>
      </c>
      <c r="E174">
        <f t="shared" si="299"/>
        <v>350</v>
      </c>
      <c r="F174">
        <f t="shared" si="299"/>
        <v>350</v>
      </c>
      <c r="G174">
        <f t="shared" si="299"/>
        <v>350</v>
      </c>
      <c r="H174">
        <f t="shared" si="299"/>
        <v>250</v>
      </c>
      <c r="I174">
        <f t="shared" si="299"/>
        <v>250</v>
      </c>
      <c r="J174">
        <f t="shared" si="299"/>
        <v>250</v>
      </c>
      <c r="K174">
        <f t="shared" si="299"/>
        <v>250</v>
      </c>
      <c r="L174">
        <f t="shared" si="299"/>
        <v>250</v>
      </c>
      <c r="M174">
        <f t="shared" si="299"/>
        <v>250</v>
      </c>
      <c r="N174">
        <f t="shared" si="299"/>
        <v>250</v>
      </c>
      <c r="O174">
        <f t="shared" si="299"/>
        <v>250</v>
      </c>
      <c r="P174">
        <f t="shared" si="299"/>
        <v>250</v>
      </c>
      <c r="Q174">
        <f t="shared" si="299"/>
        <v>250</v>
      </c>
      <c r="R174">
        <f t="shared" si="299"/>
        <v>250</v>
      </c>
      <c r="S174">
        <f t="shared" si="299"/>
        <v>250</v>
      </c>
      <c r="T174">
        <f t="shared" si="299"/>
        <v>250</v>
      </c>
      <c r="U174">
        <f t="shared" si="299"/>
        <v>220</v>
      </c>
      <c r="V174">
        <f t="shared" si="299"/>
        <v>190</v>
      </c>
      <c r="W174">
        <f t="shared" si="299"/>
        <v>160</v>
      </c>
      <c r="X174">
        <f t="shared" si="299"/>
        <v>150</v>
      </c>
      <c r="Y174">
        <f t="shared" si="299"/>
        <v>150</v>
      </c>
      <c r="Z174">
        <f t="shared" si="299"/>
        <v>150</v>
      </c>
      <c r="AA174">
        <f t="shared" si="299"/>
        <v>150</v>
      </c>
      <c r="AB174">
        <f t="shared" si="299"/>
        <v>150</v>
      </c>
      <c r="AC174">
        <f t="shared" si="299"/>
        <v>130</v>
      </c>
      <c r="AD174">
        <f t="shared" si="299"/>
        <v>110</v>
      </c>
      <c r="AE174">
        <f t="shared" si="299"/>
        <v>90</v>
      </c>
      <c r="AF174">
        <f t="shared" si="299"/>
        <v>70</v>
      </c>
      <c r="AG174">
        <f t="shared" si="299"/>
        <v>50</v>
      </c>
      <c r="AH174">
        <f t="shared" si="299"/>
        <v>0</v>
      </c>
      <c r="AI174">
        <f t="shared" si="299"/>
        <v>-50</v>
      </c>
      <c r="AJ174">
        <f t="shared" ref="AJ174:BO174" si="300">AJ168-AJ171</f>
        <v>-50</v>
      </c>
      <c r="AK174">
        <f t="shared" si="300"/>
        <v>-50</v>
      </c>
      <c r="AL174">
        <f t="shared" si="300"/>
        <v>-50</v>
      </c>
      <c r="AM174">
        <f t="shared" si="300"/>
        <v>-50</v>
      </c>
      <c r="AN174">
        <f t="shared" si="300"/>
        <v>-61</v>
      </c>
      <c r="AO174">
        <f t="shared" si="300"/>
        <v>-72</v>
      </c>
      <c r="AP174">
        <f t="shared" si="300"/>
        <v>-83</v>
      </c>
      <c r="AQ174">
        <f t="shared" si="300"/>
        <v>-96</v>
      </c>
      <c r="AR174">
        <f t="shared" si="300"/>
        <v>-109</v>
      </c>
      <c r="AS174">
        <f t="shared" si="300"/>
        <v>-120</v>
      </c>
      <c r="AT174">
        <f t="shared" si="300"/>
        <v>-133</v>
      </c>
      <c r="AU174">
        <f t="shared" si="300"/>
        <v>-146</v>
      </c>
      <c r="AV174">
        <f t="shared" si="300"/>
        <v>-159</v>
      </c>
      <c r="AW174">
        <f t="shared" si="300"/>
        <v>-172</v>
      </c>
      <c r="AX174">
        <f t="shared" si="300"/>
        <v>-185</v>
      </c>
      <c r="AY174">
        <f t="shared" si="300"/>
        <v>-195</v>
      </c>
      <c r="AZ174">
        <f t="shared" si="300"/>
        <v>-204</v>
      </c>
      <c r="BA174">
        <f t="shared" si="300"/>
        <v>-213</v>
      </c>
      <c r="BB174">
        <f t="shared" si="300"/>
        <v>-222</v>
      </c>
      <c r="BC174">
        <f t="shared" si="300"/>
        <v>-232</v>
      </c>
      <c r="BD174">
        <f t="shared" si="300"/>
        <v>-242</v>
      </c>
      <c r="BE174">
        <f t="shared" si="300"/>
        <v>-252</v>
      </c>
      <c r="BF174">
        <f t="shared" si="300"/>
        <v>-262</v>
      </c>
      <c r="BG174">
        <f t="shared" si="300"/>
        <v>-272</v>
      </c>
      <c r="BH174">
        <f t="shared" si="300"/>
        <v>-282</v>
      </c>
      <c r="BI174">
        <f t="shared" si="300"/>
        <v>-292</v>
      </c>
      <c r="BJ174">
        <f t="shared" si="300"/>
        <v>-302</v>
      </c>
      <c r="BK174">
        <f t="shared" si="300"/>
        <v>-312</v>
      </c>
      <c r="BL174">
        <f t="shared" si="300"/>
        <v>-322</v>
      </c>
      <c r="BM174">
        <f t="shared" si="300"/>
        <v>-332</v>
      </c>
      <c r="BN174">
        <f t="shared" si="300"/>
        <v>-350</v>
      </c>
      <c r="BO174">
        <f t="shared" si="300"/>
        <v>-350</v>
      </c>
      <c r="BP174">
        <f t="shared" ref="BP174:CC174" si="301">BP168-BP171</f>
        <v>-350</v>
      </c>
      <c r="BQ174">
        <f t="shared" si="301"/>
        <v>-350</v>
      </c>
      <c r="BR174">
        <f t="shared" si="301"/>
        <v>-350</v>
      </c>
      <c r="BS174">
        <f t="shared" si="301"/>
        <v>-358</v>
      </c>
      <c r="BT174">
        <f t="shared" si="301"/>
        <v>-366</v>
      </c>
      <c r="BU174">
        <f t="shared" si="301"/>
        <v>-374</v>
      </c>
      <c r="BV174">
        <f t="shared" si="301"/>
        <v>-382</v>
      </c>
      <c r="BW174">
        <f t="shared" si="301"/>
        <v>-390</v>
      </c>
      <c r="BX174">
        <f t="shared" si="301"/>
        <v>-398</v>
      </c>
      <c r="BY174">
        <f t="shared" si="301"/>
        <v>-406</v>
      </c>
      <c r="BZ174">
        <f t="shared" si="301"/>
        <v>-414</v>
      </c>
      <c r="CA174">
        <f t="shared" si="301"/>
        <v>-422</v>
      </c>
      <c r="CB174">
        <f t="shared" si="301"/>
        <v>-430</v>
      </c>
      <c r="CC174">
        <f t="shared" si="301"/>
        <v>-438</v>
      </c>
    </row>
    <row r="175" spans="1:81" x14ac:dyDescent="0.2">
      <c r="A175" s="43" t="s">
        <v>239</v>
      </c>
      <c r="B175" s="44" t="s">
        <v>208</v>
      </c>
      <c r="C175" s="9" t="s">
        <v>38</v>
      </c>
      <c r="D175" s="58">
        <f>IFERROR(VLOOKUP(A175,OS!$A:$B,2,0),0)</f>
        <v>220</v>
      </c>
      <c r="E175" s="5">
        <f>(D175+D176-D178)</f>
        <v>220</v>
      </c>
      <c r="F175" s="5">
        <f>(E175+E176-E178)</f>
        <v>160</v>
      </c>
      <c r="G175" s="5">
        <f>(F175+F176-F178)</f>
        <v>100</v>
      </c>
      <c r="H175" s="5">
        <f>(G175+G176-G178)</f>
        <v>100</v>
      </c>
      <c r="I175" s="5">
        <f t="shared" ref="I175:AN175" si="302">(H175+H176-H178+D177)</f>
        <v>225</v>
      </c>
      <c r="J175" s="5">
        <f t="shared" si="302"/>
        <v>225</v>
      </c>
      <c r="K175" s="5">
        <f t="shared" si="302"/>
        <v>225</v>
      </c>
      <c r="L175" s="5">
        <f t="shared" si="302"/>
        <v>225</v>
      </c>
      <c r="M175" s="5">
        <f t="shared" si="302"/>
        <v>225</v>
      </c>
      <c r="N175" s="5">
        <f t="shared" si="302"/>
        <v>225</v>
      </c>
      <c r="O175" s="5">
        <f t="shared" si="302"/>
        <v>225</v>
      </c>
      <c r="P175" s="5">
        <f t="shared" si="302"/>
        <v>225</v>
      </c>
      <c r="Q175" s="5">
        <f t="shared" si="302"/>
        <v>225</v>
      </c>
      <c r="R175" s="5">
        <f t="shared" si="302"/>
        <v>225</v>
      </c>
      <c r="S175" s="5">
        <f t="shared" si="302"/>
        <v>225</v>
      </c>
      <c r="T175" s="5">
        <f t="shared" si="302"/>
        <v>225</v>
      </c>
      <c r="U175" s="5">
        <f t="shared" si="302"/>
        <v>225</v>
      </c>
      <c r="V175" s="5">
        <f t="shared" si="302"/>
        <v>225</v>
      </c>
      <c r="W175" s="5">
        <f t="shared" si="302"/>
        <v>225</v>
      </c>
      <c r="X175" s="5">
        <f t="shared" si="302"/>
        <v>225</v>
      </c>
      <c r="Y175" s="5">
        <f t="shared" si="302"/>
        <v>225</v>
      </c>
      <c r="Z175" s="5">
        <f t="shared" si="302"/>
        <v>225</v>
      </c>
      <c r="AA175" s="5">
        <f t="shared" si="302"/>
        <v>225</v>
      </c>
      <c r="AB175" s="5">
        <f t="shared" si="302"/>
        <v>225</v>
      </c>
      <c r="AC175" s="5">
        <f t="shared" si="302"/>
        <v>225</v>
      </c>
      <c r="AD175" s="5">
        <f t="shared" si="302"/>
        <v>225</v>
      </c>
      <c r="AE175" s="5">
        <f t="shared" si="302"/>
        <v>225</v>
      </c>
      <c r="AF175" s="5">
        <f t="shared" si="302"/>
        <v>225</v>
      </c>
      <c r="AG175" s="5">
        <f t="shared" si="302"/>
        <v>225</v>
      </c>
      <c r="AH175" s="5">
        <f t="shared" si="302"/>
        <v>225</v>
      </c>
      <c r="AI175" s="5">
        <f t="shared" si="302"/>
        <v>225</v>
      </c>
      <c r="AJ175" s="5">
        <f t="shared" si="302"/>
        <v>225</v>
      </c>
      <c r="AK175" s="5">
        <f t="shared" si="302"/>
        <v>225</v>
      </c>
      <c r="AL175" s="5">
        <f t="shared" si="302"/>
        <v>225</v>
      </c>
      <c r="AM175" s="5">
        <f t="shared" si="302"/>
        <v>225</v>
      </c>
      <c r="AN175" s="5">
        <f t="shared" si="302"/>
        <v>225</v>
      </c>
      <c r="AO175" s="5">
        <f t="shared" ref="AO175:BT175" si="303">(AN175+AN176-AN178+AJ177)</f>
        <v>220</v>
      </c>
      <c r="AP175" s="5">
        <f t="shared" si="303"/>
        <v>215</v>
      </c>
      <c r="AQ175" s="5">
        <f t="shared" si="303"/>
        <v>210</v>
      </c>
      <c r="AR175" s="5">
        <f t="shared" si="303"/>
        <v>204</v>
      </c>
      <c r="AS175" s="5">
        <f t="shared" si="303"/>
        <v>198</v>
      </c>
      <c r="AT175" s="5">
        <f t="shared" si="303"/>
        <v>193</v>
      </c>
      <c r="AU175" s="5">
        <f t="shared" si="303"/>
        <v>187</v>
      </c>
      <c r="AV175" s="5">
        <f t="shared" si="303"/>
        <v>181</v>
      </c>
      <c r="AW175" s="5">
        <f t="shared" si="303"/>
        <v>175</v>
      </c>
      <c r="AX175" s="5">
        <f t="shared" si="303"/>
        <v>169</v>
      </c>
      <c r="AY175" s="5">
        <f t="shared" si="303"/>
        <v>163</v>
      </c>
      <c r="AZ175" s="5">
        <f t="shared" si="303"/>
        <v>158</v>
      </c>
      <c r="BA175" s="5">
        <f t="shared" si="303"/>
        <v>154</v>
      </c>
      <c r="BB175" s="5">
        <f t="shared" si="303"/>
        <v>150</v>
      </c>
      <c r="BC175" s="5">
        <f t="shared" si="303"/>
        <v>146</v>
      </c>
      <c r="BD175" s="5">
        <f t="shared" si="303"/>
        <v>141</v>
      </c>
      <c r="BE175" s="5">
        <f t="shared" si="303"/>
        <v>136</v>
      </c>
      <c r="BF175" s="5">
        <f t="shared" si="303"/>
        <v>131</v>
      </c>
      <c r="BG175" s="5">
        <f t="shared" si="303"/>
        <v>126</v>
      </c>
      <c r="BH175" s="5">
        <f t="shared" si="303"/>
        <v>121</v>
      </c>
      <c r="BI175" s="5">
        <f t="shared" si="303"/>
        <v>116</v>
      </c>
      <c r="BJ175" s="5">
        <f t="shared" si="303"/>
        <v>111</v>
      </c>
      <c r="BK175" s="5">
        <f t="shared" si="303"/>
        <v>106</v>
      </c>
      <c r="BL175" s="5">
        <f t="shared" si="303"/>
        <v>101</v>
      </c>
      <c r="BM175" s="5">
        <f t="shared" si="303"/>
        <v>96</v>
      </c>
      <c r="BN175" s="5">
        <f t="shared" si="303"/>
        <v>91</v>
      </c>
      <c r="BO175" s="5">
        <f t="shared" si="303"/>
        <v>83</v>
      </c>
      <c r="BP175" s="5">
        <f t="shared" si="303"/>
        <v>83</v>
      </c>
      <c r="BQ175" s="5">
        <f t="shared" si="303"/>
        <v>83</v>
      </c>
      <c r="BR175" s="5">
        <f t="shared" si="303"/>
        <v>83</v>
      </c>
      <c r="BS175" s="5">
        <f t="shared" si="303"/>
        <v>83</v>
      </c>
      <c r="BT175" s="5">
        <f t="shared" si="303"/>
        <v>79</v>
      </c>
      <c r="BU175" s="5">
        <f t="shared" ref="BU175:CZ175" si="304">(BT175+BT176-BT178+BP177)</f>
        <v>75</v>
      </c>
      <c r="BV175" s="5">
        <f t="shared" si="304"/>
        <v>71</v>
      </c>
      <c r="BW175" s="5">
        <f t="shared" si="304"/>
        <v>67</v>
      </c>
      <c r="BX175" s="5">
        <f t="shared" si="304"/>
        <v>63</v>
      </c>
      <c r="BY175" s="5">
        <f t="shared" si="304"/>
        <v>59</v>
      </c>
      <c r="BZ175" s="5">
        <f t="shared" si="304"/>
        <v>55</v>
      </c>
      <c r="CA175" s="5">
        <f t="shared" si="304"/>
        <v>51</v>
      </c>
      <c r="CB175" s="5">
        <f t="shared" si="304"/>
        <v>47</v>
      </c>
      <c r="CC175" s="5">
        <f t="shared" si="304"/>
        <v>43</v>
      </c>
    </row>
    <row r="176" spans="1:81" x14ac:dyDescent="0.2">
      <c r="A176" s="5" t="s">
        <v>209</v>
      </c>
      <c r="B176" s="5">
        <v>12.26919</v>
      </c>
      <c r="C176" s="45" t="s">
        <v>39</v>
      </c>
      <c r="D176" s="59">
        <f>IFERROR(VLOOKUP(A175,WIP!$A:$B,2,0),0)</f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</row>
    <row r="177" spans="1:81" x14ac:dyDescent="0.2">
      <c r="A177" s="5" t="s">
        <v>210</v>
      </c>
      <c r="B177" s="5">
        <v>0.32300000000000001</v>
      </c>
      <c r="C177" s="9" t="s">
        <v>211</v>
      </c>
      <c r="D177" s="60">
        <f>IFERROR(VLOOKUP($A175,Plan!$A:B,D$4,0),0)</f>
        <v>180</v>
      </c>
      <c r="E177" s="70">
        <f>IFERROR(VLOOKUP($A175,Plan!$A:C,E$4,0),0)</f>
        <v>0</v>
      </c>
      <c r="F177" s="70">
        <f>IFERROR(VLOOKUP($A175,Plan!$A:D,F$4,0),0)</f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</row>
    <row r="178" spans="1:81" x14ac:dyDescent="0.2">
      <c r="A178" s="5" t="s">
        <v>212</v>
      </c>
      <c r="B178" s="5">
        <v>7.4999999999999997E-2</v>
      </c>
      <c r="C178" s="9" t="s">
        <v>213</v>
      </c>
      <c r="D178" s="61">
        <f>IFERROR(VLOOKUP($A175,Sales!$A:B,D$2,0),0)</f>
        <v>0</v>
      </c>
      <c r="E178" s="61">
        <f>IFERROR(VLOOKUP($A175,Sales!$A:C,E$2,0),0)</f>
        <v>60</v>
      </c>
      <c r="F178" s="61">
        <f>IFERROR(VLOOKUP($A175,Sales!$A:D,F$2,0),0)</f>
        <v>60</v>
      </c>
      <c r="G178" s="61">
        <f>IFERROR(VLOOKUP($A175,Sales!$A:E,G$2,0),0)</f>
        <v>0</v>
      </c>
      <c r="H178" s="61">
        <f>IFERROR(VLOOKUP($A175,Sales!$A:F,H$2,0),0)</f>
        <v>55</v>
      </c>
      <c r="I178" s="61">
        <f>IFERROR(VLOOKUP($A175,Sales!$A:G,I$2,0),0)</f>
        <v>0</v>
      </c>
      <c r="J178" s="61">
        <f>IFERROR(VLOOKUP($A175,Sales!$A:H,J$2,0),0)</f>
        <v>0</v>
      </c>
      <c r="K178" s="61">
        <f>IFERROR(VLOOKUP($A175,Sales!$A:I,K$2,0),0)</f>
        <v>0</v>
      </c>
      <c r="L178" s="61">
        <f>IFERROR(VLOOKUP($A175,Sales!$A:J,L$2,0),0)</f>
        <v>0</v>
      </c>
      <c r="M178" s="61">
        <f>IFERROR(VLOOKUP($A175,Sales!$A:K,M$2,0),0)</f>
        <v>0</v>
      </c>
      <c r="N178" s="61">
        <f>IFERROR(VLOOKUP($A175,Sales!$A:L,N$2,0),0)</f>
        <v>0</v>
      </c>
      <c r="O178" s="61">
        <f>IFERROR(VLOOKUP($A175,Sales!$A:M,O$2,0),0)</f>
        <v>0</v>
      </c>
      <c r="P178" s="61">
        <f>IFERROR(VLOOKUP($A175,Sales!$A:N,P$2,0),0)</f>
        <v>0</v>
      </c>
      <c r="Q178" s="61">
        <f>IFERROR(VLOOKUP($A175,Sales!$A:O,Q$2,0),0)</f>
        <v>0</v>
      </c>
      <c r="R178" s="61">
        <f>IFERROR(VLOOKUP($A175,Sales!$A:P,R$2,0),0)</f>
        <v>0</v>
      </c>
      <c r="S178" s="61">
        <f>IFERROR(VLOOKUP($A175,Sales!$A:Q,S$2,0),0)</f>
        <v>0</v>
      </c>
      <c r="T178" s="61">
        <f>IFERROR(VLOOKUP($A175,Sales!$A:R,T$2,0),0)</f>
        <v>0</v>
      </c>
      <c r="U178" s="61">
        <f>IFERROR(VLOOKUP($A175,Sales!$A:S,U$2,0),0)</f>
        <v>0</v>
      </c>
      <c r="V178" s="61">
        <f>IFERROR(VLOOKUP($A175,Sales!$A:T,V$2,0),0)</f>
        <v>0</v>
      </c>
      <c r="W178" s="61">
        <f>IFERROR(VLOOKUP($A175,Sales!$A:U,W$2,0),0)</f>
        <v>0</v>
      </c>
      <c r="X178" s="61">
        <f>IFERROR(VLOOKUP($A175,Sales!$A:V,X$2,0),0)</f>
        <v>0</v>
      </c>
      <c r="Y178" s="61">
        <f>IFERROR(VLOOKUP($A175,Sales!$A:W,Y$2,0),0)</f>
        <v>0</v>
      </c>
      <c r="Z178" s="61">
        <f>IFERROR(VLOOKUP($A175,Sales!$A:X,Z$2,0),0)</f>
        <v>0</v>
      </c>
      <c r="AA178" s="61">
        <f>IFERROR(VLOOKUP($A175,Sales!$A:Y,AA$2,0),0)</f>
        <v>0</v>
      </c>
      <c r="AB178" s="61">
        <f>IFERROR(VLOOKUP($A175,Sales!$A:Z,AB$2,0),0)</f>
        <v>0</v>
      </c>
      <c r="AC178" s="61">
        <f>IFERROR(VLOOKUP($A175,Sales!$A:AA,AC$2,0),0)</f>
        <v>0</v>
      </c>
      <c r="AD178" s="61">
        <f>IFERROR(VLOOKUP($A175,Sales!$A:AB,AD$2,0),0)</f>
        <v>0</v>
      </c>
      <c r="AE178" s="61">
        <f>IFERROR(VLOOKUP($A175,Sales!$A:AC,AE$2,0),0)</f>
        <v>0</v>
      </c>
      <c r="AF178" s="61">
        <f>IFERROR(VLOOKUP($A175,Sales!$A:AD,AF$2,0),0)</f>
        <v>0</v>
      </c>
      <c r="AG178" s="61">
        <f>IFERROR(VLOOKUP($A175,Sales!$A:AE,AG$2,0),0)</f>
        <v>0</v>
      </c>
      <c r="AH178" s="61">
        <f>IFERROR(VLOOKUP($A175,Sales!$A:AF,AH$2,0),0)</f>
        <v>0</v>
      </c>
      <c r="AI178" s="61">
        <f>IFERROR(VLOOKUP($A175,Sales!$A:AG,AI$2,0),0)</f>
        <v>0</v>
      </c>
      <c r="AJ178" s="61">
        <f>IFERROR(VLOOKUP($A175,Sales!$A:AH,AJ$2,0),0)</f>
        <v>0</v>
      </c>
      <c r="AK178" s="73">
        <f t="shared" ref="AK178:CC178" si="305">CEILING(AK$5*$B174,1)</f>
        <v>0</v>
      </c>
      <c r="AL178" s="73">
        <f t="shared" si="305"/>
        <v>0</v>
      </c>
      <c r="AM178" s="73">
        <f t="shared" si="305"/>
        <v>0</v>
      </c>
      <c r="AN178" s="73">
        <f t="shared" si="305"/>
        <v>5</v>
      </c>
      <c r="AO178" s="73">
        <f t="shared" si="305"/>
        <v>5</v>
      </c>
      <c r="AP178" s="73">
        <f t="shared" si="305"/>
        <v>5</v>
      </c>
      <c r="AQ178" s="73">
        <f t="shared" si="305"/>
        <v>6</v>
      </c>
      <c r="AR178" s="73">
        <f t="shared" si="305"/>
        <v>6</v>
      </c>
      <c r="AS178" s="73">
        <f t="shared" si="305"/>
        <v>5</v>
      </c>
      <c r="AT178" s="73">
        <f t="shared" si="305"/>
        <v>6</v>
      </c>
      <c r="AU178" s="73">
        <f t="shared" si="305"/>
        <v>6</v>
      </c>
      <c r="AV178" s="73">
        <f t="shared" si="305"/>
        <v>6</v>
      </c>
      <c r="AW178" s="73">
        <f t="shared" si="305"/>
        <v>6</v>
      </c>
      <c r="AX178" s="73">
        <f t="shared" si="305"/>
        <v>6</v>
      </c>
      <c r="AY178" s="73">
        <f t="shared" si="305"/>
        <v>5</v>
      </c>
      <c r="AZ178" s="73">
        <f t="shared" si="305"/>
        <v>4</v>
      </c>
      <c r="BA178" s="73">
        <f t="shared" si="305"/>
        <v>4</v>
      </c>
      <c r="BB178" s="73">
        <f t="shared" si="305"/>
        <v>4</v>
      </c>
      <c r="BC178" s="73">
        <f t="shared" si="305"/>
        <v>5</v>
      </c>
      <c r="BD178" s="73">
        <f t="shared" si="305"/>
        <v>5</v>
      </c>
      <c r="BE178" s="73">
        <f t="shared" si="305"/>
        <v>5</v>
      </c>
      <c r="BF178" s="73">
        <f t="shared" si="305"/>
        <v>5</v>
      </c>
      <c r="BG178" s="73">
        <f t="shared" si="305"/>
        <v>5</v>
      </c>
      <c r="BH178" s="73">
        <f t="shared" si="305"/>
        <v>5</v>
      </c>
      <c r="BI178" s="73">
        <f t="shared" si="305"/>
        <v>5</v>
      </c>
      <c r="BJ178" s="73">
        <f t="shared" si="305"/>
        <v>5</v>
      </c>
      <c r="BK178" s="73">
        <f t="shared" si="305"/>
        <v>5</v>
      </c>
      <c r="BL178" s="73">
        <f t="shared" si="305"/>
        <v>5</v>
      </c>
      <c r="BM178" s="73">
        <f t="shared" si="305"/>
        <v>5</v>
      </c>
      <c r="BN178" s="73">
        <f t="shared" si="305"/>
        <v>8</v>
      </c>
      <c r="BO178" s="73">
        <f t="shared" si="305"/>
        <v>0</v>
      </c>
      <c r="BP178" s="73">
        <f t="shared" si="305"/>
        <v>0</v>
      </c>
      <c r="BQ178" s="73">
        <f t="shared" si="305"/>
        <v>0</v>
      </c>
      <c r="BR178" s="73">
        <f t="shared" si="305"/>
        <v>0</v>
      </c>
      <c r="BS178" s="73">
        <f t="shared" si="305"/>
        <v>4</v>
      </c>
      <c r="BT178" s="73">
        <f t="shared" si="305"/>
        <v>4</v>
      </c>
      <c r="BU178" s="73">
        <f t="shared" si="305"/>
        <v>4</v>
      </c>
      <c r="BV178" s="73">
        <f t="shared" si="305"/>
        <v>4</v>
      </c>
      <c r="BW178" s="73">
        <f t="shared" si="305"/>
        <v>4</v>
      </c>
      <c r="BX178" s="73">
        <f t="shared" si="305"/>
        <v>4</v>
      </c>
      <c r="BY178" s="73">
        <f t="shared" si="305"/>
        <v>4</v>
      </c>
      <c r="BZ178" s="73">
        <f t="shared" si="305"/>
        <v>4</v>
      </c>
      <c r="CA178" s="73">
        <f t="shared" si="305"/>
        <v>4</v>
      </c>
      <c r="CB178" s="73">
        <f t="shared" si="305"/>
        <v>4</v>
      </c>
      <c r="CC178" s="73">
        <f t="shared" si="305"/>
        <v>4</v>
      </c>
    </row>
    <row r="179" spans="1:81" x14ac:dyDescent="0.2">
      <c r="A179" s="5" t="s">
        <v>214</v>
      </c>
      <c r="B179" s="5">
        <v>0.39800000000000002</v>
      </c>
      <c r="C179" s="46" t="s">
        <v>215</v>
      </c>
      <c r="D179" s="11">
        <f t="shared" ref="D179:AI179" si="306">IF(D178=0,0, ROUND(D175 * 1/D178* D$13,1))</f>
        <v>0</v>
      </c>
      <c r="E179" s="11">
        <f t="shared" si="306"/>
        <v>18.3</v>
      </c>
      <c r="F179" s="11">
        <f t="shared" si="306"/>
        <v>13.3</v>
      </c>
      <c r="G179" s="11">
        <f t="shared" si="306"/>
        <v>0</v>
      </c>
      <c r="H179" s="11">
        <f t="shared" si="306"/>
        <v>9.1</v>
      </c>
      <c r="I179" s="11">
        <f t="shared" si="306"/>
        <v>0</v>
      </c>
      <c r="J179" s="11">
        <f t="shared" si="306"/>
        <v>0</v>
      </c>
      <c r="K179" s="11">
        <f t="shared" si="306"/>
        <v>0</v>
      </c>
      <c r="L179" s="11">
        <f t="shared" si="306"/>
        <v>0</v>
      </c>
      <c r="M179" s="11">
        <f t="shared" si="306"/>
        <v>0</v>
      </c>
      <c r="N179" s="11">
        <f t="shared" si="306"/>
        <v>0</v>
      </c>
      <c r="O179" s="11">
        <f t="shared" si="306"/>
        <v>0</v>
      </c>
      <c r="P179" s="11">
        <f t="shared" si="306"/>
        <v>0</v>
      </c>
      <c r="Q179" s="11">
        <f t="shared" si="306"/>
        <v>0</v>
      </c>
      <c r="R179" s="11">
        <f t="shared" si="306"/>
        <v>0</v>
      </c>
      <c r="S179" s="11">
        <f t="shared" si="306"/>
        <v>0</v>
      </c>
      <c r="T179" s="11">
        <f t="shared" si="306"/>
        <v>0</v>
      </c>
      <c r="U179" s="11">
        <f t="shared" si="306"/>
        <v>0</v>
      </c>
      <c r="V179" s="11">
        <f t="shared" si="306"/>
        <v>0</v>
      </c>
      <c r="W179" s="11">
        <f t="shared" si="306"/>
        <v>0</v>
      </c>
      <c r="X179" s="11">
        <f t="shared" si="306"/>
        <v>0</v>
      </c>
      <c r="Y179" s="11">
        <f t="shared" si="306"/>
        <v>0</v>
      </c>
      <c r="Z179" s="11">
        <f t="shared" si="306"/>
        <v>0</v>
      </c>
      <c r="AA179" s="11">
        <f t="shared" si="306"/>
        <v>0</v>
      </c>
      <c r="AB179" s="11">
        <f t="shared" si="306"/>
        <v>0</v>
      </c>
      <c r="AC179" s="11">
        <f t="shared" si="306"/>
        <v>0</v>
      </c>
      <c r="AD179" s="11">
        <f t="shared" si="306"/>
        <v>0</v>
      </c>
      <c r="AE179" s="11">
        <f t="shared" si="306"/>
        <v>0</v>
      </c>
      <c r="AF179" s="11">
        <f t="shared" si="306"/>
        <v>0</v>
      </c>
      <c r="AG179" s="11">
        <f t="shared" si="306"/>
        <v>0</v>
      </c>
      <c r="AH179" s="11">
        <f t="shared" si="306"/>
        <v>0</v>
      </c>
      <c r="AI179" s="11">
        <f t="shared" si="306"/>
        <v>0</v>
      </c>
      <c r="AJ179" s="11">
        <f t="shared" ref="AJ179:BO179" si="307">IF(AJ178=0,0, ROUND(AJ175 * 1/AJ178* AJ$13,1))</f>
        <v>0</v>
      </c>
      <c r="AK179" s="11">
        <f t="shared" si="307"/>
        <v>0</v>
      </c>
      <c r="AL179" s="11">
        <f t="shared" si="307"/>
        <v>0</v>
      </c>
      <c r="AM179" s="11">
        <f t="shared" si="307"/>
        <v>0</v>
      </c>
      <c r="AN179" s="11">
        <f t="shared" si="307"/>
        <v>225</v>
      </c>
      <c r="AO179" s="11">
        <f t="shared" si="307"/>
        <v>220</v>
      </c>
      <c r="AP179" s="11">
        <f t="shared" si="307"/>
        <v>215</v>
      </c>
      <c r="AQ179" s="11">
        <f t="shared" si="307"/>
        <v>175</v>
      </c>
      <c r="AR179" s="11">
        <f t="shared" si="307"/>
        <v>170</v>
      </c>
      <c r="AS179" s="11">
        <f t="shared" si="307"/>
        <v>198</v>
      </c>
      <c r="AT179" s="11">
        <f t="shared" si="307"/>
        <v>160.80000000000001</v>
      </c>
      <c r="AU179" s="11">
        <f t="shared" si="307"/>
        <v>155.80000000000001</v>
      </c>
      <c r="AV179" s="11">
        <f t="shared" si="307"/>
        <v>150.80000000000001</v>
      </c>
      <c r="AW179" s="11">
        <f t="shared" si="307"/>
        <v>145.80000000000001</v>
      </c>
      <c r="AX179" s="11">
        <f t="shared" si="307"/>
        <v>140.80000000000001</v>
      </c>
      <c r="AY179" s="11">
        <f t="shared" si="307"/>
        <v>163</v>
      </c>
      <c r="AZ179" s="11">
        <f t="shared" si="307"/>
        <v>197.5</v>
      </c>
      <c r="BA179" s="11">
        <f t="shared" si="307"/>
        <v>192.5</v>
      </c>
      <c r="BB179" s="11">
        <f t="shared" si="307"/>
        <v>187.5</v>
      </c>
      <c r="BC179" s="11">
        <f t="shared" si="307"/>
        <v>146</v>
      </c>
      <c r="BD179" s="11">
        <f t="shared" si="307"/>
        <v>141</v>
      </c>
      <c r="BE179" s="11">
        <f t="shared" si="307"/>
        <v>136</v>
      </c>
      <c r="BF179" s="11">
        <f t="shared" si="307"/>
        <v>131</v>
      </c>
      <c r="BG179" s="11">
        <f t="shared" si="307"/>
        <v>126</v>
      </c>
      <c r="BH179" s="11">
        <f t="shared" si="307"/>
        <v>121</v>
      </c>
      <c r="BI179" s="11">
        <f t="shared" si="307"/>
        <v>116</v>
      </c>
      <c r="BJ179" s="11">
        <f t="shared" si="307"/>
        <v>111</v>
      </c>
      <c r="BK179" s="11">
        <f t="shared" si="307"/>
        <v>106</v>
      </c>
      <c r="BL179" s="11">
        <f t="shared" si="307"/>
        <v>101</v>
      </c>
      <c r="BM179" s="11">
        <f t="shared" si="307"/>
        <v>96</v>
      </c>
      <c r="BN179" s="11">
        <f t="shared" si="307"/>
        <v>56.9</v>
      </c>
      <c r="BO179" s="11">
        <f t="shared" si="307"/>
        <v>0</v>
      </c>
      <c r="BP179" s="11">
        <f t="shared" ref="BP179:CU179" si="308">IF(BP178=0,0, ROUND(BP175 * 1/BP178* BP$13,1))</f>
        <v>0</v>
      </c>
      <c r="BQ179" s="11">
        <f t="shared" si="308"/>
        <v>0</v>
      </c>
      <c r="BR179" s="11">
        <f t="shared" si="308"/>
        <v>0</v>
      </c>
      <c r="BS179" s="11">
        <f t="shared" si="308"/>
        <v>103.8</v>
      </c>
      <c r="BT179" s="11">
        <f t="shared" si="308"/>
        <v>98.8</v>
      </c>
      <c r="BU179" s="11">
        <f t="shared" si="308"/>
        <v>93.8</v>
      </c>
      <c r="BV179" s="11">
        <f t="shared" si="308"/>
        <v>88.8</v>
      </c>
      <c r="BW179" s="11">
        <f t="shared" si="308"/>
        <v>83.8</v>
      </c>
      <c r="BX179" s="11">
        <f t="shared" si="308"/>
        <v>78.8</v>
      </c>
      <c r="BY179" s="11">
        <f t="shared" si="308"/>
        <v>73.8</v>
      </c>
      <c r="BZ179" s="11">
        <f t="shared" si="308"/>
        <v>68.8</v>
      </c>
      <c r="CA179" s="11">
        <f t="shared" si="308"/>
        <v>63.8</v>
      </c>
      <c r="CB179" s="11">
        <f t="shared" si="308"/>
        <v>58.8</v>
      </c>
      <c r="CC179" s="11">
        <f t="shared" si="308"/>
        <v>53.8</v>
      </c>
    </row>
    <row r="180" spans="1:81" x14ac:dyDescent="0.2">
      <c r="A180" s="10">
        <v>43</v>
      </c>
      <c r="B180" s="10">
        <v>1</v>
      </c>
      <c r="C180" s="68">
        <v>9.4816699999999994</v>
      </c>
      <c r="D180">
        <f t="shared" ref="D180:AI180" si="309">D177/$B180</f>
        <v>180</v>
      </c>
      <c r="E180">
        <f t="shared" si="309"/>
        <v>0</v>
      </c>
      <c r="F180">
        <f t="shared" si="309"/>
        <v>0</v>
      </c>
      <c r="G180">
        <f t="shared" si="309"/>
        <v>0</v>
      </c>
      <c r="H180">
        <f t="shared" si="309"/>
        <v>0</v>
      </c>
      <c r="I180">
        <f t="shared" si="309"/>
        <v>0</v>
      </c>
      <c r="J180">
        <f t="shared" si="309"/>
        <v>0</v>
      </c>
      <c r="K180">
        <f t="shared" si="309"/>
        <v>0</v>
      </c>
      <c r="L180">
        <f t="shared" si="309"/>
        <v>0</v>
      </c>
      <c r="M180">
        <f t="shared" si="309"/>
        <v>0</v>
      </c>
      <c r="N180">
        <f t="shared" si="309"/>
        <v>0</v>
      </c>
      <c r="O180">
        <f t="shared" si="309"/>
        <v>0</v>
      </c>
      <c r="P180">
        <f t="shared" si="309"/>
        <v>0</v>
      </c>
      <c r="Q180">
        <f t="shared" si="309"/>
        <v>0</v>
      </c>
      <c r="R180">
        <f t="shared" si="309"/>
        <v>0</v>
      </c>
      <c r="S180">
        <f t="shared" si="309"/>
        <v>0</v>
      </c>
      <c r="T180">
        <f t="shared" si="309"/>
        <v>0</v>
      </c>
      <c r="U180">
        <f t="shared" si="309"/>
        <v>0</v>
      </c>
      <c r="V180">
        <f t="shared" si="309"/>
        <v>0</v>
      </c>
      <c r="W180">
        <f t="shared" si="309"/>
        <v>0</v>
      </c>
      <c r="X180">
        <f t="shared" si="309"/>
        <v>0</v>
      </c>
      <c r="Y180">
        <f t="shared" si="309"/>
        <v>0</v>
      </c>
      <c r="Z180">
        <f t="shared" si="309"/>
        <v>0</v>
      </c>
      <c r="AA180">
        <f t="shared" si="309"/>
        <v>0</v>
      </c>
      <c r="AB180">
        <f t="shared" si="309"/>
        <v>0</v>
      </c>
      <c r="AC180">
        <f t="shared" si="309"/>
        <v>0</v>
      </c>
      <c r="AD180">
        <f t="shared" si="309"/>
        <v>0</v>
      </c>
      <c r="AE180">
        <f t="shared" si="309"/>
        <v>0</v>
      </c>
      <c r="AF180">
        <f t="shared" si="309"/>
        <v>0</v>
      </c>
      <c r="AG180">
        <f t="shared" si="309"/>
        <v>0</v>
      </c>
      <c r="AH180">
        <f t="shared" si="309"/>
        <v>0</v>
      </c>
      <c r="AI180">
        <f t="shared" si="309"/>
        <v>0</v>
      </c>
      <c r="AJ180">
        <f t="shared" ref="AJ180:BO180" si="310">AJ177/$B180</f>
        <v>0</v>
      </c>
      <c r="AK180">
        <f t="shared" si="310"/>
        <v>0</v>
      </c>
      <c r="AL180">
        <f t="shared" si="310"/>
        <v>0</v>
      </c>
      <c r="AM180">
        <f t="shared" si="310"/>
        <v>0</v>
      </c>
      <c r="AN180">
        <f t="shared" si="310"/>
        <v>0</v>
      </c>
      <c r="AO180">
        <f t="shared" si="310"/>
        <v>0</v>
      </c>
      <c r="AP180">
        <f t="shared" si="310"/>
        <v>0</v>
      </c>
      <c r="AQ180">
        <f t="shared" si="310"/>
        <v>0</v>
      </c>
      <c r="AR180">
        <f t="shared" si="310"/>
        <v>0</v>
      </c>
      <c r="AS180">
        <f t="shared" si="310"/>
        <v>0</v>
      </c>
      <c r="AT180">
        <f t="shared" si="310"/>
        <v>0</v>
      </c>
      <c r="AU180">
        <f t="shared" si="310"/>
        <v>0</v>
      </c>
      <c r="AV180">
        <f t="shared" si="310"/>
        <v>0</v>
      </c>
      <c r="AW180">
        <f t="shared" si="310"/>
        <v>0</v>
      </c>
      <c r="AX180">
        <f t="shared" si="310"/>
        <v>0</v>
      </c>
      <c r="AY180">
        <f t="shared" si="310"/>
        <v>0</v>
      </c>
      <c r="AZ180">
        <f t="shared" si="310"/>
        <v>0</v>
      </c>
      <c r="BA180">
        <f t="shared" si="310"/>
        <v>0</v>
      </c>
      <c r="BB180">
        <f t="shared" si="310"/>
        <v>0</v>
      </c>
      <c r="BC180">
        <f t="shared" si="310"/>
        <v>0</v>
      </c>
      <c r="BD180">
        <f t="shared" si="310"/>
        <v>0</v>
      </c>
      <c r="BE180">
        <f t="shared" si="310"/>
        <v>0</v>
      </c>
      <c r="BF180">
        <f t="shared" si="310"/>
        <v>0</v>
      </c>
      <c r="BG180">
        <f t="shared" si="310"/>
        <v>0</v>
      </c>
      <c r="BH180">
        <f t="shared" si="310"/>
        <v>0</v>
      </c>
      <c r="BI180">
        <f t="shared" si="310"/>
        <v>0</v>
      </c>
      <c r="BJ180">
        <f t="shared" si="310"/>
        <v>0</v>
      </c>
      <c r="BK180">
        <f t="shared" si="310"/>
        <v>0</v>
      </c>
      <c r="BL180">
        <f t="shared" si="310"/>
        <v>0</v>
      </c>
      <c r="BM180">
        <f t="shared" si="310"/>
        <v>0</v>
      </c>
      <c r="BN180">
        <f t="shared" si="310"/>
        <v>0</v>
      </c>
      <c r="BO180">
        <f t="shared" si="310"/>
        <v>0</v>
      </c>
      <c r="BP180">
        <f t="shared" ref="BP180:CC180" si="311">BP177/$B180</f>
        <v>0</v>
      </c>
      <c r="BQ180">
        <f t="shared" si="311"/>
        <v>0</v>
      </c>
      <c r="BR180">
        <f t="shared" si="311"/>
        <v>0</v>
      </c>
      <c r="BS180">
        <f t="shared" si="311"/>
        <v>0</v>
      </c>
      <c r="BT180">
        <f t="shared" si="311"/>
        <v>0</v>
      </c>
      <c r="BU180">
        <f t="shared" si="311"/>
        <v>0</v>
      </c>
      <c r="BV180">
        <f t="shared" si="311"/>
        <v>0</v>
      </c>
      <c r="BW180">
        <f t="shared" si="311"/>
        <v>0</v>
      </c>
      <c r="BX180">
        <f t="shared" si="311"/>
        <v>0</v>
      </c>
      <c r="BY180">
        <f t="shared" si="311"/>
        <v>0</v>
      </c>
      <c r="BZ180">
        <f t="shared" si="311"/>
        <v>0</v>
      </c>
      <c r="CA180">
        <f t="shared" si="311"/>
        <v>0</v>
      </c>
      <c r="CB180">
        <f t="shared" si="311"/>
        <v>0</v>
      </c>
      <c r="CC180">
        <f t="shared" si="311"/>
        <v>0</v>
      </c>
    </row>
    <row r="181" spans="1:81" x14ac:dyDescent="0.2">
      <c r="A181" s="10"/>
      <c r="B181" s="67">
        <f>SUM(D185:AJ185)/SUM($D$263:$AJ$263)</f>
        <v>6.2503051906831388E-3</v>
      </c>
      <c r="C181" s="9" t="s">
        <v>216</v>
      </c>
      <c r="D181">
        <f t="shared" ref="D181:AI181" si="312">D175-D178</f>
        <v>220</v>
      </c>
      <c r="E181">
        <f t="shared" si="312"/>
        <v>160</v>
      </c>
      <c r="F181">
        <f t="shared" si="312"/>
        <v>100</v>
      </c>
      <c r="G181">
        <f t="shared" si="312"/>
        <v>100</v>
      </c>
      <c r="H181">
        <f t="shared" si="312"/>
        <v>45</v>
      </c>
      <c r="I181">
        <f t="shared" si="312"/>
        <v>225</v>
      </c>
      <c r="J181">
        <f t="shared" si="312"/>
        <v>225</v>
      </c>
      <c r="K181">
        <f t="shared" si="312"/>
        <v>225</v>
      </c>
      <c r="L181">
        <f t="shared" si="312"/>
        <v>225</v>
      </c>
      <c r="M181">
        <f t="shared" si="312"/>
        <v>225</v>
      </c>
      <c r="N181">
        <f t="shared" si="312"/>
        <v>225</v>
      </c>
      <c r="O181">
        <f t="shared" si="312"/>
        <v>225</v>
      </c>
      <c r="P181">
        <f t="shared" si="312"/>
        <v>225</v>
      </c>
      <c r="Q181">
        <f t="shared" si="312"/>
        <v>225</v>
      </c>
      <c r="R181">
        <f t="shared" si="312"/>
        <v>225</v>
      </c>
      <c r="S181">
        <f t="shared" si="312"/>
        <v>225</v>
      </c>
      <c r="T181">
        <f t="shared" si="312"/>
        <v>225</v>
      </c>
      <c r="U181">
        <f t="shared" si="312"/>
        <v>225</v>
      </c>
      <c r="V181">
        <f t="shared" si="312"/>
        <v>225</v>
      </c>
      <c r="W181">
        <f t="shared" si="312"/>
        <v>225</v>
      </c>
      <c r="X181">
        <f t="shared" si="312"/>
        <v>225</v>
      </c>
      <c r="Y181">
        <f t="shared" si="312"/>
        <v>225</v>
      </c>
      <c r="Z181">
        <f t="shared" si="312"/>
        <v>225</v>
      </c>
      <c r="AA181">
        <f t="shared" si="312"/>
        <v>225</v>
      </c>
      <c r="AB181">
        <f t="shared" si="312"/>
        <v>225</v>
      </c>
      <c r="AC181">
        <f t="shared" si="312"/>
        <v>225</v>
      </c>
      <c r="AD181">
        <f t="shared" si="312"/>
        <v>225</v>
      </c>
      <c r="AE181">
        <f t="shared" si="312"/>
        <v>225</v>
      </c>
      <c r="AF181">
        <f t="shared" si="312"/>
        <v>225</v>
      </c>
      <c r="AG181">
        <f t="shared" si="312"/>
        <v>225</v>
      </c>
      <c r="AH181">
        <f t="shared" si="312"/>
        <v>225</v>
      </c>
      <c r="AI181">
        <f t="shared" si="312"/>
        <v>225</v>
      </c>
      <c r="AJ181">
        <f t="shared" ref="AJ181:BO181" si="313">AJ175-AJ178</f>
        <v>225</v>
      </c>
      <c r="AK181">
        <f t="shared" si="313"/>
        <v>225</v>
      </c>
      <c r="AL181">
        <f t="shared" si="313"/>
        <v>225</v>
      </c>
      <c r="AM181">
        <f t="shared" si="313"/>
        <v>225</v>
      </c>
      <c r="AN181">
        <f t="shared" si="313"/>
        <v>220</v>
      </c>
      <c r="AO181">
        <f t="shared" si="313"/>
        <v>215</v>
      </c>
      <c r="AP181">
        <f t="shared" si="313"/>
        <v>210</v>
      </c>
      <c r="AQ181">
        <f t="shared" si="313"/>
        <v>204</v>
      </c>
      <c r="AR181">
        <f t="shared" si="313"/>
        <v>198</v>
      </c>
      <c r="AS181">
        <f t="shared" si="313"/>
        <v>193</v>
      </c>
      <c r="AT181">
        <f t="shared" si="313"/>
        <v>187</v>
      </c>
      <c r="AU181">
        <f t="shared" si="313"/>
        <v>181</v>
      </c>
      <c r="AV181">
        <f t="shared" si="313"/>
        <v>175</v>
      </c>
      <c r="AW181">
        <f t="shared" si="313"/>
        <v>169</v>
      </c>
      <c r="AX181">
        <f t="shared" si="313"/>
        <v>163</v>
      </c>
      <c r="AY181">
        <f t="shared" si="313"/>
        <v>158</v>
      </c>
      <c r="AZ181">
        <f t="shared" si="313"/>
        <v>154</v>
      </c>
      <c r="BA181">
        <f t="shared" si="313"/>
        <v>150</v>
      </c>
      <c r="BB181">
        <f t="shared" si="313"/>
        <v>146</v>
      </c>
      <c r="BC181">
        <f t="shared" si="313"/>
        <v>141</v>
      </c>
      <c r="BD181">
        <f t="shared" si="313"/>
        <v>136</v>
      </c>
      <c r="BE181">
        <f t="shared" si="313"/>
        <v>131</v>
      </c>
      <c r="BF181">
        <f t="shared" si="313"/>
        <v>126</v>
      </c>
      <c r="BG181">
        <f t="shared" si="313"/>
        <v>121</v>
      </c>
      <c r="BH181">
        <f t="shared" si="313"/>
        <v>116</v>
      </c>
      <c r="BI181">
        <f t="shared" si="313"/>
        <v>111</v>
      </c>
      <c r="BJ181">
        <f t="shared" si="313"/>
        <v>106</v>
      </c>
      <c r="BK181">
        <f t="shared" si="313"/>
        <v>101</v>
      </c>
      <c r="BL181">
        <f t="shared" si="313"/>
        <v>96</v>
      </c>
      <c r="BM181">
        <f t="shared" si="313"/>
        <v>91</v>
      </c>
      <c r="BN181">
        <f t="shared" si="313"/>
        <v>83</v>
      </c>
      <c r="BO181">
        <f t="shared" si="313"/>
        <v>83</v>
      </c>
      <c r="BP181">
        <f t="shared" ref="BP181:CC181" si="314">BP175-BP178</f>
        <v>83</v>
      </c>
      <c r="BQ181">
        <f t="shared" si="314"/>
        <v>83</v>
      </c>
      <c r="BR181">
        <f t="shared" si="314"/>
        <v>83</v>
      </c>
      <c r="BS181">
        <f t="shared" si="314"/>
        <v>79</v>
      </c>
      <c r="BT181">
        <f t="shared" si="314"/>
        <v>75</v>
      </c>
      <c r="BU181">
        <f t="shared" si="314"/>
        <v>71</v>
      </c>
      <c r="BV181">
        <f t="shared" si="314"/>
        <v>67</v>
      </c>
      <c r="BW181">
        <f t="shared" si="314"/>
        <v>63</v>
      </c>
      <c r="BX181">
        <f t="shared" si="314"/>
        <v>59</v>
      </c>
      <c r="BY181">
        <f t="shared" si="314"/>
        <v>55</v>
      </c>
      <c r="BZ181">
        <f t="shared" si="314"/>
        <v>51</v>
      </c>
      <c r="CA181">
        <f t="shared" si="314"/>
        <v>47</v>
      </c>
      <c r="CB181">
        <f t="shared" si="314"/>
        <v>43</v>
      </c>
      <c r="CC181">
        <f t="shared" si="314"/>
        <v>39</v>
      </c>
    </row>
    <row r="182" spans="1:81" x14ac:dyDescent="0.2">
      <c r="A182" s="43" t="s">
        <v>240</v>
      </c>
      <c r="B182" s="44" t="s">
        <v>208</v>
      </c>
      <c r="C182" s="9" t="s">
        <v>38</v>
      </c>
      <c r="D182" s="58">
        <f>IFERROR(VLOOKUP(A182,OS!$A:$B,2,0),0)</f>
        <v>660</v>
      </c>
      <c r="E182" s="5">
        <f>(D182+D183-D185)</f>
        <v>720</v>
      </c>
      <c r="F182" s="5">
        <f>(E182+E183-E185)</f>
        <v>640</v>
      </c>
      <c r="G182" s="5">
        <f>(F182+F183-F185)</f>
        <v>640</v>
      </c>
      <c r="H182" s="5">
        <f>(G182+G183-G185)</f>
        <v>640</v>
      </c>
      <c r="I182" s="5">
        <f t="shared" ref="I182:AN182" si="315">(H182+H183-H185+D184)</f>
        <v>560</v>
      </c>
      <c r="J182" s="5">
        <f t="shared" si="315"/>
        <v>560</v>
      </c>
      <c r="K182" s="5">
        <f t="shared" si="315"/>
        <v>560</v>
      </c>
      <c r="L182" s="5">
        <f t="shared" si="315"/>
        <v>560</v>
      </c>
      <c r="M182" s="5">
        <f t="shared" si="315"/>
        <v>480</v>
      </c>
      <c r="N182" s="5">
        <f t="shared" si="315"/>
        <v>480</v>
      </c>
      <c r="O182" s="5">
        <f t="shared" si="315"/>
        <v>480</v>
      </c>
      <c r="P182" s="5">
        <f t="shared" si="315"/>
        <v>480</v>
      </c>
      <c r="Q182" s="5">
        <f t="shared" si="315"/>
        <v>480</v>
      </c>
      <c r="R182" s="5">
        <f t="shared" si="315"/>
        <v>480</v>
      </c>
      <c r="S182" s="5">
        <f t="shared" si="315"/>
        <v>480</v>
      </c>
      <c r="T182" s="5">
        <f t="shared" si="315"/>
        <v>400</v>
      </c>
      <c r="U182" s="5">
        <f t="shared" si="315"/>
        <v>400</v>
      </c>
      <c r="V182" s="5">
        <f t="shared" si="315"/>
        <v>380</v>
      </c>
      <c r="W182" s="5">
        <f t="shared" si="315"/>
        <v>360</v>
      </c>
      <c r="X182" s="5">
        <f t="shared" si="315"/>
        <v>340</v>
      </c>
      <c r="Y182" s="5">
        <f t="shared" si="315"/>
        <v>320</v>
      </c>
      <c r="Z182" s="5">
        <f t="shared" si="315"/>
        <v>320</v>
      </c>
      <c r="AA182" s="5">
        <f t="shared" si="315"/>
        <v>320</v>
      </c>
      <c r="AB182" s="5">
        <f t="shared" si="315"/>
        <v>320</v>
      </c>
      <c r="AC182" s="5">
        <f t="shared" si="315"/>
        <v>320</v>
      </c>
      <c r="AD182" s="5">
        <f t="shared" si="315"/>
        <v>280</v>
      </c>
      <c r="AE182" s="5">
        <f t="shared" si="315"/>
        <v>240</v>
      </c>
      <c r="AF182" s="5">
        <f t="shared" si="315"/>
        <v>200</v>
      </c>
      <c r="AG182" s="5">
        <f t="shared" si="315"/>
        <v>160</v>
      </c>
      <c r="AH182" s="5">
        <f t="shared" si="315"/>
        <v>160</v>
      </c>
      <c r="AI182" s="5">
        <f t="shared" si="315"/>
        <v>120</v>
      </c>
      <c r="AJ182" s="5">
        <f t="shared" si="315"/>
        <v>80</v>
      </c>
      <c r="AK182" s="5">
        <f t="shared" si="315"/>
        <v>80</v>
      </c>
      <c r="AL182" s="5">
        <f t="shared" si="315"/>
        <v>80</v>
      </c>
      <c r="AM182" s="5">
        <f t="shared" si="315"/>
        <v>80</v>
      </c>
      <c r="AN182" s="5">
        <f t="shared" si="315"/>
        <v>80</v>
      </c>
      <c r="AO182" s="5">
        <f t="shared" ref="AO182:BT182" si="316">(AN182+AN183-AN185+AJ184)</f>
        <v>63</v>
      </c>
      <c r="AP182" s="5">
        <f t="shared" si="316"/>
        <v>46</v>
      </c>
      <c r="AQ182" s="5">
        <f t="shared" si="316"/>
        <v>29</v>
      </c>
      <c r="AR182" s="5">
        <f t="shared" si="316"/>
        <v>8</v>
      </c>
      <c r="AS182" s="5">
        <f t="shared" si="316"/>
        <v>-13</v>
      </c>
      <c r="AT182" s="5">
        <f t="shared" si="316"/>
        <v>-30</v>
      </c>
      <c r="AU182" s="5">
        <f t="shared" si="316"/>
        <v>-51</v>
      </c>
      <c r="AV182" s="5">
        <f t="shared" si="316"/>
        <v>-71</v>
      </c>
      <c r="AW182" s="5">
        <f t="shared" si="316"/>
        <v>-91</v>
      </c>
      <c r="AX182" s="5">
        <f t="shared" si="316"/>
        <v>-111</v>
      </c>
      <c r="AY182" s="5">
        <f t="shared" si="316"/>
        <v>-131</v>
      </c>
      <c r="AZ182" s="5">
        <f t="shared" si="316"/>
        <v>-147</v>
      </c>
      <c r="BA182" s="5">
        <f t="shared" si="316"/>
        <v>-161</v>
      </c>
      <c r="BB182" s="5">
        <f t="shared" si="316"/>
        <v>-175</v>
      </c>
      <c r="BC182" s="5">
        <f t="shared" si="316"/>
        <v>-189</v>
      </c>
      <c r="BD182" s="5">
        <f t="shared" si="316"/>
        <v>-205</v>
      </c>
      <c r="BE182" s="5">
        <f t="shared" si="316"/>
        <v>-221</v>
      </c>
      <c r="BF182" s="5">
        <f t="shared" si="316"/>
        <v>-237</v>
      </c>
      <c r="BG182" s="5">
        <f t="shared" si="316"/>
        <v>-253</v>
      </c>
      <c r="BH182" s="5">
        <f t="shared" si="316"/>
        <v>-269</v>
      </c>
      <c r="BI182" s="5">
        <f t="shared" si="316"/>
        <v>-285</v>
      </c>
      <c r="BJ182" s="5">
        <f t="shared" si="316"/>
        <v>-301</v>
      </c>
      <c r="BK182" s="5">
        <f t="shared" si="316"/>
        <v>-317</v>
      </c>
      <c r="BL182" s="5">
        <f t="shared" si="316"/>
        <v>-333</v>
      </c>
      <c r="BM182" s="5">
        <f t="shared" si="316"/>
        <v>-349</v>
      </c>
      <c r="BN182" s="5">
        <f t="shared" si="316"/>
        <v>-365</v>
      </c>
      <c r="BO182" s="5">
        <f t="shared" si="316"/>
        <v>-394</v>
      </c>
      <c r="BP182" s="5">
        <f t="shared" si="316"/>
        <v>-394</v>
      </c>
      <c r="BQ182" s="5">
        <f t="shared" si="316"/>
        <v>-394</v>
      </c>
      <c r="BR182" s="5">
        <f t="shared" si="316"/>
        <v>-394</v>
      </c>
      <c r="BS182" s="5">
        <f t="shared" si="316"/>
        <v>-394</v>
      </c>
      <c r="BT182" s="5">
        <f t="shared" si="316"/>
        <v>-407</v>
      </c>
      <c r="BU182" s="5">
        <f t="shared" ref="BU182:CZ182" si="317">(BT182+BT183-BT185+BP184)</f>
        <v>-420</v>
      </c>
      <c r="BV182" s="5">
        <f t="shared" si="317"/>
        <v>-433</v>
      </c>
      <c r="BW182" s="5">
        <f t="shared" si="317"/>
        <v>-446</v>
      </c>
      <c r="BX182" s="5">
        <f t="shared" si="317"/>
        <v>-459</v>
      </c>
      <c r="BY182" s="5">
        <f t="shared" si="317"/>
        <v>-472</v>
      </c>
      <c r="BZ182" s="5">
        <f t="shared" si="317"/>
        <v>-485</v>
      </c>
      <c r="CA182" s="5">
        <f t="shared" si="317"/>
        <v>-498</v>
      </c>
      <c r="CB182" s="5">
        <f t="shared" si="317"/>
        <v>-511</v>
      </c>
      <c r="CC182" s="5">
        <f t="shared" si="317"/>
        <v>-524</v>
      </c>
    </row>
    <row r="183" spans="1:81" x14ac:dyDescent="0.2">
      <c r="A183" s="5" t="s">
        <v>209</v>
      </c>
      <c r="B183" s="5">
        <v>11.697889999999999</v>
      </c>
      <c r="C183" s="45" t="s">
        <v>39</v>
      </c>
      <c r="D183" s="59">
        <f>IFERROR(VLOOKUP(A182,WIP!$A:$B,2,0),0)</f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</row>
    <row r="184" spans="1:81" x14ac:dyDescent="0.2">
      <c r="A184" s="5" t="s">
        <v>210</v>
      </c>
      <c r="B184" s="5">
        <v>0.30099999999999999</v>
      </c>
      <c r="C184" s="9" t="s">
        <v>211</v>
      </c>
      <c r="D184" s="60">
        <f>IFERROR(VLOOKUP($A182,Plan!$A:B,D$4,0),0)</f>
        <v>0</v>
      </c>
      <c r="E184" s="70">
        <f>IFERROR(VLOOKUP($A182,Plan!$A:C,E$4,0),0)</f>
        <v>0</v>
      </c>
      <c r="F184" s="70">
        <f>IFERROR(VLOOKUP($A182,Plan!$A:D,F$4,0),0)</f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</row>
    <row r="185" spans="1:81" x14ac:dyDescent="0.2">
      <c r="A185" s="5" t="s">
        <v>212</v>
      </c>
      <c r="B185" s="5">
        <v>7.1999999999999995E-2</v>
      </c>
      <c r="C185" s="9" t="s">
        <v>213</v>
      </c>
      <c r="D185" s="61">
        <f>IFERROR(VLOOKUP($A182,Sales!$A:B,D$2,0),0)</f>
        <v>0</v>
      </c>
      <c r="E185" s="61">
        <f>IFERROR(VLOOKUP($A182,Sales!$A:C,E$2,0),0)</f>
        <v>80</v>
      </c>
      <c r="F185" s="61">
        <f>IFERROR(VLOOKUP($A182,Sales!$A:D,F$2,0),0)</f>
        <v>0</v>
      </c>
      <c r="G185" s="61">
        <f>IFERROR(VLOOKUP($A182,Sales!$A:E,G$2,0),0)</f>
        <v>0</v>
      </c>
      <c r="H185" s="61">
        <f>IFERROR(VLOOKUP($A182,Sales!$A:F,H$2,0),0)</f>
        <v>80</v>
      </c>
      <c r="I185" s="61">
        <f>IFERROR(VLOOKUP($A182,Sales!$A:G,I$2,0),0)</f>
        <v>0</v>
      </c>
      <c r="J185" s="61">
        <f>IFERROR(VLOOKUP($A182,Sales!$A:H,J$2,0),0)</f>
        <v>0</v>
      </c>
      <c r="K185" s="61">
        <f>IFERROR(VLOOKUP($A182,Sales!$A:I,K$2,0),0)</f>
        <v>0</v>
      </c>
      <c r="L185" s="61">
        <f>IFERROR(VLOOKUP($A182,Sales!$A:J,L$2,0),0)</f>
        <v>80</v>
      </c>
      <c r="M185" s="61">
        <f>IFERROR(VLOOKUP($A182,Sales!$A:K,M$2,0),0)</f>
        <v>0</v>
      </c>
      <c r="N185" s="61">
        <f>IFERROR(VLOOKUP($A182,Sales!$A:L,N$2,0),0)</f>
        <v>0</v>
      </c>
      <c r="O185" s="61">
        <f>IFERROR(VLOOKUP($A182,Sales!$A:M,O$2,0),0)</f>
        <v>0</v>
      </c>
      <c r="P185" s="61">
        <f>IFERROR(VLOOKUP($A182,Sales!$A:N,P$2,0),0)</f>
        <v>0</v>
      </c>
      <c r="Q185" s="61">
        <f>IFERROR(VLOOKUP($A182,Sales!$A:O,Q$2,0),0)</f>
        <v>0</v>
      </c>
      <c r="R185" s="61">
        <f>IFERROR(VLOOKUP($A182,Sales!$A:P,R$2,0),0)</f>
        <v>0</v>
      </c>
      <c r="S185" s="61">
        <f>IFERROR(VLOOKUP($A182,Sales!$A:Q,S$2,0),0)</f>
        <v>80</v>
      </c>
      <c r="T185" s="61">
        <f>IFERROR(VLOOKUP($A182,Sales!$A:R,T$2,0),0)</f>
        <v>0</v>
      </c>
      <c r="U185" s="61">
        <f>IFERROR(VLOOKUP($A182,Sales!$A:S,U$2,0),0)</f>
        <v>20</v>
      </c>
      <c r="V185" s="61">
        <f>IFERROR(VLOOKUP($A182,Sales!$A:T,V$2,0),0)</f>
        <v>20</v>
      </c>
      <c r="W185" s="61">
        <f>IFERROR(VLOOKUP($A182,Sales!$A:U,W$2,0),0)</f>
        <v>20</v>
      </c>
      <c r="X185" s="61">
        <f>IFERROR(VLOOKUP($A182,Sales!$A:V,X$2,0),0)</f>
        <v>20</v>
      </c>
      <c r="Y185" s="61">
        <f>IFERROR(VLOOKUP($A182,Sales!$A:W,Y$2,0),0)</f>
        <v>0</v>
      </c>
      <c r="Z185" s="61">
        <f>IFERROR(VLOOKUP($A182,Sales!$A:X,Z$2,0),0)</f>
        <v>0</v>
      </c>
      <c r="AA185" s="61">
        <f>IFERROR(VLOOKUP($A182,Sales!$A:Y,AA$2,0),0)</f>
        <v>0</v>
      </c>
      <c r="AB185" s="61">
        <f>IFERROR(VLOOKUP($A182,Sales!$A:Z,AB$2,0),0)</f>
        <v>0</v>
      </c>
      <c r="AC185" s="61">
        <f>IFERROR(VLOOKUP($A182,Sales!$A:AA,AC$2,0),0)</f>
        <v>40</v>
      </c>
      <c r="AD185" s="61">
        <f>IFERROR(VLOOKUP($A182,Sales!$A:AB,AD$2,0),0)</f>
        <v>40</v>
      </c>
      <c r="AE185" s="61">
        <f>IFERROR(VLOOKUP($A182,Sales!$A:AC,AE$2,0),0)</f>
        <v>40</v>
      </c>
      <c r="AF185" s="61">
        <f>IFERROR(VLOOKUP($A182,Sales!$A:AD,AF$2,0),0)</f>
        <v>40</v>
      </c>
      <c r="AG185" s="61">
        <f>IFERROR(VLOOKUP($A182,Sales!$A:AE,AG$2,0),0)</f>
        <v>0</v>
      </c>
      <c r="AH185" s="61">
        <f>IFERROR(VLOOKUP($A182,Sales!$A:AF,AH$2,0),0)</f>
        <v>40</v>
      </c>
      <c r="AI185" s="61">
        <f>IFERROR(VLOOKUP($A182,Sales!$A:AG,AI$2,0),0)</f>
        <v>40</v>
      </c>
      <c r="AJ185" s="61">
        <f>IFERROR(VLOOKUP($A182,Sales!$A:AH,AJ$2,0),0)</f>
        <v>0</v>
      </c>
      <c r="AK185" s="73">
        <f t="shared" ref="AK185:CC185" si="318">CEILING(AK$5*$B181,1)</f>
        <v>0</v>
      </c>
      <c r="AL185" s="73">
        <f t="shared" si="318"/>
        <v>0</v>
      </c>
      <c r="AM185" s="73">
        <f t="shared" si="318"/>
        <v>0</v>
      </c>
      <c r="AN185" s="73">
        <f t="shared" si="318"/>
        <v>17</v>
      </c>
      <c r="AO185" s="73">
        <f t="shared" si="318"/>
        <v>17</v>
      </c>
      <c r="AP185" s="73">
        <f t="shared" si="318"/>
        <v>17</v>
      </c>
      <c r="AQ185" s="73">
        <f t="shared" si="318"/>
        <v>21</v>
      </c>
      <c r="AR185" s="73">
        <f t="shared" si="318"/>
        <v>21</v>
      </c>
      <c r="AS185" s="73">
        <f t="shared" si="318"/>
        <v>17</v>
      </c>
      <c r="AT185" s="73">
        <f t="shared" si="318"/>
        <v>21</v>
      </c>
      <c r="AU185" s="73">
        <f t="shared" si="318"/>
        <v>20</v>
      </c>
      <c r="AV185" s="73">
        <f t="shared" si="318"/>
        <v>20</v>
      </c>
      <c r="AW185" s="73">
        <f t="shared" si="318"/>
        <v>20</v>
      </c>
      <c r="AX185" s="73">
        <f t="shared" si="318"/>
        <v>20</v>
      </c>
      <c r="AY185" s="73">
        <f t="shared" si="318"/>
        <v>16</v>
      </c>
      <c r="AZ185" s="73">
        <f t="shared" si="318"/>
        <v>14</v>
      </c>
      <c r="BA185" s="73">
        <f t="shared" si="318"/>
        <v>14</v>
      </c>
      <c r="BB185" s="73">
        <f t="shared" si="318"/>
        <v>14</v>
      </c>
      <c r="BC185" s="73">
        <f t="shared" si="318"/>
        <v>16</v>
      </c>
      <c r="BD185" s="73">
        <f t="shared" si="318"/>
        <v>16</v>
      </c>
      <c r="BE185" s="73">
        <f t="shared" si="318"/>
        <v>16</v>
      </c>
      <c r="BF185" s="73">
        <f t="shared" si="318"/>
        <v>16</v>
      </c>
      <c r="BG185" s="73">
        <f t="shared" si="318"/>
        <v>16</v>
      </c>
      <c r="BH185" s="73">
        <f t="shared" si="318"/>
        <v>16</v>
      </c>
      <c r="BI185" s="73">
        <f t="shared" si="318"/>
        <v>16</v>
      </c>
      <c r="BJ185" s="73">
        <f t="shared" si="318"/>
        <v>16</v>
      </c>
      <c r="BK185" s="73">
        <f t="shared" si="318"/>
        <v>16</v>
      </c>
      <c r="BL185" s="73">
        <f t="shared" si="318"/>
        <v>16</v>
      </c>
      <c r="BM185" s="73">
        <f t="shared" si="318"/>
        <v>16</v>
      </c>
      <c r="BN185" s="73">
        <f t="shared" si="318"/>
        <v>29</v>
      </c>
      <c r="BO185" s="73">
        <f t="shared" si="318"/>
        <v>0</v>
      </c>
      <c r="BP185" s="73">
        <f t="shared" si="318"/>
        <v>0</v>
      </c>
      <c r="BQ185" s="73">
        <f t="shared" si="318"/>
        <v>0</v>
      </c>
      <c r="BR185" s="73">
        <f t="shared" si="318"/>
        <v>0</v>
      </c>
      <c r="BS185" s="73">
        <f t="shared" si="318"/>
        <v>13</v>
      </c>
      <c r="BT185" s="73">
        <f t="shared" si="318"/>
        <v>13</v>
      </c>
      <c r="BU185" s="73">
        <f t="shared" si="318"/>
        <v>13</v>
      </c>
      <c r="BV185" s="73">
        <f t="shared" si="318"/>
        <v>13</v>
      </c>
      <c r="BW185" s="73">
        <f t="shared" si="318"/>
        <v>13</v>
      </c>
      <c r="BX185" s="73">
        <f t="shared" si="318"/>
        <v>13</v>
      </c>
      <c r="BY185" s="73">
        <f t="shared" si="318"/>
        <v>13</v>
      </c>
      <c r="BZ185" s="73">
        <f t="shared" si="318"/>
        <v>13</v>
      </c>
      <c r="CA185" s="73">
        <f t="shared" si="318"/>
        <v>13</v>
      </c>
      <c r="CB185" s="73">
        <f t="shared" si="318"/>
        <v>13</v>
      </c>
      <c r="CC185" s="73">
        <f t="shared" si="318"/>
        <v>13</v>
      </c>
    </row>
    <row r="186" spans="1:81" x14ac:dyDescent="0.2">
      <c r="A186" s="5" t="s">
        <v>214</v>
      </c>
      <c r="B186" s="5">
        <v>0.373</v>
      </c>
      <c r="C186" s="46" t="s">
        <v>215</v>
      </c>
      <c r="D186" s="11">
        <f t="shared" ref="D186:AI186" si="319">IF(D185=0,0, ROUND(D182 * 1/D185* D$13,1))</f>
        <v>0</v>
      </c>
      <c r="E186" s="11">
        <f t="shared" si="319"/>
        <v>45</v>
      </c>
      <c r="F186" s="11">
        <f t="shared" si="319"/>
        <v>0</v>
      </c>
      <c r="G186" s="11">
        <f t="shared" si="319"/>
        <v>0</v>
      </c>
      <c r="H186" s="11">
        <f t="shared" si="319"/>
        <v>40</v>
      </c>
      <c r="I186" s="11">
        <f t="shared" si="319"/>
        <v>0</v>
      </c>
      <c r="J186" s="11">
        <f t="shared" si="319"/>
        <v>0</v>
      </c>
      <c r="K186" s="11">
        <f t="shared" si="319"/>
        <v>0</v>
      </c>
      <c r="L186" s="11">
        <f t="shared" si="319"/>
        <v>35</v>
      </c>
      <c r="M186" s="11">
        <f t="shared" si="319"/>
        <v>0</v>
      </c>
      <c r="N186" s="11">
        <f t="shared" si="319"/>
        <v>0</v>
      </c>
      <c r="O186" s="11">
        <f t="shared" si="319"/>
        <v>0</v>
      </c>
      <c r="P186" s="11">
        <f t="shared" si="319"/>
        <v>0</v>
      </c>
      <c r="Q186" s="11">
        <f t="shared" si="319"/>
        <v>0</v>
      </c>
      <c r="R186" s="11">
        <f t="shared" si="319"/>
        <v>0</v>
      </c>
      <c r="S186" s="11">
        <f t="shared" si="319"/>
        <v>30</v>
      </c>
      <c r="T186" s="11">
        <f t="shared" si="319"/>
        <v>0</v>
      </c>
      <c r="U186" s="11">
        <f t="shared" si="319"/>
        <v>100</v>
      </c>
      <c r="V186" s="11">
        <f t="shared" si="319"/>
        <v>95</v>
      </c>
      <c r="W186" s="11">
        <f t="shared" si="319"/>
        <v>90</v>
      </c>
      <c r="X186" s="11">
        <f t="shared" si="319"/>
        <v>85</v>
      </c>
      <c r="Y186" s="11">
        <f t="shared" si="319"/>
        <v>0</v>
      </c>
      <c r="Z186" s="11">
        <f t="shared" si="319"/>
        <v>0</v>
      </c>
      <c r="AA186" s="11">
        <f t="shared" si="319"/>
        <v>0</v>
      </c>
      <c r="AB186" s="11">
        <f t="shared" si="319"/>
        <v>0</v>
      </c>
      <c r="AC186" s="11">
        <f t="shared" si="319"/>
        <v>40</v>
      </c>
      <c r="AD186" s="11">
        <f t="shared" si="319"/>
        <v>35</v>
      </c>
      <c r="AE186" s="11">
        <f t="shared" si="319"/>
        <v>30</v>
      </c>
      <c r="AF186" s="11">
        <f t="shared" si="319"/>
        <v>25</v>
      </c>
      <c r="AG186" s="11">
        <f t="shared" si="319"/>
        <v>0</v>
      </c>
      <c r="AH186" s="11">
        <f t="shared" si="319"/>
        <v>20</v>
      </c>
      <c r="AI186" s="11">
        <f t="shared" si="319"/>
        <v>15</v>
      </c>
      <c r="AJ186" s="11">
        <f t="shared" ref="AJ186:BO186" si="320">IF(AJ185=0,0, ROUND(AJ182 * 1/AJ185* AJ$13,1))</f>
        <v>0</v>
      </c>
      <c r="AK186" s="11">
        <f t="shared" si="320"/>
        <v>0</v>
      </c>
      <c r="AL186" s="11">
        <f t="shared" si="320"/>
        <v>0</v>
      </c>
      <c r="AM186" s="11">
        <f t="shared" si="320"/>
        <v>0</v>
      </c>
      <c r="AN186" s="11">
        <f t="shared" si="320"/>
        <v>23.5</v>
      </c>
      <c r="AO186" s="11">
        <f t="shared" si="320"/>
        <v>18.5</v>
      </c>
      <c r="AP186" s="11">
        <f t="shared" si="320"/>
        <v>13.5</v>
      </c>
      <c r="AQ186" s="11">
        <f t="shared" si="320"/>
        <v>6.9</v>
      </c>
      <c r="AR186" s="11">
        <f t="shared" si="320"/>
        <v>1.9</v>
      </c>
      <c r="AS186" s="11">
        <f t="shared" si="320"/>
        <v>-3.8</v>
      </c>
      <c r="AT186" s="11">
        <f t="shared" si="320"/>
        <v>-7.1</v>
      </c>
      <c r="AU186" s="11">
        <f t="shared" si="320"/>
        <v>-12.8</v>
      </c>
      <c r="AV186" s="11">
        <f t="shared" si="320"/>
        <v>-17.8</v>
      </c>
      <c r="AW186" s="11">
        <f t="shared" si="320"/>
        <v>-22.8</v>
      </c>
      <c r="AX186" s="11">
        <f t="shared" si="320"/>
        <v>-27.8</v>
      </c>
      <c r="AY186" s="11">
        <f t="shared" si="320"/>
        <v>-40.9</v>
      </c>
      <c r="AZ186" s="11">
        <f t="shared" si="320"/>
        <v>-52.5</v>
      </c>
      <c r="BA186" s="11">
        <f t="shared" si="320"/>
        <v>-57.5</v>
      </c>
      <c r="BB186" s="11">
        <f t="shared" si="320"/>
        <v>-62.5</v>
      </c>
      <c r="BC186" s="11">
        <f t="shared" si="320"/>
        <v>-59.1</v>
      </c>
      <c r="BD186" s="11">
        <f t="shared" si="320"/>
        <v>-64.099999999999994</v>
      </c>
      <c r="BE186" s="11">
        <f t="shared" si="320"/>
        <v>-69.099999999999994</v>
      </c>
      <c r="BF186" s="11">
        <f t="shared" si="320"/>
        <v>-74.099999999999994</v>
      </c>
      <c r="BG186" s="11">
        <f t="shared" si="320"/>
        <v>-79.099999999999994</v>
      </c>
      <c r="BH186" s="11">
        <f t="shared" si="320"/>
        <v>-84.1</v>
      </c>
      <c r="BI186" s="11">
        <f t="shared" si="320"/>
        <v>-89.1</v>
      </c>
      <c r="BJ186" s="11">
        <f t="shared" si="320"/>
        <v>-94.1</v>
      </c>
      <c r="BK186" s="11">
        <f t="shared" si="320"/>
        <v>-99.1</v>
      </c>
      <c r="BL186" s="11">
        <f t="shared" si="320"/>
        <v>-104.1</v>
      </c>
      <c r="BM186" s="11">
        <f t="shared" si="320"/>
        <v>-109.1</v>
      </c>
      <c r="BN186" s="11">
        <f t="shared" si="320"/>
        <v>-62.9</v>
      </c>
      <c r="BO186" s="11">
        <f t="shared" si="320"/>
        <v>0</v>
      </c>
      <c r="BP186" s="11">
        <f t="shared" ref="BP186:CU186" si="321">IF(BP185=0,0, ROUND(BP182 * 1/BP185* BP$13,1))</f>
        <v>0</v>
      </c>
      <c r="BQ186" s="11">
        <f t="shared" si="321"/>
        <v>0</v>
      </c>
      <c r="BR186" s="11">
        <f t="shared" si="321"/>
        <v>0</v>
      </c>
      <c r="BS186" s="11">
        <f t="shared" si="321"/>
        <v>-151.5</v>
      </c>
      <c r="BT186" s="11">
        <f t="shared" si="321"/>
        <v>-156.5</v>
      </c>
      <c r="BU186" s="11">
        <f t="shared" si="321"/>
        <v>-161.5</v>
      </c>
      <c r="BV186" s="11">
        <f t="shared" si="321"/>
        <v>-166.5</v>
      </c>
      <c r="BW186" s="11">
        <f t="shared" si="321"/>
        <v>-171.5</v>
      </c>
      <c r="BX186" s="11">
        <f t="shared" si="321"/>
        <v>-176.5</v>
      </c>
      <c r="BY186" s="11">
        <f t="shared" si="321"/>
        <v>-181.5</v>
      </c>
      <c r="BZ186" s="11">
        <f t="shared" si="321"/>
        <v>-186.5</v>
      </c>
      <c r="CA186" s="11">
        <f t="shared" si="321"/>
        <v>-191.5</v>
      </c>
      <c r="CB186" s="11">
        <f t="shared" si="321"/>
        <v>-196.5</v>
      </c>
      <c r="CC186" s="11">
        <f t="shared" si="321"/>
        <v>-201.5</v>
      </c>
    </row>
    <row r="187" spans="1:81" x14ac:dyDescent="0.2">
      <c r="A187" s="10">
        <v>36</v>
      </c>
      <c r="B187" s="10">
        <v>1</v>
      </c>
      <c r="C187" s="68">
        <v>9.0761299999999991</v>
      </c>
      <c r="D187">
        <f t="shared" ref="D187:AI187" si="322">D184/$B187</f>
        <v>0</v>
      </c>
      <c r="E187">
        <f t="shared" si="322"/>
        <v>0</v>
      </c>
      <c r="F187">
        <f t="shared" si="322"/>
        <v>0</v>
      </c>
      <c r="G187">
        <f t="shared" si="322"/>
        <v>0</v>
      </c>
      <c r="H187">
        <f t="shared" si="322"/>
        <v>0</v>
      </c>
      <c r="I187">
        <f t="shared" si="322"/>
        <v>0</v>
      </c>
      <c r="J187">
        <f t="shared" si="322"/>
        <v>0</v>
      </c>
      <c r="K187">
        <f t="shared" si="322"/>
        <v>0</v>
      </c>
      <c r="L187">
        <f t="shared" si="322"/>
        <v>0</v>
      </c>
      <c r="M187">
        <f t="shared" si="322"/>
        <v>0</v>
      </c>
      <c r="N187">
        <f t="shared" si="322"/>
        <v>0</v>
      </c>
      <c r="O187">
        <f t="shared" si="322"/>
        <v>0</v>
      </c>
      <c r="P187">
        <f t="shared" si="322"/>
        <v>0</v>
      </c>
      <c r="Q187">
        <f t="shared" si="322"/>
        <v>0</v>
      </c>
      <c r="R187">
        <f t="shared" si="322"/>
        <v>0</v>
      </c>
      <c r="S187">
        <f t="shared" si="322"/>
        <v>0</v>
      </c>
      <c r="T187">
        <f t="shared" si="322"/>
        <v>0</v>
      </c>
      <c r="U187">
        <f t="shared" si="322"/>
        <v>0</v>
      </c>
      <c r="V187">
        <f t="shared" si="322"/>
        <v>0</v>
      </c>
      <c r="W187">
        <f t="shared" si="322"/>
        <v>0</v>
      </c>
      <c r="X187">
        <f t="shared" si="322"/>
        <v>0</v>
      </c>
      <c r="Y187">
        <f t="shared" si="322"/>
        <v>0</v>
      </c>
      <c r="Z187">
        <f t="shared" si="322"/>
        <v>0</v>
      </c>
      <c r="AA187">
        <f t="shared" si="322"/>
        <v>0</v>
      </c>
      <c r="AB187">
        <f t="shared" si="322"/>
        <v>0</v>
      </c>
      <c r="AC187">
        <f t="shared" si="322"/>
        <v>0</v>
      </c>
      <c r="AD187">
        <f t="shared" si="322"/>
        <v>0</v>
      </c>
      <c r="AE187">
        <f t="shared" si="322"/>
        <v>0</v>
      </c>
      <c r="AF187">
        <f t="shared" si="322"/>
        <v>0</v>
      </c>
      <c r="AG187">
        <f t="shared" si="322"/>
        <v>0</v>
      </c>
      <c r="AH187">
        <f t="shared" si="322"/>
        <v>0</v>
      </c>
      <c r="AI187">
        <f t="shared" si="322"/>
        <v>0</v>
      </c>
      <c r="AJ187">
        <f t="shared" ref="AJ187:BO187" si="323">AJ184/$B187</f>
        <v>0</v>
      </c>
      <c r="AK187">
        <f t="shared" si="323"/>
        <v>0</v>
      </c>
      <c r="AL187">
        <f t="shared" si="323"/>
        <v>0</v>
      </c>
      <c r="AM187">
        <f t="shared" si="323"/>
        <v>0</v>
      </c>
      <c r="AN187">
        <f t="shared" si="323"/>
        <v>0</v>
      </c>
      <c r="AO187">
        <f t="shared" si="323"/>
        <v>0</v>
      </c>
      <c r="AP187">
        <f t="shared" si="323"/>
        <v>0</v>
      </c>
      <c r="AQ187">
        <f t="shared" si="323"/>
        <v>0</v>
      </c>
      <c r="AR187">
        <f t="shared" si="323"/>
        <v>0</v>
      </c>
      <c r="AS187">
        <f t="shared" si="323"/>
        <v>0</v>
      </c>
      <c r="AT187">
        <f t="shared" si="323"/>
        <v>0</v>
      </c>
      <c r="AU187">
        <f t="shared" si="323"/>
        <v>0</v>
      </c>
      <c r="AV187">
        <f t="shared" si="323"/>
        <v>0</v>
      </c>
      <c r="AW187">
        <f t="shared" si="323"/>
        <v>0</v>
      </c>
      <c r="AX187">
        <f t="shared" si="323"/>
        <v>0</v>
      </c>
      <c r="AY187">
        <f t="shared" si="323"/>
        <v>0</v>
      </c>
      <c r="AZ187">
        <f t="shared" si="323"/>
        <v>0</v>
      </c>
      <c r="BA187">
        <f t="shared" si="323"/>
        <v>0</v>
      </c>
      <c r="BB187">
        <f t="shared" si="323"/>
        <v>0</v>
      </c>
      <c r="BC187">
        <f t="shared" si="323"/>
        <v>0</v>
      </c>
      <c r="BD187">
        <f t="shared" si="323"/>
        <v>0</v>
      </c>
      <c r="BE187">
        <f t="shared" si="323"/>
        <v>0</v>
      </c>
      <c r="BF187">
        <f t="shared" si="323"/>
        <v>0</v>
      </c>
      <c r="BG187">
        <f t="shared" si="323"/>
        <v>0</v>
      </c>
      <c r="BH187">
        <f t="shared" si="323"/>
        <v>0</v>
      </c>
      <c r="BI187">
        <f t="shared" si="323"/>
        <v>0</v>
      </c>
      <c r="BJ187">
        <f t="shared" si="323"/>
        <v>0</v>
      </c>
      <c r="BK187">
        <f t="shared" si="323"/>
        <v>0</v>
      </c>
      <c r="BL187">
        <f t="shared" si="323"/>
        <v>0</v>
      </c>
      <c r="BM187">
        <f t="shared" si="323"/>
        <v>0</v>
      </c>
      <c r="BN187">
        <f t="shared" si="323"/>
        <v>0</v>
      </c>
      <c r="BO187">
        <f t="shared" si="323"/>
        <v>0</v>
      </c>
      <c r="BP187">
        <f t="shared" ref="BP187:CC187" si="324">BP184/$B187</f>
        <v>0</v>
      </c>
      <c r="BQ187">
        <f t="shared" si="324"/>
        <v>0</v>
      </c>
      <c r="BR187">
        <f t="shared" si="324"/>
        <v>0</v>
      </c>
      <c r="BS187">
        <f t="shared" si="324"/>
        <v>0</v>
      </c>
      <c r="BT187">
        <f t="shared" si="324"/>
        <v>0</v>
      </c>
      <c r="BU187">
        <f t="shared" si="324"/>
        <v>0</v>
      </c>
      <c r="BV187">
        <f t="shared" si="324"/>
        <v>0</v>
      </c>
      <c r="BW187">
        <f t="shared" si="324"/>
        <v>0</v>
      </c>
      <c r="BX187">
        <f t="shared" si="324"/>
        <v>0</v>
      </c>
      <c r="BY187">
        <f t="shared" si="324"/>
        <v>0</v>
      </c>
      <c r="BZ187">
        <f t="shared" si="324"/>
        <v>0</v>
      </c>
      <c r="CA187">
        <f t="shared" si="324"/>
        <v>0</v>
      </c>
      <c r="CB187">
        <f t="shared" si="324"/>
        <v>0</v>
      </c>
      <c r="CC187">
        <f t="shared" si="324"/>
        <v>0</v>
      </c>
    </row>
    <row r="188" spans="1:81" x14ac:dyDescent="0.2">
      <c r="A188" s="10"/>
      <c r="B188" s="67">
        <f>SUM(D192:AJ192)/SUM($D$263:$AJ$263)</f>
        <v>0</v>
      </c>
      <c r="C188" s="9" t="s">
        <v>216</v>
      </c>
      <c r="D188">
        <f t="shared" ref="D188:AI188" si="325">D182-D185</f>
        <v>660</v>
      </c>
      <c r="E188">
        <f t="shared" si="325"/>
        <v>640</v>
      </c>
      <c r="F188">
        <f t="shared" si="325"/>
        <v>640</v>
      </c>
      <c r="G188">
        <f t="shared" si="325"/>
        <v>640</v>
      </c>
      <c r="H188">
        <f t="shared" si="325"/>
        <v>560</v>
      </c>
      <c r="I188">
        <f t="shared" si="325"/>
        <v>560</v>
      </c>
      <c r="J188">
        <f t="shared" si="325"/>
        <v>560</v>
      </c>
      <c r="K188">
        <f t="shared" si="325"/>
        <v>560</v>
      </c>
      <c r="L188">
        <f t="shared" si="325"/>
        <v>480</v>
      </c>
      <c r="M188">
        <f t="shared" si="325"/>
        <v>480</v>
      </c>
      <c r="N188">
        <f t="shared" si="325"/>
        <v>480</v>
      </c>
      <c r="O188">
        <f t="shared" si="325"/>
        <v>480</v>
      </c>
      <c r="P188">
        <f t="shared" si="325"/>
        <v>480</v>
      </c>
      <c r="Q188">
        <f t="shared" si="325"/>
        <v>480</v>
      </c>
      <c r="R188">
        <f t="shared" si="325"/>
        <v>480</v>
      </c>
      <c r="S188">
        <f t="shared" si="325"/>
        <v>400</v>
      </c>
      <c r="T188">
        <f t="shared" si="325"/>
        <v>400</v>
      </c>
      <c r="U188">
        <f t="shared" si="325"/>
        <v>380</v>
      </c>
      <c r="V188">
        <f t="shared" si="325"/>
        <v>360</v>
      </c>
      <c r="W188">
        <f t="shared" si="325"/>
        <v>340</v>
      </c>
      <c r="X188">
        <f t="shared" si="325"/>
        <v>320</v>
      </c>
      <c r="Y188">
        <f t="shared" si="325"/>
        <v>320</v>
      </c>
      <c r="Z188">
        <f t="shared" si="325"/>
        <v>320</v>
      </c>
      <c r="AA188">
        <f t="shared" si="325"/>
        <v>320</v>
      </c>
      <c r="AB188">
        <f t="shared" si="325"/>
        <v>320</v>
      </c>
      <c r="AC188">
        <f t="shared" si="325"/>
        <v>280</v>
      </c>
      <c r="AD188">
        <f t="shared" si="325"/>
        <v>240</v>
      </c>
      <c r="AE188">
        <f t="shared" si="325"/>
        <v>200</v>
      </c>
      <c r="AF188">
        <f t="shared" si="325"/>
        <v>160</v>
      </c>
      <c r="AG188">
        <f t="shared" si="325"/>
        <v>160</v>
      </c>
      <c r="AH188">
        <f t="shared" si="325"/>
        <v>120</v>
      </c>
      <c r="AI188">
        <f t="shared" si="325"/>
        <v>80</v>
      </c>
      <c r="AJ188">
        <f t="shared" ref="AJ188:BO188" si="326">AJ182-AJ185</f>
        <v>80</v>
      </c>
      <c r="AK188">
        <f t="shared" si="326"/>
        <v>80</v>
      </c>
      <c r="AL188">
        <f t="shared" si="326"/>
        <v>80</v>
      </c>
      <c r="AM188">
        <f t="shared" si="326"/>
        <v>80</v>
      </c>
      <c r="AN188">
        <f t="shared" si="326"/>
        <v>63</v>
      </c>
      <c r="AO188">
        <f t="shared" si="326"/>
        <v>46</v>
      </c>
      <c r="AP188">
        <f t="shared" si="326"/>
        <v>29</v>
      </c>
      <c r="AQ188">
        <f t="shared" si="326"/>
        <v>8</v>
      </c>
      <c r="AR188">
        <f t="shared" si="326"/>
        <v>-13</v>
      </c>
      <c r="AS188">
        <f t="shared" si="326"/>
        <v>-30</v>
      </c>
      <c r="AT188">
        <f t="shared" si="326"/>
        <v>-51</v>
      </c>
      <c r="AU188">
        <f t="shared" si="326"/>
        <v>-71</v>
      </c>
      <c r="AV188">
        <f t="shared" si="326"/>
        <v>-91</v>
      </c>
      <c r="AW188">
        <f t="shared" si="326"/>
        <v>-111</v>
      </c>
      <c r="AX188">
        <f t="shared" si="326"/>
        <v>-131</v>
      </c>
      <c r="AY188">
        <f t="shared" si="326"/>
        <v>-147</v>
      </c>
      <c r="AZ188">
        <f t="shared" si="326"/>
        <v>-161</v>
      </c>
      <c r="BA188">
        <f t="shared" si="326"/>
        <v>-175</v>
      </c>
      <c r="BB188">
        <f t="shared" si="326"/>
        <v>-189</v>
      </c>
      <c r="BC188">
        <f t="shared" si="326"/>
        <v>-205</v>
      </c>
      <c r="BD188">
        <f t="shared" si="326"/>
        <v>-221</v>
      </c>
      <c r="BE188">
        <f t="shared" si="326"/>
        <v>-237</v>
      </c>
      <c r="BF188">
        <f t="shared" si="326"/>
        <v>-253</v>
      </c>
      <c r="BG188">
        <f t="shared" si="326"/>
        <v>-269</v>
      </c>
      <c r="BH188">
        <f t="shared" si="326"/>
        <v>-285</v>
      </c>
      <c r="BI188">
        <f t="shared" si="326"/>
        <v>-301</v>
      </c>
      <c r="BJ188">
        <f t="shared" si="326"/>
        <v>-317</v>
      </c>
      <c r="BK188">
        <f t="shared" si="326"/>
        <v>-333</v>
      </c>
      <c r="BL188">
        <f t="shared" si="326"/>
        <v>-349</v>
      </c>
      <c r="BM188">
        <f t="shared" si="326"/>
        <v>-365</v>
      </c>
      <c r="BN188">
        <f t="shared" si="326"/>
        <v>-394</v>
      </c>
      <c r="BO188">
        <f t="shared" si="326"/>
        <v>-394</v>
      </c>
      <c r="BP188">
        <f t="shared" ref="BP188:CC188" si="327">BP182-BP185</f>
        <v>-394</v>
      </c>
      <c r="BQ188">
        <f t="shared" si="327"/>
        <v>-394</v>
      </c>
      <c r="BR188">
        <f t="shared" si="327"/>
        <v>-394</v>
      </c>
      <c r="BS188">
        <f t="shared" si="327"/>
        <v>-407</v>
      </c>
      <c r="BT188">
        <f t="shared" si="327"/>
        <v>-420</v>
      </c>
      <c r="BU188">
        <f t="shared" si="327"/>
        <v>-433</v>
      </c>
      <c r="BV188">
        <f t="shared" si="327"/>
        <v>-446</v>
      </c>
      <c r="BW188">
        <f t="shared" si="327"/>
        <v>-459</v>
      </c>
      <c r="BX188">
        <f t="shared" si="327"/>
        <v>-472</v>
      </c>
      <c r="BY188">
        <f t="shared" si="327"/>
        <v>-485</v>
      </c>
      <c r="BZ188">
        <f t="shared" si="327"/>
        <v>-498</v>
      </c>
      <c r="CA188">
        <f t="shared" si="327"/>
        <v>-511</v>
      </c>
      <c r="CB188">
        <f t="shared" si="327"/>
        <v>-524</v>
      </c>
      <c r="CC188">
        <f t="shared" si="327"/>
        <v>-537</v>
      </c>
    </row>
    <row r="189" spans="1:81" x14ac:dyDescent="0.2">
      <c r="A189" s="43" t="s">
        <v>241</v>
      </c>
      <c r="B189" s="44" t="s">
        <v>208</v>
      </c>
      <c r="C189" s="9" t="s">
        <v>38</v>
      </c>
      <c r="D189" s="58">
        <f>IFERROR(VLOOKUP(A189,OS!$A:$B,2,0),0)</f>
        <v>120</v>
      </c>
      <c r="E189" s="5">
        <f>(D189+D190-D192)</f>
        <v>120</v>
      </c>
      <c r="F189" s="5">
        <f>(E189+E190-E192)</f>
        <v>120</v>
      </c>
      <c r="G189" s="5">
        <f>(F189+F190-F192)</f>
        <v>120</v>
      </c>
      <c r="H189" s="5">
        <f>(G189+G190-G192)</f>
        <v>120</v>
      </c>
      <c r="I189" s="5">
        <f t="shared" ref="I189:AN189" si="328">(H189+H190-H192+D191)</f>
        <v>120</v>
      </c>
      <c r="J189" s="5">
        <f t="shared" si="328"/>
        <v>120</v>
      </c>
      <c r="K189" s="5">
        <f t="shared" si="328"/>
        <v>120</v>
      </c>
      <c r="L189" s="5">
        <f t="shared" si="328"/>
        <v>120</v>
      </c>
      <c r="M189" s="5">
        <f t="shared" si="328"/>
        <v>120</v>
      </c>
      <c r="N189" s="5">
        <f t="shared" si="328"/>
        <v>120</v>
      </c>
      <c r="O189" s="5">
        <f t="shared" si="328"/>
        <v>120</v>
      </c>
      <c r="P189" s="5">
        <f t="shared" si="328"/>
        <v>120</v>
      </c>
      <c r="Q189" s="5">
        <f t="shared" si="328"/>
        <v>120</v>
      </c>
      <c r="R189" s="5">
        <f t="shared" si="328"/>
        <v>120</v>
      </c>
      <c r="S189" s="5">
        <f t="shared" si="328"/>
        <v>120</v>
      </c>
      <c r="T189" s="5">
        <f t="shared" si="328"/>
        <v>120</v>
      </c>
      <c r="U189" s="5">
        <f t="shared" si="328"/>
        <v>120</v>
      </c>
      <c r="V189" s="5">
        <f t="shared" si="328"/>
        <v>120</v>
      </c>
      <c r="W189" s="5">
        <f t="shared" si="328"/>
        <v>120</v>
      </c>
      <c r="X189" s="5">
        <f t="shared" si="328"/>
        <v>120</v>
      </c>
      <c r="Y189" s="5">
        <f t="shared" si="328"/>
        <v>120</v>
      </c>
      <c r="Z189" s="5">
        <f t="shared" si="328"/>
        <v>120</v>
      </c>
      <c r="AA189" s="5">
        <f t="shared" si="328"/>
        <v>120</v>
      </c>
      <c r="AB189" s="5">
        <f t="shared" si="328"/>
        <v>120</v>
      </c>
      <c r="AC189" s="5">
        <f t="shared" si="328"/>
        <v>120</v>
      </c>
      <c r="AD189" s="5">
        <f t="shared" si="328"/>
        <v>120</v>
      </c>
      <c r="AE189" s="5">
        <f t="shared" si="328"/>
        <v>120</v>
      </c>
      <c r="AF189" s="5">
        <f t="shared" si="328"/>
        <v>120</v>
      </c>
      <c r="AG189" s="5">
        <f t="shared" si="328"/>
        <v>120</v>
      </c>
      <c r="AH189" s="5">
        <f t="shared" si="328"/>
        <v>120</v>
      </c>
      <c r="AI189" s="5">
        <f t="shared" si="328"/>
        <v>120</v>
      </c>
      <c r="AJ189" s="5">
        <f t="shared" si="328"/>
        <v>120</v>
      </c>
      <c r="AK189" s="5">
        <f t="shared" si="328"/>
        <v>120</v>
      </c>
      <c r="AL189" s="5">
        <f t="shared" si="328"/>
        <v>120</v>
      </c>
      <c r="AM189" s="5">
        <f t="shared" si="328"/>
        <v>120</v>
      </c>
      <c r="AN189" s="5">
        <f t="shared" si="328"/>
        <v>120</v>
      </c>
      <c r="AO189" s="5">
        <f t="shared" ref="AO189:BT189" si="329">(AN189+AN190-AN192+AJ191)</f>
        <v>120</v>
      </c>
      <c r="AP189" s="5">
        <f t="shared" si="329"/>
        <v>120</v>
      </c>
      <c r="AQ189" s="5">
        <f t="shared" si="329"/>
        <v>120</v>
      </c>
      <c r="AR189" s="5">
        <f t="shared" si="329"/>
        <v>120</v>
      </c>
      <c r="AS189" s="5">
        <f t="shared" si="329"/>
        <v>120</v>
      </c>
      <c r="AT189" s="5">
        <f t="shared" si="329"/>
        <v>120</v>
      </c>
      <c r="AU189" s="5">
        <f t="shared" si="329"/>
        <v>120</v>
      </c>
      <c r="AV189" s="5">
        <f t="shared" si="329"/>
        <v>120</v>
      </c>
      <c r="AW189" s="5">
        <f t="shared" si="329"/>
        <v>120</v>
      </c>
      <c r="AX189" s="5">
        <f t="shared" si="329"/>
        <v>120</v>
      </c>
      <c r="AY189" s="5">
        <f t="shared" si="329"/>
        <v>120</v>
      </c>
      <c r="AZ189" s="5">
        <f t="shared" si="329"/>
        <v>120</v>
      </c>
      <c r="BA189" s="5">
        <f t="shared" si="329"/>
        <v>120</v>
      </c>
      <c r="BB189" s="5">
        <f t="shared" si="329"/>
        <v>120</v>
      </c>
      <c r="BC189" s="5">
        <f t="shared" si="329"/>
        <v>120</v>
      </c>
      <c r="BD189" s="5">
        <f t="shared" si="329"/>
        <v>120</v>
      </c>
      <c r="BE189" s="5">
        <f t="shared" si="329"/>
        <v>120</v>
      </c>
      <c r="BF189" s="5">
        <f t="shared" si="329"/>
        <v>120</v>
      </c>
      <c r="BG189" s="5">
        <f t="shared" si="329"/>
        <v>120</v>
      </c>
      <c r="BH189" s="5">
        <f t="shared" si="329"/>
        <v>120</v>
      </c>
      <c r="BI189" s="5">
        <f t="shared" si="329"/>
        <v>120</v>
      </c>
      <c r="BJ189" s="5">
        <f t="shared" si="329"/>
        <v>120</v>
      </c>
      <c r="BK189" s="5">
        <f t="shared" si="329"/>
        <v>120</v>
      </c>
      <c r="BL189" s="5">
        <f t="shared" si="329"/>
        <v>120</v>
      </c>
      <c r="BM189" s="5">
        <f t="shared" si="329"/>
        <v>120</v>
      </c>
      <c r="BN189" s="5">
        <f t="shared" si="329"/>
        <v>120</v>
      </c>
      <c r="BO189" s="5">
        <f t="shared" si="329"/>
        <v>120</v>
      </c>
      <c r="BP189" s="5">
        <f t="shared" si="329"/>
        <v>120</v>
      </c>
      <c r="BQ189" s="5">
        <f t="shared" si="329"/>
        <v>120</v>
      </c>
      <c r="BR189" s="5">
        <f t="shared" si="329"/>
        <v>120</v>
      </c>
      <c r="BS189" s="5">
        <f t="shared" si="329"/>
        <v>120</v>
      </c>
      <c r="BT189" s="5">
        <f t="shared" si="329"/>
        <v>120</v>
      </c>
      <c r="BU189" s="5">
        <f t="shared" ref="BU189:CZ189" si="330">(BT189+BT190-BT192+BP191)</f>
        <v>120</v>
      </c>
      <c r="BV189" s="5">
        <f t="shared" si="330"/>
        <v>120</v>
      </c>
      <c r="BW189" s="5">
        <f t="shared" si="330"/>
        <v>120</v>
      </c>
      <c r="BX189" s="5">
        <f t="shared" si="330"/>
        <v>120</v>
      </c>
      <c r="BY189" s="5">
        <f t="shared" si="330"/>
        <v>120</v>
      </c>
      <c r="BZ189" s="5">
        <f t="shared" si="330"/>
        <v>120</v>
      </c>
      <c r="CA189" s="5">
        <f t="shared" si="330"/>
        <v>120</v>
      </c>
      <c r="CB189" s="5">
        <f t="shared" si="330"/>
        <v>120</v>
      </c>
      <c r="CC189" s="5">
        <f t="shared" si="330"/>
        <v>120</v>
      </c>
    </row>
    <row r="190" spans="1:81" x14ac:dyDescent="0.2">
      <c r="A190" s="5" t="s">
        <v>209</v>
      </c>
      <c r="B190" s="5">
        <v>9.5282199999999992</v>
      </c>
      <c r="C190" s="45" t="s">
        <v>39</v>
      </c>
      <c r="D190" s="59">
        <f>IFERROR(VLOOKUP(A189,WIP!$A:$B,2,0),0)</f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</row>
    <row r="191" spans="1:81" x14ac:dyDescent="0.2">
      <c r="A191" s="5" t="s">
        <v>210</v>
      </c>
      <c r="B191" s="5">
        <v>0.26</v>
      </c>
      <c r="C191" s="9" t="s">
        <v>211</v>
      </c>
      <c r="D191" s="60">
        <f>IFERROR(VLOOKUP($A189,Plan!$A:B,D$4,0),0)</f>
        <v>0</v>
      </c>
      <c r="E191" s="70">
        <f>IFERROR(VLOOKUP($A189,Plan!$A:C,E$4,0),0)</f>
        <v>0</v>
      </c>
      <c r="F191" s="70">
        <f>IFERROR(VLOOKUP($A189,Plan!$A:D,F$4,0),0)</f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</row>
    <row r="192" spans="1:81" x14ac:dyDescent="0.2">
      <c r="A192" s="5" t="s">
        <v>212</v>
      </c>
      <c r="B192" s="5">
        <v>4.2000000000000003E-2</v>
      </c>
      <c r="C192" s="9" t="s">
        <v>213</v>
      </c>
      <c r="D192" s="61">
        <f>IFERROR(VLOOKUP($A189,Sales!$A:B,D$2,0),0)</f>
        <v>0</v>
      </c>
      <c r="E192" s="61">
        <f>IFERROR(VLOOKUP($A189,Sales!$A:C,E$2,0),0)</f>
        <v>0</v>
      </c>
      <c r="F192" s="61">
        <f>IFERROR(VLOOKUP($A189,Sales!$A:D,F$2,0),0)</f>
        <v>0</v>
      </c>
      <c r="G192" s="61">
        <f>IFERROR(VLOOKUP($A189,Sales!$A:E,G$2,0),0)</f>
        <v>0</v>
      </c>
      <c r="H192" s="61">
        <f>IFERROR(VLOOKUP($A189,Sales!$A:F,H$2,0),0)</f>
        <v>0</v>
      </c>
      <c r="I192" s="61">
        <f>IFERROR(VLOOKUP($A189,Sales!$A:G,I$2,0),0)</f>
        <v>0</v>
      </c>
      <c r="J192" s="61">
        <f>IFERROR(VLOOKUP($A189,Sales!$A:H,J$2,0),0)</f>
        <v>0</v>
      </c>
      <c r="K192" s="61">
        <f>IFERROR(VLOOKUP($A189,Sales!$A:I,K$2,0),0)</f>
        <v>0</v>
      </c>
      <c r="L192" s="61">
        <f>IFERROR(VLOOKUP($A189,Sales!$A:J,L$2,0),0)</f>
        <v>0</v>
      </c>
      <c r="M192" s="61">
        <f>IFERROR(VLOOKUP($A189,Sales!$A:K,M$2,0),0)</f>
        <v>0</v>
      </c>
      <c r="N192" s="61">
        <f>IFERROR(VLOOKUP($A189,Sales!$A:L,N$2,0),0)</f>
        <v>0</v>
      </c>
      <c r="O192" s="61">
        <f>IFERROR(VLOOKUP($A189,Sales!$A:M,O$2,0),0)</f>
        <v>0</v>
      </c>
      <c r="P192" s="61">
        <f>IFERROR(VLOOKUP($A189,Sales!$A:N,P$2,0),0)</f>
        <v>0</v>
      </c>
      <c r="Q192" s="61">
        <f>IFERROR(VLOOKUP($A189,Sales!$A:O,Q$2,0),0)</f>
        <v>0</v>
      </c>
      <c r="R192" s="61">
        <f>IFERROR(VLOOKUP($A189,Sales!$A:P,R$2,0),0)</f>
        <v>0</v>
      </c>
      <c r="S192" s="61">
        <f>IFERROR(VLOOKUP($A189,Sales!$A:Q,S$2,0),0)</f>
        <v>0</v>
      </c>
      <c r="T192" s="61">
        <f>IFERROR(VLOOKUP($A189,Sales!$A:R,T$2,0),0)</f>
        <v>0</v>
      </c>
      <c r="U192" s="61">
        <f>IFERROR(VLOOKUP($A189,Sales!$A:S,U$2,0),0)</f>
        <v>0</v>
      </c>
      <c r="V192" s="61">
        <f>IFERROR(VLOOKUP($A189,Sales!$A:T,V$2,0),0)</f>
        <v>0</v>
      </c>
      <c r="W192" s="61">
        <f>IFERROR(VLOOKUP($A189,Sales!$A:U,W$2,0),0)</f>
        <v>0</v>
      </c>
      <c r="X192" s="61">
        <f>IFERROR(VLOOKUP($A189,Sales!$A:V,X$2,0),0)</f>
        <v>0</v>
      </c>
      <c r="Y192" s="61">
        <f>IFERROR(VLOOKUP($A189,Sales!$A:W,Y$2,0),0)</f>
        <v>0</v>
      </c>
      <c r="Z192" s="61">
        <f>IFERROR(VLOOKUP($A189,Sales!$A:X,Z$2,0),0)</f>
        <v>0</v>
      </c>
      <c r="AA192" s="61">
        <f>IFERROR(VLOOKUP($A189,Sales!$A:Y,AA$2,0),0)</f>
        <v>0</v>
      </c>
      <c r="AB192" s="61">
        <f>IFERROR(VLOOKUP($A189,Sales!$A:Z,AB$2,0),0)</f>
        <v>0</v>
      </c>
      <c r="AC192" s="61">
        <f>IFERROR(VLOOKUP($A189,Sales!$A:AA,AC$2,0),0)</f>
        <v>0</v>
      </c>
      <c r="AD192" s="61">
        <f>IFERROR(VLOOKUP($A189,Sales!$A:AB,AD$2,0),0)</f>
        <v>0</v>
      </c>
      <c r="AE192" s="61">
        <f>IFERROR(VLOOKUP($A189,Sales!$A:AC,AE$2,0),0)</f>
        <v>0</v>
      </c>
      <c r="AF192" s="61">
        <f>IFERROR(VLOOKUP($A189,Sales!$A:AD,AF$2,0),0)</f>
        <v>0</v>
      </c>
      <c r="AG192" s="61">
        <f>IFERROR(VLOOKUP($A189,Sales!$A:AE,AG$2,0),0)</f>
        <v>0</v>
      </c>
      <c r="AH192" s="61">
        <f>IFERROR(VLOOKUP($A189,Sales!$A:AF,AH$2,0),0)</f>
        <v>0</v>
      </c>
      <c r="AI192" s="61">
        <f>IFERROR(VLOOKUP($A189,Sales!$A:AG,AI$2,0),0)</f>
        <v>0</v>
      </c>
      <c r="AJ192" s="61">
        <f>IFERROR(VLOOKUP($A189,Sales!$A:AH,AJ$2,0),0)</f>
        <v>0</v>
      </c>
      <c r="AK192" s="73">
        <f t="shared" ref="AK192:CC192" si="331">CEILING(AK$5*$B188,1)</f>
        <v>0</v>
      </c>
      <c r="AL192" s="73">
        <f t="shared" si="331"/>
        <v>0</v>
      </c>
      <c r="AM192" s="73">
        <f t="shared" si="331"/>
        <v>0</v>
      </c>
      <c r="AN192" s="73">
        <f t="shared" si="331"/>
        <v>0</v>
      </c>
      <c r="AO192" s="73">
        <f t="shared" si="331"/>
        <v>0</v>
      </c>
      <c r="AP192" s="73">
        <f t="shared" si="331"/>
        <v>0</v>
      </c>
      <c r="AQ192" s="73">
        <f t="shared" si="331"/>
        <v>0</v>
      </c>
      <c r="AR192" s="73">
        <f t="shared" si="331"/>
        <v>0</v>
      </c>
      <c r="AS192" s="73">
        <f t="shared" si="331"/>
        <v>0</v>
      </c>
      <c r="AT192" s="73">
        <f t="shared" si="331"/>
        <v>0</v>
      </c>
      <c r="AU192" s="73">
        <f t="shared" si="331"/>
        <v>0</v>
      </c>
      <c r="AV192" s="73">
        <f t="shared" si="331"/>
        <v>0</v>
      </c>
      <c r="AW192" s="73">
        <f t="shared" si="331"/>
        <v>0</v>
      </c>
      <c r="AX192" s="73">
        <f t="shared" si="331"/>
        <v>0</v>
      </c>
      <c r="AY192" s="73">
        <f t="shared" si="331"/>
        <v>0</v>
      </c>
      <c r="AZ192" s="73">
        <f t="shared" si="331"/>
        <v>0</v>
      </c>
      <c r="BA192" s="73">
        <f t="shared" si="331"/>
        <v>0</v>
      </c>
      <c r="BB192" s="73">
        <f t="shared" si="331"/>
        <v>0</v>
      </c>
      <c r="BC192" s="73">
        <f t="shared" si="331"/>
        <v>0</v>
      </c>
      <c r="BD192" s="73">
        <f t="shared" si="331"/>
        <v>0</v>
      </c>
      <c r="BE192" s="73">
        <f t="shared" si="331"/>
        <v>0</v>
      </c>
      <c r="BF192" s="73">
        <f t="shared" si="331"/>
        <v>0</v>
      </c>
      <c r="BG192" s="73">
        <f t="shared" si="331"/>
        <v>0</v>
      </c>
      <c r="BH192" s="73">
        <f t="shared" si="331"/>
        <v>0</v>
      </c>
      <c r="BI192" s="73">
        <f t="shared" si="331"/>
        <v>0</v>
      </c>
      <c r="BJ192" s="73">
        <f t="shared" si="331"/>
        <v>0</v>
      </c>
      <c r="BK192" s="73">
        <f t="shared" si="331"/>
        <v>0</v>
      </c>
      <c r="BL192" s="73">
        <f t="shared" si="331"/>
        <v>0</v>
      </c>
      <c r="BM192" s="73">
        <f t="shared" si="331"/>
        <v>0</v>
      </c>
      <c r="BN192" s="73">
        <f t="shared" si="331"/>
        <v>0</v>
      </c>
      <c r="BO192" s="73">
        <f t="shared" si="331"/>
        <v>0</v>
      </c>
      <c r="BP192" s="73">
        <f t="shared" si="331"/>
        <v>0</v>
      </c>
      <c r="BQ192" s="73">
        <f t="shared" si="331"/>
        <v>0</v>
      </c>
      <c r="BR192" s="73">
        <f t="shared" si="331"/>
        <v>0</v>
      </c>
      <c r="BS192" s="73">
        <f t="shared" si="331"/>
        <v>0</v>
      </c>
      <c r="BT192" s="73">
        <f t="shared" si="331"/>
        <v>0</v>
      </c>
      <c r="BU192" s="73">
        <f t="shared" si="331"/>
        <v>0</v>
      </c>
      <c r="BV192" s="73">
        <f t="shared" si="331"/>
        <v>0</v>
      </c>
      <c r="BW192" s="73">
        <f t="shared" si="331"/>
        <v>0</v>
      </c>
      <c r="BX192" s="73">
        <f t="shared" si="331"/>
        <v>0</v>
      </c>
      <c r="BY192" s="73">
        <f t="shared" si="331"/>
        <v>0</v>
      </c>
      <c r="BZ192" s="73">
        <f t="shared" si="331"/>
        <v>0</v>
      </c>
      <c r="CA192" s="73">
        <f t="shared" si="331"/>
        <v>0</v>
      </c>
      <c r="CB192" s="73">
        <f t="shared" si="331"/>
        <v>0</v>
      </c>
      <c r="CC192" s="73">
        <f t="shared" si="331"/>
        <v>0</v>
      </c>
    </row>
    <row r="193" spans="1:81" x14ac:dyDescent="0.2">
      <c r="A193" s="5" t="s">
        <v>214</v>
      </c>
      <c r="B193" s="5">
        <v>0.30199999999999999</v>
      </c>
      <c r="C193" s="46" t="s">
        <v>215</v>
      </c>
      <c r="D193" s="11">
        <f t="shared" ref="D193:AI193" si="332">IF(D192=0,0, ROUND(D189 * 1/D192* D$13,1))</f>
        <v>0</v>
      </c>
      <c r="E193" s="11">
        <f t="shared" si="332"/>
        <v>0</v>
      </c>
      <c r="F193" s="11">
        <f t="shared" si="332"/>
        <v>0</v>
      </c>
      <c r="G193" s="11">
        <f t="shared" si="332"/>
        <v>0</v>
      </c>
      <c r="H193" s="11">
        <f t="shared" si="332"/>
        <v>0</v>
      </c>
      <c r="I193" s="11">
        <f t="shared" si="332"/>
        <v>0</v>
      </c>
      <c r="J193" s="11">
        <f t="shared" si="332"/>
        <v>0</v>
      </c>
      <c r="K193" s="11">
        <f t="shared" si="332"/>
        <v>0</v>
      </c>
      <c r="L193" s="11">
        <f t="shared" si="332"/>
        <v>0</v>
      </c>
      <c r="M193" s="11">
        <f t="shared" si="332"/>
        <v>0</v>
      </c>
      <c r="N193" s="11">
        <f t="shared" si="332"/>
        <v>0</v>
      </c>
      <c r="O193" s="11">
        <f t="shared" si="332"/>
        <v>0</v>
      </c>
      <c r="P193" s="11">
        <f t="shared" si="332"/>
        <v>0</v>
      </c>
      <c r="Q193" s="11">
        <f t="shared" si="332"/>
        <v>0</v>
      </c>
      <c r="R193" s="11">
        <f t="shared" si="332"/>
        <v>0</v>
      </c>
      <c r="S193" s="11">
        <f t="shared" si="332"/>
        <v>0</v>
      </c>
      <c r="T193" s="11">
        <f t="shared" si="332"/>
        <v>0</v>
      </c>
      <c r="U193" s="11">
        <f t="shared" si="332"/>
        <v>0</v>
      </c>
      <c r="V193" s="11">
        <f t="shared" si="332"/>
        <v>0</v>
      </c>
      <c r="W193" s="11">
        <f t="shared" si="332"/>
        <v>0</v>
      </c>
      <c r="X193" s="11">
        <f t="shared" si="332"/>
        <v>0</v>
      </c>
      <c r="Y193" s="11">
        <f t="shared" si="332"/>
        <v>0</v>
      </c>
      <c r="Z193" s="11">
        <f t="shared" si="332"/>
        <v>0</v>
      </c>
      <c r="AA193" s="11">
        <f t="shared" si="332"/>
        <v>0</v>
      </c>
      <c r="AB193" s="11">
        <f t="shared" si="332"/>
        <v>0</v>
      </c>
      <c r="AC193" s="11">
        <f t="shared" si="332"/>
        <v>0</v>
      </c>
      <c r="AD193" s="11">
        <f t="shared" si="332"/>
        <v>0</v>
      </c>
      <c r="AE193" s="11">
        <f t="shared" si="332"/>
        <v>0</v>
      </c>
      <c r="AF193" s="11">
        <f t="shared" si="332"/>
        <v>0</v>
      </c>
      <c r="AG193" s="11">
        <f t="shared" si="332"/>
        <v>0</v>
      </c>
      <c r="AH193" s="11">
        <f t="shared" si="332"/>
        <v>0</v>
      </c>
      <c r="AI193" s="11">
        <f t="shared" si="332"/>
        <v>0</v>
      </c>
      <c r="AJ193" s="11">
        <f t="shared" ref="AJ193:BO193" si="333">IF(AJ192=0,0, ROUND(AJ189 * 1/AJ192* AJ$13,1))</f>
        <v>0</v>
      </c>
      <c r="AK193" s="11">
        <f t="shared" si="333"/>
        <v>0</v>
      </c>
      <c r="AL193" s="11">
        <f t="shared" si="333"/>
        <v>0</v>
      </c>
      <c r="AM193" s="11">
        <f t="shared" si="333"/>
        <v>0</v>
      </c>
      <c r="AN193" s="11">
        <f t="shared" si="333"/>
        <v>0</v>
      </c>
      <c r="AO193" s="11">
        <f t="shared" si="333"/>
        <v>0</v>
      </c>
      <c r="AP193" s="11">
        <f t="shared" si="333"/>
        <v>0</v>
      </c>
      <c r="AQ193" s="11">
        <f t="shared" si="333"/>
        <v>0</v>
      </c>
      <c r="AR193" s="11">
        <f t="shared" si="333"/>
        <v>0</v>
      </c>
      <c r="AS193" s="11">
        <f t="shared" si="333"/>
        <v>0</v>
      </c>
      <c r="AT193" s="11">
        <f t="shared" si="333"/>
        <v>0</v>
      </c>
      <c r="AU193" s="11">
        <f t="shared" si="333"/>
        <v>0</v>
      </c>
      <c r="AV193" s="11">
        <f t="shared" si="333"/>
        <v>0</v>
      </c>
      <c r="AW193" s="11">
        <f t="shared" si="333"/>
        <v>0</v>
      </c>
      <c r="AX193" s="11">
        <f t="shared" si="333"/>
        <v>0</v>
      </c>
      <c r="AY193" s="11">
        <f t="shared" si="333"/>
        <v>0</v>
      </c>
      <c r="AZ193" s="11">
        <f t="shared" si="333"/>
        <v>0</v>
      </c>
      <c r="BA193" s="11">
        <f t="shared" si="333"/>
        <v>0</v>
      </c>
      <c r="BB193" s="11">
        <f t="shared" si="333"/>
        <v>0</v>
      </c>
      <c r="BC193" s="11">
        <f t="shared" si="333"/>
        <v>0</v>
      </c>
      <c r="BD193" s="11">
        <f t="shared" si="333"/>
        <v>0</v>
      </c>
      <c r="BE193" s="11">
        <f t="shared" si="333"/>
        <v>0</v>
      </c>
      <c r="BF193" s="11">
        <f t="shared" si="333"/>
        <v>0</v>
      </c>
      <c r="BG193" s="11">
        <f t="shared" si="333"/>
        <v>0</v>
      </c>
      <c r="BH193" s="11">
        <f t="shared" si="333"/>
        <v>0</v>
      </c>
      <c r="BI193" s="11">
        <f t="shared" si="333"/>
        <v>0</v>
      </c>
      <c r="BJ193" s="11">
        <f t="shared" si="333"/>
        <v>0</v>
      </c>
      <c r="BK193" s="11">
        <f t="shared" si="333"/>
        <v>0</v>
      </c>
      <c r="BL193" s="11">
        <f t="shared" si="333"/>
        <v>0</v>
      </c>
      <c r="BM193" s="11">
        <f t="shared" si="333"/>
        <v>0</v>
      </c>
      <c r="BN193" s="11">
        <f t="shared" si="333"/>
        <v>0</v>
      </c>
      <c r="BO193" s="11">
        <f t="shared" si="333"/>
        <v>0</v>
      </c>
      <c r="BP193" s="11">
        <f t="shared" ref="BP193:CU193" si="334">IF(BP192=0,0, ROUND(BP189 * 1/BP192* BP$13,1))</f>
        <v>0</v>
      </c>
      <c r="BQ193" s="11">
        <f t="shared" si="334"/>
        <v>0</v>
      </c>
      <c r="BR193" s="11">
        <f t="shared" si="334"/>
        <v>0</v>
      </c>
      <c r="BS193" s="11">
        <f t="shared" si="334"/>
        <v>0</v>
      </c>
      <c r="BT193" s="11">
        <f t="shared" si="334"/>
        <v>0</v>
      </c>
      <c r="BU193" s="11">
        <f t="shared" si="334"/>
        <v>0</v>
      </c>
      <c r="BV193" s="11">
        <f t="shared" si="334"/>
        <v>0</v>
      </c>
      <c r="BW193" s="11">
        <f t="shared" si="334"/>
        <v>0</v>
      </c>
      <c r="BX193" s="11">
        <f t="shared" si="334"/>
        <v>0</v>
      </c>
      <c r="BY193" s="11">
        <f t="shared" si="334"/>
        <v>0</v>
      </c>
      <c r="BZ193" s="11">
        <f t="shared" si="334"/>
        <v>0</v>
      </c>
      <c r="CA193" s="11">
        <f t="shared" si="334"/>
        <v>0</v>
      </c>
      <c r="CB193" s="11">
        <f t="shared" si="334"/>
        <v>0</v>
      </c>
      <c r="CC193" s="11">
        <f t="shared" si="334"/>
        <v>0</v>
      </c>
    </row>
    <row r="194" spans="1:81" x14ac:dyDescent="0.2">
      <c r="A194">
        <v>23</v>
      </c>
      <c r="B194">
        <v>1</v>
      </c>
      <c r="C194" s="8">
        <v>7.39032</v>
      </c>
      <c r="D194">
        <f t="shared" ref="D194:AI194" si="335">D191/$B194</f>
        <v>0</v>
      </c>
      <c r="E194">
        <f t="shared" si="335"/>
        <v>0</v>
      </c>
      <c r="F194">
        <f t="shared" si="335"/>
        <v>0</v>
      </c>
      <c r="G194">
        <f t="shared" si="335"/>
        <v>0</v>
      </c>
      <c r="H194">
        <f t="shared" si="335"/>
        <v>0</v>
      </c>
      <c r="I194">
        <f t="shared" si="335"/>
        <v>0</v>
      </c>
      <c r="J194">
        <f t="shared" si="335"/>
        <v>0</v>
      </c>
      <c r="K194">
        <f t="shared" si="335"/>
        <v>0</v>
      </c>
      <c r="L194">
        <f t="shared" si="335"/>
        <v>0</v>
      </c>
      <c r="M194">
        <f t="shared" si="335"/>
        <v>0</v>
      </c>
      <c r="N194">
        <f t="shared" si="335"/>
        <v>0</v>
      </c>
      <c r="O194">
        <f t="shared" si="335"/>
        <v>0</v>
      </c>
      <c r="P194">
        <f t="shared" si="335"/>
        <v>0</v>
      </c>
      <c r="Q194">
        <f t="shared" si="335"/>
        <v>0</v>
      </c>
      <c r="R194">
        <f t="shared" si="335"/>
        <v>0</v>
      </c>
      <c r="S194">
        <f t="shared" si="335"/>
        <v>0</v>
      </c>
      <c r="T194">
        <f t="shared" si="335"/>
        <v>0</v>
      </c>
      <c r="U194">
        <f t="shared" si="335"/>
        <v>0</v>
      </c>
      <c r="V194">
        <f t="shared" si="335"/>
        <v>0</v>
      </c>
      <c r="W194">
        <f t="shared" si="335"/>
        <v>0</v>
      </c>
      <c r="X194">
        <f t="shared" si="335"/>
        <v>0</v>
      </c>
      <c r="Y194">
        <f t="shared" si="335"/>
        <v>0</v>
      </c>
      <c r="Z194">
        <f t="shared" si="335"/>
        <v>0</v>
      </c>
      <c r="AA194">
        <f t="shared" si="335"/>
        <v>0</v>
      </c>
      <c r="AB194">
        <f t="shared" si="335"/>
        <v>0</v>
      </c>
      <c r="AC194">
        <f t="shared" si="335"/>
        <v>0</v>
      </c>
      <c r="AD194">
        <f t="shared" si="335"/>
        <v>0</v>
      </c>
      <c r="AE194">
        <f t="shared" si="335"/>
        <v>0</v>
      </c>
      <c r="AF194">
        <f t="shared" si="335"/>
        <v>0</v>
      </c>
      <c r="AG194">
        <f t="shared" si="335"/>
        <v>0</v>
      </c>
      <c r="AH194">
        <f t="shared" si="335"/>
        <v>0</v>
      </c>
      <c r="AI194">
        <f t="shared" si="335"/>
        <v>0</v>
      </c>
      <c r="AJ194">
        <f t="shared" ref="AJ194:BO194" si="336">AJ191/$B194</f>
        <v>0</v>
      </c>
      <c r="AK194">
        <f t="shared" si="336"/>
        <v>0</v>
      </c>
      <c r="AL194">
        <f t="shared" si="336"/>
        <v>0</v>
      </c>
      <c r="AM194">
        <f t="shared" si="336"/>
        <v>0</v>
      </c>
      <c r="AN194">
        <f t="shared" si="336"/>
        <v>0</v>
      </c>
      <c r="AO194">
        <f t="shared" si="336"/>
        <v>0</v>
      </c>
      <c r="AP194">
        <f t="shared" si="336"/>
        <v>0</v>
      </c>
      <c r="AQ194">
        <f t="shared" si="336"/>
        <v>0</v>
      </c>
      <c r="AR194">
        <f t="shared" si="336"/>
        <v>0</v>
      </c>
      <c r="AS194">
        <f t="shared" si="336"/>
        <v>0</v>
      </c>
      <c r="AT194">
        <f t="shared" si="336"/>
        <v>0</v>
      </c>
      <c r="AU194">
        <f t="shared" si="336"/>
        <v>0</v>
      </c>
      <c r="AV194">
        <f t="shared" si="336"/>
        <v>0</v>
      </c>
      <c r="AW194">
        <f t="shared" si="336"/>
        <v>0</v>
      </c>
      <c r="AX194">
        <f t="shared" si="336"/>
        <v>0</v>
      </c>
      <c r="AY194">
        <f t="shared" si="336"/>
        <v>0</v>
      </c>
      <c r="AZ194">
        <f t="shared" si="336"/>
        <v>0</v>
      </c>
      <c r="BA194">
        <f t="shared" si="336"/>
        <v>0</v>
      </c>
      <c r="BB194">
        <f t="shared" si="336"/>
        <v>0</v>
      </c>
      <c r="BC194">
        <f t="shared" si="336"/>
        <v>0</v>
      </c>
      <c r="BD194">
        <f t="shared" si="336"/>
        <v>0</v>
      </c>
      <c r="BE194">
        <f t="shared" si="336"/>
        <v>0</v>
      </c>
      <c r="BF194">
        <f t="shared" si="336"/>
        <v>0</v>
      </c>
      <c r="BG194">
        <f t="shared" si="336"/>
        <v>0</v>
      </c>
      <c r="BH194">
        <f t="shared" si="336"/>
        <v>0</v>
      </c>
      <c r="BI194">
        <f t="shared" si="336"/>
        <v>0</v>
      </c>
      <c r="BJ194">
        <f t="shared" si="336"/>
        <v>0</v>
      </c>
      <c r="BK194">
        <f t="shared" si="336"/>
        <v>0</v>
      </c>
      <c r="BL194">
        <f t="shared" si="336"/>
        <v>0</v>
      </c>
      <c r="BM194">
        <f t="shared" si="336"/>
        <v>0</v>
      </c>
      <c r="BN194">
        <f t="shared" si="336"/>
        <v>0</v>
      </c>
      <c r="BO194">
        <f t="shared" si="336"/>
        <v>0</v>
      </c>
      <c r="BP194">
        <f t="shared" ref="BP194:CC194" si="337">BP191/$B194</f>
        <v>0</v>
      </c>
      <c r="BQ194">
        <f t="shared" si="337"/>
        <v>0</v>
      </c>
      <c r="BR194">
        <f t="shared" si="337"/>
        <v>0</v>
      </c>
      <c r="BS194">
        <f t="shared" si="337"/>
        <v>0</v>
      </c>
      <c r="BT194">
        <f t="shared" si="337"/>
        <v>0</v>
      </c>
      <c r="BU194">
        <f t="shared" si="337"/>
        <v>0</v>
      </c>
      <c r="BV194">
        <f t="shared" si="337"/>
        <v>0</v>
      </c>
      <c r="BW194">
        <f t="shared" si="337"/>
        <v>0</v>
      </c>
      <c r="BX194">
        <f t="shared" si="337"/>
        <v>0</v>
      </c>
      <c r="BY194">
        <f t="shared" si="337"/>
        <v>0</v>
      </c>
      <c r="BZ194">
        <f t="shared" si="337"/>
        <v>0</v>
      </c>
      <c r="CA194">
        <f t="shared" si="337"/>
        <v>0</v>
      </c>
      <c r="CB194">
        <f t="shared" si="337"/>
        <v>0</v>
      </c>
      <c r="CC194">
        <f t="shared" si="337"/>
        <v>0</v>
      </c>
    </row>
    <row r="195" spans="1:81" x14ac:dyDescent="0.2">
      <c r="A195" s="10"/>
      <c r="B195" s="67">
        <f>SUM(D199:AJ199)/SUM($D$263:$AJ$263)</f>
        <v>9.7661018604424049E-4</v>
      </c>
      <c r="C195" s="9" t="s">
        <v>216</v>
      </c>
      <c r="D195">
        <f t="shared" ref="D195:AI195" si="338">D189-D192</f>
        <v>120</v>
      </c>
      <c r="E195">
        <f t="shared" si="338"/>
        <v>120</v>
      </c>
      <c r="F195">
        <f t="shared" si="338"/>
        <v>120</v>
      </c>
      <c r="G195">
        <f t="shared" si="338"/>
        <v>120</v>
      </c>
      <c r="H195">
        <f t="shared" si="338"/>
        <v>120</v>
      </c>
      <c r="I195">
        <f t="shared" si="338"/>
        <v>120</v>
      </c>
      <c r="J195">
        <f t="shared" si="338"/>
        <v>120</v>
      </c>
      <c r="K195">
        <f t="shared" si="338"/>
        <v>120</v>
      </c>
      <c r="L195">
        <f t="shared" si="338"/>
        <v>120</v>
      </c>
      <c r="M195">
        <f t="shared" si="338"/>
        <v>120</v>
      </c>
      <c r="N195">
        <f t="shared" si="338"/>
        <v>120</v>
      </c>
      <c r="O195">
        <f t="shared" si="338"/>
        <v>120</v>
      </c>
      <c r="P195">
        <f t="shared" si="338"/>
        <v>120</v>
      </c>
      <c r="Q195">
        <f t="shared" si="338"/>
        <v>120</v>
      </c>
      <c r="R195">
        <f t="shared" si="338"/>
        <v>120</v>
      </c>
      <c r="S195">
        <f t="shared" si="338"/>
        <v>120</v>
      </c>
      <c r="T195">
        <f t="shared" si="338"/>
        <v>120</v>
      </c>
      <c r="U195">
        <f t="shared" si="338"/>
        <v>120</v>
      </c>
      <c r="V195">
        <f t="shared" si="338"/>
        <v>120</v>
      </c>
      <c r="W195">
        <f t="shared" si="338"/>
        <v>120</v>
      </c>
      <c r="X195">
        <f t="shared" si="338"/>
        <v>120</v>
      </c>
      <c r="Y195">
        <f t="shared" si="338"/>
        <v>120</v>
      </c>
      <c r="Z195">
        <f t="shared" si="338"/>
        <v>120</v>
      </c>
      <c r="AA195">
        <f t="shared" si="338"/>
        <v>120</v>
      </c>
      <c r="AB195">
        <f t="shared" si="338"/>
        <v>120</v>
      </c>
      <c r="AC195">
        <f t="shared" si="338"/>
        <v>120</v>
      </c>
      <c r="AD195">
        <f t="shared" si="338"/>
        <v>120</v>
      </c>
      <c r="AE195">
        <f t="shared" si="338"/>
        <v>120</v>
      </c>
      <c r="AF195">
        <f t="shared" si="338"/>
        <v>120</v>
      </c>
      <c r="AG195">
        <f t="shared" si="338"/>
        <v>120</v>
      </c>
      <c r="AH195">
        <f t="shared" si="338"/>
        <v>120</v>
      </c>
      <c r="AI195">
        <f t="shared" si="338"/>
        <v>120</v>
      </c>
      <c r="AJ195">
        <f t="shared" ref="AJ195:BO195" si="339">AJ189-AJ192</f>
        <v>120</v>
      </c>
      <c r="AK195">
        <f t="shared" si="339"/>
        <v>120</v>
      </c>
      <c r="AL195">
        <f t="shared" si="339"/>
        <v>120</v>
      </c>
      <c r="AM195">
        <f t="shared" si="339"/>
        <v>120</v>
      </c>
      <c r="AN195">
        <f t="shared" si="339"/>
        <v>120</v>
      </c>
      <c r="AO195">
        <f t="shared" si="339"/>
        <v>120</v>
      </c>
      <c r="AP195">
        <f t="shared" si="339"/>
        <v>120</v>
      </c>
      <c r="AQ195">
        <f t="shared" si="339"/>
        <v>120</v>
      </c>
      <c r="AR195">
        <f t="shared" si="339"/>
        <v>120</v>
      </c>
      <c r="AS195">
        <f t="shared" si="339"/>
        <v>120</v>
      </c>
      <c r="AT195">
        <f t="shared" si="339"/>
        <v>120</v>
      </c>
      <c r="AU195">
        <f t="shared" si="339"/>
        <v>120</v>
      </c>
      <c r="AV195">
        <f t="shared" si="339"/>
        <v>120</v>
      </c>
      <c r="AW195">
        <f t="shared" si="339"/>
        <v>120</v>
      </c>
      <c r="AX195">
        <f t="shared" si="339"/>
        <v>120</v>
      </c>
      <c r="AY195">
        <f t="shared" si="339"/>
        <v>120</v>
      </c>
      <c r="AZ195">
        <f t="shared" si="339"/>
        <v>120</v>
      </c>
      <c r="BA195">
        <f t="shared" si="339"/>
        <v>120</v>
      </c>
      <c r="BB195">
        <f t="shared" si="339"/>
        <v>120</v>
      </c>
      <c r="BC195">
        <f t="shared" si="339"/>
        <v>120</v>
      </c>
      <c r="BD195">
        <f t="shared" si="339"/>
        <v>120</v>
      </c>
      <c r="BE195">
        <f t="shared" si="339"/>
        <v>120</v>
      </c>
      <c r="BF195">
        <f t="shared" si="339"/>
        <v>120</v>
      </c>
      <c r="BG195">
        <f t="shared" si="339"/>
        <v>120</v>
      </c>
      <c r="BH195">
        <f t="shared" si="339"/>
        <v>120</v>
      </c>
      <c r="BI195">
        <f t="shared" si="339"/>
        <v>120</v>
      </c>
      <c r="BJ195">
        <f t="shared" si="339"/>
        <v>120</v>
      </c>
      <c r="BK195">
        <f t="shared" si="339"/>
        <v>120</v>
      </c>
      <c r="BL195">
        <f t="shared" si="339"/>
        <v>120</v>
      </c>
      <c r="BM195">
        <f t="shared" si="339"/>
        <v>120</v>
      </c>
      <c r="BN195">
        <f t="shared" si="339"/>
        <v>120</v>
      </c>
      <c r="BO195">
        <f t="shared" si="339"/>
        <v>120</v>
      </c>
      <c r="BP195">
        <f t="shared" ref="BP195:CC195" si="340">BP189-BP192</f>
        <v>120</v>
      </c>
      <c r="BQ195">
        <f t="shared" si="340"/>
        <v>120</v>
      </c>
      <c r="BR195">
        <f t="shared" si="340"/>
        <v>120</v>
      </c>
      <c r="BS195">
        <f t="shared" si="340"/>
        <v>120</v>
      </c>
      <c r="BT195">
        <f t="shared" si="340"/>
        <v>120</v>
      </c>
      <c r="BU195">
        <f t="shared" si="340"/>
        <v>120</v>
      </c>
      <c r="BV195">
        <f t="shared" si="340"/>
        <v>120</v>
      </c>
      <c r="BW195">
        <f t="shared" si="340"/>
        <v>120</v>
      </c>
      <c r="BX195">
        <f t="shared" si="340"/>
        <v>120</v>
      </c>
      <c r="BY195">
        <f t="shared" si="340"/>
        <v>120</v>
      </c>
      <c r="BZ195">
        <f t="shared" si="340"/>
        <v>120</v>
      </c>
      <c r="CA195">
        <f t="shared" si="340"/>
        <v>120</v>
      </c>
      <c r="CB195">
        <f t="shared" si="340"/>
        <v>120</v>
      </c>
      <c r="CC195">
        <f t="shared" si="340"/>
        <v>120</v>
      </c>
    </row>
    <row r="196" spans="1:81" x14ac:dyDescent="0.2">
      <c r="A196" s="43" t="s">
        <v>242</v>
      </c>
      <c r="B196" s="44" t="s">
        <v>208</v>
      </c>
      <c r="C196" s="9" t="s">
        <v>38</v>
      </c>
      <c r="D196" s="58">
        <f>IFERROR(VLOOKUP(A196,OS!$A:$B,2,0),0)</f>
        <v>525</v>
      </c>
      <c r="E196" s="5">
        <f>(D196+D197-D199)</f>
        <v>525</v>
      </c>
      <c r="F196" s="5">
        <f>(E196+E197-E199)</f>
        <v>525</v>
      </c>
      <c r="G196" s="5">
        <f>(F196+F197-F199)</f>
        <v>525</v>
      </c>
      <c r="H196" s="5">
        <f>(G196+G197-G199)</f>
        <v>425</v>
      </c>
      <c r="I196" s="5">
        <f t="shared" ref="I196:AN196" si="341">(H196+H197-H199+D198)</f>
        <v>425</v>
      </c>
      <c r="J196" s="5">
        <f t="shared" si="341"/>
        <v>425</v>
      </c>
      <c r="K196" s="5">
        <f t="shared" si="341"/>
        <v>425</v>
      </c>
      <c r="L196" s="5">
        <f t="shared" si="341"/>
        <v>425</v>
      </c>
      <c r="M196" s="5">
        <f t="shared" si="341"/>
        <v>425</v>
      </c>
      <c r="N196" s="5">
        <f t="shared" si="341"/>
        <v>425</v>
      </c>
      <c r="O196" s="5">
        <f t="shared" si="341"/>
        <v>425</v>
      </c>
      <c r="P196" s="5">
        <f t="shared" si="341"/>
        <v>425</v>
      </c>
      <c r="Q196" s="5">
        <f t="shared" si="341"/>
        <v>425</v>
      </c>
      <c r="R196" s="5">
        <f t="shared" si="341"/>
        <v>425</v>
      </c>
      <c r="S196" s="5">
        <f t="shared" si="341"/>
        <v>425</v>
      </c>
      <c r="T196" s="5">
        <f t="shared" si="341"/>
        <v>425</v>
      </c>
      <c r="U196" s="5">
        <f t="shared" si="341"/>
        <v>425</v>
      </c>
      <c r="V196" s="5">
        <f t="shared" si="341"/>
        <v>425</v>
      </c>
      <c r="W196" s="5">
        <f t="shared" si="341"/>
        <v>425</v>
      </c>
      <c r="X196" s="5">
        <f t="shared" si="341"/>
        <v>425</v>
      </c>
      <c r="Y196" s="5">
        <f t="shared" si="341"/>
        <v>425</v>
      </c>
      <c r="Z196" s="5">
        <f t="shared" si="341"/>
        <v>425</v>
      </c>
      <c r="AA196" s="5">
        <f t="shared" si="341"/>
        <v>425</v>
      </c>
      <c r="AB196" s="5">
        <f t="shared" si="341"/>
        <v>425</v>
      </c>
      <c r="AC196" s="5">
        <f t="shared" si="341"/>
        <v>425</v>
      </c>
      <c r="AD196" s="5">
        <f t="shared" si="341"/>
        <v>425</v>
      </c>
      <c r="AE196" s="5">
        <f t="shared" si="341"/>
        <v>425</v>
      </c>
      <c r="AF196" s="5">
        <f t="shared" si="341"/>
        <v>425</v>
      </c>
      <c r="AG196" s="5">
        <f t="shared" si="341"/>
        <v>425</v>
      </c>
      <c r="AH196" s="5">
        <f t="shared" si="341"/>
        <v>425</v>
      </c>
      <c r="AI196" s="5">
        <f t="shared" si="341"/>
        <v>425</v>
      </c>
      <c r="AJ196" s="5">
        <f t="shared" si="341"/>
        <v>425</v>
      </c>
      <c r="AK196" s="5">
        <f t="shared" si="341"/>
        <v>425</v>
      </c>
      <c r="AL196" s="5">
        <f t="shared" si="341"/>
        <v>425</v>
      </c>
      <c r="AM196" s="5">
        <f t="shared" si="341"/>
        <v>425</v>
      </c>
      <c r="AN196" s="5">
        <f t="shared" si="341"/>
        <v>425</v>
      </c>
      <c r="AO196" s="5">
        <f t="shared" ref="AO196:BT196" si="342">(AN196+AN197-AN199+AJ198)</f>
        <v>422</v>
      </c>
      <c r="AP196" s="5">
        <f t="shared" si="342"/>
        <v>419</v>
      </c>
      <c r="AQ196" s="5">
        <f t="shared" si="342"/>
        <v>416</v>
      </c>
      <c r="AR196" s="5">
        <f t="shared" si="342"/>
        <v>412</v>
      </c>
      <c r="AS196" s="5">
        <f t="shared" si="342"/>
        <v>408</v>
      </c>
      <c r="AT196" s="5">
        <f t="shared" si="342"/>
        <v>405</v>
      </c>
      <c r="AU196" s="5">
        <f t="shared" si="342"/>
        <v>401</v>
      </c>
      <c r="AV196" s="5">
        <f t="shared" si="342"/>
        <v>397</v>
      </c>
      <c r="AW196" s="5">
        <f t="shared" si="342"/>
        <v>393</v>
      </c>
      <c r="AX196" s="5">
        <f t="shared" si="342"/>
        <v>389</v>
      </c>
      <c r="AY196" s="5">
        <f t="shared" si="342"/>
        <v>385</v>
      </c>
      <c r="AZ196" s="5">
        <f t="shared" si="342"/>
        <v>382</v>
      </c>
      <c r="BA196" s="5">
        <f t="shared" si="342"/>
        <v>379</v>
      </c>
      <c r="BB196" s="5">
        <f t="shared" si="342"/>
        <v>376</v>
      </c>
      <c r="BC196" s="5">
        <f t="shared" si="342"/>
        <v>373</v>
      </c>
      <c r="BD196" s="5">
        <f t="shared" si="342"/>
        <v>370</v>
      </c>
      <c r="BE196" s="5">
        <f t="shared" si="342"/>
        <v>367</v>
      </c>
      <c r="BF196" s="5">
        <f t="shared" si="342"/>
        <v>364</v>
      </c>
      <c r="BG196" s="5">
        <f t="shared" si="342"/>
        <v>361</v>
      </c>
      <c r="BH196" s="5">
        <f t="shared" si="342"/>
        <v>358</v>
      </c>
      <c r="BI196" s="5">
        <f t="shared" si="342"/>
        <v>355</v>
      </c>
      <c r="BJ196" s="5">
        <f t="shared" si="342"/>
        <v>352</v>
      </c>
      <c r="BK196" s="5">
        <f t="shared" si="342"/>
        <v>349</v>
      </c>
      <c r="BL196" s="5">
        <f t="shared" si="342"/>
        <v>346</v>
      </c>
      <c r="BM196" s="5">
        <f t="shared" si="342"/>
        <v>343</v>
      </c>
      <c r="BN196" s="5">
        <f t="shared" si="342"/>
        <v>340</v>
      </c>
      <c r="BO196" s="5">
        <f t="shared" si="342"/>
        <v>335</v>
      </c>
      <c r="BP196" s="5">
        <f t="shared" si="342"/>
        <v>335</v>
      </c>
      <c r="BQ196" s="5">
        <f t="shared" si="342"/>
        <v>335</v>
      </c>
      <c r="BR196" s="5">
        <f t="shared" si="342"/>
        <v>335</v>
      </c>
      <c r="BS196" s="5">
        <f t="shared" si="342"/>
        <v>335</v>
      </c>
      <c r="BT196" s="5">
        <f t="shared" si="342"/>
        <v>333</v>
      </c>
      <c r="BU196" s="5">
        <f t="shared" ref="BU196:CZ196" si="343">(BT196+BT197-BT199+BP198)</f>
        <v>331</v>
      </c>
      <c r="BV196" s="5">
        <f t="shared" si="343"/>
        <v>329</v>
      </c>
      <c r="BW196" s="5">
        <f t="shared" si="343"/>
        <v>327</v>
      </c>
      <c r="BX196" s="5">
        <f t="shared" si="343"/>
        <v>325</v>
      </c>
      <c r="BY196" s="5">
        <f t="shared" si="343"/>
        <v>323</v>
      </c>
      <c r="BZ196" s="5">
        <f t="shared" si="343"/>
        <v>321</v>
      </c>
      <c r="CA196" s="5">
        <f t="shared" si="343"/>
        <v>319</v>
      </c>
      <c r="CB196" s="5">
        <f t="shared" si="343"/>
        <v>317</v>
      </c>
      <c r="CC196" s="5">
        <f t="shared" si="343"/>
        <v>315</v>
      </c>
    </row>
    <row r="197" spans="1:81" x14ac:dyDescent="0.2">
      <c r="A197" s="5" t="s">
        <v>209</v>
      </c>
      <c r="B197" s="5">
        <v>7.57897</v>
      </c>
      <c r="C197" s="45" t="s">
        <v>39</v>
      </c>
      <c r="D197" s="59">
        <f>IFERROR(VLOOKUP(A196,WIP!$A:$B,2,0),0)</f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</row>
    <row r="198" spans="1:81" x14ac:dyDescent="0.2">
      <c r="A198" s="5" t="s">
        <v>210</v>
      </c>
      <c r="B198" s="5">
        <v>0.21</v>
      </c>
      <c r="C198" s="9" t="s">
        <v>211</v>
      </c>
      <c r="D198" s="60">
        <f>IFERROR(VLOOKUP($A196,Plan!$A:B,D$4,0),0)</f>
        <v>0</v>
      </c>
      <c r="E198" s="70">
        <f>IFERROR(VLOOKUP($A196,Plan!$A:C,E$4,0),0)</f>
        <v>0</v>
      </c>
      <c r="F198" s="70">
        <f>IFERROR(VLOOKUP($A196,Plan!$A:D,F$4,0),0)</f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</row>
    <row r="199" spans="1:81" x14ac:dyDescent="0.2">
      <c r="A199" s="5" t="s">
        <v>212</v>
      </c>
      <c r="B199" s="5">
        <v>3.3000000000000002E-2</v>
      </c>
      <c r="C199" s="9" t="s">
        <v>213</v>
      </c>
      <c r="D199" s="61">
        <f>IFERROR(VLOOKUP($A196,Sales!$A:B,D$2,0),0)</f>
        <v>0</v>
      </c>
      <c r="E199" s="61">
        <f>IFERROR(VLOOKUP($A196,Sales!$A:C,E$2,0),0)</f>
        <v>0</v>
      </c>
      <c r="F199" s="61">
        <f>IFERROR(VLOOKUP($A196,Sales!$A:D,F$2,0),0)</f>
        <v>0</v>
      </c>
      <c r="G199" s="61">
        <f>IFERROR(VLOOKUP($A196,Sales!$A:E,G$2,0),0)</f>
        <v>100</v>
      </c>
      <c r="H199" s="61">
        <f>IFERROR(VLOOKUP($A196,Sales!$A:F,H$2,0),0)</f>
        <v>0</v>
      </c>
      <c r="I199" s="61">
        <f>IFERROR(VLOOKUP($A196,Sales!$A:G,I$2,0),0)</f>
        <v>0</v>
      </c>
      <c r="J199" s="61">
        <f>IFERROR(VLOOKUP($A196,Sales!$A:H,J$2,0),0)</f>
        <v>0</v>
      </c>
      <c r="K199" s="61">
        <f>IFERROR(VLOOKUP($A196,Sales!$A:I,K$2,0),0)</f>
        <v>0</v>
      </c>
      <c r="L199" s="61">
        <f>IFERROR(VLOOKUP($A196,Sales!$A:J,L$2,0),0)</f>
        <v>0</v>
      </c>
      <c r="M199" s="61">
        <f>IFERROR(VLOOKUP($A196,Sales!$A:K,M$2,0),0)</f>
        <v>0</v>
      </c>
      <c r="N199" s="61">
        <f>IFERROR(VLOOKUP($A196,Sales!$A:L,N$2,0),0)</f>
        <v>0</v>
      </c>
      <c r="O199" s="61">
        <f>IFERROR(VLOOKUP($A196,Sales!$A:M,O$2,0),0)</f>
        <v>0</v>
      </c>
      <c r="P199" s="61">
        <f>IFERROR(VLOOKUP($A196,Sales!$A:N,P$2,0),0)</f>
        <v>0</v>
      </c>
      <c r="Q199" s="61">
        <f>IFERROR(VLOOKUP($A196,Sales!$A:O,Q$2,0),0)</f>
        <v>0</v>
      </c>
      <c r="R199" s="61">
        <f>IFERROR(VLOOKUP($A196,Sales!$A:P,R$2,0),0)</f>
        <v>0</v>
      </c>
      <c r="S199" s="61">
        <f>IFERROR(VLOOKUP($A196,Sales!$A:Q,S$2,0),0)</f>
        <v>0</v>
      </c>
      <c r="T199" s="61">
        <f>IFERROR(VLOOKUP($A196,Sales!$A:R,T$2,0),0)</f>
        <v>0</v>
      </c>
      <c r="U199" s="61">
        <f>IFERROR(VLOOKUP($A196,Sales!$A:S,U$2,0),0)</f>
        <v>0</v>
      </c>
      <c r="V199" s="61">
        <f>IFERROR(VLOOKUP($A196,Sales!$A:T,V$2,0),0)</f>
        <v>0</v>
      </c>
      <c r="W199" s="61">
        <f>IFERROR(VLOOKUP($A196,Sales!$A:U,W$2,0),0)</f>
        <v>0</v>
      </c>
      <c r="X199" s="61">
        <f>IFERROR(VLOOKUP($A196,Sales!$A:V,X$2,0),0)</f>
        <v>0</v>
      </c>
      <c r="Y199" s="61">
        <f>IFERROR(VLOOKUP($A196,Sales!$A:W,Y$2,0),0)</f>
        <v>0</v>
      </c>
      <c r="Z199" s="61">
        <f>IFERROR(VLOOKUP($A196,Sales!$A:X,Z$2,0),0)</f>
        <v>0</v>
      </c>
      <c r="AA199" s="61">
        <f>IFERROR(VLOOKUP($A196,Sales!$A:Y,AA$2,0),0)</f>
        <v>0</v>
      </c>
      <c r="AB199" s="61">
        <f>IFERROR(VLOOKUP($A196,Sales!$A:Z,AB$2,0),0)</f>
        <v>0</v>
      </c>
      <c r="AC199" s="61">
        <f>IFERROR(VLOOKUP($A196,Sales!$A:AA,AC$2,0),0)</f>
        <v>0</v>
      </c>
      <c r="AD199" s="61">
        <f>IFERROR(VLOOKUP($A196,Sales!$A:AB,AD$2,0),0)</f>
        <v>0</v>
      </c>
      <c r="AE199" s="61">
        <f>IFERROR(VLOOKUP($A196,Sales!$A:AC,AE$2,0),0)</f>
        <v>0</v>
      </c>
      <c r="AF199" s="61">
        <f>IFERROR(VLOOKUP($A196,Sales!$A:AD,AF$2,0),0)</f>
        <v>0</v>
      </c>
      <c r="AG199" s="61">
        <f>IFERROR(VLOOKUP($A196,Sales!$A:AE,AG$2,0),0)</f>
        <v>0</v>
      </c>
      <c r="AH199" s="61">
        <f>IFERROR(VLOOKUP($A196,Sales!$A:AF,AH$2,0),0)</f>
        <v>0</v>
      </c>
      <c r="AI199" s="61">
        <f>IFERROR(VLOOKUP($A196,Sales!$A:AG,AI$2,0),0)</f>
        <v>0</v>
      </c>
      <c r="AJ199" s="61">
        <f>IFERROR(VLOOKUP($A196,Sales!$A:AH,AJ$2,0),0)</f>
        <v>0</v>
      </c>
      <c r="AK199" s="73">
        <f t="shared" ref="AK199:CC199" si="344">CEILING(AK$5*$B195,1)</f>
        <v>0</v>
      </c>
      <c r="AL199" s="73">
        <f t="shared" si="344"/>
        <v>0</v>
      </c>
      <c r="AM199" s="73">
        <f t="shared" si="344"/>
        <v>0</v>
      </c>
      <c r="AN199" s="73">
        <f t="shared" si="344"/>
        <v>3</v>
      </c>
      <c r="AO199" s="73">
        <f t="shared" si="344"/>
        <v>3</v>
      </c>
      <c r="AP199" s="73">
        <f t="shared" si="344"/>
        <v>3</v>
      </c>
      <c r="AQ199" s="73">
        <f t="shared" si="344"/>
        <v>4</v>
      </c>
      <c r="AR199" s="73">
        <f t="shared" si="344"/>
        <v>4</v>
      </c>
      <c r="AS199" s="73">
        <f t="shared" si="344"/>
        <v>3</v>
      </c>
      <c r="AT199" s="73">
        <f t="shared" si="344"/>
        <v>4</v>
      </c>
      <c r="AU199" s="73">
        <f t="shared" si="344"/>
        <v>4</v>
      </c>
      <c r="AV199" s="73">
        <f t="shared" si="344"/>
        <v>4</v>
      </c>
      <c r="AW199" s="73">
        <f t="shared" si="344"/>
        <v>4</v>
      </c>
      <c r="AX199" s="73">
        <f t="shared" si="344"/>
        <v>4</v>
      </c>
      <c r="AY199" s="73">
        <f t="shared" si="344"/>
        <v>3</v>
      </c>
      <c r="AZ199" s="73">
        <f t="shared" si="344"/>
        <v>3</v>
      </c>
      <c r="BA199" s="73">
        <f t="shared" si="344"/>
        <v>3</v>
      </c>
      <c r="BB199" s="73">
        <f t="shared" si="344"/>
        <v>3</v>
      </c>
      <c r="BC199" s="73">
        <f t="shared" si="344"/>
        <v>3</v>
      </c>
      <c r="BD199" s="73">
        <f t="shared" si="344"/>
        <v>3</v>
      </c>
      <c r="BE199" s="73">
        <f t="shared" si="344"/>
        <v>3</v>
      </c>
      <c r="BF199" s="73">
        <f t="shared" si="344"/>
        <v>3</v>
      </c>
      <c r="BG199" s="73">
        <f t="shared" si="344"/>
        <v>3</v>
      </c>
      <c r="BH199" s="73">
        <f t="shared" si="344"/>
        <v>3</v>
      </c>
      <c r="BI199" s="73">
        <f t="shared" si="344"/>
        <v>3</v>
      </c>
      <c r="BJ199" s="73">
        <f t="shared" si="344"/>
        <v>3</v>
      </c>
      <c r="BK199" s="73">
        <f t="shared" si="344"/>
        <v>3</v>
      </c>
      <c r="BL199" s="73">
        <f t="shared" si="344"/>
        <v>3</v>
      </c>
      <c r="BM199" s="73">
        <f t="shared" si="344"/>
        <v>3</v>
      </c>
      <c r="BN199" s="73">
        <f t="shared" si="344"/>
        <v>5</v>
      </c>
      <c r="BO199" s="73">
        <f t="shared" si="344"/>
        <v>0</v>
      </c>
      <c r="BP199" s="73">
        <f t="shared" si="344"/>
        <v>0</v>
      </c>
      <c r="BQ199" s="73">
        <f t="shared" si="344"/>
        <v>0</v>
      </c>
      <c r="BR199" s="73">
        <f t="shared" si="344"/>
        <v>0</v>
      </c>
      <c r="BS199" s="73">
        <f t="shared" si="344"/>
        <v>2</v>
      </c>
      <c r="BT199" s="73">
        <f t="shared" si="344"/>
        <v>2</v>
      </c>
      <c r="BU199" s="73">
        <f t="shared" si="344"/>
        <v>2</v>
      </c>
      <c r="BV199" s="73">
        <f t="shared" si="344"/>
        <v>2</v>
      </c>
      <c r="BW199" s="73">
        <f t="shared" si="344"/>
        <v>2</v>
      </c>
      <c r="BX199" s="73">
        <f t="shared" si="344"/>
        <v>2</v>
      </c>
      <c r="BY199" s="73">
        <f t="shared" si="344"/>
        <v>2</v>
      </c>
      <c r="BZ199" s="73">
        <f t="shared" si="344"/>
        <v>2</v>
      </c>
      <c r="CA199" s="73">
        <f t="shared" si="344"/>
        <v>2</v>
      </c>
      <c r="CB199" s="73">
        <f t="shared" si="344"/>
        <v>2</v>
      </c>
      <c r="CC199" s="73">
        <f t="shared" si="344"/>
        <v>2</v>
      </c>
    </row>
    <row r="200" spans="1:81" x14ac:dyDescent="0.2">
      <c r="A200" s="5" t="s">
        <v>214</v>
      </c>
      <c r="B200" s="5">
        <v>0.24299999999999999</v>
      </c>
      <c r="C200" s="46" t="s">
        <v>215</v>
      </c>
      <c r="D200" s="11">
        <f t="shared" ref="D200:AI200" si="345">IF(D199=0,0, ROUND(D196 * 1/D199* D$13,1))</f>
        <v>0</v>
      </c>
      <c r="E200" s="11">
        <f t="shared" si="345"/>
        <v>0</v>
      </c>
      <c r="F200" s="11">
        <f t="shared" si="345"/>
        <v>0</v>
      </c>
      <c r="G200" s="11">
        <f t="shared" si="345"/>
        <v>26.3</v>
      </c>
      <c r="H200" s="11">
        <f t="shared" si="345"/>
        <v>0</v>
      </c>
      <c r="I200" s="11">
        <f t="shared" si="345"/>
        <v>0</v>
      </c>
      <c r="J200" s="11">
        <f t="shared" si="345"/>
        <v>0</v>
      </c>
      <c r="K200" s="11">
        <f t="shared" si="345"/>
        <v>0</v>
      </c>
      <c r="L200" s="11">
        <f t="shared" si="345"/>
        <v>0</v>
      </c>
      <c r="M200" s="11">
        <f t="shared" si="345"/>
        <v>0</v>
      </c>
      <c r="N200" s="11">
        <f t="shared" si="345"/>
        <v>0</v>
      </c>
      <c r="O200" s="11">
        <f t="shared" si="345"/>
        <v>0</v>
      </c>
      <c r="P200" s="11">
        <f t="shared" si="345"/>
        <v>0</v>
      </c>
      <c r="Q200" s="11">
        <f t="shared" si="345"/>
        <v>0</v>
      </c>
      <c r="R200" s="11">
        <f t="shared" si="345"/>
        <v>0</v>
      </c>
      <c r="S200" s="11">
        <f t="shared" si="345"/>
        <v>0</v>
      </c>
      <c r="T200" s="11">
        <f t="shared" si="345"/>
        <v>0</v>
      </c>
      <c r="U200" s="11">
        <f t="shared" si="345"/>
        <v>0</v>
      </c>
      <c r="V200" s="11">
        <f t="shared" si="345"/>
        <v>0</v>
      </c>
      <c r="W200" s="11">
        <f t="shared" si="345"/>
        <v>0</v>
      </c>
      <c r="X200" s="11">
        <f t="shared" si="345"/>
        <v>0</v>
      </c>
      <c r="Y200" s="11">
        <f t="shared" si="345"/>
        <v>0</v>
      </c>
      <c r="Z200" s="11">
        <f t="shared" si="345"/>
        <v>0</v>
      </c>
      <c r="AA200" s="11">
        <f t="shared" si="345"/>
        <v>0</v>
      </c>
      <c r="AB200" s="11">
        <f t="shared" si="345"/>
        <v>0</v>
      </c>
      <c r="AC200" s="11">
        <f t="shared" si="345"/>
        <v>0</v>
      </c>
      <c r="AD200" s="11">
        <f t="shared" si="345"/>
        <v>0</v>
      </c>
      <c r="AE200" s="11">
        <f t="shared" si="345"/>
        <v>0</v>
      </c>
      <c r="AF200" s="11">
        <f t="shared" si="345"/>
        <v>0</v>
      </c>
      <c r="AG200" s="11">
        <f t="shared" si="345"/>
        <v>0</v>
      </c>
      <c r="AH200" s="11">
        <f t="shared" si="345"/>
        <v>0</v>
      </c>
      <c r="AI200" s="11">
        <f t="shared" si="345"/>
        <v>0</v>
      </c>
      <c r="AJ200" s="11">
        <f t="shared" ref="AJ200:BO200" si="346">IF(AJ199=0,0, ROUND(AJ196 * 1/AJ199* AJ$13,1))</f>
        <v>0</v>
      </c>
      <c r="AK200" s="11">
        <f t="shared" si="346"/>
        <v>0</v>
      </c>
      <c r="AL200" s="11">
        <f t="shared" si="346"/>
        <v>0</v>
      </c>
      <c r="AM200" s="11">
        <f t="shared" si="346"/>
        <v>0</v>
      </c>
      <c r="AN200" s="11">
        <f t="shared" si="346"/>
        <v>708.3</v>
      </c>
      <c r="AO200" s="11">
        <f t="shared" si="346"/>
        <v>703.3</v>
      </c>
      <c r="AP200" s="11">
        <f t="shared" si="346"/>
        <v>698.3</v>
      </c>
      <c r="AQ200" s="11">
        <f t="shared" si="346"/>
        <v>520</v>
      </c>
      <c r="AR200" s="11">
        <f t="shared" si="346"/>
        <v>515</v>
      </c>
      <c r="AS200" s="11">
        <f t="shared" si="346"/>
        <v>680</v>
      </c>
      <c r="AT200" s="11">
        <f t="shared" si="346"/>
        <v>506.3</v>
      </c>
      <c r="AU200" s="11">
        <f t="shared" si="346"/>
        <v>501.3</v>
      </c>
      <c r="AV200" s="11">
        <f t="shared" si="346"/>
        <v>496.3</v>
      </c>
      <c r="AW200" s="11">
        <f t="shared" si="346"/>
        <v>491.3</v>
      </c>
      <c r="AX200" s="11">
        <f t="shared" si="346"/>
        <v>486.3</v>
      </c>
      <c r="AY200" s="11">
        <f t="shared" si="346"/>
        <v>641.70000000000005</v>
      </c>
      <c r="AZ200" s="11">
        <f t="shared" si="346"/>
        <v>636.70000000000005</v>
      </c>
      <c r="BA200" s="11">
        <f t="shared" si="346"/>
        <v>631.70000000000005</v>
      </c>
      <c r="BB200" s="11">
        <f t="shared" si="346"/>
        <v>626.70000000000005</v>
      </c>
      <c r="BC200" s="11">
        <f t="shared" si="346"/>
        <v>621.70000000000005</v>
      </c>
      <c r="BD200" s="11">
        <f t="shared" si="346"/>
        <v>616.70000000000005</v>
      </c>
      <c r="BE200" s="11">
        <f t="shared" si="346"/>
        <v>611.70000000000005</v>
      </c>
      <c r="BF200" s="11">
        <f t="shared" si="346"/>
        <v>606.70000000000005</v>
      </c>
      <c r="BG200" s="11">
        <f t="shared" si="346"/>
        <v>601.70000000000005</v>
      </c>
      <c r="BH200" s="11">
        <f t="shared" si="346"/>
        <v>596.70000000000005</v>
      </c>
      <c r="BI200" s="11">
        <f t="shared" si="346"/>
        <v>591.70000000000005</v>
      </c>
      <c r="BJ200" s="11">
        <f t="shared" si="346"/>
        <v>586.70000000000005</v>
      </c>
      <c r="BK200" s="11">
        <f t="shared" si="346"/>
        <v>581.70000000000005</v>
      </c>
      <c r="BL200" s="11">
        <f t="shared" si="346"/>
        <v>576.70000000000005</v>
      </c>
      <c r="BM200" s="11">
        <f t="shared" si="346"/>
        <v>571.70000000000005</v>
      </c>
      <c r="BN200" s="11">
        <f t="shared" si="346"/>
        <v>340</v>
      </c>
      <c r="BO200" s="11">
        <f t="shared" si="346"/>
        <v>0</v>
      </c>
      <c r="BP200" s="11">
        <f t="shared" ref="BP200:CU200" si="347">IF(BP199=0,0, ROUND(BP196 * 1/BP199* BP$13,1))</f>
        <v>0</v>
      </c>
      <c r="BQ200" s="11">
        <f t="shared" si="347"/>
        <v>0</v>
      </c>
      <c r="BR200" s="11">
        <f t="shared" si="347"/>
        <v>0</v>
      </c>
      <c r="BS200" s="11">
        <f t="shared" si="347"/>
        <v>837.5</v>
      </c>
      <c r="BT200" s="11">
        <f t="shared" si="347"/>
        <v>832.5</v>
      </c>
      <c r="BU200" s="11">
        <f t="shared" si="347"/>
        <v>827.5</v>
      </c>
      <c r="BV200" s="11">
        <f t="shared" si="347"/>
        <v>822.5</v>
      </c>
      <c r="BW200" s="11">
        <f t="shared" si="347"/>
        <v>817.5</v>
      </c>
      <c r="BX200" s="11">
        <f t="shared" si="347"/>
        <v>812.5</v>
      </c>
      <c r="BY200" s="11">
        <f t="shared" si="347"/>
        <v>807.5</v>
      </c>
      <c r="BZ200" s="11">
        <f t="shared" si="347"/>
        <v>802.5</v>
      </c>
      <c r="CA200" s="11">
        <f t="shared" si="347"/>
        <v>797.5</v>
      </c>
      <c r="CB200" s="11">
        <f t="shared" si="347"/>
        <v>792.5</v>
      </c>
      <c r="CC200" s="11">
        <f t="shared" si="347"/>
        <v>787.5</v>
      </c>
    </row>
    <row r="201" spans="1:81" x14ac:dyDescent="0.2">
      <c r="A201">
        <v>15</v>
      </c>
      <c r="B201">
        <v>1</v>
      </c>
      <c r="C201" s="8">
        <v>5.8636699999999999</v>
      </c>
      <c r="D201">
        <f t="shared" ref="D201:AI201" si="348">D198/$B201</f>
        <v>0</v>
      </c>
      <c r="E201">
        <f t="shared" si="348"/>
        <v>0</v>
      </c>
      <c r="F201">
        <f t="shared" si="348"/>
        <v>0</v>
      </c>
      <c r="G201">
        <f t="shared" si="348"/>
        <v>0</v>
      </c>
      <c r="H201">
        <f t="shared" si="348"/>
        <v>0</v>
      </c>
      <c r="I201">
        <f t="shared" si="348"/>
        <v>0</v>
      </c>
      <c r="J201">
        <f t="shared" si="348"/>
        <v>0</v>
      </c>
      <c r="K201">
        <f t="shared" si="348"/>
        <v>0</v>
      </c>
      <c r="L201">
        <f t="shared" si="348"/>
        <v>0</v>
      </c>
      <c r="M201">
        <f t="shared" si="348"/>
        <v>0</v>
      </c>
      <c r="N201">
        <f t="shared" si="348"/>
        <v>0</v>
      </c>
      <c r="O201">
        <f t="shared" si="348"/>
        <v>0</v>
      </c>
      <c r="P201">
        <f t="shared" si="348"/>
        <v>0</v>
      </c>
      <c r="Q201">
        <f t="shared" si="348"/>
        <v>0</v>
      </c>
      <c r="R201">
        <f t="shared" si="348"/>
        <v>0</v>
      </c>
      <c r="S201">
        <f t="shared" si="348"/>
        <v>0</v>
      </c>
      <c r="T201">
        <f t="shared" si="348"/>
        <v>0</v>
      </c>
      <c r="U201">
        <f t="shared" si="348"/>
        <v>0</v>
      </c>
      <c r="V201">
        <f t="shared" si="348"/>
        <v>0</v>
      </c>
      <c r="W201">
        <f t="shared" si="348"/>
        <v>0</v>
      </c>
      <c r="X201">
        <f t="shared" si="348"/>
        <v>0</v>
      </c>
      <c r="Y201">
        <f t="shared" si="348"/>
        <v>0</v>
      </c>
      <c r="Z201">
        <f t="shared" si="348"/>
        <v>0</v>
      </c>
      <c r="AA201">
        <f t="shared" si="348"/>
        <v>0</v>
      </c>
      <c r="AB201">
        <f t="shared" si="348"/>
        <v>0</v>
      </c>
      <c r="AC201">
        <f t="shared" si="348"/>
        <v>0</v>
      </c>
      <c r="AD201">
        <f t="shared" si="348"/>
        <v>0</v>
      </c>
      <c r="AE201">
        <f t="shared" si="348"/>
        <v>0</v>
      </c>
      <c r="AF201">
        <f t="shared" si="348"/>
        <v>0</v>
      </c>
      <c r="AG201">
        <f t="shared" si="348"/>
        <v>0</v>
      </c>
      <c r="AH201">
        <f t="shared" si="348"/>
        <v>0</v>
      </c>
      <c r="AI201">
        <f t="shared" si="348"/>
        <v>0</v>
      </c>
      <c r="AJ201">
        <f t="shared" ref="AJ201:BO201" si="349">AJ198/$B201</f>
        <v>0</v>
      </c>
      <c r="AK201">
        <f t="shared" si="349"/>
        <v>0</v>
      </c>
      <c r="AL201">
        <f t="shared" si="349"/>
        <v>0</v>
      </c>
      <c r="AM201">
        <f t="shared" si="349"/>
        <v>0</v>
      </c>
      <c r="AN201">
        <f t="shared" si="349"/>
        <v>0</v>
      </c>
      <c r="AO201">
        <f t="shared" si="349"/>
        <v>0</v>
      </c>
      <c r="AP201">
        <f t="shared" si="349"/>
        <v>0</v>
      </c>
      <c r="AQ201">
        <f t="shared" si="349"/>
        <v>0</v>
      </c>
      <c r="AR201">
        <f t="shared" si="349"/>
        <v>0</v>
      </c>
      <c r="AS201">
        <f t="shared" si="349"/>
        <v>0</v>
      </c>
      <c r="AT201">
        <f t="shared" si="349"/>
        <v>0</v>
      </c>
      <c r="AU201">
        <f t="shared" si="349"/>
        <v>0</v>
      </c>
      <c r="AV201">
        <f t="shared" si="349"/>
        <v>0</v>
      </c>
      <c r="AW201">
        <f t="shared" si="349"/>
        <v>0</v>
      </c>
      <c r="AX201">
        <f t="shared" si="349"/>
        <v>0</v>
      </c>
      <c r="AY201">
        <f t="shared" si="349"/>
        <v>0</v>
      </c>
      <c r="AZ201">
        <f t="shared" si="349"/>
        <v>0</v>
      </c>
      <c r="BA201">
        <f t="shared" si="349"/>
        <v>0</v>
      </c>
      <c r="BB201">
        <f t="shared" si="349"/>
        <v>0</v>
      </c>
      <c r="BC201">
        <f t="shared" si="349"/>
        <v>0</v>
      </c>
      <c r="BD201">
        <f t="shared" si="349"/>
        <v>0</v>
      </c>
      <c r="BE201">
        <f t="shared" si="349"/>
        <v>0</v>
      </c>
      <c r="BF201">
        <f t="shared" si="349"/>
        <v>0</v>
      </c>
      <c r="BG201">
        <f t="shared" si="349"/>
        <v>0</v>
      </c>
      <c r="BH201">
        <f t="shared" si="349"/>
        <v>0</v>
      </c>
      <c r="BI201">
        <f t="shared" si="349"/>
        <v>0</v>
      </c>
      <c r="BJ201">
        <f t="shared" si="349"/>
        <v>0</v>
      </c>
      <c r="BK201">
        <f t="shared" si="349"/>
        <v>0</v>
      </c>
      <c r="BL201">
        <f t="shared" si="349"/>
        <v>0</v>
      </c>
      <c r="BM201">
        <f t="shared" si="349"/>
        <v>0</v>
      </c>
      <c r="BN201">
        <f t="shared" si="349"/>
        <v>0</v>
      </c>
      <c r="BO201">
        <f t="shared" si="349"/>
        <v>0</v>
      </c>
      <c r="BP201">
        <f t="shared" ref="BP201:CC201" si="350">BP198/$B201</f>
        <v>0</v>
      </c>
      <c r="BQ201">
        <f t="shared" si="350"/>
        <v>0</v>
      </c>
      <c r="BR201">
        <f t="shared" si="350"/>
        <v>0</v>
      </c>
      <c r="BS201">
        <f t="shared" si="350"/>
        <v>0</v>
      </c>
      <c r="BT201">
        <f t="shared" si="350"/>
        <v>0</v>
      </c>
      <c r="BU201">
        <f t="shared" si="350"/>
        <v>0</v>
      </c>
      <c r="BV201">
        <f t="shared" si="350"/>
        <v>0</v>
      </c>
      <c r="BW201">
        <f t="shared" si="350"/>
        <v>0</v>
      </c>
      <c r="BX201">
        <f t="shared" si="350"/>
        <v>0</v>
      </c>
      <c r="BY201">
        <f t="shared" si="350"/>
        <v>0</v>
      </c>
      <c r="BZ201">
        <f t="shared" si="350"/>
        <v>0</v>
      </c>
      <c r="CA201">
        <f t="shared" si="350"/>
        <v>0</v>
      </c>
      <c r="CB201">
        <f t="shared" si="350"/>
        <v>0</v>
      </c>
      <c r="CC201">
        <f t="shared" si="350"/>
        <v>0</v>
      </c>
    </row>
    <row r="202" spans="1:81" x14ac:dyDescent="0.2">
      <c r="B202" s="67">
        <f>SUM(D206:AJ206)/SUM($D$263:$AJ$263)</f>
        <v>0</v>
      </c>
      <c r="C202" s="9" t="s">
        <v>216</v>
      </c>
      <c r="D202">
        <f t="shared" ref="D202:AI202" si="351">D196-D199</f>
        <v>525</v>
      </c>
      <c r="E202">
        <f t="shared" si="351"/>
        <v>525</v>
      </c>
      <c r="F202">
        <f t="shared" si="351"/>
        <v>525</v>
      </c>
      <c r="G202">
        <f t="shared" si="351"/>
        <v>425</v>
      </c>
      <c r="H202">
        <f t="shared" si="351"/>
        <v>425</v>
      </c>
      <c r="I202">
        <f t="shared" si="351"/>
        <v>425</v>
      </c>
      <c r="J202">
        <f t="shared" si="351"/>
        <v>425</v>
      </c>
      <c r="K202">
        <f t="shared" si="351"/>
        <v>425</v>
      </c>
      <c r="L202">
        <f t="shared" si="351"/>
        <v>425</v>
      </c>
      <c r="M202">
        <f t="shared" si="351"/>
        <v>425</v>
      </c>
      <c r="N202">
        <f t="shared" si="351"/>
        <v>425</v>
      </c>
      <c r="O202">
        <f t="shared" si="351"/>
        <v>425</v>
      </c>
      <c r="P202">
        <f t="shared" si="351"/>
        <v>425</v>
      </c>
      <c r="Q202">
        <f t="shared" si="351"/>
        <v>425</v>
      </c>
      <c r="R202">
        <f t="shared" si="351"/>
        <v>425</v>
      </c>
      <c r="S202">
        <f t="shared" si="351"/>
        <v>425</v>
      </c>
      <c r="T202">
        <f t="shared" si="351"/>
        <v>425</v>
      </c>
      <c r="U202">
        <f t="shared" si="351"/>
        <v>425</v>
      </c>
      <c r="V202">
        <f t="shared" si="351"/>
        <v>425</v>
      </c>
      <c r="W202">
        <f t="shared" si="351"/>
        <v>425</v>
      </c>
      <c r="X202">
        <f t="shared" si="351"/>
        <v>425</v>
      </c>
      <c r="Y202">
        <f t="shared" si="351"/>
        <v>425</v>
      </c>
      <c r="Z202">
        <f t="shared" si="351"/>
        <v>425</v>
      </c>
      <c r="AA202">
        <f t="shared" si="351"/>
        <v>425</v>
      </c>
      <c r="AB202">
        <f t="shared" si="351"/>
        <v>425</v>
      </c>
      <c r="AC202">
        <f t="shared" si="351"/>
        <v>425</v>
      </c>
      <c r="AD202">
        <f t="shared" si="351"/>
        <v>425</v>
      </c>
      <c r="AE202">
        <f t="shared" si="351"/>
        <v>425</v>
      </c>
      <c r="AF202">
        <f t="shared" si="351"/>
        <v>425</v>
      </c>
      <c r="AG202">
        <f t="shared" si="351"/>
        <v>425</v>
      </c>
      <c r="AH202">
        <f t="shared" si="351"/>
        <v>425</v>
      </c>
      <c r="AI202">
        <f t="shared" si="351"/>
        <v>425</v>
      </c>
      <c r="AJ202">
        <f t="shared" ref="AJ202:BO202" si="352">AJ196-AJ199</f>
        <v>425</v>
      </c>
      <c r="AK202">
        <f t="shared" si="352"/>
        <v>425</v>
      </c>
      <c r="AL202">
        <f t="shared" si="352"/>
        <v>425</v>
      </c>
      <c r="AM202">
        <f t="shared" si="352"/>
        <v>425</v>
      </c>
      <c r="AN202">
        <f t="shared" si="352"/>
        <v>422</v>
      </c>
      <c r="AO202">
        <f t="shared" si="352"/>
        <v>419</v>
      </c>
      <c r="AP202">
        <f t="shared" si="352"/>
        <v>416</v>
      </c>
      <c r="AQ202">
        <f t="shared" si="352"/>
        <v>412</v>
      </c>
      <c r="AR202">
        <f t="shared" si="352"/>
        <v>408</v>
      </c>
      <c r="AS202">
        <f t="shared" si="352"/>
        <v>405</v>
      </c>
      <c r="AT202">
        <f t="shared" si="352"/>
        <v>401</v>
      </c>
      <c r="AU202">
        <f t="shared" si="352"/>
        <v>397</v>
      </c>
      <c r="AV202">
        <f t="shared" si="352"/>
        <v>393</v>
      </c>
      <c r="AW202">
        <f t="shared" si="352"/>
        <v>389</v>
      </c>
      <c r="AX202">
        <f t="shared" si="352"/>
        <v>385</v>
      </c>
      <c r="AY202">
        <f t="shared" si="352"/>
        <v>382</v>
      </c>
      <c r="AZ202">
        <f t="shared" si="352"/>
        <v>379</v>
      </c>
      <c r="BA202">
        <f t="shared" si="352"/>
        <v>376</v>
      </c>
      <c r="BB202">
        <f t="shared" si="352"/>
        <v>373</v>
      </c>
      <c r="BC202">
        <f t="shared" si="352"/>
        <v>370</v>
      </c>
      <c r="BD202">
        <f t="shared" si="352"/>
        <v>367</v>
      </c>
      <c r="BE202">
        <f t="shared" si="352"/>
        <v>364</v>
      </c>
      <c r="BF202">
        <f t="shared" si="352"/>
        <v>361</v>
      </c>
      <c r="BG202">
        <f t="shared" si="352"/>
        <v>358</v>
      </c>
      <c r="BH202">
        <f t="shared" si="352"/>
        <v>355</v>
      </c>
      <c r="BI202">
        <f t="shared" si="352"/>
        <v>352</v>
      </c>
      <c r="BJ202">
        <f t="shared" si="352"/>
        <v>349</v>
      </c>
      <c r="BK202">
        <f t="shared" si="352"/>
        <v>346</v>
      </c>
      <c r="BL202">
        <f t="shared" si="352"/>
        <v>343</v>
      </c>
      <c r="BM202">
        <f t="shared" si="352"/>
        <v>340</v>
      </c>
      <c r="BN202">
        <f t="shared" si="352"/>
        <v>335</v>
      </c>
      <c r="BO202">
        <f t="shared" si="352"/>
        <v>335</v>
      </c>
      <c r="BP202">
        <f t="shared" ref="BP202:CC202" si="353">BP196-BP199</f>
        <v>335</v>
      </c>
      <c r="BQ202">
        <f t="shared" si="353"/>
        <v>335</v>
      </c>
      <c r="BR202">
        <f t="shared" si="353"/>
        <v>335</v>
      </c>
      <c r="BS202">
        <f t="shared" si="353"/>
        <v>333</v>
      </c>
      <c r="BT202">
        <f t="shared" si="353"/>
        <v>331</v>
      </c>
      <c r="BU202">
        <f t="shared" si="353"/>
        <v>329</v>
      </c>
      <c r="BV202">
        <f t="shared" si="353"/>
        <v>327</v>
      </c>
      <c r="BW202">
        <f t="shared" si="353"/>
        <v>325</v>
      </c>
      <c r="BX202">
        <f t="shared" si="353"/>
        <v>323</v>
      </c>
      <c r="BY202">
        <f t="shared" si="353"/>
        <v>321</v>
      </c>
      <c r="BZ202">
        <f t="shared" si="353"/>
        <v>319</v>
      </c>
      <c r="CA202">
        <f t="shared" si="353"/>
        <v>317</v>
      </c>
      <c r="CB202">
        <f t="shared" si="353"/>
        <v>315</v>
      </c>
      <c r="CC202">
        <f t="shared" si="353"/>
        <v>313</v>
      </c>
    </row>
    <row r="203" spans="1:81" x14ac:dyDescent="0.2">
      <c r="A203" s="43" t="s">
        <v>243</v>
      </c>
      <c r="B203" s="44" t="s">
        <v>208</v>
      </c>
      <c r="C203" s="9" t="s">
        <v>38</v>
      </c>
      <c r="D203" s="58">
        <f>IFERROR(VLOOKUP(A203,OS!$A:$B,2,0),0)</f>
        <v>0</v>
      </c>
      <c r="E203" s="5">
        <f>(D203+D204-D206)</f>
        <v>0</v>
      </c>
      <c r="F203" s="5">
        <f>(E203+E204-E206)</f>
        <v>0</v>
      </c>
      <c r="G203" s="5">
        <f>(F203+F204-F206)</f>
        <v>0</v>
      </c>
      <c r="H203" s="5">
        <f>(G203+G204-G206)</f>
        <v>0</v>
      </c>
      <c r="I203" s="5">
        <f t="shared" ref="I203:AN203" si="354">(H203+H204-H206+D205)</f>
        <v>0</v>
      </c>
      <c r="J203" s="5">
        <f t="shared" si="354"/>
        <v>0</v>
      </c>
      <c r="K203" s="5">
        <f t="shared" si="354"/>
        <v>0</v>
      </c>
      <c r="L203" s="5">
        <f t="shared" si="354"/>
        <v>0</v>
      </c>
      <c r="M203" s="5">
        <f t="shared" si="354"/>
        <v>0</v>
      </c>
      <c r="N203" s="5">
        <f t="shared" si="354"/>
        <v>0</v>
      </c>
      <c r="O203" s="5">
        <f t="shared" si="354"/>
        <v>0</v>
      </c>
      <c r="P203" s="5">
        <f t="shared" si="354"/>
        <v>0</v>
      </c>
      <c r="Q203" s="5">
        <f t="shared" si="354"/>
        <v>0</v>
      </c>
      <c r="R203" s="5">
        <f t="shared" si="354"/>
        <v>0</v>
      </c>
      <c r="S203" s="5">
        <f t="shared" si="354"/>
        <v>0</v>
      </c>
      <c r="T203" s="5">
        <f t="shared" si="354"/>
        <v>0</v>
      </c>
      <c r="U203" s="5">
        <f t="shared" si="354"/>
        <v>0</v>
      </c>
      <c r="V203" s="5">
        <f t="shared" si="354"/>
        <v>0</v>
      </c>
      <c r="W203" s="5">
        <f t="shared" si="354"/>
        <v>0</v>
      </c>
      <c r="X203" s="5">
        <f t="shared" si="354"/>
        <v>0</v>
      </c>
      <c r="Y203" s="5">
        <f t="shared" si="354"/>
        <v>0</v>
      </c>
      <c r="Z203" s="5">
        <f t="shared" si="354"/>
        <v>0</v>
      </c>
      <c r="AA203" s="5">
        <f t="shared" si="354"/>
        <v>0</v>
      </c>
      <c r="AB203" s="5">
        <f t="shared" si="354"/>
        <v>0</v>
      </c>
      <c r="AC203" s="5">
        <f t="shared" si="354"/>
        <v>0</v>
      </c>
      <c r="AD203" s="5">
        <f t="shared" si="354"/>
        <v>0</v>
      </c>
      <c r="AE203" s="5">
        <f t="shared" si="354"/>
        <v>0</v>
      </c>
      <c r="AF203" s="5">
        <f t="shared" si="354"/>
        <v>0</v>
      </c>
      <c r="AG203" s="5">
        <f t="shared" si="354"/>
        <v>0</v>
      </c>
      <c r="AH203" s="5">
        <f t="shared" si="354"/>
        <v>0</v>
      </c>
      <c r="AI203" s="5">
        <f t="shared" si="354"/>
        <v>0</v>
      </c>
      <c r="AJ203" s="5">
        <f t="shared" si="354"/>
        <v>0</v>
      </c>
      <c r="AK203" s="5">
        <f t="shared" si="354"/>
        <v>0</v>
      </c>
      <c r="AL203" s="5">
        <f t="shared" si="354"/>
        <v>0</v>
      </c>
      <c r="AM203" s="5">
        <f t="shared" si="354"/>
        <v>0</v>
      </c>
      <c r="AN203" s="5">
        <f t="shared" si="354"/>
        <v>0</v>
      </c>
      <c r="AO203" s="5">
        <f t="shared" ref="AO203:BT203" si="355">(AN203+AN204-AN206+AJ205)</f>
        <v>0</v>
      </c>
      <c r="AP203" s="5">
        <f t="shared" si="355"/>
        <v>0</v>
      </c>
      <c r="AQ203" s="5">
        <f t="shared" si="355"/>
        <v>0</v>
      </c>
      <c r="AR203" s="5">
        <f t="shared" si="355"/>
        <v>0</v>
      </c>
      <c r="AS203" s="5">
        <f t="shared" si="355"/>
        <v>0</v>
      </c>
      <c r="AT203" s="5">
        <f t="shared" si="355"/>
        <v>0</v>
      </c>
      <c r="AU203" s="5">
        <f t="shared" si="355"/>
        <v>0</v>
      </c>
      <c r="AV203" s="5">
        <f t="shared" si="355"/>
        <v>0</v>
      </c>
      <c r="AW203" s="5">
        <f t="shared" si="355"/>
        <v>0</v>
      </c>
      <c r="AX203" s="5">
        <f t="shared" si="355"/>
        <v>0</v>
      </c>
      <c r="AY203" s="5">
        <f t="shared" si="355"/>
        <v>0</v>
      </c>
      <c r="AZ203" s="5">
        <f t="shared" si="355"/>
        <v>0</v>
      </c>
      <c r="BA203" s="5">
        <f t="shared" si="355"/>
        <v>0</v>
      </c>
      <c r="BB203" s="5">
        <f t="shared" si="355"/>
        <v>0</v>
      </c>
      <c r="BC203" s="5">
        <f t="shared" si="355"/>
        <v>0</v>
      </c>
      <c r="BD203" s="5">
        <f t="shared" si="355"/>
        <v>0</v>
      </c>
      <c r="BE203" s="5">
        <f t="shared" si="355"/>
        <v>0</v>
      </c>
      <c r="BF203" s="5">
        <f t="shared" si="355"/>
        <v>0</v>
      </c>
      <c r="BG203" s="5">
        <f t="shared" si="355"/>
        <v>0</v>
      </c>
      <c r="BH203" s="5">
        <f t="shared" si="355"/>
        <v>0</v>
      </c>
      <c r="BI203" s="5">
        <f t="shared" si="355"/>
        <v>0</v>
      </c>
      <c r="BJ203" s="5">
        <f t="shared" si="355"/>
        <v>0</v>
      </c>
      <c r="BK203" s="5">
        <f t="shared" si="355"/>
        <v>0</v>
      </c>
      <c r="BL203" s="5">
        <f t="shared" si="355"/>
        <v>0</v>
      </c>
      <c r="BM203" s="5">
        <f t="shared" si="355"/>
        <v>0</v>
      </c>
      <c r="BN203" s="5">
        <f t="shared" si="355"/>
        <v>0</v>
      </c>
      <c r="BO203" s="5">
        <f t="shared" si="355"/>
        <v>0</v>
      </c>
      <c r="BP203" s="5">
        <f t="shared" si="355"/>
        <v>0</v>
      </c>
      <c r="BQ203" s="5">
        <f t="shared" si="355"/>
        <v>0</v>
      </c>
      <c r="BR203" s="5">
        <f t="shared" si="355"/>
        <v>0</v>
      </c>
      <c r="BS203" s="5">
        <f t="shared" si="355"/>
        <v>0</v>
      </c>
      <c r="BT203" s="5">
        <f t="shared" si="355"/>
        <v>0</v>
      </c>
      <c r="BU203" s="5">
        <f t="shared" ref="BU203:CZ203" si="356">(BT203+BT204-BT206+BP205)</f>
        <v>0</v>
      </c>
      <c r="BV203" s="5">
        <f t="shared" si="356"/>
        <v>0</v>
      </c>
      <c r="BW203" s="5">
        <f t="shared" si="356"/>
        <v>0</v>
      </c>
      <c r="BX203" s="5">
        <f t="shared" si="356"/>
        <v>0</v>
      </c>
      <c r="BY203" s="5">
        <f t="shared" si="356"/>
        <v>0</v>
      </c>
      <c r="BZ203" s="5">
        <f t="shared" si="356"/>
        <v>0</v>
      </c>
      <c r="CA203" s="5">
        <f t="shared" si="356"/>
        <v>0</v>
      </c>
      <c r="CB203" s="5">
        <f t="shared" si="356"/>
        <v>0</v>
      </c>
      <c r="CC203" s="5">
        <f t="shared" si="356"/>
        <v>0</v>
      </c>
    </row>
    <row r="204" spans="1:81" x14ac:dyDescent="0.2">
      <c r="A204" s="5" t="s">
        <v>209</v>
      </c>
      <c r="B204" s="5">
        <v>10.8911</v>
      </c>
      <c r="C204" s="45" t="s">
        <v>39</v>
      </c>
      <c r="D204" s="59">
        <f>IFERROR(VLOOKUP(A203,WIP!$A:$B,2,0),0)</f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</row>
    <row r="205" spans="1:81" x14ac:dyDescent="0.2">
      <c r="A205" s="5" t="s">
        <v>210</v>
      </c>
      <c r="B205" s="5">
        <v>0.28100000000000003</v>
      </c>
      <c r="C205" s="9" t="s">
        <v>211</v>
      </c>
      <c r="D205" s="60">
        <f>IFERROR(VLOOKUP($A203,Plan!$A:B,D$4,0),0)</f>
        <v>0</v>
      </c>
      <c r="E205" s="70">
        <f>IFERROR(VLOOKUP($A203,Plan!$A:C,E$4,0),0)</f>
        <v>0</v>
      </c>
      <c r="F205" s="70">
        <f>IFERROR(VLOOKUP($A203,Plan!$A:D,F$4,0),0)</f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</row>
    <row r="206" spans="1:81" x14ac:dyDescent="0.2">
      <c r="A206" s="5" t="s">
        <v>212</v>
      </c>
      <c r="B206" s="5">
        <v>5.2999999999999999E-2</v>
      </c>
      <c r="C206" s="9" t="s">
        <v>213</v>
      </c>
      <c r="D206" s="61">
        <f>IFERROR(VLOOKUP($A203,Sales!$A:B,D$2,0),0)</f>
        <v>0</v>
      </c>
      <c r="E206" s="61">
        <f>IFERROR(VLOOKUP($A203,Sales!$A:C,E$2,0),0)</f>
        <v>0</v>
      </c>
      <c r="F206" s="61">
        <f>IFERROR(VLOOKUP($A203,Sales!$A:D,F$2,0),0)</f>
        <v>0</v>
      </c>
      <c r="G206" s="61">
        <f>IFERROR(VLOOKUP($A203,Sales!$A:E,G$2,0),0)</f>
        <v>0</v>
      </c>
      <c r="H206" s="61">
        <f>IFERROR(VLOOKUP($A203,Sales!$A:F,H$2,0),0)</f>
        <v>0</v>
      </c>
      <c r="I206" s="61">
        <f>IFERROR(VLOOKUP($A203,Sales!$A:G,I$2,0),0)</f>
        <v>0</v>
      </c>
      <c r="J206" s="61">
        <f>IFERROR(VLOOKUP($A203,Sales!$A:H,J$2,0),0)</f>
        <v>0</v>
      </c>
      <c r="K206" s="61">
        <f>IFERROR(VLOOKUP($A203,Sales!$A:I,K$2,0),0)</f>
        <v>0</v>
      </c>
      <c r="L206" s="61">
        <f>IFERROR(VLOOKUP($A203,Sales!$A:J,L$2,0),0)</f>
        <v>0</v>
      </c>
      <c r="M206" s="61">
        <f>IFERROR(VLOOKUP($A203,Sales!$A:K,M$2,0),0)</f>
        <v>0</v>
      </c>
      <c r="N206" s="61">
        <f>IFERROR(VLOOKUP($A203,Sales!$A:L,N$2,0),0)</f>
        <v>0</v>
      </c>
      <c r="O206" s="61">
        <f>IFERROR(VLOOKUP($A203,Sales!$A:M,O$2,0),0)</f>
        <v>0</v>
      </c>
      <c r="P206" s="61">
        <f>IFERROR(VLOOKUP($A203,Sales!$A:N,P$2,0),0)</f>
        <v>0</v>
      </c>
      <c r="Q206" s="61">
        <f>IFERROR(VLOOKUP($A203,Sales!$A:O,Q$2,0),0)</f>
        <v>0</v>
      </c>
      <c r="R206" s="61">
        <f>IFERROR(VLOOKUP($A203,Sales!$A:P,R$2,0),0)</f>
        <v>0</v>
      </c>
      <c r="S206" s="61">
        <f>IFERROR(VLOOKUP($A203,Sales!$A:Q,S$2,0),0)</f>
        <v>0</v>
      </c>
      <c r="T206" s="61">
        <f>IFERROR(VLOOKUP($A203,Sales!$A:R,T$2,0),0)</f>
        <v>0</v>
      </c>
      <c r="U206" s="61">
        <f>IFERROR(VLOOKUP($A203,Sales!$A:S,U$2,0),0)</f>
        <v>0</v>
      </c>
      <c r="V206" s="61">
        <f>IFERROR(VLOOKUP($A203,Sales!$A:T,V$2,0),0)</f>
        <v>0</v>
      </c>
      <c r="W206" s="61">
        <f>IFERROR(VLOOKUP($A203,Sales!$A:U,W$2,0),0)</f>
        <v>0</v>
      </c>
      <c r="X206" s="61">
        <f>IFERROR(VLOOKUP($A203,Sales!$A:V,X$2,0),0)</f>
        <v>0</v>
      </c>
      <c r="Y206" s="61">
        <f>IFERROR(VLOOKUP($A203,Sales!$A:W,Y$2,0),0)</f>
        <v>0</v>
      </c>
      <c r="Z206" s="61">
        <f>IFERROR(VLOOKUP($A203,Sales!$A:X,Z$2,0),0)</f>
        <v>0</v>
      </c>
      <c r="AA206" s="61">
        <f>IFERROR(VLOOKUP($A203,Sales!$A:Y,AA$2,0),0)</f>
        <v>0</v>
      </c>
      <c r="AB206" s="61">
        <f>IFERROR(VLOOKUP($A203,Sales!$A:Z,AB$2,0),0)</f>
        <v>0</v>
      </c>
      <c r="AC206" s="61">
        <f>IFERROR(VLOOKUP($A203,Sales!$A:AA,AC$2,0),0)</f>
        <v>0</v>
      </c>
      <c r="AD206" s="61">
        <f>IFERROR(VLOOKUP($A203,Sales!$A:AB,AD$2,0),0)</f>
        <v>0</v>
      </c>
      <c r="AE206" s="61">
        <f>IFERROR(VLOOKUP($A203,Sales!$A:AC,AE$2,0),0)</f>
        <v>0</v>
      </c>
      <c r="AF206" s="61">
        <f>IFERROR(VLOOKUP($A203,Sales!$A:AD,AF$2,0),0)</f>
        <v>0</v>
      </c>
      <c r="AG206" s="61">
        <f>IFERROR(VLOOKUP($A203,Sales!$A:AE,AG$2,0),0)</f>
        <v>0</v>
      </c>
      <c r="AH206" s="61">
        <f>IFERROR(VLOOKUP($A203,Sales!$A:AF,AH$2,0),0)</f>
        <v>0</v>
      </c>
      <c r="AI206" s="61">
        <f>IFERROR(VLOOKUP($A203,Sales!$A:AG,AI$2,0),0)</f>
        <v>0</v>
      </c>
      <c r="AJ206" s="61">
        <f>IFERROR(VLOOKUP($A203,Sales!$A:AH,AJ$2,0),0)</f>
        <v>0</v>
      </c>
      <c r="AK206" s="73">
        <f t="shared" ref="AK206:CC206" si="357">CEILING(AK$5*$B202,1)</f>
        <v>0</v>
      </c>
      <c r="AL206" s="73">
        <f t="shared" si="357"/>
        <v>0</v>
      </c>
      <c r="AM206" s="73">
        <f t="shared" si="357"/>
        <v>0</v>
      </c>
      <c r="AN206" s="73">
        <f t="shared" si="357"/>
        <v>0</v>
      </c>
      <c r="AO206" s="73">
        <f t="shared" si="357"/>
        <v>0</v>
      </c>
      <c r="AP206" s="73">
        <f t="shared" si="357"/>
        <v>0</v>
      </c>
      <c r="AQ206" s="73">
        <f t="shared" si="357"/>
        <v>0</v>
      </c>
      <c r="AR206" s="73">
        <f t="shared" si="357"/>
        <v>0</v>
      </c>
      <c r="AS206" s="73">
        <f t="shared" si="357"/>
        <v>0</v>
      </c>
      <c r="AT206" s="73">
        <f t="shared" si="357"/>
        <v>0</v>
      </c>
      <c r="AU206" s="73">
        <f t="shared" si="357"/>
        <v>0</v>
      </c>
      <c r="AV206" s="73">
        <f t="shared" si="357"/>
        <v>0</v>
      </c>
      <c r="AW206" s="73">
        <f t="shared" si="357"/>
        <v>0</v>
      </c>
      <c r="AX206" s="73">
        <f t="shared" si="357"/>
        <v>0</v>
      </c>
      <c r="AY206" s="73">
        <f t="shared" si="357"/>
        <v>0</v>
      </c>
      <c r="AZ206" s="73">
        <f t="shared" si="357"/>
        <v>0</v>
      </c>
      <c r="BA206" s="73">
        <f t="shared" si="357"/>
        <v>0</v>
      </c>
      <c r="BB206" s="73">
        <f t="shared" si="357"/>
        <v>0</v>
      </c>
      <c r="BC206" s="73">
        <f t="shared" si="357"/>
        <v>0</v>
      </c>
      <c r="BD206" s="73">
        <f t="shared" si="357"/>
        <v>0</v>
      </c>
      <c r="BE206" s="73">
        <f t="shared" si="357"/>
        <v>0</v>
      </c>
      <c r="BF206" s="73">
        <f t="shared" si="357"/>
        <v>0</v>
      </c>
      <c r="BG206" s="73">
        <f t="shared" si="357"/>
        <v>0</v>
      </c>
      <c r="BH206" s="73">
        <f t="shared" si="357"/>
        <v>0</v>
      </c>
      <c r="BI206" s="73">
        <f t="shared" si="357"/>
        <v>0</v>
      </c>
      <c r="BJ206" s="73">
        <f t="shared" si="357"/>
        <v>0</v>
      </c>
      <c r="BK206" s="73">
        <f t="shared" si="357"/>
        <v>0</v>
      </c>
      <c r="BL206" s="73">
        <f t="shared" si="357"/>
        <v>0</v>
      </c>
      <c r="BM206" s="73">
        <f t="shared" si="357"/>
        <v>0</v>
      </c>
      <c r="BN206" s="73">
        <f t="shared" si="357"/>
        <v>0</v>
      </c>
      <c r="BO206" s="73">
        <f t="shared" si="357"/>
        <v>0</v>
      </c>
      <c r="BP206" s="73">
        <f t="shared" si="357"/>
        <v>0</v>
      </c>
      <c r="BQ206" s="73">
        <f t="shared" si="357"/>
        <v>0</v>
      </c>
      <c r="BR206" s="73">
        <f t="shared" si="357"/>
        <v>0</v>
      </c>
      <c r="BS206" s="73">
        <f t="shared" si="357"/>
        <v>0</v>
      </c>
      <c r="BT206" s="73">
        <f t="shared" si="357"/>
        <v>0</v>
      </c>
      <c r="BU206" s="73">
        <f t="shared" si="357"/>
        <v>0</v>
      </c>
      <c r="BV206" s="73">
        <f t="shared" si="357"/>
        <v>0</v>
      </c>
      <c r="BW206" s="73">
        <f t="shared" si="357"/>
        <v>0</v>
      </c>
      <c r="BX206" s="73">
        <f t="shared" si="357"/>
        <v>0</v>
      </c>
      <c r="BY206" s="73">
        <f t="shared" si="357"/>
        <v>0</v>
      </c>
      <c r="BZ206" s="73">
        <f t="shared" si="357"/>
        <v>0</v>
      </c>
      <c r="CA206" s="73">
        <f t="shared" si="357"/>
        <v>0</v>
      </c>
      <c r="CB206" s="73">
        <f t="shared" si="357"/>
        <v>0</v>
      </c>
      <c r="CC206" s="73">
        <f t="shared" si="357"/>
        <v>0</v>
      </c>
    </row>
    <row r="207" spans="1:81" x14ac:dyDescent="0.2">
      <c r="A207" s="5" t="s">
        <v>214</v>
      </c>
      <c r="B207" s="5">
        <v>0.33400000000000002</v>
      </c>
      <c r="C207" s="46" t="s">
        <v>215</v>
      </c>
      <c r="D207" s="11">
        <f t="shared" ref="D207:AI207" si="358">IF(D206=0,0, ROUND(D203 * 1/D206* D$13,1))</f>
        <v>0</v>
      </c>
      <c r="E207" s="11">
        <f t="shared" si="358"/>
        <v>0</v>
      </c>
      <c r="F207" s="11">
        <f t="shared" si="358"/>
        <v>0</v>
      </c>
      <c r="G207" s="11">
        <f t="shared" si="358"/>
        <v>0</v>
      </c>
      <c r="H207" s="11">
        <f t="shared" si="358"/>
        <v>0</v>
      </c>
      <c r="I207" s="11">
        <f t="shared" si="358"/>
        <v>0</v>
      </c>
      <c r="J207" s="11">
        <f t="shared" si="358"/>
        <v>0</v>
      </c>
      <c r="K207" s="11">
        <f t="shared" si="358"/>
        <v>0</v>
      </c>
      <c r="L207" s="11">
        <f t="shared" si="358"/>
        <v>0</v>
      </c>
      <c r="M207" s="11">
        <f t="shared" si="358"/>
        <v>0</v>
      </c>
      <c r="N207" s="11">
        <f t="shared" si="358"/>
        <v>0</v>
      </c>
      <c r="O207" s="11">
        <f t="shared" si="358"/>
        <v>0</v>
      </c>
      <c r="P207" s="11">
        <f t="shared" si="358"/>
        <v>0</v>
      </c>
      <c r="Q207" s="11">
        <f t="shared" si="358"/>
        <v>0</v>
      </c>
      <c r="R207" s="11">
        <f t="shared" si="358"/>
        <v>0</v>
      </c>
      <c r="S207" s="11">
        <f t="shared" si="358"/>
        <v>0</v>
      </c>
      <c r="T207" s="11">
        <f t="shared" si="358"/>
        <v>0</v>
      </c>
      <c r="U207" s="11">
        <f t="shared" si="358"/>
        <v>0</v>
      </c>
      <c r="V207" s="11">
        <f t="shared" si="358"/>
        <v>0</v>
      </c>
      <c r="W207" s="11">
        <f t="shared" si="358"/>
        <v>0</v>
      </c>
      <c r="X207" s="11">
        <f t="shared" si="358"/>
        <v>0</v>
      </c>
      <c r="Y207" s="11">
        <f t="shared" si="358"/>
        <v>0</v>
      </c>
      <c r="Z207" s="11">
        <f t="shared" si="358"/>
        <v>0</v>
      </c>
      <c r="AA207" s="11">
        <f t="shared" si="358"/>
        <v>0</v>
      </c>
      <c r="AB207" s="11">
        <f t="shared" si="358"/>
        <v>0</v>
      </c>
      <c r="AC207" s="11">
        <f t="shared" si="358"/>
        <v>0</v>
      </c>
      <c r="AD207" s="11">
        <f t="shared" si="358"/>
        <v>0</v>
      </c>
      <c r="AE207" s="11">
        <f t="shared" si="358"/>
        <v>0</v>
      </c>
      <c r="AF207" s="11">
        <f t="shared" si="358"/>
        <v>0</v>
      </c>
      <c r="AG207" s="11">
        <f t="shared" si="358"/>
        <v>0</v>
      </c>
      <c r="AH207" s="11">
        <f t="shared" si="358"/>
        <v>0</v>
      </c>
      <c r="AI207" s="11">
        <f t="shared" si="358"/>
        <v>0</v>
      </c>
      <c r="AJ207" s="11">
        <f t="shared" ref="AJ207:BO207" si="359">IF(AJ206=0,0, ROUND(AJ203 * 1/AJ206* AJ$13,1))</f>
        <v>0</v>
      </c>
      <c r="AK207" s="11">
        <f t="shared" si="359"/>
        <v>0</v>
      </c>
      <c r="AL207" s="11">
        <f t="shared" si="359"/>
        <v>0</v>
      </c>
      <c r="AM207" s="11">
        <f t="shared" si="359"/>
        <v>0</v>
      </c>
      <c r="AN207" s="11">
        <f t="shared" si="359"/>
        <v>0</v>
      </c>
      <c r="AO207" s="11">
        <f t="shared" si="359"/>
        <v>0</v>
      </c>
      <c r="AP207" s="11">
        <f t="shared" si="359"/>
        <v>0</v>
      </c>
      <c r="AQ207" s="11">
        <f t="shared" si="359"/>
        <v>0</v>
      </c>
      <c r="AR207" s="11">
        <f t="shared" si="359"/>
        <v>0</v>
      </c>
      <c r="AS207" s="11">
        <f t="shared" si="359"/>
        <v>0</v>
      </c>
      <c r="AT207" s="11">
        <f t="shared" si="359"/>
        <v>0</v>
      </c>
      <c r="AU207" s="11">
        <f t="shared" si="359"/>
        <v>0</v>
      </c>
      <c r="AV207" s="11">
        <f t="shared" si="359"/>
        <v>0</v>
      </c>
      <c r="AW207" s="11">
        <f t="shared" si="359"/>
        <v>0</v>
      </c>
      <c r="AX207" s="11">
        <f t="shared" si="359"/>
        <v>0</v>
      </c>
      <c r="AY207" s="11">
        <f t="shared" si="359"/>
        <v>0</v>
      </c>
      <c r="AZ207" s="11">
        <f t="shared" si="359"/>
        <v>0</v>
      </c>
      <c r="BA207" s="11">
        <f t="shared" si="359"/>
        <v>0</v>
      </c>
      <c r="BB207" s="11">
        <f t="shared" si="359"/>
        <v>0</v>
      </c>
      <c r="BC207" s="11">
        <f t="shared" si="359"/>
        <v>0</v>
      </c>
      <c r="BD207" s="11">
        <f t="shared" si="359"/>
        <v>0</v>
      </c>
      <c r="BE207" s="11">
        <f t="shared" si="359"/>
        <v>0</v>
      </c>
      <c r="BF207" s="11">
        <f t="shared" si="359"/>
        <v>0</v>
      </c>
      <c r="BG207" s="11">
        <f t="shared" si="359"/>
        <v>0</v>
      </c>
      <c r="BH207" s="11">
        <f t="shared" si="359"/>
        <v>0</v>
      </c>
      <c r="BI207" s="11">
        <f t="shared" si="359"/>
        <v>0</v>
      </c>
      <c r="BJ207" s="11">
        <f t="shared" si="359"/>
        <v>0</v>
      </c>
      <c r="BK207" s="11">
        <f t="shared" si="359"/>
        <v>0</v>
      </c>
      <c r="BL207" s="11">
        <f t="shared" si="359"/>
        <v>0</v>
      </c>
      <c r="BM207" s="11">
        <f t="shared" si="359"/>
        <v>0</v>
      </c>
      <c r="BN207" s="11">
        <f t="shared" si="359"/>
        <v>0</v>
      </c>
      <c r="BO207" s="11">
        <f t="shared" si="359"/>
        <v>0</v>
      </c>
      <c r="BP207" s="11">
        <f t="shared" ref="BP207:CU207" si="360">IF(BP206=0,0, ROUND(BP203 * 1/BP206* BP$13,1))</f>
        <v>0</v>
      </c>
      <c r="BQ207" s="11">
        <f t="shared" si="360"/>
        <v>0</v>
      </c>
      <c r="BR207" s="11">
        <f t="shared" si="360"/>
        <v>0</v>
      </c>
      <c r="BS207" s="11">
        <f t="shared" si="360"/>
        <v>0</v>
      </c>
      <c r="BT207" s="11">
        <f t="shared" si="360"/>
        <v>0</v>
      </c>
      <c r="BU207" s="11">
        <f t="shared" si="360"/>
        <v>0</v>
      </c>
      <c r="BV207" s="11">
        <f t="shared" si="360"/>
        <v>0</v>
      </c>
      <c r="BW207" s="11">
        <f t="shared" si="360"/>
        <v>0</v>
      </c>
      <c r="BX207" s="11">
        <f t="shared" si="360"/>
        <v>0</v>
      </c>
      <c r="BY207" s="11">
        <f t="shared" si="360"/>
        <v>0</v>
      </c>
      <c r="BZ207" s="11">
        <f t="shared" si="360"/>
        <v>0</v>
      </c>
      <c r="CA207" s="11">
        <f t="shared" si="360"/>
        <v>0</v>
      </c>
      <c r="CB207" s="11">
        <f t="shared" si="360"/>
        <v>0</v>
      </c>
      <c r="CC207" s="11">
        <f t="shared" si="360"/>
        <v>0</v>
      </c>
    </row>
    <row r="208" spans="1:81" x14ac:dyDescent="0.2">
      <c r="A208" s="10">
        <v>26</v>
      </c>
      <c r="B208" s="10">
        <v>1</v>
      </c>
      <c r="C208" s="68">
        <v>8.4962300000000006</v>
      </c>
      <c r="D208">
        <f t="shared" ref="D208:AI208" si="361">D205/$B208</f>
        <v>0</v>
      </c>
      <c r="E208">
        <f t="shared" si="361"/>
        <v>0</v>
      </c>
      <c r="F208">
        <f t="shared" si="361"/>
        <v>0</v>
      </c>
      <c r="G208">
        <f t="shared" si="361"/>
        <v>0</v>
      </c>
      <c r="H208">
        <f t="shared" si="361"/>
        <v>0</v>
      </c>
      <c r="I208">
        <f t="shared" si="361"/>
        <v>0</v>
      </c>
      <c r="J208">
        <f t="shared" si="361"/>
        <v>0</v>
      </c>
      <c r="K208">
        <f t="shared" si="361"/>
        <v>0</v>
      </c>
      <c r="L208">
        <f t="shared" si="361"/>
        <v>0</v>
      </c>
      <c r="M208">
        <f t="shared" si="361"/>
        <v>0</v>
      </c>
      <c r="N208">
        <f t="shared" si="361"/>
        <v>0</v>
      </c>
      <c r="O208">
        <f t="shared" si="361"/>
        <v>0</v>
      </c>
      <c r="P208">
        <f t="shared" si="361"/>
        <v>0</v>
      </c>
      <c r="Q208">
        <f t="shared" si="361"/>
        <v>0</v>
      </c>
      <c r="R208">
        <f t="shared" si="361"/>
        <v>0</v>
      </c>
      <c r="S208">
        <f t="shared" si="361"/>
        <v>0</v>
      </c>
      <c r="T208">
        <f t="shared" si="361"/>
        <v>0</v>
      </c>
      <c r="U208">
        <f t="shared" si="361"/>
        <v>0</v>
      </c>
      <c r="V208">
        <f t="shared" si="361"/>
        <v>0</v>
      </c>
      <c r="W208">
        <f t="shared" si="361"/>
        <v>0</v>
      </c>
      <c r="X208">
        <f t="shared" si="361"/>
        <v>0</v>
      </c>
      <c r="Y208">
        <f t="shared" si="361"/>
        <v>0</v>
      </c>
      <c r="Z208">
        <f t="shared" si="361"/>
        <v>0</v>
      </c>
      <c r="AA208">
        <f t="shared" si="361"/>
        <v>0</v>
      </c>
      <c r="AB208">
        <f t="shared" si="361"/>
        <v>0</v>
      </c>
      <c r="AC208">
        <f t="shared" si="361"/>
        <v>0</v>
      </c>
      <c r="AD208">
        <f t="shared" si="361"/>
        <v>0</v>
      </c>
      <c r="AE208">
        <f t="shared" si="361"/>
        <v>0</v>
      </c>
      <c r="AF208">
        <f t="shared" si="361"/>
        <v>0</v>
      </c>
      <c r="AG208">
        <f t="shared" si="361"/>
        <v>0</v>
      </c>
      <c r="AH208">
        <f t="shared" si="361"/>
        <v>0</v>
      </c>
      <c r="AI208">
        <f t="shared" si="361"/>
        <v>0</v>
      </c>
      <c r="AJ208">
        <f t="shared" ref="AJ208:BO208" si="362">AJ205/$B208</f>
        <v>0</v>
      </c>
      <c r="AK208">
        <f t="shared" si="362"/>
        <v>0</v>
      </c>
      <c r="AL208">
        <f t="shared" si="362"/>
        <v>0</v>
      </c>
      <c r="AM208">
        <f t="shared" si="362"/>
        <v>0</v>
      </c>
      <c r="AN208">
        <f t="shared" si="362"/>
        <v>0</v>
      </c>
      <c r="AO208">
        <f t="shared" si="362"/>
        <v>0</v>
      </c>
      <c r="AP208">
        <f t="shared" si="362"/>
        <v>0</v>
      </c>
      <c r="AQ208">
        <f t="shared" si="362"/>
        <v>0</v>
      </c>
      <c r="AR208">
        <f t="shared" si="362"/>
        <v>0</v>
      </c>
      <c r="AS208">
        <f t="shared" si="362"/>
        <v>0</v>
      </c>
      <c r="AT208">
        <f t="shared" si="362"/>
        <v>0</v>
      </c>
      <c r="AU208">
        <f t="shared" si="362"/>
        <v>0</v>
      </c>
      <c r="AV208">
        <f t="shared" si="362"/>
        <v>0</v>
      </c>
      <c r="AW208">
        <f t="shared" si="362"/>
        <v>0</v>
      </c>
      <c r="AX208">
        <f t="shared" si="362"/>
        <v>0</v>
      </c>
      <c r="AY208">
        <f t="shared" si="362"/>
        <v>0</v>
      </c>
      <c r="AZ208">
        <f t="shared" si="362"/>
        <v>0</v>
      </c>
      <c r="BA208">
        <f t="shared" si="362"/>
        <v>0</v>
      </c>
      <c r="BB208">
        <f t="shared" si="362"/>
        <v>0</v>
      </c>
      <c r="BC208">
        <f t="shared" si="362"/>
        <v>0</v>
      </c>
      <c r="BD208">
        <f t="shared" si="362"/>
        <v>0</v>
      </c>
      <c r="BE208">
        <f t="shared" si="362"/>
        <v>0</v>
      </c>
      <c r="BF208">
        <f t="shared" si="362"/>
        <v>0</v>
      </c>
      <c r="BG208">
        <f t="shared" si="362"/>
        <v>0</v>
      </c>
      <c r="BH208">
        <f t="shared" si="362"/>
        <v>0</v>
      </c>
      <c r="BI208">
        <f t="shared" si="362"/>
        <v>0</v>
      </c>
      <c r="BJ208">
        <f t="shared" si="362"/>
        <v>0</v>
      </c>
      <c r="BK208">
        <f t="shared" si="362"/>
        <v>0</v>
      </c>
      <c r="BL208">
        <f t="shared" si="362"/>
        <v>0</v>
      </c>
      <c r="BM208">
        <f t="shared" si="362"/>
        <v>0</v>
      </c>
      <c r="BN208">
        <f t="shared" si="362"/>
        <v>0</v>
      </c>
      <c r="BO208">
        <f t="shared" si="362"/>
        <v>0</v>
      </c>
      <c r="BP208">
        <f t="shared" ref="BP208:CC208" si="363">BP205/$B208</f>
        <v>0</v>
      </c>
      <c r="BQ208">
        <f t="shared" si="363"/>
        <v>0</v>
      </c>
      <c r="BR208">
        <f t="shared" si="363"/>
        <v>0</v>
      </c>
      <c r="BS208">
        <f t="shared" si="363"/>
        <v>0</v>
      </c>
      <c r="BT208">
        <f t="shared" si="363"/>
        <v>0</v>
      </c>
      <c r="BU208">
        <f t="shared" si="363"/>
        <v>0</v>
      </c>
      <c r="BV208">
        <f t="shared" si="363"/>
        <v>0</v>
      </c>
      <c r="BW208">
        <f t="shared" si="363"/>
        <v>0</v>
      </c>
      <c r="BX208">
        <f t="shared" si="363"/>
        <v>0</v>
      </c>
      <c r="BY208">
        <f t="shared" si="363"/>
        <v>0</v>
      </c>
      <c r="BZ208">
        <f t="shared" si="363"/>
        <v>0</v>
      </c>
      <c r="CA208">
        <f t="shared" si="363"/>
        <v>0</v>
      </c>
      <c r="CB208">
        <f t="shared" si="363"/>
        <v>0</v>
      </c>
      <c r="CC208">
        <f t="shared" si="363"/>
        <v>0</v>
      </c>
    </row>
    <row r="209" spans="1:81" x14ac:dyDescent="0.2">
      <c r="B209" s="67">
        <f>SUM(D213:AJ213)/SUM($D$263:$AJ$263)</f>
        <v>0</v>
      </c>
      <c r="C209" s="9" t="s">
        <v>216</v>
      </c>
      <c r="D209">
        <f t="shared" ref="D209:AI209" si="364">D203-D206</f>
        <v>0</v>
      </c>
      <c r="E209">
        <f t="shared" si="364"/>
        <v>0</v>
      </c>
      <c r="F209">
        <f t="shared" si="364"/>
        <v>0</v>
      </c>
      <c r="G209">
        <f t="shared" si="364"/>
        <v>0</v>
      </c>
      <c r="H209">
        <f t="shared" si="364"/>
        <v>0</v>
      </c>
      <c r="I209">
        <f t="shared" si="364"/>
        <v>0</v>
      </c>
      <c r="J209">
        <f t="shared" si="364"/>
        <v>0</v>
      </c>
      <c r="K209">
        <f t="shared" si="364"/>
        <v>0</v>
      </c>
      <c r="L209">
        <f t="shared" si="364"/>
        <v>0</v>
      </c>
      <c r="M209">
        <f t="shared" si="364"/>
        <v>0</v>
      </c>
      <c r="N209">
        <f t="shared" si="364"/>
        <v>0</v>
      </c>
      <c r="O209">
        <f t="shared" si="364"/>
        <v>0</v>
      </c>
      <c r="P209">
        <f t="shared" si="364"/>
        <v>0</v>
      </c>
      <c r="Q209">
        <f t="shared" si="364"/>
        <v>0</v>
      </c>
      <c r="R209">
        <f t="shared" si="364"/>
        <v>0</v>
      </c>
      <c r="S209">
        <f t="shared" si="364"/>
        <v>0</v>
      </c>
      <c r="T209">
        <f t="shared" si="364"/>
        <v>0</v>
      </c>
      <c r="U209">
        <f t="shared" si="364"/>
        <v>0</v>
      </c>
      <c r="V209">
        <f t="shared" si="364"/>
        <v>0</v>
      </c>
      <c r="W209">
        <f t="shared" si="364"/>
        <v>0</v>
      </c>
      <c r="X209">
        <f t="shared" si="364"/>
        <v>0</v>
      </c>
      <c r="Y209">
        <f t="shared" si="364"/>
        <v>0</v>
      </c>
      <c r="Z209">
        <f t="shared" si="364"/>
        <v>0</v>
      </c>
      <c r="AA209">
        <f t="shared" si="364"/>
        <v>0</v>
      </c>
      <c r="AB209">
        <f t="shared" si="364"/>
        <v>0</v>
      </c>
      <c r="AC209">
        <f t="shared" si="364"/>
        <v>0</v>
      </c>
      <c r="AD209">
        <f t="shared" si="364"/>
        <v>0</v>
      </c>
      <c r="AE209">
        <f t="shared" si="364"/>
        <v>0</v>
      </c>
      <c r="AF209">
        <f t="shared" si="364"/>
        <v>0</v>
      </c>
      <c r="AG209">
        <f t="shared" si="364"/>
        <v>0</v>
      </c>
      <c r="AH209">
        <f t="shared" si="364"/>
        <v>0</v>
      </c>
      <c r="AI209">
        <f t="shared" si="364"/>
        <v>0</v>
      </c>
      <c r="AJ209">
        <f t="shared" ref="AJ209:BO209" si="365">AJ203-AJ206</f>
        <v>0</v>
      </c>
      <c r="AK209">
        <f t="shared" si="365"/>
        <v>0</v>
      </c>
      <c r="AL209">
        <f t="shared" si="365"/>
        <v>0</v>
      </c>
      <c r="AM209">
        <f t="shared" si="365"/>
        <v>0</v>
      </c>
      <c r="AN209">
        <f t="shared" si="365"/>
        <v>0</v>
      </c>
      <c r="AO209">
        <f t="shared" si="365"/>
        <v>0</v>
      </c>
      <c r="AP209">
        <f t="shared" si="365"/>
        <v>0</v>
      </c>
      <c r="AQ209">
        <f t="shared" si="365"/>
        <v>0</v>
      </c>
      <c r="AR209">
        <f t="shared" si="365"/>
        <v>0</v>
      </c>
      <c r="AS209">
        <f t="shared" si="365"/>
        <v>0</v>
      </c>
      <c r="AT209">
        <f t="shared" si="365"/>
        <v>0</v>
      </c>
      <c r="AU209">
        <f t="shared" si="365"/>
        <v>0</v>
      </c>
      <c r="AV209">
        <f t="shared" si="365"/>
        <v>0</v>
      </c>
      <c r="AW209">
        <f t="shared" si="365"/>
        <v>0</v>
      </c>
      <c r="AX209">
        <f t="shared" si="365"/>
        <v>0</v>
      </c>
      <c r="AY209">
        <f t="shared" si="365"/>
        <v>0</v>
      </c>
      <c r="AZ209">
        <f t="shared" si="365"/>
        <v>0</v>
      </c>
      <c r="BA209">
        <f t="shared" si="365"/>
        <v>0</v>
      </c>
      <c r="BB209">
        <f t="shared" si="365"/>
        <v>0</v>
      </c>
      <c r="BC209">
        <f t="shared" si="365"/>
        <v>0</v>
      </c>
      <c r="BD209">
        <f t="shared" si="365"/>
        <v>0</v>
      </c>
      <c r="BE209">
        <f t="shared" si="365"/>
        <v>0</v>
      </c>
      <c r="BF209">
        <f t="shared" si="365"/>
        <v>0</v>
      </c>
      <c r="BG209">
        <f t="shared" si="365"/>
        <v>0</v>
      </c>
      <c r="BH209">
        <f t="shared" si="365"/>
        <v>0</v>
      </c>
      <c r="BI209">
        <f t="shared" si="365"/>
        <v>0</v>
      </c>
      <c r="BJ209">
        <f t="shared" si="365"/>
        <v>0</v>
      </c>
      <c r="BK209">
        <f t="shared" si="365"/>
        <v>0</v>
      </c>
      <c r="BL209">
        <f t="shared" si="365"/>
        <v>0</v>
      </c>
      <c r="BM209">
        <f t="shared" si="365"/>
        <v>0</v>
      </c>
      <c r="BN209">
        <f t="shared" si="365"/>
        <v>0</v>
      </c>
      <c r="BO209">
        <f t="shared" si="365"/>
        <v>0</v>
      </c>
      <c r="BP209">
        <f t="shared" ref="BP209:CC209" si="366">BP203-BP206</f>
        <v>0</v>
      </c>
      <c r="BQ209">
        <f t="shared" si="366"/>
        <v>0</v>
      </c>
      <c r="BR209">
        <f t="shared" si="366"/>
        <v>0</v>
      </c>
      <c r="BS209">
        <f t="shared" si="366"/>
        <v>0</v>
      </c>
      <c r="BT209">
        <f t="shared" si="366"/>
        <v>0</v>
      </c>
      <c r="BU209">
        <f t="shared" si="366"/>
        <v>0</v>
      </c>
      <c r="BV209">
        <f t="shared" si="366"/>
        <v>0</v>
      </c>
      <c r="BW209">
        <f t="shared" si="366"/>
        <v>0</v>
      </c>
      <c r="BX209">
        <f t="shared" si="366"/>
        <v>0</v>
      </c>
      <c r="BY209">
        <f t="shared" si="366"/>
        <v>0</v>
      </c>
      <c r="BZ209">
        <f t="shared" si="366"/>
        <v>0</v>
      </c>
      <c r="CA209">
        <f t="shared" si="366"/>
        <v>0</v>
      </c>
      <c r="CB209">
        <f t="shared" si="366"/>
        <v>0</v>
      </c>
      <c r="CC209">
        <f t="shared" si="366"/>
        <v>0</v>
      </c>
    </row>
    <row r="210" spans="1:81" x14ac:dyDescent="0.2">
      <c r="A210" s="43" t="s">
        <v>244</v>
      </c>
      <c r="B210" s="44" t="s">
        <v>208</v>
      </c>
      <c r="C210" s="9" t="s">
        <v>38</v>
      </c>
      <c r="D210" s="58">
        <f>IFERROR(VLOOKUP(A210,OS!$A:$B,2,0),0)</f>
        <v>140</v>
      </c>
      <c r="E210" s="5">
        <f>(D210+D211-D213)</f>
        <v>140</v>
      </c>
      <c r="F210" s="5">
        <f>(E210+E211-E213)</f>
        <v>140</v>
      </c>
      <c r="G210" s="5">
        <f>(F210+F211-F213)</f>
        <v>140</v>
      </c>
      <c r="H210" s="5">
        <f>(G210+G211-G213)</f>
        <v>140</v>
      </c>
      <c r="I210" s="5">
        <f t="shared" ref="I210:AN210" si="367">(H210+H211-H213+D212)</f>
        <v>140</v>
      </c>
      <c r="J210" s="5">
        <f t="shared" si="367"/>
        <v>140</v>
      </c>
      <c r="K210" s="5">
        <f t="shared" si="367"/>
        <v>140</v>
      </c>
      <c r="L210" s="5">
        <f t="shared" si="367"/>
        <v>140</v>
      </c>
      <c r="M210" s="5">
        <f t="shared" si="367"/>
        <v>140</v>
      </c>
      <c r="N210" s="5">
        <f t="shared" si="367"/>
        <v>140</v>
      </c>
      <c r="O210" s="5">
        <f t="shared" si="367"/>
        <v>140</v>
      </c>
      <c r="P210" s="5">
        <f t="shared" si="367"/>
        <v>140</v>
      </c>
      <c r="Q210" s="5">
        <f t="shared" si="367"/>
        <v>140</v>
      </c>
      <c r="R210" s="5">
        <f t="shared" si="367"/>
        <v>140</v>
      </c>
      <c r="S210" s="5">
        <f t="shared" si="367"/>
        <v>140</v>
      </c>
      <c r="T210" s="5">
        <f t="shared" si="367"/>
        <v>140</v>
      </c>
      <c r="U210" s="5">
        <f t="shared" si="367"/>
        <v>140</v>
      </c>
      <c r="V210" s="5">
        <f t="shared" si="367"/>
        <v>140</v>
      </c>
      <c r="W210" s="5">
        <f t="shared" si="367"/>
        <v>140</v>
      </c>
      <c r="X210" s="5">
        <f t="shared" si="367"/>
        <v>140</v>
      </c>
      <c r="Y210" s="5">
        <f t="shared" si="367"/>
        <v>140</v>
      </c>
      <c r="Z210" s="5">
        <f t="shared" si="367"/>
        <v>140</v>
      </c>
      <c r="AA210" s="5">
        <f t="shared" si="367"/>
        <v>140</v>
      </c>
      <c r="AB210" s="5">
        <f t="shared" si="367"/>
        <v>140</v>
      </c>
      <c r="AC210" s="5">
        <f t="shared" si="367"/>
        <v>140</v>
      </c>
      <c r="AD210" s="5">
        <f t="shared" si="367"/>
        <v>140</v>
      </c>
      <c r="AE210" s="5">
        <f t="shared" si="367"/>
        <v>140</v>
      </c>
      <c r="AF210" s="5">
        <f t="shared" si="367"/>
        <v>140</v>
      </c>
      <c r="AG210" s="5">
        <f t="shared" si="367"/>
        <v>140</v>
      </c>
      <c r="AH210" s="5">
        <f t="shared" si="367"/>
        <v>140</v>
      </c>
      <c r="AI210" s="5">
        <f t="shared" si="367"/>
        <v>140</v>
      </c>
      <c r="AJ210" s="5">
        <f t="shared" si="367"/>
        <v>140</v>
      </c>
      <c r="AK210" s="5">
        <f t="shared" si="367"/>
        <v>140</v>
      </c>
      <c r="AL210" s="5">
        <f t="shared" si="367"/>
        <v>140</v>
      </c>
      <c r="AM210" s="5">
        <f t="shared" si="367"/>
        <v>140</v>
      </c>
      <c r="AN210" s="5">
        <f t="shared" si="367"/>
        <v>140</v>
      </c>
      <c r="AO210" s="5">
        <f t="shared" ref="AO210:BT210" si="368">(AN210+AN211-AN213+AJ212)</f>
        <v>140</v>
      </c>
      <c r="AP210" s="5">
        <f t="shared" si="368"/>
        <v>140</v>
      </c>
      <c r="AQ210" s="5">
        <f t="shared" si="368"/>
        <v>140</v>
      </c>
      <c r="AR210" s="5">
        <f t="shared" si="368"/>
        <v>140</v>
      </c>
      <c r="AS210" s="5">
        <f t="shared" si="368"/>
        <v>140</v>
      </c>
      <c r="AT210" s="5">
        <f t="shared" si="368"/>
        <v>140</v>
      </c>
      <c r="AU210" s="5">
        <f t="shared" si="368"/>
        <v>140</v>
      </c>
      <c r="AV210" s="5">
        <f t="shared" si="368"/>
        <v>140</v>
      </c>
      <c r="AW210" s="5">
        <f t="shared" si="368"/>
        <v>140</v>
      </c>
      <c r="AX210" s="5">
        <f t="shared" si="368"/>
        <v>140</v>
      </c>
      <c r="AY210" s="5">
        <f t="shared" si="368"/>
        <v>140</v>
      </c>
      <c r="AZ210" s="5">
        <f t="shared" si="368"/>
        <v>140</v>
      </c>
      <c r="BA210" s="5">
        <f t="shared" si="368"/>
        <v>140</v>
      </c>
      <c r="BB210" s="5">
        <f t="shared" si="368"/>
        <v>140</v>
      </c>
      <c r="BC210" s="5">
        <f t="shared" si="368"/>
        <v>140</v>
      </c>
      <c r="BD210" s="5">
        <f t="shared" si="368"/>
        <v>140</v>
      </c>
      <c r="BE210" s="5">
        <f t="shared" si="368"/>
        <v>140</v>
      </c>
      <c r="BF210" s="5">
        <f t="shared" si="368"/>
        <v>140</v>
      </c>
      <c r="BG210" s="5">
        <f t="shared" si="368"/>
        <v>140</v>
      </c>
      <c r="BH210" s="5">
        <f t="shared" si="368"/>
        <v>140</v>
      </c>
      <c r="BI210" s="5">
        <f t="shared" si="368"/>
        <v>140</v>
      </c>
      <c r="BJ210" s="5">
        <f t="shared" si="368"/>
        <v>140</v>
      </c>
      <c r="BK210" s="5">
        <f t="shared" si="368"/>
        <v>140</v>
      </c>
      <c r="BL210" s="5">
        <f t="shared" si="368"/>
        <v>140</v>
      </c>
      <c r="BM210" s="5">
        <f t="shared" si="368"/>
        <v>140</v>
      </c>
      <c r="BN210" s="5">
        <f t="shared" si="368"/>
        <v>140</v>
      </c>
      <c r="BO210" s="5">
        <f t="shared" si="368"/>
        <v>140</v>
      </c>
      <c r="BP210" s="5">
        <f t="shared" si="368"/>
        <v>140</v>
      </c>
      <c r="BQ210" s="5">
        <f t="shared" si="368"/>
        <v>140</v>
      </c>
      <c r="BR210" s="5">
        <f t="shared" si="368"/>
        <v>140</v>
      </c>
      <c r="BS210" s="5">
        <f t="shared" si="368"/>
        <v>140</v>
      </c>
      <c r="BT210" s="5">
        <f t="shared" si="368"/>
        <v>140</v>
      </c>
      <c r="BU210" s="5">
        <f t="shared" ref="BU210:CZ210" si="369">(BT210+BT211-BT213+BP212)</f>
        <v>140</v>
      </c>
      <c r="BV210" s="5">
        <f t="shared" si="369"/>
        <v>140</v>
      </c>
      <c r="BW210" s="5">
        <f t="shared" si="369"/>
        <v>140</v>
      </c>
      <c r="BX210" s="5">
        <f t="shared" si="369"/>
        <v>140</v>
      </c>
      <c r="BY210" s="5">
        <f t="shared" si="369"/>
        <v>140</v>
      </c>
      <c r="BZ210" s="5">
        <f t="shared" si="369"/>
        <v>140</v>
      </c>
      <c r="CA210" s="5">
        <f t="shared" si="369"/>
        <v>140</v>
      </c>
      <c r="CB210" s="5">
        <f t="shared" si="369"/>
        <v>140</v>
      </c>
      <c r="CC210" s="5">
        <f t="shared" si="369"/>
        <v>140</v>
      </c>
    </row>
    <row r="211" spans="1:81" x14ac:dyDescent="0.2">
      <c r="A211" s="5" t="s">
        <v>209</v>
      </c>
      <c r="B211" s="5">
        <v>13.89057</v>
      </c>
      <c r="C211" s="45" t="s">
        <v>39</v>
      </c>
      <c r="D211" s="72">
        <f>IFERROR(VLOOKUP(A210,WIP!$A:$B,2,0),0)</f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0</v>
      </c>
    </row>
    <row r="212" spans="1:81" x14ac:dyDescent="0.2">
      <c r="A212" s="5" t="s">
        <v>210</v>
      </c>
      <c r="B212" s="5">
        <v>0.34499999999999997</v>
      </c>
      <c r="C212" s="9" t="s">
        <v>211</v>
      </c>
      <c r="D212" s="70">
        <f>IFERROR(VLOOKUP($A210,Plan!$A:B,D$4,0),0)</f>
        <v>0</v>
      </c>
      <c r="E212" s="70">
        <f>IFERROR(VLOOKUP($A210,Plan!$A:C,E$4,0),0)</f>
        <v>0</v>
      </c>
      <c r="F212" s="70">
        <f>IFERROR(VLOOKUP($A210,Plan!$A:D,F$4,0),0)</f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</row>
    <row r="213" spans="1:81" x14ac:dyDescent="0.2">
      <c r="A213" s="5" t="s">
        <v>212</v>
      </c>
      <c r="B213" s="5">
        <v>8.8999999999999996E-2</v>
      </c>
      <c r="C213" s="9" t="s">
        <v>213</v>
      </c>
      <c r="D213" s="71">
        <f>IFERROR(VLOOKUP($A210,Sales!$A:B,D$2,0),0)</f>
        <v>0</v>
      </c>
      <c r="E213" s="71">
        <f>IFERROR(VLOOKUP($A210,Sales!$A:C,E$2,0),0)</f>
        <v>0</v>
      </c>
      <c r="F213" s="71">
        <f>IFERROR(VLOOKUP($A210,Sales!$A:D,F$2,0),0)</f>
        <v>0</v>
      </c>
      <c r="G213" s="71">
        <f>IFERROR(VLOOKUP($A210,Sales!$A:E,G$2,0),0)</f>
        <v>0</v>
      </c>
      <c r="H213" s="71">
        <f>IFERROR(VLOOKUP($A210,Sales!$A:F,H$2,0),0)</f>
        <v>0</v>
      </c>
      <c r="I213" s="71">
        <f>IFERROR(VLOOKUP($A210,Sales!$A:G,I$2,0),0)</f>
        <v>0</v>
      </c>
      <c r="J213" s="71">
        <f>IFERROR(VLOOKUP($A210,Sales!$A:H,J$2,0),0)</f>
        <v>0</v>
      </c>
      <c r="K213" s="71">
        <f>IFERROR(VLOOKUP($A210,Sales!$A:I,K$2,0),0)</f>
        <v>0</v>
      </c>
      <c r="L213" s="71">
        <f>IFERROR(VLOOKUP($A210,Sales!$A:J,L$2,0),0)</f>
        <v>0</v>
      </c>
      <c r="M213" s="71">
        <f>IFERROR(VLOOKUP($A210,Sales!$A:K,M$2,0),0)</f>
        <v>0</v>
      </c>
      <c r="N213" s="71">
        <f>IFERROR(VLOOKUP($A210,Sales!$A:L,N$2,0),0)</f>
        <v>0</v>
      </c>
      <c r="O213" s="71">
        <f>IFERROR(VLOOKUP($A210,Sales!$A:M,O$2,0),0)</f>
        <v>0</v>
      </c>
      <c r="P213" s="71">
        <f>IFERROR(VLOOKUP($A210,Sales!$A:N,P$2,0),0)</f>
        <v>0</v>
      </c>
      <c r="Q213" s="71">
        <f>IFERROR(VLOOKUP($A210,Sales!$A:O,Q$2,0),0)</f>
        <v>0</v>
      </c>
      <c r="R213" s="71">
        <f>IFERROR(VLOOKUP($A210,Sales!$A:P,R$2,0),0)</f>
        <v>0</v>
      </c>
      <c r="S213" s="71">
        <f>IFERROR(VLOOKUP($A210,Sales!$A:Q,S$2,0),0)</f>
        <v>0</v>
      </c>
      <c r="T213" s="71">
        <f>IFERROR(VLOOKUP($A210,Sales!$A:R,T$2,0),0)</f>
        <v>0</v>
      </c>
      <c r="U213" s="71">
        <f>IFERROR(VLOOKUP($A210,Sales!$A:S,U$2,0),0)</f>
        <v>0</v>
      </c>
      <c r="V213" s="71">
        <f>IFERROR(VLOOKUP($A210,Sales!$A:T,V$2,0),0)</f>
        <v>0</v>
      </c>
      <c r="W213" s="71">
        <f>IFERROR(VLOOKUP($A210,Sales!$A:U,W$2,0),0)</f>
        <v>0</v>
      </c>
      <c r="X213" s="71">
        <f>IFERROR(VLOOKUP($A210,Sales!$A:V,X$2,0),0)</f>
        <v>0</v>
      </c>
      <c r="Y213" s="71">
        <f>IFERROR(VLOOKUP($A210,Sales!$A:W,Y$2,0),0)</f>
        <v>0</v>
      </c>
      <c r="Z213" s="71">
        <f>IFERROR(VLOOKUP($A210,Sales!$A:X,Z$2,0),0)</f>
        <v>0</v>
      </c>
      <c r="AA213" s="71">
        <f>IFERROR(VLOOKUP($A210,Sales!$A:Y,AA$2,0),0)</f>
        <v>0</v>
      </c>
      <c r="AB213" s="71">
        <f>IFERROR(VLOOKUP($A210,Sales!$A:Z,AB$2,0),0)</f>
        <v>0</v>
      </c>
      <c r="AC213" s="71">
        <f>IFERROR(VLOOKUP($A210,Sales!$A:AA,AC$2,0),0)</f>
        <v>0</v>
      </c>
      <c r="AD213" s="71">
        <f>IFERROR(VLOOKUP($A210,Sales!$A:AB,AD$2,0),0)</f>
        <v>0</v>
      </c>
      <c r="AE213" s="71">
        <f>IFERROR(VLOOKUP($A210,Sales!$A:AC,AE$2,0),0)</f>
        <v>0</v>
      </c>
      <c r="AF213" s="71">
        <f>IFERROR(VLOOKUP($A210,Sales!$A:AD,AF$2,0),0)</f>
        <v>0</v>
      </c>
      <c r="AG213" s="71">
        <f>IFERROR(VLOOKUP($A210,Sales!$A:AE,AG$2,0),0)</f>
        <v>0</v>
      </c>
      <c r="AH213" s="71">
        <f>IFERROR(VLOOKUP($A210,Sales!$A:AF,AH$2,0),0)</f>
        <v>0</v>
      </c>
      <c r="AI213" s="71">
        <f>IFERROR(VLOOKUP($A210,Sales!$A:AG,AI$2,0),0)</f>
        <v>0</v>
      </c>
      <c r="AJ213" s="71">
        <f>IFERROR(VLOOKUP($A210,Sales!$A:AH,AJ$2,0),0)</f>
        <v>0</v>
      </c>
      <c r="AK213" s="73">
        <f t="shared" ref="AK213:CC213" si="370">CEILING(AK$5*$B209,1)</f>
        <v>0</v>
      </c>
      <c r="AL213" s="73">
        <f t="shared" si="370"/>
        <v>0</v>
      </c>
      <c r="AM213" s="73">
        <f t="shared" si="370"/>
        <v>0</v>
      </c>
      <c r="AN213" s="73">
        <f t="shared" si="370"/>
        <v>0</v>
      </c>
      <c r="AO213" s="73">
        <f t="shared" si="370"/>
        <v>0</v>
      </c>
      <c r="AP213" s="73">
        <f t="shared" si="370"/>
        <v>0</v>
      </c>
      <c r="AQ213" s="73">
        <f t="shared" si="370"/>
        <v>0</v>
      </c>
      <c r="AR213" s="73">
        <f t="shared" si="370"/>
        <v>0</v>
      </c>
      <c r="AS213" s="73">
        <f t="shared" si="370"/>
        <v>0</v>
      </c>
      <c r="AT213" s="73">
        <f t="shared" si="370"/>
        <v>0</v>
      </c>
      <c r="AU213" s="73">
        <f t="shared" si="370"/>
        <v>0</v>
      </c>
      <c r="AV213" s="73">
        <f t="shared" si="370"/>
        <v>0</v>
      </c>
      <c r="AW213" s="73">
        <f t="shared" si="370"/>
        <v>0</v>
      </c>
      <c r="AX213" s="73">
        <f t="shared" si="370"/>
        <v>0</v>
      </c>
      <c r="AY213" s="73">
        <f t="shared" si="370"/>
        <v>0</v>
      </c>
      <c r="AZ213" s="73">
        <f t="shared" si="370"/>
        <v>0</v>
      </c>
      <c r="BA213" s="73">
        <f t="shared" si="370"/>
        <v>0</v>
      </c>
      <c r="BB213" s="73">
        <f t="shared" si="370"/>
        <v>0</v>
      </c>
      <c r="BC213" s="73">
        <f t="shared" si="370"/>
        <v>0</v>
      </c>
      <c r="BD213" s="73">
        <f t="shared" si="370"/>
        <v>0</v>
      </c>
      <c r="BE213" s="73">
        <f t="shared" si="370"/>
        <v>0</v>
      </c>
      <c r="BF213" s="73">
        <f t="shared" si="370"/>
        <v>0</v>
      </c>
      <c r="BG213" s="73">
        <f t="shared" si="370"/>
        <v>0</v>
      </c>
      <c r="BH213" s="73">
        <f t="shared" si="370"/>
        <v>0</v>
      </c>
      <c r="BI213" s="73">
        <f t="shared" si="370"/>
        <v>0</v>
      </c>
      <c r="BJ213" s="73">
        <f t="shared" si="370"/>
        <v>0</v>
      </c>
      <c r="BK213" s="73">
        <f t="shared" si="370"/>
        <v>0</v>
      </c>
      <c r="BL213" s="73">
        <f t="shared" si="370"/>
        <v>0</v>
      </c>
      <c r="BM213" s="73">
        <f t="shared" si="370"/>
        <v>0</v>
      </c>
      <c r="BN213" s="73">
        <f t="shared" si="370"/>
        <v>0</v>
      </c>
      <c r="BO213" s="73">
        <f t="shared" si="370"/>
        <v>0</v>
      </c>
      <c r="BP213" s="73">
        <f t="shared" si="370"/>
        <v>0</v>
      </c>
      <c r="BQ213" s="73">
        <f t="shared" si="370"/>
        <v>0</v>
      </c>
      <c r="BR213" s="73">
        <f t="shared" si="370"/>
        <v>0</v>
      </c>
      <c r="BS213" s="73">
        <f t="shared" si="370"/>
        <v>0</v>
      </c>
      <c r="BT213" s="73">
        <f t="shared" si="370"/>
        <v>0</v>
      </c>
      <c r="BU213" s="73">
        <f t="shared" si="370"/>
        <v>0</v>
      </c>
      <c r="BV213" s="73">
        <f t="shared" si="370"/>
        <v>0</v>
      </c>
      <c r="BW213" s="73">
        <f t="shared" si="370"/>
        <v>0</v>
      </c>
      <c r="BX213" s="73">
        <f t="shared" si="370"/>
        <v>0</v>
      </c>
      <c r="BY213" s="73">
        <f t="shared" si="370"/>
        <v>0</v>
      </c>
      <c r="BZ213" s="73">
        <f t="shared" si="370"/>
        <v>0</v>
      </c>
      <c r="CA213" s="73">
        <f t="shared" si="370"/>
        <v>0</v>
      </c>
      <c r="CB213" s="73">
        <f t="shared" si="370"/>
        <v>0</v>
      </c>
      <c r="CC213" s="73">
        <f t="shared" si="370"/>
        <v>0</v>
      </c>
    </row>
    <row r="214" spans="1:81" x14ac:dyDescent="0.2">
      <c r="A214" s="5" t="s">
        <v>214</v>
      </c>
      <c r="B214" s="5">
        <v>0.434</v>
      </c>
      <c r="C214" s="46" t="s">
        <v>215</v>
      </c>
      <c r="D214" s="69">
        <f t="shared" ref="D214:AI214" si="371">IF(D213=0,0, ROUND(D210 * 1/D213* D$13,1))</f>
        <v>0</v>
      </c>
      <c r="E214" s="69">
        <f t="shared" si="371"/>
        <v>0</v>
      </c>
      <c r="F214" s="69">
        <f t="shared" si="371"/>
        <v>0</v>
      </c>
      <c r="G214" s="69">
        <f t="shared" si="371"/>
        <v>0</v>
      </c>
      <c r="H214" s="69">
        <f t="shared" si="371"/>
        <v>0</v>
      </c>
      <c r="I214" s="69">
        <f t="shared" si="371"/>
        <v>0</v>
      </c>
      <c r="J214" s="69">
        <f t="shared" si="371"/>
        <v>0</v>
      </c>
      <c r="K214" s="69">
        <f t="shared" si="371"/>
        <v>0</v>
      </c>
      <c r="L214" s="69">
        <f t="shared" si="371"/>
        <v>0</v>
      </c>
      <c r="M214" s="69">
        <f t="shared" si="371"/>
        <v>0</v>
      </c>
      <c r="N214" s="69">
        <f t="shared" si="371"/>
        <v>0</v>
      </c>
      <c r="O214" s="69">
        <f t="shared" si="371"/>
        <v>0</v>
      </c>
      <c r="P214" s="69">
        <f t="shared" si="371"/>
        <v>0</v>
      </c>
      <c r="Q214" s="69">
        <f t="shared" si="371"/>
        <v>0</v>
      </c>
      <c r="R214" s="69">
        <f t="shared" si="371"/>
        <v>0</v>
      </c>
      <c r="S214" s="69">
        <f t="shared" si="371"/>
        <v>0</v>
      </c>
      <c r="T214" s="69">
        <f t="shared" si="371"/>
        <v>0</v>
      </c>
      <c r="U214" s="69">
        <f t="shared" si="371"/>
        <v>0</v>
      </c>
      <c r="V214" s="69">
        <f t="shared" si="371"/>
        <v>0</v>
      </c>
      <c r="W214" s="69">
        <f t="shared" si="371"/>
        <v>0</v>
      </c>
      <c r="X214" s="69">
        <f t="shared" si="371"/>
        <v>0</v>
      </c>
      <c r="Y214" s="69">
        <f t="shared" si="371"/>
        <v>0</v>
      </c>
      <c r="Z214" s="69">
        <f t="shared" si="371"/>
        <v>0</v>
      </c>
      <c r="AA214" s="69">
        <f t="shared" si="371"/>
        <v>0</v>
      </c>
      <c r="AB214" s="69">
        <f t="shared" si="371"/>
        <v>0</v>
      </c>
      <c r="AC214" s="69">
        <f t="shared" si="371"/>
        <v>0</v>
      </c>
      <c r="AD214" s="69">
        <f t="shared" si="371"/>
        <v>0</v>
      </c>
      <c r="AE214" s="69">
        <f t="shared" si="371"/>
        <v>0</v>
      </c>
      <c r="AF214" s="69">
        <f t="shared" si="371"/>
        <v>0</v>
      </c>
      <c r="AG214" s="69">
        <f t="shared" si="371"/>
        <v>0</v>
      </c>
      <c r="AH214" s="69">
        <f t="shared" si="371"/>
        <v>0</v>
      </c>
      <c r="AI214" s="69">
        <f t="shared" si="371"/>
        <v>0</v>
      </c>
      <c r="AJ214" s="69">
        <f t="shared" ref="AJ214:BO214" si="372">IF(AJ213=0,0, ROUND(AJ210 * 1/AJ213* AJ$13,1))</f>
        <v>0</v>
      </c>
      <c r="AK214" s="69">
        <f t="shared" si="372"/>
        <v>0</v>
      </c>
      <c r="AL214" s="69">
        <f t="shared" si="372"/>
        <v>0</v>
      </c>
      <c r="AM214" s="69">
        <f t="shared" si="372"/>
        <v>0</v>
      </c>
      <c r="AN214" s="69">
        <f t="shared" si="372"/>
        <v>0</v>
      </c>
      <c r="AO214" s="69">
        <f t="shared" si="372"/>
        <v>0</v>
      </c>
      <c r="AP214" s="69">
        <f t="shared" si="372"/>
        <v>0</v>
      </c>
      <c r="AQ214" s="69">
        <f t="shared" si="372"/>
        <v>0</v>
      </c>
      <c r="AR214" s="69">
        <f t="shared" si="372"/>
        <v>0</v>
      </c>
      <c r="AS214" s="69">
        <f t="shared" si="372"/>
        <v>0</v>
      </c>
      <c r="AT214" s="69">
        <f t="shared" si="372"/>
        <v>0</v>
      </c>
      <c r="AU214" s="69">
        <f t="shared" si="372"/>
        <v>0</v>
      </c>
      <c r="AV214" s="69">
        <f t="shared" si="372"/>
        <v>0</v>
      </c>
      <c r="AW214" s="69">
        <f t="shared" si="372"/>
        <v>0</v>
      </c>
      <c r="AX214" s="69">
        <f t="shared" si="372"/>
        <v>0</v>
      </c>
      <c r="AY214" s="69">
        <f t="shared" si="372"/>
        <v>0</v>
      </c>
      <c r="AZ214" s="69">
        <f t="shared" si="372"/>
        <v>0</v>
      </c>
      <c r="BA214" s="69">
        <f t="shared" si="372"/>
        <v>0</v>
      </c>
      <c r="BB214" s="69">
        <f t="shared" si="372"/>
        <v>0</v>
      </c>
      <c r="BC214" s="69">
        <f t="shared" si="372"/>
        <v>0</v>
      </c>
      <c r="BD214" s="69">
        <f t="shared" si="372"/>
        <v>0</v>
      </c>
      <c r="BE214" s="69">
        <f t="shared" si="372"/>
        <v>0</v>
      </c>
      <c r="BF214" s="69">
        <f t="shared" si="372"/>
        <v>0</v>
      </c>
      <c r="BG214" s="69">
        <f t="shared" si="372"/>
        <v>0</v>
      </c>
      <c r="BH214" s="69">
        <f t="shared" si="372"/>
        <v>0</v>
      </c>
      <c r="BI214" s="69">
        <f t="shared" si="372"/>
        <v>0</v>
      </c>
      <c r="BJ214" s="69">
        <f t="shared" si="372"/>
        <v>0</v>
      </c>
      <c r="BK214" s="69">
        <f t="shared" si="372"/>
        <v>0</v>
      </c>
      <c r="BL214" s="69">
        <f t="shared" si="372"/>
        <v>0</v>
      </c>
      <c r="BM214" s="69">
        <f t="shared" si="372"/>
        <v>0</v>
      </c>
      <c r="BN214" s="69">
        <f t="shared" si="372"/>
        <v>0</v>
      </c>
      <c r="BO214" s="69">
        <f t="shared" si="372"/>
        <v>0</v>
      </c>
      <c r="BP214" s="69">
        <f t="shared" ref="BP214:CU214" si="373">IF(BP213=0,0, ROUND(BP210 * 1/BP213* BP$13,1))</f>
        <v>0</v>
      </c>
      <c r="BQ214" s="69">
        <f t="shared" si="373"/>
        <v>0</v>
      </c>
      <c r="BR214" s="69">
        <f t="shared" si="373"/>
        <v>0</v>
      </c>
      <c r="BS214" s="69">
        <f t="shared" si="373"/>
        <v>0</v>
      </c>
      <c r="BT214" s="69">
        <f t="shared" si="373"/>
        <v>0</v>
      </c>
      <c r="BU214" s="69">
        <f t="shared" si="373"/>
        <v>0</v>
      </c>
      <c r="BV214" s="69">
        <f t="shared" si="373"/>
        <v>0</v>
      </c>
      <c r="BW214" s="69">
        <f t="shared" si="373"/>
        <v>0</v>
      </c>
      <c r="BX214" s="69">
        <f t="shared" si="373"/>
        <v>0</v>
      </c>
      <c r="BY214" s="69">
        <f t="shared" si="373"/>
        <v>0</v>
      </c>
      <c r="BZ214" s="69">
        <f t="shared" si="373"/>
        <v>0</v>
      </c>
      <c r="CA214" s="69">
        <f t="shared" si="373"/>
        <v>0</v>
      </c>
      <c r="CB214" s="69">
        <f t="shared" si="373"/>
        <v>0</v>
      </c>
      <c r="CC214" s="69">
        <f t="shared" si="373"/>
        <v>0</v>
      </c>
    </row>
    <row r="215" spans="1:81" x14ac:dyDescent="0.2">
      <c r="A215">
        <v>44</v>
      </c>
      <c r="B215">
        <v>1</v>
      </c>
      <c r="C215" s="68">
        <v>10.81732</v>
      </c>
      <c r="D215">
        <f t="shared" ref="D215:AI215" si="374">D212/$B215</f>
        <v>0</v>
      </c>
      <c r="E215">
        <f t="shared" si="374"/>
        <v>0</v>
      </c>
      <c r="F215">
        <f t="shared" si="374"/>
        <v>0</v>
      </c>
      <c r="G215">
        <f t="shared" si="374"/>
        <v>0</v>
      </c>
      <c r="H215">
        <f t="shared" si="374"/>
        <v>0</v>
      </c>
      <c r="I215">
        <f t="shared" si="374"/>
        <v>0</v>
      </c>
      <c r="J215">
        <f t="shared" si="374"/>
        <v>0</v>
      </c>
      <c r="K215">
        <f t="shared" si="374"/>
        <v>0</v>
      </c>
      <c r="L215">
        <f t="shared" si="374"/>
        <v>0</v>
      </c>
      <c r="M215">
        <f t="shared" si="374"/>
        <v>0</v>
      </c>
      <c r="N215">
        <f t="shared" si="374"/>
        <v>0</v>
      </c>
      <c r="O215">
        <f t="shared" si="374"/>
        <v>0</v>
      </c>
      <c r="P215">
        <f t="shared" si="374"/>
        <v>0</v>
      </c>
      <c r="Q215">
        <f t="shared" si="374"/>
        <v>0</v>
      </c>
      <c r="R215">
        <f t="shared" si="374"/>
        <v>0</v>
      </c>
      <c r="S215">
        <f t="shared" si="374"/>
        <v>0</v>
      </c>
      <c r="T215">
        <f t="shared" si="374"/>
        <v>0</v>
      </c>
      <c r="U215">
        <f t="shared" si="374"/>
        <v>0</v>
      </c>
      <c r="V215">
        <f t="shared" si="374"/>
        <v>0</v>
      </c>
      <c r="W215">
        <f t="shared" si="374"/>
        <v>0</v>
      </c>
      <c r="X215">
        <f t="shared" si="374"/>
        <v>0</v>
      </c>
      <c r="Y215">
        <f t="shared" si="374"/>
        <v>0</v>
      </c>
      <c r="Z215">
        <f t="shared" si="374"/>
        <v>0</v>
      </c>
      <c r="AA215">
        <f t="shared" si="374"/>
        <v>0</v>
      </c>
      <c r="AB215">
        <f t="shared" si="374"/>
        <v>0</v>
      </c>
      <c r="AC215">
        <f t="shared" si="374"/>
        <v>0</v>
      </c>
      <c r="AD215">
        <f t="shared" si="374"/>
        <v>0</v>
      </c>
      <c r="AE215">
        <f t="shared" si="374"/>
        <v>0</v>
      </c>
      <c r="AF215">
        <f t="shared" si="374"/>
        <v>0</v>
      </c>
      <c r="AG215">
        <f t="shared" si="374"/>
        <v>0</v>
      </c>
      <c r="AH215">
        <f t="shared" si="374"/>
        <v>0</v>
      </c>
      <c r="AI215">
        <f t="shared" si="374"/>
        <v>0</v>
      </c>
      <c r="AJ215">
        <f t="shared" ref="AJ215:BO215" si="375">AJ212/$B215</f>
        <v>0</v>
      </c>
      <c r="AK215">
        <f t="shared" si="375"/>
        <v>0</v>
      </c>
      <c r="AL215">
        <f t="shared" si="375"/>
        <v>0</v>
      </c>
      <c r="AM215">
        <f t="shared" si="375"/>
        <v>0</v>
      </c>
      <c r="AN215">
        <f t="shared" si="375"/>
        <v>0</v>
      </c>
      <c r="AO215">
        <f t="shared" si="375"/>
        <v>0</v>
      </c>
      <c r="AP215">
        <f t="shared" si="375"/>
        <v>0</v>
      </c>
      <c r="AQ215">
        <f t="shared" si="375"/>
        <v>0</v>
      </c>
      <c r="AR215">
        <f t="shared" si="375"/>
        <v>0</v>
      </c>
      <c r="AS215">
        <f t="shared" si="375"/>
        <v>0</v>
      </c>
      <c r="AT215">
        <f t="shared" si="375"/>
        <v>0</v>
      </c>
      <c r="AU215">
        <f t="shared" si="375"/>
        <v>0</v>
      </c>
      <c r="AV215">
        <f t="shared" si="375"/>
        <v>0</v>
      </c>
      <c r="AW215">
        <f t="shared" si="375"/>
        <v>0</v>
      </c>
      <c r="AX215">
        <f t="shared" si="375"/>
        <v>0</v>
      </c>
      <c r="AY215">
        <f t="shared" si="375"/>
        <v>0</v>
      </c>
      <c r="AZ215">
        <f t="shared" si="375"/>
        <v>0</v>
      </c>
      <c r="BA215">
        <f t="shared" si="375"/>
        <v>0</v>
      </c>
      <c r="BB215">
        <f t="shared" si="375"/>
        <v>0</v>
      </c>
      <c r="BC215">
        <f t="shared" si="375"/>
        <v>0</v>
      </c>
      <c r="BD215">
        <f t="shared" si="375"/>
        <v>0</v>
      </c>
      <c r="BE215">
        <f t="shared" si="375"/>
        <v>0</v>
      </c>
      <c r="BF215">
        <f t="shared" si="375"/>
        <v>0</v>
      </c>
      <c r="BG215">
        <f t="shared" si="375"/>
        <v>0</v>
      </c>
      <c r="BH215">
        <f t="shared" si="375"/>
        <v>0</v>
      </c>
      <c r="BI215">
        <f t="shared" si="375"/>
        <v>0</v>
      </c>
      <c r="BJ215">
        <f t="shared" si="375"/>
        <v>0</v>
      </c>
      <c r="BK215">
        <f t="shared" si="375"/>
        <v>0</v>
      </c>
      <c r="BL215">
        <f t="shared" si="375"/>
        <v>0</v>
      </c>
      <c r="BM215">
        <f t="shared" si="375"/>
        <v>0</v>
      </c>
      <c r="BN215">
        <f t="shared" si="375"/>
        <v>0</v>
      </c>
      <c r="BO215">
        <f t="shared" si="375"/>
        <v>0</v>
      </c>
      <c r="BP215">
        <f t="shared" ref="BP215:CC215" si="376">BP212/$B215</f>
        <v>0</v>
      </c>
      <c r="BQ215">
        <f t="shared" si="376"/>
        <v>0</v>
      </c>
      <c r="BR215">
        <f t="shared" si="376"/>
        <v>0</v>
      </c>
      <c r="BS215">
        <f t="shared" si="376"/>
        <v>0</v>
      </c>
      <c r="BT215">
        <f t="shared" si="376"/>
        <v>0</v>
      </c>
      <c r="BU215">
        <f t="shared" si="376"/>
        <v>0</v>
      </c>
      <c r="BV215">
        <f t="shared" si="376"/>
        <v>0</v>
      </c>
      <c r="BW215">
        <f t="shared" si="376"/>
        <v>0</v>
      </c>
      <c r="BX215">
        <f t="shared" si="376"/>
        <v>0</v>
      </c>
      <c r="BY215">
        <f t="shared" si="376"/>
        <v>0</v>
      </c>
      <c r="BZ215">
        <f t="shared" si="376"/>
        <v>0</v>
      </c>
      <c r="CA215">
        <f t="shared" si="376"/>
        <v>0</v>
      </c>
      <c r="CB215">
        <f t="shared" si="376"/>
        <v>0</v>
      </c>
      <c r="CC215">
        <f t="shared" si="376"/>
        <v>0</v>
      </c>
    </row>
    <row r="216" spans="1:81" x14ac:dyDescent="0.2">
      <c r="A216" s="10"/>
      <c r="B216" s="67">
        <f>SUM(D220:AJ220)/SUM($D$263:$AJ$263)</f>
        <v>2.8126373358074126E-2</v>
      </c>
      <c r="C216" s="9" t="s">
        <v>216</v>
      </c>
      <c r="D216" s="10">
        <f t="shared" ref="D216:AI216" si="377">D210-D213</f>
        <v>140</v>
      </c>
      <c r="E216" s="10">
        <f t="shared" si="377"/>
        <v>140</v>
      </c>
      <c r="F216" s="10">
        <f t="shared" si="377"/>
        <v>140</v>
      </c>
      <c r="G216" s="10">
        <f t="shared" si="377"/>
        <v>140</v>
      </c>
      <c r="H216" s="10">
        <f t="shared" si="377"/>
        <v>140</v>
      </c>
      <c r="I216" s="10">
        <f t="shared" si="377"/>
        <v>140</v>
      </c>
      <c r="J216" s="10">
        <f t="shared" si="377"/>
        <v>140</v>
      </c>
      <c r="K216" s="10">
        <f t="shared" si="377"/>
        <v>140</v>
      </c>
      <c r="L216" s="10">
        <f t="shared" si="377"/>
        <v>140</v>
      </c>
      <c r="M216" s="10">
        <f t="shared" si="377"/>
        <v>140</v>
      </c>
      <c r="N216" s="10">
        <f t="shared" si="377"/>
        <v>140</v>
      </c>
      <c r="O216" s="10">
        <f t="shared" si="377"/>
        <v>140</v>
      </c>
      <c r="P216" s="10">
        <f t="shared" si="377"/>
        <v>140</v>
      </c>
      <c r="Q216" s="10">
        <f t="shared" si="377"/>
        <v>140</v>
      </c>
      <c r="R216" s="10">
        <f t="shared" si="377"/>
        <v>140</v>
      </c>
      <c r="S216" s="10">
        <f t="shared" si="377"/>
        <v>140</v>
      </c>
      <c r="T216" s="10">
        <f t="shared" si="377"/>
        <v>140</v>
      </c>
      <c r="U216" s="10">
        <f t="shared" si="377"/>
        <v>140</v>
      </c>
      <c r="V216" s="10">
        <f t="shared" si="377"/>
        <v>140</v>
      </c>
      <c r="W216" s="10">
        <f t="shared" si="377"/>
        <v>140</v>
      </c>
      <c r="X216" s="10">
        <f t="shared" si="377"/>
        <v>140</v>
      </c>
      <c r="Y216" s="10">
        <f t="shared" si="377"/>
        <v>140</v>
      </c>
      <c r="Z216" s="10">
        <f t="shared" si="377"/>
        <v>140</v>
      </c>
      <c r="AA216" s="10">
        <f t="shared" si="377"/>
        <v>140</v>
      </c>
      <c r="AB216" s="10">
        <f t="shared" si="377"/>
        <v>140</v>
      </c>
      <c r="AC216" s="10">
        <f t="shared" si="377"/>
        <v>140</v>
      </c>
      <c r="AD216" s="10">
        <f t="shared" si="377"/>
        <v>140</v>
      </c>
      <c r="AE216" s="10">
        <f t="shared" si="377"/>
        <v>140</v>
      </c>
      <c r="AF216" s="10">
        <f t="shared" si="377"/>
        <v>140</v>
      </c>
      <c r="AG216" s="10">
        <f t="shared" si="377"/>
        <v>140</v>
      </c>
      <c r="AH216" s="10">
        <f t="shared" si="377"/>
        <v>140</v>
      </c>
      <c r="AI216" s="10">
        <f t="shared" si="377"/>
        <v>140</v>
      </c>
      <c r="AJ216" s="10">
        <f t="shared" ref="AJ216:BO216" si="378">AJ210-AJ213</f>
        <v>140</v>
      </c>
      <c r="AK216" s="10">
        <f t="shared" si="378"/>
        <v>140</v>
      </c>
      <c r="AL216" s="10">
        <f t="shared" si="378"/>
        <v>140</v>
      </c>
      <c r="AM216" s="10">
        <f t="shared" si="378"/>
        <v>140</v>
      </c>
      <c r="AN216" s="10">
        <f t="shared" si="378"/>
        <v>140</v>
      </c>
      <c r="AO216" s="10">
        <f t="shared" si="378"/>
        <v>140</v>
      </c>
      <c r="AP216" s="10">
        <f t="shared" si="378"/>
        <v>140</v>
      </c>
      <c r="AQ216" s="10">
        <f t="shared" si="378"/>
        <v>140</v>
      </c>
      <c r="AR216" s="10">
        <f t="shared" si="378"/>
        <v>140</v>
      </c>
      <c r="AS216" s="10">
        <f t="shared" si="378"/>
        <v>140</v>
      </c>
      <c r="AT216" s="10">
        <f t="shared" si="378"/>
        <v>140</v>
      </c>
      <c r="AU216" s="10">
        <f t="shared" si="378"/>
        <v>140</v>
      </c>
      <c r="AV216" s="10">
        <f t="shared" si="378"/>
        <v>140</v>
      </c>
      <c r="AW216" s="10">
        <f t="shared" si="378"/>
        <v>140</v>
      </c>
      <c r="AX216" s="10">
        <f t="shared" si="378"/>
        <v>140</v>
      </c>
      <c r="AY216" s="10">
        <f t="shared" si="378"/>
        <v>140</v>
      </c>
      <c r="AZ216" s="10">
        <f t="shared" si="378"/>
        <v>140</v>
      </c>
      <c r="BA216" s="10">
        <f t="shared" si="378"/>
        <v>140</v>
      </c>
      <c r="BB216" s="10">
        <f t="shared" si="378"/>
        <v>140</v>
      </c>
      <c r="BC216" s="10">
        <f t="shared" si="378"/>
        <v>140</v>
      </c>
      <c r="BD216" s="10">
        <f t="shared" si="378"/>
        <v>140</v>
      </c>
      <c r="BE216" s="10">
        <f t="shared" si="378"/>
        <v>140</v>
      </c>
      <c r="BF216" s="10">
        <f t="shared" si="378"/>
        <v>140</v>
      </c>
      <c r="BG216" s="10">
        <f t="shared" si="378"/>
        <v>140</v>
      </c>
      <c r="BH216" s="10">
        <f t="shared" si="378"/>
        <v>140</v>
      </c>
      <c r="BI216" s="10">
        <f t="shared" si="378"/>
        <v>140</v>
      </c>
      <c r="BJ216" s="10">
        <f t="shared" si="378"/>
        <v>140</v>
      </c>
      <c r="BK216" s="10">
        <f t="shared" si="378"/>
        <v>140</v>
      </c>
      <c r="BL216" s="10">
        <f t="shared" si="378"/>
        <v>140</v>
      </c>
      <c r="BM216" s="10">
        <f t="shared" si="378"/>
        <v>140</v>
      </c>
      <c r="BN216" s="10">
        <f t="shared" si="378"/>
        <v>140</v>
      </c>
      <c r="BO216" s="10">
        <f t="shared" si="378"/>
        <v>140</v>
      </c>
      <c r="BP216" s="10">
        <f t="shared" ref="BP216:CC216" si="379">BP210-BP213</f>
        <v>140</v>
      </c>
      <c r="BQ216" s="10">
        <f t="shared" si="379"/>
        <v>140</v>
      </c>
      <c r="BR216" s="10">
        <f t="shared" si="379"/>
        <v>140</v>
      </c>
      <c r="BS216" s="10">
        <f t="shared" si="379"/>
        <v>140</v>
      </c>
      <c r="BT216" s="10">
        <f t="shared" si="379"/>
        <v>140</v>
      </c>
      <c r="BU216" s="10">
        <f t="shared" si="379"/>
        <v>140</v>
      </c>
      <c r="BV216" s="10">
        <f t="shared" si="379"/>
        <v>140</v>
      </c>
      <c r="BW216" s="10">
        <f t="shared" si="379"/>
        <v>140</v>
      </c>
      <c r="BX216" s="10">
        <f t="shared" si="379"/>
        <v>140</v>
      </c>
      <c r="BY216" s="10">
        <f t="shared" si="379"/>
        <v>140</v>
      </c>
      <c r="BZ216" s="10">
        <f t="shared" si="379"/>
        <v>140</v>
      </c>
      <c r="CA216" s="10">
        <f t="shared" si="379"/>
        <v>140</v>
      </c>
      <c r="CB216" s="10">
        <f t="shared" si="379"/>
        <v>140</v>
      </c>
      <c r="CC216" s="10">
        <f t="shared" si="379"/>
        <v>140</v>
      </c>
    </row>
    <row r="217" spans="1:81" x14ac:dyDescent="0.2">
      <c r="A217" s="43" t="s">
        <v>245</v>
      </c>
      <c r="B217" s="44" t="s">
        <v>208</v>
      </c>
      <c r="C217" s="9" t="s">
        <v>38</v>
      </c>
      <c r="D217" s="58">
        <f>IFERROR(VLOOKUP(A217,OS!$A:$B,2,0),0)</f>
        <v>600</v>
      </c>
      <c r="E217" s="5">
        <f>(D217+D218-D220)</f>
        <v>600</v>
      </c>
      <c r="F217" s="5">
        <f>(E217+E218-E220)</f>
        <v>440</v>
      </c>
      <c r="G217" s="5">
        <f>(F217+F218-F220)</f>
        <v>360</v>
      </c>
      <c r="H217" s="5">
        <f>(G217+G218-G220)</f>
        <v>200</v>
      </c>
      <c r="I217" s="5">
        <f t="shared" ref="I217:AN217" si="380">(H217+H218-H220+D219)</f>
        <v>420</v>
      </c>
      <c r="J217" s="5">
        <f t="shared" si="380"/>
        <v>260</v>
      </c>
      <c r="K217" s="5">
        <f t="shared" si="380"/>
        <v>180</v>
      </c>
      <c r="L217" s="5">
        <f t="shared" si="380"/>
        <v>100</v>
      </c>
      <c r="M217" s="5">
        <f t="shared" si="380"/>
        <v>-60</v>
      </c>
      <c r="N217" s="5">
        <f t="shared" si="380"/>
        <v>-140</v>
      </c>
      <c r="O217" s="5">
        <f t="shared" si="380"/>
        <v>-140</v>
      </c>
      <c r="P217" s="5">
        <f t="shared" si="380"/>
        <v>-140</v>
      </c>
      <c r="Q217" s="5">
        <f t="shared" si="380"/>
        <v>-140</v>
      </c>
      <c r="R217" s="5">
        <f t="shared" si="380"/>
        <v>-140</v>
      </c>
      <c r="S217" s="5">
        <f t="shared" si="380"/>
        <v>-220</v>
      </c>
      <c r="T217" s="5">
        <f t="shared" si="380"/>
        <v>-380</v>
      </c>
      <c r="U217" s="5">
        <f t="shared" si="380"/>
        <v>-460</v>
      </c>
      <c r="V217" s="5">
        <f t="shared" si="380"/>
        <v>-560</v>
      </c>
      <c r="W217" s="5">
        <f t="shared" si="380"/>
        <v>-660</v>
      </c>
      <c r="X217" s="5">
        <f t="shared" si="380"/>
        <v>-760</v>
      </c>
      <c r="Y217" s="5">
        <f t="shared" si="380"/>
        <v>-860</v>
      </c>
      <c r="Z217" s="5">
        <f t="shared" si="380"/>
        <v>-940</v>
      </c>
      <c r="AA217" s="5">
        <f t="shared" si="380"/>
        <v>-1020</v>
      </c>
      <c r="AB217" s="5">
        <f t="shared" si="380"/>
        <v>-1100</v>
      </c>
      <c r="AC217" s="5">
        <f t="shared" si="380"/>
        <v>-1180</v>
      </c>
      <c r="AD217" s="5">
        <f t="shared" si="380"/>
        <v>-1310</v>
      </c>
      <c r="AE217" s="5">
        <f t="shared" si="380"/>
        <v>-1440</v>
      </c>
      <c r="AF217" s="5">
        <f t="shared" si="380"/>
        <v>-1570</v>
      </c>
      <c r="AG217" s="5">
        <f t="shared" si="380"/>
        <v>-1700</v>
      </c>
      <c r="AH217" s="5">
        <f t="shared" si="380"/>
        <v>-1820</v>
      </c>
      <c r="AI217" s="5">
        <f t="shared" si="380"/>
        <v>-1900</v>
      </c>
      <c r="AJ217" s="5">
        <f t="shared" si="380"/>
        <v>-1980</v>
      </c>
      <c r="AK217" s="5">
        <f t="shared" si="380"/>
        <v>-1980</v>
      </c>
      <c r="AL217" s="5">
        <f t="shared" si="380"/>
        <v>-1980</v>
      </c>
      <c r="AM217" s="5">
        <f t="shared" si="380"/>
        <v>-1980</v>
      </c>
      <c r="AN217" s="5">
        <f t="shared" si="380"/>
        <v>-1980</v>
      </c>
      <c r="AO217" s="5">
        <f t="shared" ref="AO217:BT217" si="381">(AN217+AN218-AN220+AJ219)</f>
        <v>-2057</v>
      </c>
      <c r="AP217" s="5">
        <f t="shared" si="381"/>
        <v>-2134</v>
      </c>
      <c r="AQ217" s="5">
        <f t="shared" si="381"/>
        <v>-2211</v>
      </c>
      <c r="AR217" s="5">
        <f t="shared" si="381"/>
        <v>-2304</v>
      </c>
      <c r="AS217" s="5">
        <f t="shared" si="381"/>
        <v>-2397</v>
      </c>
      <c r="AT217" s="5">
        <f t="shared" si="381"/>
        <v>-2471</v>
      </c>
      <c r="AU217" s="5">
        <f t="shared" si="381"/>
        <v>-2564</v>
      </c>
      <c r="AV217" s="5">
        <f t="shared" si="381"/>
        <v>-2652</v>
      </c>
      <c r="AW217" s="5">
        <f t="shared" si="381"/>
        <v>-2740</v>
      </c>
      <c r="AX217" s="5">
        <f t="shared" si="381"/>
        <v>-2828</v>
      </c>
      <c r="AY217" s="5">
        <f t="shared" si="381"/>
        <v>-2916</v>
      </c>
      <c r="AZ217" s="5">
        <f t="shared" si="381"/>
        <v>-2986</v>
      </c>
      <c r="BA217" s="5">
        <f t="shared" si="381"/>
        <v>-3049</v>
      </c>
      <c r="BB217" s="5">
        <f t="shared" si="381"/>
        <v>-3112</v>
      </c>
      <c r="BC217" s="5">
        <f t="shared" si="381"/>
        <v>-3175</v>
      </c>
      <c r="BD217" s="5">
        <f t="shared" si="381"/>
        <v>-3245</v>
      </c>
      <c r="BE217" s="5">
        <f t="shared" si="381"/>
        <v>-3315</v>
      </c>
      <c r="BF217" s="5">
        <f t="shared" si="381"/>
        <v>-3385</v>
      </c>
      <c r="BG217" s="5">
        <f t="shared" si="381"/>
        <v>-3455</v>
      </c>
      <c r="BH217" s="5">
        <f t="shared" si="381"/>
        <v>-3525</v>
      </c>
      <c r="BI217" s="5">
        <f t="shared" si="381"/>
        <v>-3595</v>
      </c>
      <c r="BJ217" s="5">
        <f t="shared" si="381"/>
        <v>-3665</v>
      </c>
      <c r="BK217" s="5">
        <f t="shared" si="381"/>
        <v>-3735</v>
      </c>
      <c r="BL217" s="5">
        <f t="shared" si="381"/>
        <v>-3805</v>
      </c>
      <c r="BM217" s="5">
        <f t="shared" si="381"/>
        <v>-3875</v>
      </c>
      <c r="BN217" s="5">
        <f t="shared" si="381"/>
        <v>-3945</v>
      </c>
      <c r="BO217" s="5">
        <f t="shared" si="381"/>
        <v>-4072</v>
      </c>
      <c r="BP217" s="5">
        <f t="shared" si="381"/>
        <v>-4072</v>
      </c>
      <c r="BQ217" s="5">
        <f t="shared" si="381"/>
        <v>-4072</v>
      </c>
      <c r="BR217" s="5">
        <f t="shared" si="381"/>
        <v>-4072</v>
      </c>
      <c r="BS217" s="5">
        <f t="shared" si="381"/>
        <v>-4072</v>
      </c>
      <c r="BT217" s="5">
        <f t="shared" si="381"/>
        <v>-4130</v>
      </c>
      <c r="BU217" s="5">
        <f t="shared" ref="BU217:CZ217" si="382">(BT217+BT218-BT220+BP219)</f>
        <v>-4188</v>
      </c>
      <c r="BV217" s="5">
        <f t="shared" si="382"/>
        <v>-4246</v>
      </c>
      <c r="BW217" s="5">
        <f t="shared" si="382"/>
        <v>-4304</v>
      </c>
      <c r="BX217" s="5">
        <f t="shared" si="382"/>
        <v>-4362</v>
      </c>
      <c r="BY217" s="5">
        <f t="shared" si="382"/>
        <v>-4420</v>
      </c>
      <c r="BZ217" s="5">
        <f t="shared" si="382"/>
        <v>-4478</v>
      </c>
      <c r="CA217" s="5">
        <f t="shared" si="382"/>
        <v>-4536</v>
      </c>
      <c r="CB217" s="5">
        <f t="shared" si="382"/>
        <v>-4594</v>
      </c>
      <c r="CC217" s="5">
        <f t="shared" si="382"/>
        <v>-4652</v>
      </c>
    </row>
    <row r="218" spans="1:81" x14ac:dyDescent="0.2">
      <c r="A218" s="5" t="s">
        <v>209</v>
      </c>
      <c r="B218" s="5">
        <v>12.74737</v>
      </c>
      <c r="C218" s="45" t="s">
        <v>39</v>
      </c>
      <c r="D218" s="59">
        <f>IFERROR(VLOOKUP(A217,WIP!$A:$B,2,0),0)</f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</row>
    <row r="219" spans="1:81" x14ac:dyDescent="0.2">
      <c r="A219" s="5" t="s">
        <v>210</v>
      </c>
      <c r="B219" s="5">
        <v>0.33400000000000002</v>
      </c>
      <c r="C219" s="9" t="s">
        <v>211</v>
      </c>
      <c r="D219" s="60">
        <f>IFERROR(VLOOKUP($A217,Plan!$A:B,D$4,0),0)</f>
        <v>300</v>
      </c>
      <c r="E219" s="70">
        <f>IFERROR(VLOOKUP($A217,Plan!$A:C,E$4,0),0)</f>
        <v>0</v>
      </c>
      <c r="F219" s="70">
        <f>IFERROR(VLOOKUP($A217,Plan!$A:D,F$4,0),0)</f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 spans="1:81" x14ac:dyDescent="0.2">
      <c r="A220" s="5" t="s">
        <v>212</v>
      </c>
      <c r="B220" s="5">
        <v>7.6999999999999999E-2</v>
      </c>
      <c r="C220" s="9" t="s">
        <v>213</v>
      </c>
      <c r="D220" s="61">
        <f>IFERROR(VLOOKUP($A217,Sales!$A:B,D$2,0),0)</f>
        <v>0</v>
      </c>
      <c r="E220" s="61">
        <f>IFERROR(VLOOKUP($A217,Sales!$A:C,E$2,0),0)</f>
        <v>160</v>
      </c>
      <c r="F220" s="61">
        <f>IFERROR(VLOOKUP($A217,Sales!$A:D,F$2,0),0)</f>
        <v>80</v>
      </c>
      <c r="G220" s="61">
        <f>IFERROR(VLOOKUP($A217,Sales!$A:E,G$2,0),0)</f>
        <v>160</v>
      </c>
      <c r="H220" s="61">
        <f>IFERROR(VLOOKUP($A217,Sales!$A:F,H$2,0),0)</f>
        <v>80</v>
      </c>
      <c r="I220" s="61">
        <f>IFERROR(VLOOKUP($A217,Sales!$A:G,I$2,0),0)</f>
        <v>160</v>
      </c>
      <c r="J220" s="61">
        <f>IFERROR(VLOOKUP($A217,Sales!$A:H,J$2,0),0)</f>
        <v>80</v>
      </c>
      <c r="K220" s="61">
        <f>IFERROR(VLOOKUP($A217,Sales!$A:I,K$2,0),0)</f>
        <v>80</v>
      </c>
      <c r="L220" s="61">
        <f>IFERROR(VLOOKUP($A217,Sales!$A:J,L$2,0),0)</f>
        <v>160</v>
      </c>
      <c r="M220" s="61">
        <f>IFERROR(VLOOKUP($A217,Sales!$A:K,M$2,0),0)</f>
        <v>80</v>
      </c>
      <c r="N220" s="61">
        <f>IFERROR(VLOOKUP($A217,Sales!$A:L,N$2,0),0)</f>
        <v>0</v>
      </c>
      <c r="O220" s="61">
        <f>IFERROR(VLOOKUP($A217,Sales!$A:M,O$2,0),0)</f>
        <v>0</v>
      </c>
      <c r="P220" s="61">
        <f>IFERROR(VLOOKUP($A217,Sales!$A:N,P$2,0),0)</f>
        <v>0</v>
      </c>
      <c r="Q220" s="61">
        <f>IFERROR(VLOOKUP($A217,Sales!$A:O,Q$2,0),0)</f>
        <v>0</v>
      </c>
      <c r="R220" s="61">
        <f>IFERROR(VLOOKUP($A217,Sales!$A:P,R$2,0),0)</f>
        <v>80</v>
      </c>
      <c r="S220" s="61">
        <f>IFERROR(VLOOKUP($A217,Sales!$A:Q,S$2,0),0)</f>
        <v>160</v>
      </c>
      <c r="T220" s="61">
        <f>IFERROR(VLOOKUP($A217,Sales!$A:R,T$2,0),0)</f>
        <v>80</v>
      </c>
      <c r="U220" s="61">
        <f>IFERROR(VLOOKUP($A217,Sales!$A:S,U$2,0),0)</f>
        <v>100</v>
      </c>
      <c r="V220" s="61">
        <f>IFERROR(VLOOKUP($A217,Sales!$A:T,V$2,0),0)</f>
        <v>100</v>
      </c>
      <c r="W220" s="61">
        <f>IFERROR(VLOOKUP($A217,Sales!$A:U,W$2,0),0)</f>
        <v>100</v>
      </c>
      <c r="X220" s="61">
        <f>IFERROR(VLOOKUP($A217,Sales!$A:V,X$2,0),0)</f>
        <v>100</v>
      </c>
      <c r="Y220" s="61">
        <f>IFERROR(VLOOKUP($A217,Sales!$A:W,Y$2,0),0)</f>
        <v>80</v>
      </c>
      <c r="Z220" s="61">
        <f>IFERROR(VLOOKUP($A217,Sales!$A:X,Z$2,0),0)</f>
        <v>80</v>
      </c>
      <c r="AA220" s="61">
        <f>IFERROR(VLOOKUP($A217,Sales!$A:Y,AA$2,0),0)</f>
        <v>80</v>
      </c>
      <c r="AB220" s="61">
        <f>IFERROR(VLOOKUP($A217,Sales!$A:Z,AB$2,0),0)</f>
        <v>80</v>
      </c>
      <c r="AC220" s="61">
        <f>IFERROR(VLOOKUP($A217,Sales!$A:AA,AC$2,0),0)</f>
        <v>130</v>
      </c>
      <c r="AD220" s="61">
        <f>IFERROR(VLOOKUP($A217,Sales!$A:AB,AD$2,0),0)</f>
        <v>130</v>
      </c>
      <c r="AE220" s="61">
        <f>IFERROR(VLOOKUP($A217,Sales!$A:AC,AE$2,0),0)</f>
        <v>130</v>
      </c>
      <c r="AF220" s="61">
        <f>IFERROR(VLOOKUP($A217,Sales!$A:AD,AF$2,0),0)</f>
        <v>130</v>
      </c>
      <c r="AG220" s="61">
        <f>IFERROR(VLOOKUP($A217,Sales!$A:AE,AG$2,0),0)</f>
        <v>120</v>
      </c>
      <c r="AH220" s="61">
        <f>IFERROR(VLOOKUP($A217,Sales!$A:AF,AH$2,0),0)</f>
        <v>80</v>
      </c>
      <c r="AI220" s="61">
        <f>IFERROR(VLOOKUP($A217,Sales!$A:AG,AI$2,0),0)</f>
        <v>80</v>
      </c>
      <c r="AJ220" s="61">
        <f>IFERROR(VLOOKUP($A217,Sales!$A:AH,AJ$2,0),0)</f>
        <v>0</v>
      </c>
      <c r="AK220" s="73">
        <f t="shared" ref="AK220:CC220" si="383">CEILING(AK$5*$B216,1)</f>
        <v>0</v>
      </c>
      <c r="AL220" s="73">
        <f t="shared" si="383"/>
        <v>0</v>
      </c>
      <c r="AM220" s="73">
        <f t="shared" si="383"/>
        <v>0</v>
      </c>
      <c r="AN220" s="73">
        <f t="shared" si="383"/>
        <v>77</v>
      </c>
      <c r="AO220" s="73">
        <f t="shared" si="383"/>
        <v>77</v>
      </c>
      <c r="AP220" s="73">
        <f t="shared" si="383"/>
        <v>77</v>
      </c>
      <c r="AQ220" s="73">
        <f t="shared" si="383"/>
        <v>93</v>
      </c>
      <c r="AR220" s="73">
        <f t="shared" si="383"/>
        <v>93</v>
      </c>
      <c r="AS220" s="73">
        <f t="shared" si="383"/>
        <v>74</v>
      </c>
      <c r="AT220" s="73">
        <f t="shared" si="383"/>
        <v>93</v>
      </c>
      <c r="AU220" s="73">
        <f t="shared" si="383"/>
        <v>88</v>
      </c>
      <c r="AV220" s="73">
        <f t="shared" si="383"/>
        <v>88</v>
      </c>
      <c r="AW220" s="73">
        <f t="shared" si="383"/>
        <v>88</v>
      </c>
      <c r="AX220" s="73">
        <f t="shared" si="383"/>
        <v>88</v>
      </c>
      <c r="AY220" s="73">
        <f t="shared" si="383"/>
        <v>70</v>
      </c>
      <c r="AZ220" s="73">
        <f t="shared" si="383"/>
        <v>63</v>
      </c>
      <c r="BA220" s="73">
        <f t="shared" si="383"/>
        <v>63</v>
      </c>
      <c r="BB220" s="73">
        <f t="shared" si="383"/>
        <v>63</v>
      </c>
      <c r="BC220" s="73">
        <f t="shared" si="383"/>
        <v>70</v>
      </c>
      <c r="BD220" s="73">
        <f t="shared" si="383"/>
        <v>70</v>
      </c>
      <c r="BE220" s="73">
        <f t="shared" si="383"/>
        <v>70</v>
      </c>
      <c r="BF220" s="73">
        <f t="shared" si="383"/>
        <v>70</v>
      </c>
      <c r="BG220" s="73">
        <f t="shared" si="383"/>
        <v>70</v>
      </c>
      <c r="BH220" s="73">
        <f t="shared" si="383"/>
        <v>70</v>
      </c>
      <c r="BI220" s="73">
        <f t="shared" si="383"/>
        <v>70</v>
      </c>
      <c r="BJ220" s="73">
        <f t="shared" si="383"/>
        <v>70</v>
      </c>
      <c r="BK220" s="73">
        <f t="shared" si="383"/>
        <v>70</v>
      </c>
      <c r="BL220" s="73">
        <f t="shared" si="383"/>
        <v>70</v>
      </c>
      <c r="BM220" s="73">
        <f t="shared" si="383"/>
        <v>70</v>
      </c>
      <c r="BN220" s="73">
        <f t="shared" si="383"/>
        <v>127</v>
      </c>
      <c r="BO220" s="73">
        <f t="shared" si="383"/>
        <v>0</v>
      </c>
      <c r="BP220" s="73">
        <f t="shared" si="383"/>
        <v>0</v>
      </c>
      <c r="BQ220" s="73">
        <f t="shared" si="383"/>
        <v>0</v>
      </c>
      <c r="BR220" s="73">
        <f t="shared" si="383"/>
        <v>0</v>
      </c>
      <c r="BS220" s="73">
        <f t="shared" si="383"/>
        <v>58</v>
      </c>
      <c r="BT220" s="73">
        <f t="shared" si="383"/>
        <v>58</v>
      </c>
      <c r="BU220" s="73">
        <f t="shared" si="383"/>
        <v>58</v>
      </c>
      <c r="BV220" s="73">
        <f t="shared" si="383"/>
        <v>58</v>
      </c>
      <c r="BW220" s="73">
        <f t="shared" si="383"/>
        <v>58</v>
      </c>
      <c r="BX220" s="73">
        <f t="shared" si="383"/>
        <v>58</v>
      </c>
      <c r="BY220" s="73">
        <f t="shared" si="383"/>
        <v>58</v>
      </c>
      <c r="BZ220" s="73">
        <f t="shared" si="383"/>
        <v>58</v>
      </c>
      <c r="CA220" s="73">
        <f t="shared" si="383"/>
        <v>58</v>
      </c>
      <c r="CB220" s="73">
        <f t="shared" si="383"/>
        <v>58</v>
      </c>
      <c r="CC220" s="73">
        <f t="shared" si="383"/>
        <v>58</v>
      </c>
    </row>
    <row r="221" spans="1:81" x14ac:dyDescent="0.2">
      <c r="A221" s="5" t="s">
        <v>214</v>
      </c>
      <c r="B221" s="5">
        <v>0.41099999999999998</v>
      </c>
      <c r="C221" s="46" t="s">
        <v>215</v>
      </c>
      <c r="D221" s="11">
        <f t="shared" ref="D221:AI221" si="384">IF(D220=0,0, ROUND(D217 * 1/D220* D$13,1))</f>
        <v>0</v>
      </c>
      <c r="E221" s="11">
        <f t="shared" si="384"/>
        <v>18.8</v>
      </c>
      <c r="F221" s="11">
        <f t="shared" si="384"/>
        <v>27.5</v>
      </c>
      <c r="G221" s="11">
        <f t="shared" si="384"/>
        <v>11.3</v>
      </c>
      <c r="H221" s="11">
        <f t="shared" si="384"/>
        <v>12.5</v>
      </c>
      <c r="I221" s="11">
        <f t="shared" si="384"/>
        <v>13.1</v>
      </c>
      <c r="J221" s="11">
        <f t="shared" si="384"/>
        <v>16.3</v>
      </c>
      <c r="K221" s="11">
        <f t="shared" si="384"/>
        <v>11.3</v>
      </c>
      <c r="L221" s="11">
        <f t="shared" si="384"/>
        <v>3.1</v>
      </c>
      <c r="M221" s="11">
        <f t="shared" si="384"/>
        <v>-3.8</v>
      </c>
      <c r="N221" s="11">
        <f t="shared" si="384"/>
        <v>0</v>
      </c>
      <c r="O221" s="11">
        <f t="shared" si="384"/>
        <v>0</v>
      </c>
      <c r="P221" s="11">
        <f t="shared" si="384"/>
        <v>0</v>
      </c>
      <c r="Q221" s="11">
        <f t="shared" si="384"/>
        <v>0</v>
      </c>
      <c r="R221" s="11">
        <f t="shared" si="384"/>
        <v>-8.8000000000000007</v>
      </c>
      <c r="S221" s="11">
        <f t="shared" si="384"/>
        <v>-6.9</v>
      </c>
      <c r="T221" s="11">
        <f t="shared" si="384"/>
        <v>-23.8</v>
      </c>
      <c r="U221" s="11">
        <f t="shared" si="384"/>
        <v>-23</v>
      </c>
      <c r="V221" s="11">
        <f t="shared" si="384"/>
        <v>-28</v>
      </c>
      <c r="W221" s="11">
        <f t="shared" si="384"/>
        <v>-33</v>
      </c>
      <c r="X221" s="11">
        <f t="shared" si="384"/>
        <v>-38</v>
      </c>
      <c r="Y221" s="11">
        <f t="shared" si="384"/>
        <v>-53.8</v>
      </c>
      <c r="Z221" s="11">
        <f t="shared" si="384"/>
        <v>-58.8</v>
      </c>
      <c r="AA221" s="11">
        <f t="shared" si="384"/>
        <v>-63.8</v>
      </c>
      <c r="AB221" s="11">
        <f t="shared" si="384"/>
        <v>-68.8</v>
      </c>
      <c r="AC221" s="11">
        <f t="shared" si="384"/>
        <v>-45.4</v>
      </c>
      <c r="AD221" s="11">
        <f t="shared" si="384"/>
        <v>-50.4</v>
      </c>
      <c r="AE221" s="11">
        <f t="shared" si="384"/>
        <v>-55.4</v>
      </c>
      <c r="AF221" s="11">
        <f t="shared" si="384"/>
        <v>-60.4</v>
      </c>
      <c r="AG221" s="11">
        <f t="shared" si="384"/>
        <v>-70.8</v>
      </c>
      <c r="AH221" s="11">
        <f t="shared" si="384"/>
        <v>-113.8</v>
      </c>
      <c r="AI221" s="11">
        <f t="shared" si="384"/>
        <v>-118.8</v>
      </c>
      <c r="AJ221" s="11">
        <f t="shared" ref="AJ221:BO221" si="385">IF(AJ220=0,0, ROUND(AJ217 * 1/AJ220* AJ$13,1))</f>
        <v>0</v>
      </c>
      <c r="AK221" s="11">
        <f t="shared" si="385"/>
        <v>0</v>
      </c>
      <c r="AL221" s="11">
        <f t="shared" si="385"/>
        <v>0</v>
      </c>
      <c r="AM221" s="11">
        <f t="shared" si="385"/>
        <v>0</v>
      </c>
      <c r="AN221" s="11">
        <f t="shared" si="385"/>
        <v>-128.6</v>
      </c>
      <c r="AO221" s="11">
        <f t="shared" si="385"/>
        <v>-133.6</v>
      </c>
      <c r="AP221" s="11">
        <f t="shared" si="385"/>
        <v>-138.6</v>
      </c>
      <c r="AQ221" s="11">
        <f t="shared" si="385"/>
        <v>-118.9</v>
      </c>
      <c r="AR221" s="11">
        <f t="shared" si="385"/>
        <v>-123.9</v>
      </c>
      <c r="AS221" s="11">
        <f t="shared" si="385"/>
        <v>-162</v>
      </c>
      <c r="AT221" s="11">
        <f t="shared" si="385"/>
        <v>-132.80000000000001</v>
      </c>
      <c r="AU221" s="11">
        <f t="shared" si="385"/>
        <v>-145.69999999999999</v>
      </c>
      <c r="AV221" s="11">
        <f t="shared" si="385"/>
        <v>-150.69999999999999</v>
      </c>
      <c r="AW221" s="11">
        <f t="shared" si="385"/>
        <v>-155.69999999999999</v>
      </c>
      <c r="AX221" s="11">
        <f t="shared" si="385"/>
        <v>-160.69999999999999</v>
      </c>
      <c r="AY221" s="11">
        <f t="shared" si="385"/>
        <v>-208.3</v>
      </c>
      <c r="AZ221" s="11">
        <f t="shared" si="385"/>
        <v>-237</v>
      </c>
      <c r="BA221" s="11">
        <f t="shared" si="385"/>
        <v>-242</v>
      </c>
      <c r="BB221" s="11">
        <f t="shared" si="385"/>
        <v>-247</v>
      </c>
      <c r="BC221" s="11">
        <f t="shared" si="385"/>
        <v>-226.8</v>
      </c>
      <c r="BD221" s="11">
        <f t="shared" si="385"/>
        <v>-231.8</v>
      </c>
      <c r="BE221" s="11">
        <f t="shared" si="385"/>
        <v>-236.8</v>
      </c>
      <c r="BF221" s="11">
        <f t="shared" si="385"/>
        <v>-241.8</v>
      </c>
      <c r="BG221" s="11">
        <f t="shared" si="385"/>
        <v>-246.8</v>
      </c>
      <c r="BH221" s="11">
        <f t="shared" si="385"/>
        <v>-251.8</v>
      </c>
      <c r="BI221" s="11">
        <f t="shared" si="385"/>
        <v>-256.8</v>
      </c>
      <c r="BJ221" s="11">
        <f t="shared" si="385"/>
        <v>-261.8</v>
      </c>
      <c r="BK221" s="11">
        <f t="shared" si="385"/>
        <v>-266.8</v>
      </c>
      <c r="BL221" s="11">
        <f t="shared" si="385"/>
        <v>-271.8</v>
      </c>
      <c r="BM221" s="11">
        <f t="shared" si="385"/>
        <v>-276.8</v>
      </c>
      <c r="BN221" s="11">
        <f t="shared" si="385"/>
        <v>-155.30000000000001</v>
      </c>
      <c r="BO221" s="11">
        <f t="shared" si="385"/>
        <v>0</v>
      </c>
      <c r="BP221" s="11">
        <f t="shared" ref="BP221:CU221" si="386">IF(BP220=0,0, ROUND(BP217 * 1/BP220* BP$13,1))</f>
        <v>0</v>
      </c>
      <c r="BQ221" s="11">
        <f t="shared" si="386"/>
        <v>0</v>
      </c>
      <c r="BR221" s="11">
        <f t="shared" si="386"/>
        <v>0</v>
      </c>
      <c r="BS221" s="11">
        <f t="shared" si="386"/>
        <v>-351</v>
      </c>
      <c r="BT221" s="11">
        <f t="shared" si="386"/>
        <v>-356</v>
      </c>
      <c r="BU221" s="11">
        <f t="shared" si="386"/>
        <v>-361</v>
      </c>
      <c r="BV221" s="11">
        <f t="shared" si="386"/>
        <v>-366</v>
      </c>
      <c r="BW221" s="11">
        <f t="shared" si="386"/>
        <v>-371</v>
      </c>
      <c r="BX221" s="11">
        <f t="shared" si="386"/>
        <v>-376</v>
      </c>
      <c r="BY221" s="11">
        <f t="shared" si="386"/>
        <v>-381</v>
      </c>
      <c r="BZ221" s="11">
        <f t="shared" si="386"/>
        <v>-386</v>
      </c>
      <c r="CA221" s="11">
        <f t="shared" si="386"/>
        <v>-391</v>
      </c>
      <c r="CB221" s="11">
        <f t="shared" si="386"/>
        <v>-396</v>
      </c>
      <c r="CC221" s="11">
        <f t="shared" si="386"/>
        <v>-401</v>
      </c>
    </row>
    <row r="222" spans="1:81" x14ac:dyDescent="0.2">
      <c r="A222" s="10">
        <v>41</v>
      </c>
      <c r="B222" s="10">
        <v>1</v>
      </c>
      <c r="C222" s="68">
        <v>9.8688199999999995</v>
      </c>
      <c r="D222">
        <f t="shared" ref="D222:AI222" si="387">D219/$B222</f>
        <v>300</v>
      </c>
      <c r="E222">
        <f t="shared" si="387"/>
        <v>0</v>
      </c>
      <c r="F222">
        <f t="shared" si="387"/>
        <v>0</v>
      </c>
      <c r="G222">
        <f t="shared" si="387"/>
        <v>0</v>
      </c>
      <c r="H222">
        <f t="shared" si="387"/>
        <v>0</v>
      </c>
      <c r="I222">
        <f t="shared" si="387"/>
        <v>0</v>
      </c>
      <c r="J222">
        <f t="shared" si="387"/>
        <v>0</v>
      </c>
      <c r="K222">
        <f t="shared" si="387"/>
        <v>0</v>
      </c>
      <c r="L222">
        <f t="shared" si="387"/>
        <v>0</v>
      </c>
      <c r="M222">
        <f t="shared" si="387"/>
        <v>0</v>
      </c>
      <c r="N222">
        <f t="shared" si="387"/>
        <v>0</v>
      </c>
      <c r="O222">
        <f t="shared" si="387"/>
        <v>0</v>
      </c>
      <c r="P222">
        <f t="shared" si="387"/>
        <v>0</v>
      </c>
      <c r="Q222">
        <f t="shared" si="387"/>
        <v>0</v>
      </c>
      <c r="R222">
        <f t="shared" si="387"/>
        <v>0</v>
      </c>
      <c r="S222">
        <f t="shared" si="387"/>
        <v>0</v>
      </c>
      <c r="T222">
        <f t="shared" si="387"/>
        <v>0</v>
      </c>
      <c r="U222">
        <f t="shared" si="387"/>
        <v>0</v>
      </c>
      <c r="V222">
        <f t="shared" si="387"/>
        <v>0</v>
      </c>
      <c r="W222">
        <f t="shared" si="387"/>
        <v>0</v>
      </c>
      <c r="X222">
        <f t="shared" si="387"/>
        <v>0</v>
      </c>
      <c r="Y222">
        <f t="shared" si="387"/>
        <v>0</v>
      </c>
      <c r="Z222">
        <f t="shared" si="387"/>
        <v>0</v>
      </c>
      <c r="AA222">
        <f t="shared" si="387"/>
        <v>0</v>
      </c>
      <c r="AB222">
        <f t="shared" si="387"/>
        <v>0</v>
      </c>
      <c r="AC222">
        <f t="shared" si="387"/>
        <v>0</v>
      </c>
      <c r="AD222">
        <f t="shared" si="387"/>
        <v>0</v>
      </c>
      <c r="AE222">
        <f t="shared" si="387"/>
        <v>0</v>
      </c>
      <c r="AF222">
        <f t="shared" si="387"/>
        <v>0</v>
      </c>
      <c r="AG222">
        <f t="shared" si="387"/>
        <v>0</v>
      </c>
      <c r="AH222">
        <f t="shared" si="387"/>
        <v>0</v>
      </c>
      <c r="AI222">
        <f t="shared" si="387"/>
        <v>0</v>
      </c>
      <c r="AJ222">
        <f t="shared" ref="AJ222:BO222" si="388">AJ219/$B222</f>
        <v>0</v>
      </c>
      <c r="AK222">
        <f t="shared" si="388"/>
        <v>0</v>
      </c>
      <c r="AL222">
        <f t="shared" si="388"/>
        <v>0</v>
      </c>
      <c r="AM222">
        <f t="shared" si="388"/>
        <v>0</v>
      </c>
      <c r="AN222">
        <f t="shared" si="388"/>
        <v>0</v>
      </c>
      <c r="AO222">
        <f t="shared" si="388"/>
        <v>0</v>
      </c>
      <c r="AP222">
        <f t="shared" si="388"/>
        <v>0</v>
      </c>
      <c r="AQ222">
        <f t="shared" si="388"/>
        <v>0</v>
      </c>
      <c r="AR222">
        <f t="shared" si="388"/>
        <v>0</v>
      </c>
      <c r="AS222">
        <f t="shared" si="388"/>
        <v>0</v>
      </c>
      <c r="AT222">
        <f t="shared" si="388"/>
        <v>0</v>
      </c>
      <c r="AU222">
        <f t="shared" si="388"/>
        <v>0</v>
      </c>
      <c r="AV222">
        <f t="shared" si="388"/>
        <v>0</v>
      </c>
      <c r="AW222">
        <f t="shared" si="388"/>
        <v>0</v>
      </c>
      <c r="AX222">
        <f t="shared" si="388"/>
        <v>0</v>
      </c>
      <c r="AY222">
        <f t="shared" si="388"/>
        <v>0</v>
      </c>
      <c r="AZ222">
        <f t="shared" si="388"/>
        <v>0</v>
      </c>
      <c r="BA222">
        <f t="shared" si="388"/>
        <v>0</v>
      </c>
      <c r="BB222">
        <f t="shared" si="388"/>
        <v>0</v>
      </c>
      <c r="BC222">
        <f t="shared" si="388"/>
        <v>0</v>
      </c>
      <c r="BD222">
        <f t="shared" si="388"/>
        <v>0</v>
      </c>
      <c r="BE222">
        <f t="shared" si="388"/>
        <v>0</v>
      </c>
      <c r="BF222">
        <f t="shared" si="388"/>
        <v>0</v>
      </c>
      <c r="BG222">
        <f t="shared" si="388"/>
        <v>0</v>
      </c>
      <c r="BH222">
        <f t="shared" si="388"/>
        <v>0</v>
      </c>
      <c r="BI222">
        <f t="shared" si="388"/>
        <v>0</v>
      </c>
      <c r="BJ222">
        <f t="shared" si="388"/>
        <v>0</v>
      </c>
      <c r="BK222">
        <f t="shared" si="388"/>
        <v>0</v>
      </c>
      <c r="BL222">
        <f t="shared" si="388"/>
        <v>0</v>
      </c>
      <c r="BM222">
        <f t="shared" si="388"/>
        <v>0</v>
      </c>
      <c r="BN222">
        <f t="shared" si="388"/>
        <v>0</v>
      </c>
      <c r="BO222">
        <f t="shared" si="388"/>
        <v>0</v>
      </c>
      <c r="BP222">
        <f t="shared" ref="BP222:CC222" si="389">BP219/$B222</f>
        <v>0</v>
      </c>
      <c r="BQ222">
        <f t="shared" si="389"/>
        <v>0</v>
      </c>
      <c r="BR222">
        <f t="shared" si="389"/>
        <v>0</v>
      </c>
      <c r="BS222">
        <f t="shared" si="389"/>
        <v>0</v>
      </c>
      <c r="BT222">
        <f t="shared" si="389"/>
        <v>0</v>
      </c>
      <c r="BU222">
        <f t="shared" si="389"/>
        <v>0</v>
      </c>
      <c r="BV222">
        <f t="shared" si="389"/>
        <v>0</v>
      </c>
      <c r="BW222">
        <f t="shared" si="389"/>
        <v>0</v>
      </c>
      <c r="BX222">
        <f t="shared" si="389"/>
        <v>0</v>
      </c>
      <c r="BY222">
        <f t="shared" si="389"/>
        <v>0</v>
      </c>
      <c r="BZ222">
        <f t="shared" si="389"/>
        <v>0</v>
      </c>
      <c r="CA222">
        <f t="shared" si="389"/>
        <v>0</v>
      </c>
      <c r="CB222">
        <f t="shared" si="389"/>
        <v>0</v>
      </c>
      <c r="CC222">
        <f t="shared" si="389"/>
        <v>0</v>
      </c>
    </row>
    <row r="223" spans="1:81" x14ac:dyDescent="0.2">
      <c r="A223" s="10"/>
      <c r="B223" s="67">
        <f>SUM(D227:AJ227)/SUM($D$263:$AJ$263)</f>
        <v>3.906440744176962E-3</v>
      </c>
      <c r="C223" s="9" t="s">
        <v>216</v>
      </c>
      <c r="D223">
        <f t="shared" ref="D223:AI223" si="390">D217-D220</f>
        <v>600</v>
      </c>
      <c r="E223">
        <f t="shared" si="390"/>
        <v>440</v>
      </c>
      <c r="F223">
        <f t="shared" si="390"/>
        <v>360</v>
      </c>
      <c r="G223">
        <f t="shared" si="390"/>
        <v>200</v>
      </c>
      <c r="H223">
        <f t="shared" si="390"/>
        <v>120</v>
      </c>
      <c r="I223">
        <f t="shared" si="390"/>
        <v>260</v>
      </c>
      <c r="J223">
        <f t="shared" si="390"/>
        <v>180</v>
      </c>
      <c r="K223">
        <f t="shared" si="390"/>
        <v>100</v>
      </c>
      <c r="L223">
        <f t="shared" si="390"/>
        <v>-60</v>
      </c>
      <c r="M223">
        <f t="shared" si="390"/>
        <v>-140</v>
      </c>
      <c r="N223">
        <f t="shared" si="390"/>
        <v>-140</v>
      </c>
      <c r="O223">
        <f t="shared" si="390"/>
        <v>-140</v>
      </c>
      <c r="P223">
        <f t="shared" si="390"/>
        <v>-140</v>
      </c>
      <c r="Q223">
        <f t="shared" si="390"/>
        <v>-140</v>
      </c>
      <c r="R223">
        <f t="shared" si="390"/>
        <v>-220</v>
      </c>
      <c r="S223">
        <f t="shared" si="390"/>
        <v>-380</v>
      </c>
      <c r="T223">
        <f t="shared" si="390"/>
        <v>-460</v>
      </c>
      <c r="U223">
        <f t="shared" si="390"/>
        <v>-560</v>
      </c>
      <c r="V223">
        <f t="shared" si="390"/>
        <v>-660</v>
      </c>
      <c r="W223">
        <f t="shared" si="390"/>
        <v>-760</v>
      </c>
      <c r="X223">
        <f t="shared" si="390"/>
        <v>-860</v>
      </c>
      <c r="Y223">
        <f t="shared" si="390"/>
        <v>-940</v>
      </c>
      <c r="Z223">
        <f t="shared" si="390"/>
        <v>-1020</v>
      </c>
      <c r="AA223">
        <f t="shared" si="390"/>
        <v>-1100</v>
      </c>
      <c r="AB223">
        <f t="shared" si="390"/>
        <v>-1180</v>
      </c>
      <c r="AC223">
        <f t="shared" si="390"/>
        <v>-1310</v>
      </c>
      <c r="AD223">
        <f t="shared" si="390"/>
        <v>-1440</v>
      </c>
      <c r="AE223">
        <f t="shared" si="390"/>
        <v>-1570</v>
      </c>
      <c r="AF223">
        <f t="shared" si="390"/>
        <v>-1700</v>
      </c>
      <c r="AG223">
        <f t="shared" si="390"/>
        <v>-1820</v>
      </c>
      <c r="AH223">
        <f t="shared" si="390"/>
        <v>-1900</v>
      </c>
      <c r="AI223">
        <f t="shared" si="390"/>
        <v>-1980</v>
      </c>
      <c r="AJ223">
        <f t="shared" ref="AJ223:BO223" si="391">AJ217-AJ220</f>
        <v>-1980</v>
      </c>
      <c r="AK223">
        <f t="shared" si="391"/>
        <v>-1980</v>
      </c>
      <c r="AL223">
        <f t="shared" si="391"/>
        <v>-1980</v>
      </c>
      <c r="AM223">
        <f t="shared" si="391"/>
        <v>-1980</v>
      </c>
      <c r="AN223">
        <f t="shared" si="391"/>
        <v>-2057</v>
      </c>
      <c r="AO223">
        <f t="shared" si="391"/>
        <v>-2134</v>
      </c>
      <c r="AP223">
        <f t="shared" si="391"/>
        <v>-2211</v>
      </c>
      <c r="AQ223">
        <f t="shared" si="391"/>
        <v>-2304</v>
      </c>
      <c r="AR223">
        <f t="shared" si="391"/>
        <v>-2397</v>
      </c>
      <c r="AS223">
        <f t="shared" si="391"/>
        <v>-2471</v>
      </c>
      <c r="AT223">
        <f t="shared" si="391"/>
        <v>-2564</v>
      </c>
      <c r="AU223">
        <f t="shared" si="391"/>
        <v>-2652</v>
      </c>
      <c r="AV223">
        <f t="shared" si="391"/>
        <v>-2740</v>
      </c>
      <c r="AW223">
        <f t="shared" si="391"/>
        <v>-2828</v>
      </c>
      <c r="AX223">
        <f t="shared" si="391"/>
        <v>-2916</v>
      </c>
      <c r="AY223">
        <f t="shared" si="391"/>
        <v>-2986</v>
      </c>
      <c r="AZ223">
        <f t="shared" si="391"/>
        <v>-3049</v>
      </c>
      <c r="BA223">
        <f t="shared" si="391"/>
        <v>-3112</v>
      </c>
      <c r="BB223">
        <f t="shared" si="391"/>
        <v>-3175</v>
      </c>
      <c r="BC223">
        <f t="shared" si="391"/>
        <v>-3245</v>
      </c>
      <c r="BD223">
        <f t="shared" si="391"/>
        <v>-3315</v>
      </c>
      <c r="BE223">
        <f t="shared" si="391"/>
        <v>-3385</v>
      </c>
      <c r="BF223">
        <f t="shared" si="391"/>
        <v>-3455</v>
      </c>
      <c r="BG223">
        <f t="shared" si="391"/>
        <v>-3525</v>
      </c>
      <c r="BH223">
        <f t="shared" si="391"/>
        <v>-3595</v>
      </c>
      <c r="BI223">
        <f t="shared" si="391"/>
        <v>-3665</v>
      </c>
      <c r="BJ223">
        <f t="shared" si="391"/>
        <v>-3735</v>
      </c>
      <c r="BK223">
        <f t="shared" si="391"/>
        <v>-3805</v>
      </c>
      <c r="BL223">
        <f t="shared" si="391"/>
        <v>-3875</v>
      </c>
      <c r="BM223">
        <f t="shared" si="391"/>
        <v>-3945</v>
      </c>
      <c r="BN223">
        <f t="shared" si="391"/>
        <v>-4072</v>
      </c>
      <c r="BO223">
        <f t="shared" si="391"/>
        <v>-4072</v>
      </c>
      <c r="BP223">
        <f t="shared" ref="BP223:CC223" si="392">BP217-BP220</f>
        <v>-4072</v>
      </c>
      <c r="BQ223">
        <f t="shared" si="392"/>
        <v>-4072</v>
      </c>
      <c r="BR223">
        <f t="shared" si="392"/>
        <v>-4072</v>
      </c>
      <c r="BS223">
        <f t="shared" si="392"/>
        <v>-4130</v>
      </c>
      <c r="BT223">
        <f t="shared" si="392"/>
        <v>-4188</v>
      </c>
      <c r="BU223">
        <f t="shared" si="392"/>
        <v>-4246</v>
      </c>
      <c r="BV223">
        <f t="shared" si="392"/>
        <v>-4304</v>
      </c>
      <c r="BW223">
        <f t="shared" si="392"/>
        <v>-4362</v>
      </c>
      <c r="BX223">
        <f t="shared" si="392"/>
        <v>-4420</v>
      </c>
      <c r="BY223">
        <f t="shared" si="392"/>
        <v>-4478</v>
      </c>
      <c r="BZ223">
        <f t="shared" si="392"/>
        <v>-4536</v>
      </c>
      <c r="CA223">
        <f t="shared" si="392"/>
        <v>-4594</v>
      </c>
      <c r="CB223">
        <f t="shared" si="392"/>
        <v>-4652</v>
      </c>
      <c r="CC223">
        <f t="shared" si="392"/>
        <v>-4710</v>
      </c>
    </row>
    <row r="224" spans="1:81" x14ac:dyDescent="0.2">
      <c r="A224" s="43" t="s">
        <v>246</v>
      </c>
      <c r="B224" s="44" t="s">
        <v>208</v>
      </c>
      <c r="C224" s="9" t="s">
        <v>38</v>
      </c>
      <c r="D224" s="58">
        <f>IFERROR(VLOOKUP(A224,OS!$A:$B,2,0),0)</f>
        <v>160</v>
      </c>
      <c r="E224" s="5">
        <f>(D224+D225-D227)</f>
        <v>160</v>
      </c>
      <c r="F224" s="5">
        <f>(E224+E225-E227)</f>
        <v>160</v>
      </c>
      <c r="G224" s="5">
        <f>(F224+F225-F227)</f>
        <v>160</v>
      </c>
      <c r="H224" s="5">
        <f>(G224+G225-G227)</f>
        <v>80</v>
      </c>
      <c r="I224" s="5">
        <f t="shared" ref="I224:AN224" si="393">(H224+H225-H227+D226)</f>
        <v>80</v>
      </c>
      <c r="J224" s="5">
        <f t="shared" si="393"/>
        <v>80</v>
      </c>
      <c r="K224" s="5">
        <f t="shared" si="393"/>
        <v>80</v>
      </c>
      <c r="L224" s="5">
        <f t="shared" si="393"/>
        <v>0</v>
      </c>
      <c r="M224" s="5">
        <f t="shared" si="393"/>
        <v>0</v>
      </c>
      <c r="N224" s="5">
        <f t="shared" si="393"/>
        <v>0</v>
      </c>
      <c r="O224" s="5">
        <f t="shared" si="393"/>
        <v>0</v>
      </c>
      <c r="P224" s="5">
        <f t="shared" si="393"/>
        <v>0</v>
      </c>
      <c r="Q224" s="5">
        <f t="shared" si="393"/>
        <v>0</v>
      </c>
      <c r="R224" s="5">
        <f t="shared" si="393"/>
        <v>0</v>
      </c>
      <c r="S224" s="5">
        <f t="shared" si="393"/>
        <v>-80</v>
      </c>
      <c r="T224" s="5">
        <f t="shared" si="393"/>
        <v>-80</v>
      </c>
      <c r="U224" s="5">
        <f t="shared" si="393"/>
        <v>-80</v>
      </c>
      <c r="V224" s="5">
        <f t="shared" si="393"/>
        <v>-80</v>
      </c>
      <c r="W224" s="5">
        <f t="shared" si="393"/>
        <v>-80</v>
      </c>
      <c r="X224" s="5">
        <f t="shared" si="393"/>
        <v>-80</v>
      </c>
      <c r="Y224" s="5">
        <f t="shared" si="393"/>
        <v>-80</v>
      </c>
      <c r="Z224" s="5">
        <f t="shared" si="393"/>
        <v>-80</v>
      </c>
      <c r="AA224" s="5">
        <f t="shared" si="393"/>
        <v>-80</v>
      </c>
      <c r="AB224" s="5">
        <f t="shared" si="393"/>
        <v>-80</v>
      </c>
      <c r="AC224" s="5">
        <f t="shared" si="393"/>
        <v>-80</v>
      </c>
      <c r="AD224" s="5">
        <f t="shared" si="393"/>
        <v>-100</v>
      </c>
      <c r="AE224" s="5">
        <f t="shared" si="393"/>
        <v>-120</v>
      </c>
      <c r="AF224" s="5">
        <f t="shared" si="393"/>
        <v>-140</v>
      </c>
      <c r="AG224" s="5">
        <f t="shared" si="393"/>
        <v>-160</v>
      </c>
      <c r="AH224" s="5">
        <f t="shared" si="393"/>
        <v>-160</v>
      </c>
      <c r="AI224" s="5">
        <f t="shared" si="393"/>
        <v>-200</v>
      </c>
      <c r="AJ224" s="5">
        <f t="shared" si="393"/>
        <v>-240</v>
      </c>
      <c r="AK224" s="5">
        <f t="shared" si="393"/>
        <v>-240</v>
      </c>
      <c r="AL224" s="5">
        <f t="shared" si="393"/>
        <v>-240</v>
      </c>
      <c r="AM224" s="5">
        <f t="shared" si="393"/>
        <v>-240</v>
      </c>
      <c r="AN224" s="5">
        <f t="shared" si="393"/>
        <v>-240</v>
      </c>
      <c r="AO224" s="5">
        <f t="shared" ref="AO224:BT224" si="394">(AN224+AN225-AN227+AJ226)</f>
        <v>-251</v>
      </c>
      <c r="AP224" s="5">
        <f t="shared" si="394"/>
        <v>-262</v>
      </c>
      <c r="AQ224" s="5">
        <f t="shared" si="394"/>
        <v>-273</v>
      </c>
      <c r="AR224" s="5">
        <f t="shared" si="394"/>
        <v>-286</v>
      </c>
      <c r="AS224" s="5">
        <f t="shared" si="394"/>
        <v>-299</v>
      </c>
      <c r="AT224" s="5">
        <f t="shared" si="394"/>
        <v>-310</v>
      </c>
      <c r="AU224" s="5">
        <f t="shared" si="394"/>
        <v>-323</v>
      </c>
      <c r="AV224" s="5">
        <f t="shared" si="394"/>
        <v>-336</v>
      </c>
      <c r="AW224" s="5">
        <f t="shared" si="394"/>
        <v>-349</v>
      </c>
      <c r="AX224" s="5">
        <f t="shared" si="394"/>
        <v>-362</v>
      </c>
      <c r="AY224" s="5">
        <f t="shared" si="394"/>
        <v>-375</v>
      </c>
      <c r="AZ224" s="5">
        <f t="shared" si="394"/>
        <v>-385</v>
      </c>
      <c r="BA224" s="5">
        <f t="shared" si="394"/>
        <v>-394</v>
      </c>
      <c r="BB224" s="5">
        <f t="shared" si="394"/>
        <v>-403</v>
      </c>
      <c r="BC224" s="5">
        <f t="shared" si="394"/>
        <v>-412</v>
      </c>
      <c r="BD224" s="5">
        <f t="shared" si="394"/>
        <v>-422</v>
      </c>
      <c r="BE224" s="5">
        <f t="shared" si="394"/>
        <v>-432</v>
      </c>
      <c r="BF224" s="5">
        <f t="shared" si="394"/>
        <v>-442</v>
      </c>
      <c r="BG224" s="5">
        <f t="shared" si="394"/>
        <v>-452</v>
      </c>
      <c r="BH224" s="5">
        <f t="shared" si="394"/>
        <v>-462</v>
      </c>
      <c r="BI224" s="5">
        <f t="shared" si="394"/>
        <v>-472</v>
      </c>
      <c r="BJ224" s="5">
        <f t="shared" si="394"/>
        <v>-482</v>
      </c>
      <c r="BK224" s="5">
        <f t="shared" si="394"/>
        <v>-492</v>
      </c>
      <c r="BL224" s="5">
        <f t="shared" si="394"/>
        <v>-502</v>
      </c>
      <c r="BM224" s="5">
        <f t="shared" si="394"/>
        <v>-512</v>
      </c>
      <c r="BN224" s="5">
        <f t="shared" si="394"/>
        <v>-522</v>
      </c>
      <c r="BO224" s="5">
        <f t="shared" si="394"/>
        <v>-540</v>
      </c>
      <c r="BP224" s="5">
        <f t="shared" si="394"/>
        <v>-540</v>
      </c>
      <c r="BQ224" s="5">
        <f t="shared" si="394"/>
        <v>-540</v>
      </c>
      <c r="BR224" s="5">
        <f t="shared" si="394"/>
        <v>-540</v>
      </c>
      <c r="BS224" s="5">
        <f t="shared" si="394"/>
        <v>-540</v>
      </c>
      <c r="BT224" s="5">
        <f t="shared" si="394"/>
        <v>-548</v>
      </c>
      <c r="BU224" s="5">
        <f t="shared" ref="BU224:CZ224" si="395">(BT224+BT225-BT227+BP226)</f>
        <v>-556</v>
      </c>
      <c r="BV224" s="5">
        <f t="shared" si="395"/>
        <v>-564</v>
      </c>
      <c r="BW224" s="5">
        <f t="shared" si="395"/>
        <v>-572</v>
      </c>
      <c r="BX224" s="5">
        <f t="shared" si="395"/>
        <v>-580</v>
      </c>
      <c r="BY224" s="5">
        <f t="shared" si="395"/>
        <v>-588</v>
      </c>
      <c r="BZ224" s="5">
        <f t="shared" si="395"/>
        <v>-596</v>
      </c>
      <c r="CA224" s="5">
        <f t="shared" si="395"/>
        <v>-604</v>
      </c>
      <c r="CB224" s="5">
        <f t="shared" si="395"/>
        <v>-612</v>
      </c>
      <c r="CC224" s="5">
        <f t="shared" si="395"/>
        <v>-620</v>
      </c>
    </row>
    <row r="225" spans="1:81" x14ac:dyDescent="0.2">
      <c r="A225" s="5" t="s">
        <v>209</v>
      </c>
      <c r="B225" s="5">
        <v>13.317909999999999</v>
      </c>
      <c r="C225" s="45" t="s">
        <v>39</v>
      </c>
      <c r="D225" s="59">
        <f>IFERROR(VLOOKUP(A224,WIP!$A:$B,2,0),0)</f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</row>
    <row r="226" spans="1:81" x14ac:dyDescent="0.2">
      <c r="A226" s="5" t="s">
        <v>210</v>
      </c>
      <c r="B226" s="5">
        <v>0.35599999999999998</v>
      </c>
      <c r="C226" s="9" t="s">
        <v>211</v>
      </c>
      <c r="D226" s="60">
        <f>IFERROR(VLOOKUP($A224,Plan!$A:B,D$4,0),0)</f>
        <v>0</v>
      </c>
      <c r="E226" s="70">
        <f>IFERROR(VLOOKUP($A224,Plan!$A:C,E$4,0),0)</f>
        <v>0</v>
      </c>
      <c r="F226" s="70">
        <f>IFERROR(VLOOKUP($A224,Plan!$A:D,F$4,0),0)</f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</row>
    <row r="227" spans="1:81" x14ac:dyDescent="0.2">
      <c r="A227" s="5" t="s">
        <v>212</v>
      </c>
      <c r="B227" s="5">
        <v>8.1000000000000003E-2</v>
      </c>
      <c r="C227" s="9" t="s">
        <v>213</v>
      </c>
      <c r="D227" s="61">
        <f>IFERROR(VLOOKUP($A224,Sales!$A:B,D$2,0),0)</f>
        <v>0</v>
      </c>
      <c r="E227" s="61">
        <f>IFERROR(VLOOKUP($A224,Sales!$A:C,E$2,0),0)</f>
        <v>0</v>
      </c>
      <c r="F227" s="61">
        <f>IFERROR(VLOOKUP($A224,Sales!$A:D,F$2,0),0)</f>
        <v>0</v>
      </c>
      <c r="G227" s="61">
        <f>IFERROR(VLOOKUP($A224,Sales!$A:E,G$2,0),0)</f>
        <v>80</v>
      </c>
      <c r="H227" s="61">
        <f>IFERROR(VLOOKUP($A224,Sales!$A:F,H$2,0),0)</f>
        <v>0</v>
      </c>
      <c r="I227" s="61">
        <f>IFERROR(VLOOKUP($A224,Sales!$A:G,I$2,0),0)</f>
        <v>0</v>
      </c>
      <c r="J227" s="61">
        <f>IFERROR(VLOOKUP($A224,Sales!$A:H,J$2,0),0)</f>
        <v>0</v>
      </c>
      <c r="K227" s="61">
        <f>IFERROR(VLOOKUP($A224,Sales!$A:I,K$2,0),0)</f>
        <v>80</v>
      </c>
      <c r="L227" s="61">
        <f>IFERROR(VLOOKUP($A224,Sales!$A:J,L$2,0),0)</f>
        <v>0</v>
      </c>
      <c r="M227" s="61">
        <f>IFERROR(VLOOKUP($A224,Sales!$A:K,M$2,0),0)</f>
        <v>0</v>
      </c>
      <c r="N227" s="61">
        <f>IFERROR(VLOOKUP($A224,Sales!$A:L,N$2,0),0)</f>
        <v>0</v>
      </c>
      <c r="O227" s="61">
        <f>IFERROR(VLOOKUP($A224,Sales!$A:M,O$2,0),0)</f>
        <v>0</v>
      </c>
      <c r="P227" s="61">
        <f>IFERROR(VLOOKUP($A224,Sales!$A:N,P$2,0),0)</f>
        <v>0</v>
      </c>
      <c r="Q227" s="61">
        <f>IFERROR(VLOOKUP($A224,Sales!$A:O,Q$2,0),0)</f>
        <v>0</v>
      </c>
      <c r="R227" s="61">
        <f>IFERROR(VLOOKUP($A224,Sales!$A:P,R$2,0),0)</f>
        <v>80</v>
      </c>
      <c r="S227" s="61">
        <f>IFERROR(VLOOKUP($A224,Sales!$A:Q,S$2,0),0)</f>
        <v>0</v>
      </c>
      <c r="T227" s="61">
        <f>IFERROR(VLOOKUP($A224,Sales!$A:R,T$2,0),0)</f>
        <v>0</v>
      </c>
      <c r="U227" s="61">
        <f>IFERROR(VLOOKUP($A224,Sales!$A:S,U$2,0),0)</f>
        <v>0</v>
      </c>
      <c r="V227" s="61">
        <f>IFERROR(VLOOKUP($A224,Sales!$A:T,V$2,0),0)</f>
        <v>0</v>
      </c>
      <c r="W227" s="61">
        <f>IFERROR(VLOOKUP($A224,Sales!$A:U,W$2,0),0)</f>
        <v>0</v>
      </c>
      <c r="X227" s="61">
        <f>IFERROR(VLOOKUP($A224,Sales!$A:V,X$2,0),0)</f>
        <v>0</v>
      </c>
      <c r="Y227" s="61">
        <f>IFERROR(VLOOKUP($A224,Sales!$A:W,Y$2,0),0)</f>
        <v>0</v>
      </c>
      <c r="Z227" s="61">
        <f>IFERROR(VLOOKUP($A224,Sales!$A:X,Z$2,0),0)</f>
        <v>0</v>
      </c>
      <c r="AA227" s="61">
        <f>IFERROR(VLOOKUP($A224,Sales!$A:Y,AA$2,0),0)</f>
        <v>0</v>
      </c>
      <c r="AB227" s="61">
        <f>IFERROR(VLOOKUP($A224,Sales!$A:Z,AB$2,0),0)</f>
        <v>0</v>
      </c>
      <c r="AC227" s="61">
        <f>IFERROR(VLOOKUP($A224,Sales!$A:AA,AC$2,0),0)</f>
        <v>20</v>
      </c>
      <c r="AD227" s="61">
        <f>IFERROR(VLOOKUP($A224,Sales!$A:AB,AD$2,0),0)</f>
        <v>20</v>
      </c>
      <c r="AE227" s="61">
        <f>IFERROR(VLOOKUP($A224,Sales!$A:AC,AE$2,0),0)</f>
        <v>20</v>
      </c>
      <c r="AF227" s="61">
        <f>IFERROR(VLOOKUP($A224,Sales!$A:AD,AF$2,0),0)</f>
        <v>20</v>
      </c>
      <c r="AG227" s="61">
        <f>IFERROR(VLOOKUP($A224,Sales!$A:AE,AG$2,0),0)</f>
        <v>0</v>
      </c>
      <c r="AH227" s="61">
        <f>IFERROR(VLOOKUP($A224,Sales!$A:AF,AH$2,0),0)</f>
        <v>40</v>
      </c>
      <c r="AI227" s="61">
        <f>IFERROR(VLOOKUP($A224,Sales!$A:AG,AI$2,0),0)</f>
        <v>40</v>
      </c>
      <c r="AJ227" s="61">
        <f>IFERROR(VLOOKUP($A224,Sales!$A:AH,AJ$2,0),0)</f>
        <v>0</v>
      </c>
      <c r="AK227" s="73">
        <f t="shared" ref="AK227:CC227" si="396">CEILING(AK$5*$B223,1)</f>
        <v>0</v>
      </c>
      <c r="AL227" s="73">
        <f t="shared" si="396"/>
        <v>0</v>
      </c>
      <c r="AM227" s="73">
        <f t="shared" si="396"/>
        <v>0</v>
      </c>
      <c r="AN227" s="73">
        <f t="shared" si="396"/>
        <v>11</v>
      </c>
      <c r="AO227" s="73">
        <f t="shared" si="396"/>
        <v>11</v>
      </c>
      <c r="AP227" s="73">
        <f t="shared" si="396"/>
        <v>11</v>
      </c>
      <c r="AQ227" s="73">
        <f t="shared" si="396"/>
        <v>13</v>
      </c>
      <c r="AR227" s="73">
        <f t="shared" si="396"/>
        <v>13</v>
      </c>
      <c r="AS227" s="73">
        <f t="shared" si="396"/>
        <v>11</v>
      </c>
      <c r="AT227" s="73">
        <f t="shared" si="396"/>
        <v>13</v>
      </c>
      <c r="AU227" s="73">
        <f t="shared" si="396"/>
        <v>13</v>
      </c>
      <c r="AV227" s="73">
        <f t="shared" si="396"/>
        <v>13</v>
      </c>
      <c r="AW227" s="73">
        <f t="shared" si="396"/>
        <v>13</v>
      </c>
      <c r="AX227" s="73">
        <f t="shared" si="396"/>
        <v>13</v>
      </c>
      <c r="AY227" s="73">
        <f t="shared" si="396"/>
        <v>10</v>
      </c>
      <c r="AZ227" s="73">
        <f t="shared" si="396"/>
        <v>9</v>
      </c>
      <c r="BA227" s="73">
        <f t="shared" si="396"/>
        <v>9</v>
      </c>
      <c r="BB227" s="73">
        <f t="shared" si="396"/>
        <v>9</v>
      </c>
      <c r="BC227" s="73">
        <f t="shared" si="396"/>
        <v>10</v>
      </c>
      <c r="BD227" s="73">
        <f t="shared" si="396"/>
        <v>10</v>
      </c>
      <c r="BE227" s="73">
        <f t="shared" si="396"/>
        <v>10</v>
      </c>
      <c r="BF227" s="73">
        <f t="shared" si="396"/>
        <v>10</v>
      </c>
      <c r="BG227" s="73">
        <f t="shared" si="396"/>
        <v>10</v>
      </c>
      <c r="BH227" s="73">
        <f t="shared" si="396"/>
        <v>10</v>
      </c>
      <c r="BI227" s="73">
        <f t="shared" si="396"/>
        <v>10</v>
      </c>
      <c r="BJ227" s="73">
        <f t="shared" si="396"/>
        <v>10</v>
      </c>
      <c r="BK227" s="73">
        <f t="shared" si="396"/>
        <v>10</v>
      </c>
      <c r="BL227" s="73">
        <f t="shared" si="396"/>
        <v>10</v>
      </c>
      <c r="BM227" s="73">
        <f t="shared" si="396"/>
        <v>10</v>
      </c>
      <c r="BN227" s="73">
        <f t="shared" si="396"/>
        <v>18</v>
      </c>
      <c r="BO227" s="73">
        <f t="shared" si="396"/>
        <v>0</v>
      </c>
      <c r="BP227" s="73">
        <f t="shared" si="396"/>
        <v>0</v>
      </c>
      <c r="BQ227" s="73">
        <f t="shared" si="396"/>
        <v>0</v>
      </c>
      <c r="BR227" s="73">
        <f t="shared" si="396"/>
        <v>0</v>
      </c>
      <c r="BS227" s="73">
        <f t="shared" si="396"/>
        <v>8</v>
      </c>
      <c r="BT227" s="73">
        <f t="shared" si="396"/>
        <v>8</v>
      </c>
      <c r="BU227" s="73">
        <f t="shared" si="396"/>
        <v>8</v>
      </c>
      <c r="BV227" s="73">
        <f t="shared" si="396"/>
        <v>8</v>
      </c>
      <c r="BW227" s="73">
        <f t="shared" si="396"/>
        <v>8</v>
      </c>
      <c r="BX227" s="73">
        <f t="shared" si="396"/>
        <v>8</v>
      </c>
      <c r="BY227" s="73">
        <f t="shared" si="396"/>
        <v>8</v>
      </c>
      <c r="BZ227" s="73">
        <f t="shared" si="396"/>
        <v>8</v>
      </c>
      <c r="CA227" s="73">
        <f t="shared" si="396"/>
        <v>8</v>
      </c>
      <c r="CB227" s="73">
        <f t="shared" si="396"/>
        <v>8</v>
      </c>
      <c r="CC227" s="73">
        <f t="shared" si="396"/>
        <v>8</v>
      </c>
    </row>
    <row r="228" spans="1:81" x14ac:dyDescent="0.2">
      <c r="A228" s="5" t="s">
        <v>214</v>
      </c>
      <c r="B228" s="5">
        <v>0.437</v>
      </c>
      <c r="C228" s="46" t="s">
        <v>215</v>
      </c>
      <c r="D228" s="11">
        <f t="shared" ref="D228:AI228" si="397">IF(D227=0,0, ROUND(D224 * 1/D227* D$13,1))</f>
        <v>0</v>
      </c>
      <c r="E228" s="11">
        <f t="shared" si="397"/>
        <v>0</v>
      </c>
      <c r="F228" s="11">
        <f t="shared" si="397"/>
        <v>0</v>
      </c>
      <c r="G228" s="11">
        <f t="shared" si="397"/>
        <v>10</v>
      </c>
      <c r="H228" s="11">
        <f t="shared" si="397"/>
        <v>0</v>
      </c>
      <c r="I228" s="11">
        <f t="shared" si="397"/>
        <v>0</v>
      </c>
      <c r="J228" s="11">
        <f t="shared" si="397"/>
        <v>0</v>
      </c>
      <c r="K228" s="11">
        <f t="shared" si="397"/>
        <v>5</v>
      </c>
      <c r="L228" s="11">
        <f t="shared" si="397"/>
        <v>0</v>
      </c>
      <c r="M228" s="11">
        <f t="shared" si="397"/>
        <v>0</v>
      </c>
      <c r="N228" s="11">
        <f t="shared" si="397"/>
        <v>0</v>
      </c>
      <c r="O228" s="11">
        <f t="shared" si="397"/>
        <v>0</v>
      </c>
      <c r="P228" s="11">
        <f t="shared" si="397"/>
        <v>0</v>
      </c>
      <c r="Q228" s="11">
        <f t="shared" si="397"/>
        <v>0</v>
      </c>
      <c r="R228" s="11">
        <f t="shared" si="397"/>
        <v>0</v>
      </c>
      <c r="S228" s="11">
        <f t="shared" si="397"/>
        <v>0</v>
      </c>
      <c r="T228" s="11">
        <f t="shared" si="397"/>
        <v>0</v>
      </c>
      <c r="U228" s="11">
        <f t="shared" si="397"/>
        <v>0</v>
      </c>
      <c r="V228" s="11">
        <f t="shared" si="397"/>
        <v>0</v>
      </c>
      <c r="W228" s="11">
        <f t="shared" si="397"/>
        <v>0</v>
      </c>
      <c r="X228" s="11">
        <f t="shared" si="397"/>
        <v>0</v>
      </c>
      <c r="Y228" s="11">
        <f t="shared" si="397"/>
        <v>0</v>
      </c>
      <c r="Z228" s="11">
        <f t="shared" si="397"/>
        <v>0</v>
      </c>
      <c r="AA228" s="11">
        <f t="shared" si="397"/>
        <v>0</v>
      </c>
      <c r="AB228" s="11">
        <f t="shared" si="397"/>
        <v>0</v>
      </c>
      <c r="AC228" s="11">
        <f t="shared" si="397"/>
        <v>-20</v>
      </c>
      <c r="AD228" s="11">
        <f t="shared" si="397"/>
        <v>-25</v>
      </c>
      <c r="AE228" s="11">
        <f t="shared" si="397"/>
        <v>-30</v>
      </c>
      <c r="AF228" s="11">
        <f t="shared" si="397"/>
        <v>-35</v>
      </c>
      <c r="AG228" s="11">
        <f t="shared" si="397"/>
        <v>0</v>
      </c>
      <c r="AH228" s="11">
        <f t="shared" si="397"/>
        <v>-20</v>
      </c>
      <c r="AI228" s="11">
        <f t="shared" si="397"/>
        <v>-25</v>
      </c>
      <c r="AJ228" s="11">
        <f t="shared" ref="AJ228:BO228" si="398">IF(AJ227=0,0, ROUND(AJ224 * 1/AJ227* AJ$13,1))</f>
        <v>0</v>
      </c>
      <c r="AK228" s="11">
        <f t="shared" si="398"/>
        <v>0</v>
      </c>
      <c r="AL228" s="11">
        <f t="shared" si="398"/>
        <v>0</v>
      </c>
      <c r="AM228" s="11">
        <f t="shared" si="398"/>
        <v>0</v>
      </c>
      <c r="AN228" s="11">
        <f t="shared" si="398"/>
        <v>-109.1</v>
      </c>
      <c r="AO228" s="11">
        <f t="shared" si="398"/>
        <v>-114.1</v>
      </c>
      <c r="AP228" s="11">
        <f t="shared" si="398"/>
        <v>-119.1</v>
      </c>
      <c r="AQ228" s="11">
        <f t="shared" si="398"/>
        <v>-105</v>
      </c>
      <c r="AR228" s="11">
        <f t="shared" si="398"/>
        <v>-110</v>
      </c>
      <c r="AS228" s="11">
        <f t="shared" si="398"/>
        <v>-135.9</v>
      </c>
      <c r="AT228" s="11">
        <f t="shared" si="398"/>
        <v>-119.2</v>
      </c>
      <c r="AU228" s="11">
        <f t="shared" si="398"/>
        <v>-124.2</v>
      </c>
      <c r="AV228" s="11">
        <f t="shared" si="398"/>
        <v>-129.19999999999999</v>
      </c>
      <c r="AW228" s="11">
        <f t="shared" si="398"/>
        <v>-134.19999999999999</v>
      </c>
      <c r="AX228" s="11">
        <f t="shared" si="398"/>
        <v>-139.19999999999999</v>
      </c>
      <c r="AY228" s="11">
        <f t="shared" si="398"/>
        <v>-187.5</v>
      </c>
      <c r="AZ228" s="11">
        <f t="shared" si="398"/>
        <v>-213.9</v>
      </c>
      <c r="BA228" s="11">
        <f t="shared" si="398"/>
        <v>-218.9</v>
      </c>
      <c r="BB228" s="11">
        <f t="shared" si="398"/>
        <v>-223.9</v>
      </c>
      <c r="BC228" s="11">
        <f t="shared" si="398"/>
        <v>-206</v>
      </c>
      <c r="BD228" s="11">
        <f t="shared" si="398"/>
        <v>-211</v>
      </c>
      <c r="BE228" s="11">
        <f t="shared" si="398"/>
        <v>-216</v>
      </c>
      <c r="BF228" s="11">
        <f t="shared" si="398"/>
        <v>-221</v>
      </c>
      <c r="BG228" s="11">
        <f t="shared" si="398"/>
        <v>-226</v>
      </c>
      <c r="BH228" s="11">
        <f t="shared" si="398"/>
        <v>-231</v>
      </c>
      <c r="BI228" s="11">
        <f t="shared" si="398"/>
        <v>-236</v>
      </c>
      <c r="BJ228" s="11">
        <f t="shared" si="398"/>
        <v>-241</v>
      </c>
      <c r="BK228" s="11">
        <f t="shared" si="398"/>
        <v>-246</v>
      </c>
      <c r="BL228" s="11">
        <f t="shared" si="398"/>
        <v>-251</v>
      </c>
      <c r="BM228" s="11">
        <f t="shared" si="398"/>
        <v>-256</v>
      </c>
      <c r="BN228" s="11">
        <f t="shared" si="398"/>
        <v>-145</v>
      </c>
      <c r="BO228" s="11">
        <f t="shared" si="398"/>
        <v>0</v>
      </c>
      <c r="BP228" s="11">
        <f t="shared" ref="BP228:CU228" si="399">IF(BP227=0,0, ROUND(BP224 * 1/BP227* BP$13,1))</f>
        <v>0</v>
      </c>
      <c r="BQ228" s="11">
        <f t="shared" si="399"/>
        <v>0</v>
      </c>
      <c r="BR228" s="11">
        <f t="shared" si="399"/>
        <v>0</v>
      </c>
      <c r="BS228" s="11">
        <f t="shared" si="399"/>
        <v>-337.5</v>
      </c>
      <c r="BT228" s="11">
        <f t="shared" si="399"/>
        <v>-342.5</v>
      </c>
      <c r="BU228" s="11">
        <f t="shared" si="399"/>
        <v>-347.5</v>
      </c>
      <c r="BV228" s="11">
        <f t="shared" si="399"/>
        <v>-352.5</v>
      </c>
      <c r="BW228" s="11">
        <f t="shared" si="399"/>
        <v>-357.5</v>
      </c>
      <c r="BX228" s="11">
        <f t="shared" si="399"/>
        <v>-362.5</v>
      </c>
      <c r="BY228" s="11">
        <f t="shared" si="399"/>
        <v>-367.5</v>
      </c>
      <c r="BZ228" s="11">
        <f t="shared" si="399"/>
        <v>-372.5</v>
      </c>
      <c r="CA228" s="11">
        <f t="shared" si="399"/>
        <v>-377.5</v>
      </c>
      <c r="CB228" s="11">
        <f t="shared" si="399"/>
        <v>-382.5</v>
      </c>
      <c r="CC228" s="11">
        <f t="shared" si="399"/>
        <v>-387.5</v>
      </c>
    </row>
    <row r="229" spans="1:81" x14ac:dyDescent="0.2">
      <c r="A229">
        <v>48</v>
      </c>
      <c r="B229">
        <v>1</v>
      </c>
      <c r="C229" s="8">
        <v>10.27318</v>
      </c>
      <c r="D229">
        <f t="shared" ref="D229:AI229" si="400">D226/$B229</f>
        <v>0</v>
      </c>
      <c r="E229">
        <f t="shared" si="400"/>
        <v>0</v>
      </c>
      <c r="F229">
        <f t="shared" si="400"/>
        <v>0</v>
      </c>
      <c r="G229">
        <f t="shared" si="400"/>
        <v>0</v>
      </c>
      <c r="H229">
        <f t="shared" si="400"/>
        <v>0</v>
      </c>
      <c r="I229">
        <f t="shared" si="400"/>
        <v>0</v>
      </c>
      <c r="J229">
        <f t="shared" si="400"/>
        <v>0</v>
      </c>
      <c r="K229">
        <f t="shared" si="400"/>
        <v>0</v>
      </c>
      <c r="L229">
        <f t="shared" si="400"/>
        <v>0</v>
      </c>
      <c r="M229">
        <f t="shared" si="400"/>
        <v>0</v>
      </c>
      <c r="N229">
        <f t="shared" si="400"/>
        <v>0</v>
      </c>
      <c r="O229">
        <f t="shared" si="400"/>
        <v>0</v>
      </c>
      <c r="P229">
        <f t="shared" si="400"/>
        <v>0</v>
      </c>
      <c r="Q229">
        <f t="shared" si="400"/>
        <v>0</v>
      </c>
      <c r="R229">
        <f t="shared" si="400"/>
        <v>0</v>
      </c>
      <c r="S229">
        <f t="shared" si="400"/>
        <v>0</v>
      </c>
      <c r="T229">
        <f t="shared" si="400"/>
        <v>0</v>
      </c>
      <c r="U229">
        <f t="shared" si="400"/>
        <v>0</v>
      </c>
      <c r="V229">
        <f t="shared" si="400"/>
        <v>0</v>
      </c>
      <c r="W229">
        <f t="shared" si="400"/>
        <v>0</v>
      </c>
      <c r="X229">
        <f t="shared" si="400"/>
        <v>0</v>
      </c>
      <c r="Y229">
        <f t="shared" si="400"/>
        <v>0</v>
      </c>
      <c r="Z229">
        <f t="shared" si="400"/>
        <v>0</v>
      </c>
      <c r="AA229">
        <f t="shared" si="400"/>
        <v>0</v>
      </c>
      <c r="AB229">
        <f t="shared" si="400"/>
        <v>0</v>
      </c>
      <c r="AC229">
        <f t="shared" si="400"/>
        <v>0</v>
      </c>
      <c r="AD229">
        <f t="shared" si="400"/>
        <v>0</v>
      </c>
      <c r="AE229">
        <f t="shared" si="400"/>
        <v>0</v>
      </c>
      <c r="AF229">
        <f t="shared" si="400"/>
        <v>0</v>
      </c>
      <c r="AG229">
        <f t="shared" si="400"/>
        <v>0</v>
      </c>
      <c r="AH229">
        <f t="shared" si="400"/>
        <v>0</v>
      </c>
      <c r="AI229">
        <f t="shared" si="400"/>
        <v>0</v>
      </c>
      <c r="AJ229">
        <f t="shared" ref="AJ229:BO229" si="401">AJ226/$B229</f>
        <v>0</v>
      </c>
      <c r="AK229">
        <f t="shared" si="401"/>
        <v>0</v>
      </c>
      <c r="AL229">
        <f t="shared" si="401"/>
        <v>0</v>
      </c>
      <c r="AM229">
        <f t="shared" si="401"/>
        <v>0</v>
      </c>
      <c r="AN229">
        <f t="shared" si="401"/>
        <v>0</v>
      </c>
      <c r="AO229">
        <f t="shared" si="401"/>
        <v>0</v>
      </c>
      <c r="AP229">
        <f t="shared" si="401"/>
        <v>0</v>
      </c>
      <c r="AQ229">
        <f t="shared" si="401"/>
        <v>0</v>
      </c>
      <c r="AR229">
        <f t="shared" si="401"/>
        <v>0</v>
      </c>
      <c r="AS229">
        <f t="shared" si="401"/>
        <v>0</v>
      </c>
      <c r="AT229">
        <f t="shared" si="401"/>
        <v>0</v>
      </c>
      <c r="AU229">
        <f t="shared" si="401"/>
        <v>0</v>
      </c>
      <c r="AV229">
        <f t="shared" si="401"/>
        <v>0</v>
      </c>
      <c r="AW229">
        <f t="shared" si="401"/>
        <v>0</v>
      </c>
      <c r="AX229">
        <f t="shared" si="401"/>
        <v>0</v>
      </c>
      <c r="AY229">
        <f t="shared" si="401"/>
        <v>0</v>
      </c>
      <c r="AZ229">
        <f t="shared" si="401"/>
        <v>0</v>
      </c>
      <c r="BA229">
        <f t="shared" si="401"/>
        <v>0</v>
      </c>
      <c r="BB229">
        <f t="shared" si="401"/>
        <v>0</v>
      </c>
      <c r="BC229">
        <f t="shared" si="401"/>
        <v>0</v>
      </c>
      <c r="BD229">
        <f t="shared" si="401"/>
        <v>0</v>
      </c>
      <c r="BE229">
        <f t="shared" si="401"/>
        <v>0</v>
      </c>
      <c r="BF229">
        <f t="shared" si="401"/>
        <v>0</v>
      </c>
      <c r="BG229">
        <f t="shared" si="401"/>
        <v>0</v>
      </c>
      <c r="BH229">
        <f t="shared" si="401"/>
        <v>0</v>
      </c>
      <c r="BI229">
        <f t="shared" si="401"/>
        <v>0</v>
      </c>
      <c r="BJ229">
        <f t="shared" si="401"/>
        <v>0</v>
      </c>
      <c r="BK229">
        <f t="shared" si="401"/>
        <v>0</v>
      </c>
      <c r="BL229">
        <f t="shared" si="401"/>
        <v>0</v>
      </c>
      <c r="BM229">
        <f t="shared" si="401"/>
        <v>0</v>
      </c>
      <c r="BN229">
        <f t="shared" si="401"/>
        <v>0</v>
      </c>
      <c r="BO229">
        <f t="shared" si="401"/>
        <v>0</v>
      </c>
      <c r="BP229">
        <f t="shared" ref="BP229:CC229" si="402">BP226/$B229</f>
        <v>0</v>
      </c>
      <c r="BQ229">
        <f t="shared" si="402"/>
        <v>0</v>
      </c>
      <c r="BR229">
        <f t="shared" si="402"/>
        <v>0</v>
      </c>
      <c r="BS229">
        <f t="shared" si="402"/>
        <v>0</v>
      </c>
      <c r="BT229">
        <f t="shared" si="402"/>
        <v>0</v>
      </c>
      <c r="BU229">
        <f t="shared" si="402"/>
        <v>0</v>
      </c>
      <c r="BV229">
        <f t="shared" si="402"/>
        <v>0</v>
      </c>
      <c r="BW229">
        <f t="shared" si="402"/>
        <v>0</v>
      </c>
      <c r="BX229">
        <f t="shared" si="402"/>
        <v>0</v>
      </c>
      <c r="BY229">
        <f t="shared" si="402"/>
        <v>0</v>
      </c>
      <c r="BZ229">
        <f t="shared" si="402"/>
        <v>0</v>
      </c>
      <c r="CA229">
        <f t="shared" si="402"/>
        <v>0</v>
      </c>
      <c r="CB229">
        <f t="shared" si="402"/>
        <v>0</v>
      </c>
      <c r="CC229">
        <f t="shared" si="402"/>
        <v>0</v>
      </c>
    </row>
    <row r="230" spans="1:81" x14ac:dyDescent="0.2">
      <c r="A230" s="10"/>
      <c r="B230" s="67">
        <f>SUM(D234:AJ234)/SUM($D$263:$AJ$263)</f>
        <v>1.953220372088481E-3</v>
      </c>
      <c r="C230" s="9" t="s">
        <v>216</v>
      </c>
      <c r="D230">
        <f t="shared" ref="D230:AI230" si="403">D224-D227</f>
        <v>160</v>
      </c>
      <c r="E230">
        <f t="shared" si="403"/>
        <v>160</v>
      </c>
      <c r="F230">
        <f t="shared" si="403"/>
        <v>160</v>
      </c>
      <c r="G230">
        <f t="shared" si="403"/>
        <v>80</v>
      </c>
      <c r="H230">
        <f t="shared" si="403"/>
        <v>80</v>
      </c>
      <c r="I230">
        <f t="shared" si="403"/>
        <v>80</v>
      </c>
      <c r="J230">
        <f t="shared" si="403"/>
        <v>80</v>
      </c>
      <c r="K230">
        <f t="shared" si="403"/>
        <v>0</v>
      </c>
      <c r="L230">
        <f t="shared" si="403"/>
        <v>0</v>
      </c>
      <c r="M230">
        <f t="shared" si="403"/>
        <v>0</v>
      </c>
      <c r="N230">
        <f t="shared" si="403"/>
        <v>0</v>
      </c>
      <c r="O230">
        <f t="shared" si="403"/>
        <v>0</v>
      </c>
      <c r="P230">
        <f t="shared" si="403"/>
        <v>0</v>
      </c>
      <c r="Q230">
        <f t="shared" si="403"/>
        <v>0</v>
      </c>
      <c r="R230">
        <f t="shared" si="403"/>
        <v>-80</v>
      </c>
      <c r="S230">
        <f t="shared" si="403"/>
        <v>-80</v>
      </c>
      <c r="T230">
        <f t="shared" si="403"/>
        <v>-80</v>
      </c>
      <c r="U230">
        <f t="shared" si="403"/>
        <v>-80</v>
      </c>
      <c r="V230">
        <f t="shared" si="403"/>
        <v>-80</v>
      </c>
      <c r="W230">
        <f t="shared" si="403"/>
        <v>-80</v>
      </c>
      <c r="X230">
        <f t="shared" si="403"/>
        <v>-80</v>
      </c>
      <c r="Y230">
        <f t="shared" si="403"/>
        <v>-80</v>
      </c>
      <c r="Z230">
        <f t="shared" si="403"/>
        <v>-80</v>
      </c>
      <c r="AA230">
        <f t="shared" si="403"/>
        <v>-80</v>
      </c>
      <c r="AB230">
        <f t="shared" si="403"/>
        <v>-80</v>
      </c>
      <c r="AC230">
        <f t="shared" si="403"/>
        <v>-100</v>
      </c>
      <c r="AD230">
        <f t="shared" si="403"/>
        <v>-120</v>
      </c>
      <c r="AE230">
        <f t="shared" si="403"/>
        <v>-140</v>
      </c>
      <c r="AF230">
        <f t="shared" si="403"/>
        <v>-160</v>
      </c>
      <c r="AG230">
        <f t="shared" si="403"/>
        <v>-160</v>
      </c>
      <c r="AH230">
        <f t="shared" si="403"/>
        <v>-200</v>
      </c>
      <c r="AI230">
        <f t="shared" si="403"/>
        <v>-240</v>
      </c>
      <c r="AJ230">
        <f t="shared" ref="AJ230:BO230" si="404">AJ224-AJ227</f>
        <v>-240</v>
      </c>
      <c r="AK230">
        <f t="shared" si="404"/>
        <v>-240</v>
      </c>
      <c r="AL230">
        <f t="shared" si="404"/>
        <v>-240</v>
      </c>
      <c r="AM230">
        <f t="shared" si="404"/>
        <v>-240</v>
      </c>
      <c r="AN230">
        <f t="shared" si="404"/>
        <v>-251</v>
      </c>
      <c r="AO230">
        <f t="shared" si="404"/>
        <v>-262</v>
      </c>
      <c r="AP230">
        <f t="shared" si="404"/>
        <v>-273</v>
      </c>
      <c r="AQ230">
        <f t="shared" si="404"/>
        <v>-286</v>
      </c>
      <c r="AR230">
        <f t="shared" si="404"/>
        <v>-299</v>
      </c>
      <c r="AS230">
        <f t="shared" si="404"/>
        <v>-310</v>
      </c>
      <c r="AT230">
        <f t="shared" si="404"/>
        <v>-323</v>
      </c>
      <c r="AU230">
        <f t="shared" si="404"/>
        <v>-336</v>
      </c>
      <c r="AV230">
        <f t="shared" si="404"/>
        <v>-349</v>
      </c>
      <c r="AW230">
        <f t="shared" si="404"/>
        <v>-362</v>
      </c>
      <c r="AX230">
        <f t="shared" si="404"/>
        <v>-375</v>
      </c>
      <c r="AY230">
        <f t="shared" si="404"/>
        <v>-385</v>
      </c>
      <c r="AZ230">
        <f t="shared" si="404"/>
        <v>-394</v>
      </c>
      <c r="BA230">
        <f t="shared" si="404"/>
        <v>-403</v>
      </c>
      <c r="BB230">
        <f t="shared" si="404"/>
        <v>-412</v>
      </c>
      <c r="BC230">
        <f t="shared" si="404"/>
        <v>-422</v>
      </c>
      <c r="BD230">
        <f t="shared" si="404"/>
        <v>-432</v>
      </c>
      <c r="BE230">
        <f t="shared" si="404"/>
        <v>-442</v>
      </c>
      <c r="BF230">
        <f t="shared" si="404"/>
        <v>-452</v>
      </c>
      <c r="BG230">
        <f t="shared" si="404"/>
        <v>-462</v>
      </c>
      <c r="BH230">
        <f t="shared" si="404"/>
        <v>-472</v>
      </c>
      <c r="BI230">
        <f t="shared" si="404"/>
        <v>-482</v>
      </c>
      <c r="BJ230">
        <f t="shared" si="404"/>
        <v>-492</v>
      </c>
      <c r="BK230">
        <f t="shared" si="404"/>
        <v>-502</v>
      </c>
      <c r="BL230">
        <f t="shared" si="404"/>
        <v>-512</v>
      </c>
      <c r="BM230">
        <f t="shared" si="404"/>
        <v>-522</v>
      </c>
      <c r="BN230">
        <f t="shared" si="404"/>
        <v>-540</v>
      </c>
      <c r="BO230">
        <f t="shared" si="404"/>
        <v>-540</v>
      </c>
      <c r="BP230">
        <f t="shared" ref="BP230:CC230" si="405">BP224-BP227</f>
        <v>-540</v>
      </c>
      <c r="BQ230">
        <f t="shared" si="405"/>
        <v>-540</v>
      </c>
      <c r="BR230">
        <f t="shared" si="405"/>
        <v>-540</v>
      </c>
      <c r="BS230">
        <f t="shared" si="405"/>
        <v>-548</v>
      </c>
      <c r="BT230">
        <f t="shared" si="405"/>
        <v>-556</v>
      </c>
      <c r="BU230">
        <f t="shared" si="405"/>
        <v>-564</v>
      </c>
      <c r="BV230">
        <f t="shared" si="405"/>
        <v>-572</v>
      </c>
      <c r="BW230">
        <f t="shared" si="405"/>
        <v>-580</v>
      </c>
      <c r="BX230">
        <f t="shared" si="405"/>
        <v>-588</v>
      </c>
      <c r="BY230">
        <f t="shared" si="405"/>
        <v>-596</v>
      </c>
      <c r="BZ230">
        <f t="shared" si="405"/>
        <v>-604</v>
      </c>
      <c r="CA230">
        <f t="shared" si="405"/>
        <v>-612</v>
      </c>
      <c r="CB230">
        <f t="shared" si="405"/>
        <v>-620</v>
      </c>
      <c r="CC230">
        <f t="shared" si="405"/>
        <v>-628</v>
      </c>
    </row>
    <row r="231" spans="1:81" x14ac:dyDescent="0.2">
      <c r="A231" s="43" t="s">
        <v>247</v>
      </c>
      <c r="B231" s="44" t="s">
        <v>208</v>
      </c>
      <c r="C231" s="9" t="s">
        <v>38</v>
      </c>
      <c r="D231" s="58">
        <f>IFERROR(VLOOKUP(A231,OS!$A:$B,2,0),0)</f>
        <v>200</v>
      </c>
      <c r="E231" s="5">
        <f>(D231+D232-D234)</f>
        <v>200</v>
      </c>
      <c r="F231" s="5">
        <f>(E231+E232-E234)</f>
        <v>200</v>
      </c>
      <c r="G231" s="5">
        <f>(F231+F232-F234)</f>
        <v>200</v>
      </c>
      <c r="H231" s="5">
        <f>(G231+G232-G234)</f>
        <v>200</v>
      </c>
      <c r="I231" s="5">
        <f t="shared" ref="I231:AN231" si="406">(H231+H232-H234+D233)</f>
        <v>200</v>
      </c>
      <c r="J231" s="5">
        <f t="shared" si="406"/>
        <v>200</v>
      </c>
      <c r="K231" s="5">
        <f t="shared" si="406"/>
        <v>200</v>
      </c>
      <c r="L231" s="5">
        <f t="shared" si="406"/>
        <v>200</v>
      </c>
      <c r="M231" s="5">
        <f t="shared" si="406"/>
        <v>100</v>
      </c>
      <c r="N231" s="5">
        <f t="shared" si="406"/>
        <v>100</v>
      </c>
      <c r="O231" s="5">
        <f t="shared" si="406"/>
        <v>100</v>
      </c>
      <c r="P231" s="5">
        <f t="shared" si="406"/>
        <v>100</v>
      </c>
      <c r="Q231" s="5">
        <f t="shared" si="406"/>
        <v>100</v>
      </c>
      <c r="R231" s="5">
        <f t="shared" si="406"/>
        <v>100</v>
      </c>
      <c r="S231" s="5">
        <f t="shared" si="406"/>
        <v>100</v>
      </c>
      <c r="T231" s="5">
        <f t="shared" si="406"/>
        <v>100</v>
      </c>
      <c r="U231" s="5">
        <f t="shared" si="406"/>
        <v>100</v>
      </c>
      <c r="V231" s="5">
        <f t="shared" si="406"/>
        <v>100</v>
      </c>
      <c r="W231" s="5">
        <f t="shared" si="406"/>
        <v>100</v>
      </c>
      <c r="X231" s="5">
        <f t="shared" si="406"/>
        <v>100</v>
      </c>
      <c r="Y231" s="5">
        <f t="shared" si="406"/>
        <v>100</v>
      </c>
      <c r="Z231" s="5">
        <f t="shared" si="406"/>
        <v>100</v>
      </c>
      <c r="AA231" s="5">
        <f t="shared" si="406"/>
        <v>100</v>
      </c>
      <c r="AB231" s="5">
        <f t="shared" si="406"/>
        <v>100</v>
      </c>
      <c r="AC231" s="5">
        <f t="shared" si="406"/>
        <v>100</v>
      </c>
      <c r="AD231" s="5">
        <f t="shared" si="406"/>
        <v>80</v>
      </c>
      <c r="AE231" s="5">
        <f t="shared" si="406"/>
        <v>60</v>
      </c>
      <c r="AF231" s="5">
        <f t="shared" si="406"/>
        <v>40</v>
      </c>
      <c r="AG231" s="5">
        <f t="shared" si="406"/>
        <v>20</v>
      </c>
      <c r="AH231" s="5">
        <f t="shared" si="406"/>
        <v>0</v>
      </c>
      <c r="AI231" s="5">
        <f t="shared" si="406"/>
        <v>0</v>
      </c>
      <c r="AJ231" s="5">
        <f t="shared" si="406"/>
        <v>0</v>
      </c>
      <c r="AK231" s="5">
        <f t="shared" si="406"/>
        <v>0</v>
      </c>
      <c r="AL231" s="5">
        <f t="shared" si="406"/>
        <v>0</v>
      </c>
      <c r="AM231" s="5">
        <f t="shared" si="406"/>
        <v>0</v>
      </c>
      <c r="AN231" s="5">
        <f t="shared" si="406"/>
        <v>0</v>
      </c>
      <c r="AO231" s="5">
        <f t="shared" ref="AO231:BT231" si="407">(AN231+AN232-AN234+AJ233)</f>
        <v>-6</v>
      </c>
      <c r="AP231" s="5">
        <f t="shared" si="407"/>
        <v>-12</v>
      </c>
      <c r="AQ231" s="5">
        <f t="shared" si="407"/>
        <v>-18</v>
      </c>
      <c r="AR231" s="5">
        <f t="shared" si="407"/>
        <v>-25</v>
      </c>
      <c r="AS231" s="5">
        <f t="shared" si="407"/>
        <v>-32</v>
      </c>
      <c r="AT231" s="5">
        <f t="shared" si="407"/>
        <v>-38</v>
      </c>
      <c r="AU231" s="5">
        <f t="shared" si="407"/>
        <v>-45</v>
      </c>
      <c r="AV231" s="5">
        <f t="shared" si="407"/>
        <v>-52</v>
      </c>
      <c r="AW231" s="5">
        <f t="shared" si="407"/>
        <v>-59</v>
      </c>
      <c r="AX231" s="5">
        <f t="shared" si="407"/>
        <v>-66</v>
      </c>
      <c r="AY231" s="5">
        <f t="shared" si="407"/>
        <v>-73</v>
      </c>
      <c r="AZ231" s="5">
        <f t="shared" si="407"/>
        <v>-78</v>
      </c>
      <c r="BA231" s="5">
        <f t="shared" si="407"/>
        <v>-83</v>
      </c>
      <c r="BB231" s="5">
        <f t="shared" si="407"/>
        <v>-88</v>
      </c>
      <c r="BC231" s="5">
        <f t="shared" si="407"/>
        <v>-93</v>
      </c>
      <c r="BD231" s="5">
        <f t="shared" si="407"/>
        <v>-98</v>
      </c>
      <c r="BE231" s="5">
        <f t="shared" si="407"/>
        <v>-103</v>
      </c>
      <c r="BF231" s="5">
        <f t="shared" si="407"/>
        <v>-108</v>
      </c>
      <c r="BG231" s="5">
        <f t="shared" si="407"/>
        <v>-113</v>
      </c>
      <c r="BH231" s="5">
        <f t="shared" si="407"/>
        <v>-118</v>
      </c>
      <c r="BI231" s="5">
        <f t="shared" si="407"/>
        <v>-123</v>
      </c>
      <c r="BJ231" s="5">
        <f t="shared" si="407"/>
        <v>-128</v>
      </c>
      <c r="BK231" s="5">
        <f t="shared" si="407"/>
        <v>-133</v>
      </c>
      <c r="BL231" s="5">
        <f t="shared" si="407"/>
        <v>-138</v>
      </c>
      <c r="BM231" s="5">
        <f t="shared" si="407"/>
        <v>-143</v>
      </c>
      <c r="BN231" s="5">
        <f t="shared" si="407"/>
        <v>-148</v>
      </c>
      <c r="BO231" s="5">
        <f t="shared" si="407"/>
        <v>-157</v>
      </c>
      <c r="BP231" s="5">
        <f t="shared" si="407"/>
        <v>-157</v>
      </c>
      <c r="BQ231" s="5">
        <f t="shared" si="407"/>
        <v>-157</v>
      </c>
      <c r="BR231" s="5">
        <f t="shared" si="407"/>
        <v>-157</v>
      </c>
      <c r="BS231" s="5">
        <f t="shared" si="407"/>
        <v>-157</v>
      </c>
      <c r="BT231" s="5">
        <f t="shared" si="407"/>
        <v>-161</v>
      </c>
      <c r="BU231" s="5">
        <f t="shared" ref="BU231:CZ231" si="408">(BT231+BT232-BT234+BP233)</f>
        <v>-165</v>
      </c>
      <c r="BV231" s="5">
        <f t="shared" si="408"/>
        <v>-169</v>
      </c>
      <c r="BW231" s="5">
        <f t="shared" si="408"/>
        <v>-173</v>
      </c>
      <c r="BX231" s="5">
        <f t="shared" si="408"/>
        <v>-177</v>
      </c>
      <c r="BY231" s="5">
        <f t="shared" si="408"/>
        <v>-181</v>
      </c>
      <c r="BZ231" s="5">
        <f t="shared" si="408"/>
        <v>-185</v>
      </c>
      <c r="CA231" s="5">
        <f t="shared" si="408"/>
        <v>-189</v>
      </c>
      <c r="CB231" s="5">
        <f t="shared" si="408"/>
        <v>-193</v>
      </c>
      <c r="CC231" s="5">
        <f t="shared" si="408"/>
        <v>-197</v>
      </c>
    </row>
    <row r="232" spans="1:81" x14ac:dyDescent="0.2">
      <c r="A232" s="5" t="s">
        <v>209</v>
      </c>
      <c r="B232" s="5">
        <v>5.8170000000000002</v>
      </c>
      <c r="C232" s="45" t="s">
        <v>39</v>
      </c>
      <c r="D232" s="59">
        <f>IFERROR(VLOOKUP(A231,WIP!$A:$B,2,0),0)</f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</row>
    <row r="233" spans="1:81" x14ac:dyDescent="0.2">
      <c r="A233" s="5" t="s">
        <v>210</v>
      </c>
      <c r="B233" s="5">
        <v>0.153</v>
      </c>
      <c r="C233" s="9" t="s">
        <v>211</v>
      </c>
      <c r="D233" s="60">
        <f>IFERROR(VLOOKUP($A231,Plan!$A:B,D$4,0),0)</f>
        <v>0</v>
      </c>
      <c r="E233" s="70">
        <f>IFERROR(VLOOKUP($A231,Plan!$A:C,E$4,0),0)</f>
        <v>0</v>
      </c>
      <c r="F233" s="70">
        <f>IFERROR(VLOOKUP($A231,Plan!$A:D,F$4,0),0)</f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</row>
    <row r="234" spans="1:81" x14ac:dyDescent="0.2">
      <c r="A234" s="5" t="s">
        <v>212</v>
      </c>
      <c r="B234" s="5">
        <v>4.4999999999999998E-2</v>
      </c>
      <c r="C234" s="9" t="s">
        <v>213</v>
      </c>
      <c r="D234" s="61">
        <f>IFERROR(VLOOKUP($A231,Sales!$A:B,D$2,0),0)</f>
        <v>0</v>
      </c>
      <c r="E234" s="61">
        <f>IFERROR(VLOOKUP($A231,Sales!$A:C,E$2,0),0)</f>
        <v>0</v>
      </c>
      <c r="F234" s="61">
        <f>IFERROR(VLOOKUP($A231,Sales!$A:D,F$2,0),0)</f>
        <v>0</v>
      </c>
      <c r="G234" s="61">
        <f>IFERROR(VLOOKUP($A231,Sales!$A:E,G$2,0),0)</f>
        <v>0</v>
      </c>
      <c r="H234" s="61">
        <f>IFERROR(VLOOKUP($A231,Sales!$A:F,H$2,0),0)</f>
        <v>0</v>
      </c>
      <c r="I234" s="61">
        <f>IFERROR(VLOOKUP($A231,Sales!$A:G,I$2,0),0)</f>
        <v>0</v>
      </c>
      <c r="J234" s="61">
        <f>IFERROR(VLOOKUP($A231,Sales!$A:H,J$2,0),0)</f>
        <v>0</v>
      </c>
      <c r="K234" s="61">
        <f>IFERROR(VLOOKUP($A231,Sales!$A:I,K$2,0),0)</f>
        <v>0</v>
      </c>
      <c r="L234" s="61">
        <f>IFERROR(VLOOKUP($A231,Sales!$A:J,L$2,0),0)</f>
        <v>100</v>
      </c>
      <c r="M234" s="61">
        <f>IFERROR(VLOOKUP($A231,Sales!$A:K,M$2,0),0)</f>
        <v>0</v>
      </c>
      <c r="N234" s="61">
        <f>IFERROR(VLOOKUP($A231,Sales!$A:L,N$2,0),0)</f>
        <v>0</v>
      </c>
      <c r="O234" s="61">
        <f>IFERROR(VLOOKUP($A231,Sales!$A:M,O$2,0),0)</f>
        <v>0</v>
      </c>
      <c r="P234" s="61">
        <f>IFERROR(VLOOKUP($A231,Sales!$A:N,P$2,0),0)</f>
        <v>0</v>
      </c>
      <c r="Q234" s="61">
        <f>IFERROR(VLOOKUP($A231,Sales!$A:O,Q$2,0),0)</f>
        <v>0</v>
      </c>
      <c r="R234" s="61">
        <f>IFERROR(VLOOKUP($A231,Sales!$A:P,R$2,0),0)</f>
        <v>0</v>
      </c>
      <c r="S234" s="61">
        <f>IFERROR(VLOOKUP($A231,Sales!$A:Q,S$2,0),0)</f>
        <v>0</v>
      </c>
      <c r="T234" s="61">
        <f>IFERROR(VLOOKUP($A231,Sales!$A:R,T$2,0),0)</f>
        <v>0</v>
      </c>
      <c r="U234" s="61">
        <f>IFERROR(VLOOKUP($A231,Sales!$A:S,U$2,0),0)</f>
        <v>0</v>
      </c>
      <c r="V234" s="61">
        <f>IFERROR(VLOOKUP($A231,Sales!$A:T,V$2,0),0)</f>
        <v>0</v>
      </c>
      <c r="W234" s="61">
        <f>IFERROR(VLOOKUP($A231,Sales!$A:U,W$2,0),0)</f>
        <v>0</v>
      </c>
      <c r="X234" s="61">
        <f>IFERROR(VLOOKUP($A231,Sales!$A:V,X$2,0),0)</f>
        <v>0</v>
      </c>
      <c r="Y234" s="61">
        <f>IFERROR(VLOOKUP($A231,Sales!$A:W,Y$2,0),0)</f>
        <v>0</v>
      </c>
      <c r="Z234" s="61">
        <f>IFERROR(VLOOKUP($A231,Sales!$A:X,Z$2,0),0)</f>
        <v>0</v>
      </c>
      <c r="AA234" s="61">
        <f>IFERROR(VLOOKUP($A231,Sales!$A:Y,AA$2,0),0)</f>
        <v>0</v>
      </c>
      <c r="AB234" s="61">
        <f>IFERROR(VLOOKUP($A231,Sales!$A:Z,AB$2,0),0)</f>
        <v>0</v>
      </c>
      <c r="AC234" s="61">
        <f>IFERROR(VLOOKUP($A231,Sales!$A:AA,AC$2,0),0)</f>
        <v>20</v>
      </c>
      <c r="AD234" s="61">
        <f>IFERROR(VLOOKUP($A231,Sales!$A:AB,AD$2,0),0)</f>
        <v>20</v>
      </c>
      <c r="AE234" s="61">
        <f>IFERROR(VLOOKUP($A231,Sales!$A:AC,AE$2,0),0)</f>
        <v>20</v>
      </c>
      <c r="AF234" s="61">
        <f>IFERROR(VLOOKUP($A231,Sales!$A:AD,AF$2,0),0)</f>
        <v>20</v>
      </c>
      <c r="AG234" s="61">
        <f>IFERROR(VLOOKUP($A231,Sales!$A:AE,AG$2,0),0)</f>
        <v>20</v>
      </c>
      <c r="AH234" s="61">
        <f>IFERROR(VLOOKUP($A231,Sales!$A:AF,AH$2,0),0)</f>
        <v>0</v>
      </c>
      <c r="AI234" s="61">
        <f>IFERROR(VLOOKUP($A231,Sales!$A:AG,AI$2,0),0)</f>
        <v>0</v>
      </c>
      <c r="AJ234" s="61">
        <f>IFERROR(VLOOKUP($A231,Sales!$A:AH,AJ$2,0),0)</f>
        <v>0</v>
      </c>
      <c r="AK234" s="73">
        <f t="shared" ref="AK234:CC234" si="409">CEILING(AK$5*$B230,1)</f>
        <v>0</v>
      </c>
      <c r="AL234" s="73">
        <f t="shared" si="409"/>
        <v>0</v>
      </c>
      <c r="AM234" s="73">
        <f t="shared" si="409"/>
        <v>0</v>
      </c>
      <c r="AN234" s="73">
        <f t="shared" si="409"/>
        <v>6</v>
      </c>
      <c r="AO234" s="73">
        <f t="shared" si="409"/>
        <v>6</v>
      </c>
      <c r="AP234" s="73">
        <f t="shared" si="409"/>
        <v>6</v>
      </c>
      <c r="AQ234" s="73">
        <f t="shared" si="409"/>
        <v>7</v>
      </c>
      <c r="AR234" s="73">
        <f t="shared" si="409"/>
        <v>7</v>
      </c>
      <c r="AS234" s="73">
        <f t="shared" si="409"/>
        <v>6</v>
      </c>
      <c r="AT234" s="73">
        <f t="shared" si="409"/>
        <v>7</v>
      </c>
      <c r="AU234" s="73">
        <f t="shared" si="409"/>
        <v>7</v>
      </c>
      <c r="AV234" s="73">
        <f t="shared" si="409"/>
        <v>7</v>
      </c>
      <c r="AW234" s="73">
        <f t="shared" si="409"/>
        <v>7</v>
      </c>
      <c r="AX234" s="73">
        <f t="shared" si="409"/>
        <v>7</v>
      </c>
      <c r="AY234" s="73">
        <f t="shared" si="409"/>
        <v>5</v>
      </c>
      <c r="AZ234" s="73">
        <f t="shared" si="409"/>
        <v>5</v>
      </c>
      <c r="BA234" s="73">
        <f t="shared" si="409"/>
        <v>5</v>
      </c>
      <c r="BB234" s="73">
        <f t="shared" si="409"/>
        <v>5</v>
      </c>
      <c r="BC234" s="73">
        <f t="shared" si="409"/>
        <v>5</v>
      </c>
      <c r="BD234" s="73">
        <f t="shared" si="409"/>
        <v>5</v>
      </c>
      <c r="BE234" s="73">
        <f t="shared" si="409"/>
        <v>5</v>
      </c>
      <c r="BF234" s="73">
        <f t="shared" si="409"/>
        <v>5</v>
      </c>
      <c r="BG234" s="73">
        <f t="shared" si="409"/>
        <v>5</v>
      </c>
      <c r="BH234" s="73">
        <f t="shared" si="409"/>
        <v>5</v>
      </c>
      <c r="BI234" s="73">
        <f t="shared" si="409"/>
        <v>5</v>
      </c>
      <c r="BJ234" s="73">
        <f t="shared" si="409"/>
        <v>5</v>
      </c>
      <c r="BK234" s="73">
        <f t="shared" si="409"/>
        <v>5</v>
      </c>
      <c r="BL234" s="73">
        <f t="shared" si="409"/>
        <v>5</v>
      </c>
      <c r="BM234" s="73">
        <f t="shared" si="409"/>
        <v>5</v>
      </c>
      <c r="BN234" s="73">
        <f t="shared" si="409"/>
        <v>9</v>
      </c>
      <c r="BO234" s="73">
        <f t="shared" si="409"/>
        <v>0</v>
      </c>
      <c r="BP234" s="73">
        <f t="shared" si="409"/>
        <v>0</v>
      </c>
      <c r="BQ234" s="73">
        <f t="shared" si="409"/>
        <v>0</v>
      </c>
      <c r="BR234" s="73">
        <f t="shared" si="409"/>
        <v>0</v>
      </c>
      <c r="BS234" s="73">
        <f t="shared" si="409"/>
        <v>4</v>
      </c>
      <c r="BT234" s="73">
        <f t="shared" si="409"/>
        <v>4</v>
      </c>
      <c r="BU234" s="73">
        <f t="shared" si="409"/>
        <v>4</v>
      </c>
      <c r="BV234" s="73">
        <f t="shared" si="409"/>
        <v>4</v>
      </c>
      <c r="BW234" s="73">
        <f t="shared" si="409"/>
        <v>4</v>
      </c>
      <c r="BX234" s="73">
        <f t="shared" si="409"/>
        <v>4</v>
      </c>
      <c r="BY234" s="73">
        <f t="shared" si="409"/>
        <v>4</v>
      </c>
      <c r="BZ234" s="73">
        <f t="shared" si="409"/>
        <v>4</v>
      </c>
      <c r="CA234" s="73">
        <f t="shared" si="409"/>
        <v>4</v>
      </c>
      <c r="CB234" s="73">
        <f t="shared" si="409"/>
        <v>4</v>
      </c>
      <c r="CC234" s="73">
        <f t="shared" si="409"/>
        <v>4</v>
      </c>
    </row>
    <row r="235" spans="1:81" x14ac:dyDescent="0.2">
      <c r="A235" s="5" t="s">
        <v>214</v>
      </c>
      <c r="B235" s="5">
        <v>0.19800000000000001</v>
      </c>
      <c r="C235" s="46" t="s">
        <v>215</v>
      </c>
      <c r="D235" s="11">
        <f t="shared" ref="D235:AI235" si="410">IF(D234=0,0, ROUND(D231 * 1/D234* D$13,1))</f>
        <v>0</v>
      </c>
      <c r="E235" s="11">
        <f t="shared" si="410"/>
        <v>0</v>
      </c>
      <c r="F235" s="11">
        <f t="shared" si="410"/>
        <v>0</v>
      </c>
      <c r="G235" s="11">
        <f t="shared" si="410"/>
        <v>0</v>
      </c>
      <c r="H235" s="11">
        <f t="shared" si="410"/>
        <v>0</v>
      </c>
      <c r="I235" s="11">
        <f t="shared" si="410"/>
        <v>0</v>
      </c>
      <c r="J235" s="11">
        <f t="shared" si="410"/>
        <v>0</v>
      </c>
      <c r="K235" s="11">
        <f t="shared" si="410"/>
        <v>0</v>
      </c>
      <c r="L235" s="11">
        <f t="shared" si="410"/>
        <v>10</v>
      </c>
      <c r="M235" s="11">
        <f t="shared" si="410"/>
        <v>0</v>
      </c>
      <c r="N235" s="11">
        <f t="shared" si="410"/>
        <v>0</v>
      </c>
      <c r="O235" s="11">
        <f t="shared" si="410"/>
        <v>0</v>
      </c>
      <c r="P235" s="11">
        <f t="shared" si="410"/>
        <v>0</v>
      </c>
      <c r="Q235" s="11">
        <f t="shared" si="410"/>
        <v>0</v>
      </c>
      <c r="R235" s="11">
        <f t="shared" si="410"/>
        <v>0</v>
      </c>
      <c r="S235" s="11">
        <f t="shared" si="410"/>
        <v>0</v>
      </c>
      <c r="T235" s="11">
        <f t="shared" si="410"/>
        <v>0</v>
      </c>
      <c r="U235" s="11">
        <f t="shared" si="410"/>
        <v>0</v>
      </c>
      <c r="V235" s="11">
        <f t="shared" si="410"/>
        <v>0</v>
      </c>
      <c r="W235" s="11">
        <f t="shared" si="410"/>
        <v>0</v>
      </c>
      <c r="X235" s="11">
        <f t="shared" si="410"/>
        <v>0</v>
      </c>
      <c r="Y235" s="11">
        <f t="shared" si="410"/>
        <v>0</v>
      </c>
      <c r="Z235" s="11">
        <f t="shared" si="410"/>
        <v>0</v>
      </c>
      <c r="AA235" s="11">
        <f t="shared" si="410"/>
        <v>0</v>
      </c>
      <c r="AB235" s="11">
        <f t="shared" si="410"/>
        <v>0</v>
      </c>
      <c r="AC235" s="11">
        <f t="shared" si="410"/>
        <v>25</v>
      </c>
      <c r="AD235" s="11">
        <f t="shared" si="410"/>
        <v>20</v>
      </c>
      <c r="AE235" s="11">
        <f t="shared" si="410"/>
        <v>15</v>
      </c>
      <c r="AF235" s="11">
        <f t="shared" si="410"/>
        <v>10</v>
      </c>
      <c r="AG235" s="11">
        <f t="shared" si="410"/>
        <v>5</v>
      </c>
      <c r="AH235" s="11">
        <f t="shared" si="410"/>
        <v>0</v>
      </c>
      <c r="AI235" s="11">
        <f t="shared" si="410"/>
        <v>0</v>
      </c>
      <c r="AJ235" s="11">
        <f t="shared" ref="AJ235:BO235" si="411">IF(AJ234=0,0, ROUND(AJ231 * 1/AJ234* AJ$13,1))</f>
        <v>0</v>
      </c>
      <c r="AK235" s="11">
        <f t="shared" si="411"/>
        <v>0</v>
      </c>
      <c r="AL235" s="11">
        <f t="shared" si="411"/>
        <v>0</v>
      </c>
      <c r="AM235" s="11">
        <f t="shared" si="411"/>
        <v>0</v>
      </c>
      <c r="AN235" s="11">
        <f t="shared" si="411"/>
        <v>0</v>
      </c>
      <c r="AO235" s="11">
        <f t="shared" si="411"/>
        <v>-5</v>
      </c>
      <c r="AP235" s="11">
        <f t="shared" si="411"/>
        <v>-10</v>
      </c>
      <c r="AQ235" s="11">
        <f t="shared" si="411"/>
        <v>-12.9</v>
      </c>
      <c r="AR235" s="11">
        <f t="shared" si="411"/>
        <v>-17.899999999999999</v>
      </c>
      <c r="AS235" s="11">
        <f t="shared" si="411"/>
        <v>-26.7</v>
      </c>
      <c r="AT235" s="11">
        <f t="shared" si="411"/>
        <v>-27.1</v>
      </c>
      <c r="AU235" s="11">
        <f t="shared" si="411"/>
        <v>-32.1</v>
      </c>
      <c r="AV235" s="11">
        <f t="shared" si="411"/>
        <v>-37.1</v>
      </c>
      <c r="AW235" s="11">
        <f t="shared" si="411"/>
        <v>-42.1</v>
      </c>
      <c r="AX235" s="11">
        <f t="shared" si="411"/>
        <v>-47.1</v>
      </c>
      <c r="AY235" s="11">
        <f t="shared" si="411"/>
        <v>-73</v>
      </c>
      <c r="AZ235" s="11">
        <f t="shared" si="411"/>
        <v>-78</v>
      </c>
      <c r="BA235" s="11">
        <f t="shared" si="411"/>
        <v>-83</v>
      </c>
      <c r="BB235" s="11">
        <f t="shared" si="411"/>
        <v>-88</v>
      </c>
      <c r="BC235" s="11">
        <f t="shared" si="411"/>
        <v>-93</v>
      </c>
      <c r="BD235" s="11">
        <f t="shared" si="411"/>
        <v>-98</v>
      </c>
      <c r="BE235" s="11">
        <f t="shared" si="411"/>
        <v>-103</v>
      </c>
      <c r="BF235" s="11">
        <f t="shared" si="411"/>
        <v>-108</v>
      </c>
      <c r="BG235" s="11">
        <f t="shared" si="411"/>
        <v>-113</v>
      </c>
      <c r="BH235" s="11">
        <f t="shared" si="411"/>
        <v>-118</v>
      </c>
      <c r="BI235" s="11">
        <f t="shared" si="411"/>
        <v>-123</v>
      </c>
      <c r="BJ235" s="11">
        <f t="shared" si="411"/>
        <v>-128</v>
      </c>
      <c r="BK235" s="11">
        <f t="shared" si="411"/>
        <v>-133</v>
      </c>
      <c r="BL235" s="11">
        <f t="shared" si="411"/>
        <v>-138</v>
      </c>
      <c r="BM235" s="11">
        <f t="shared" si="411"/>
        <v>-143</v>
      </c>
      <c r="BN235" s="11">
        <f t="shared" si="411"/>
        <v>-82.2</v>
      </c>
      <c r="BO235" s="11">
        <f t="shared" si="411"/>
        <v>0</v>
      </c>
      <c r="BP235" s="11">
        <f t="shared" ref="BP235:CU235" si="412">IF(BP234=0,0, ROUND(BP231 * 1/BP234* BP$13,1))</f>
        <v>0</v>
      </c>
      <c r="BQ235" s="11">
        <f t="shared" si="412"/>
        <v>0</v>
      </c>
      <c r="BR235" s="11">
        <f t="shared" si="412"/>
        <v>0</v>
      </c>
      <c r="BS235" s="11">
        <f t="shared" si="412"/>
        <v>-196.3</v>
      </c>
      <c r="BT235" s="11">
        <f t="shared" si="412"/>
        <v>-201.3</v>
      </c>
      <c r="BU235" s="11">
        <f t="shared" si="412"/>
        <v>-206.3</v>
      </c>
      <c r="BV235" s="11">
        <f t="shared" si="412"/>
        <v>-211.3</v>
      </c>
      <c r="BW235" s="11">
        <f t="shared" si="412"/>
        <v>-216.3</v>
      </c>
      <c r="BX235" s="11">
        <f t="shared" si="412"/>
        <v>-221.3</v>
      </c>
      <c r="BY235" s="11">
        <f t="shared" si="412"/>
        <v>-226.3</v>
      </c>
      <c r="BZ235" s="11">
        <f t="shared" si="412"/>
        <v>-231.3</v>
      </c>
      <c r="CA235" s="11">
        <f t="shared" si="412"/>
        <v>-236.3</v>
      </c>
      <c r="CB235" s="11">
        <f t="shared" si="412"/>
        <v>-241.3</v>
      </c>
      <c r="CC235" s="11">
        <f t="shared" si="412"/>
        <v>-246.3</v>
      </c>
    </row>
    <row r="236" spans="1:81" x14ac:dyDescent="0.2">
      <c r="A236">
        <v>7</v>
      </c>
      <c r="B236">
        <v>1</v>
      </c>
      <c r="C236" s="8">
        <v>4.4397000000000002</v>
      </c>
      <c r="D236">
        <f t="shared" ref="D236:AI236" si="413">D233/$B236</f>
        <v>0</v>
      </c>
      <c r="E236">
        <f t="shared" si="413"/>
        <v>0</v>
      </c>
      <c r="F236">
        <f t="shared" si="413"/>
        <v>0</v>
      </c>
      <c r="G236">
        <f t="shared" si="413"/>
        <v>0</v>
      </c>
      <c r="H236">
        <f t="shared" si="413"/>
        <v>0</v>
      </c>
      <c r="I236">
        <f t="shared" si="413"/>
        <v>0</v>
      </c>
      <c r="J236">
        <f t="shared" si="413"/>
        <v>0</v>
      </c>
      <c r="K236">
        <f t="shared" si="413"/>
        <v>0</v>
      </c>
      <c r="L236">
        <f t="shared" si="413"/>
        <v>0</v>
      </c>
      <c r="M236">
        <f t="shared" si="413"/>
        <v>0</v>
      </c>
      <c r="N236">
        <f t="shared" si="413"/>
        <v>0</v>
      </c>
      <c r="O236">
        <f t="shared" si="413"/>
        <v>0</v>
      </c>
      <c r="P236">
        <f t="shared" si="413"/>
        <v>0</v>
      </c>
      <c r="Q236">
        <f t="shared" si="413"/>
        <v>0</v>
      </c>
      <c r="R236">
        <f t="shared" si="413"/>
        <v>0</v>
      </c>
      <c r="S236">
        <f t="shared" si="413"/>
        <v>0</v>
      </c>
      <c r="T236">
        <f t="shared" si="413"/>
        <v>0</v>
      </c>
      <c r="U236">
        <f t="shared" si="413"/>
        <v>0</v>
      </c>
      <c r="V236">
        <f t="shared" si="413"/>
        <v>0</v>
      </c>
      <c r="W236">
        <f t="shared" si="413"/>
        <v>0</v>
      </c>
      <c r="X236">
        <f t="shared" si="413"/>
        <v>0</v>
      </c>
      <c r="Y236">
        <f t="shared" si="413"/>
        <v>0</v>
      </c>
      <c r="Z236">
        <f t="shared" si="413"/>
        <v>0</v>
      </c>
      <c r="AA236">
        <f t="shared" si="413"/>
        <v>0</v>
      </c>
      <c r="AB236">
        <f t="shared" si="413"/>
        <v>0</v>
      </c>
      <c r="AC236">
        <f t="shared" si="413"/>
        <v>0</v>
      </c>
      <c r="AD236">
        <f t="shared" si="413"/>
        <v>0</v>
      </c>
      <c r="AE236">
        <f t="shared" si="413"/>
        <v>0</v>
      </c>
      <c r="AF236">
        <f t="shared" si="413"/>
        <v>0</v>
      </c>
      <c r="AG236">
        <f t="shared" si="413"/>
        <v>0</v>
      </c>
      <c r="AH236">
        <f t="shared" si="413"/>
        <v>0</v>
      </c>
      <c r="AI236">
        <f t="shared" si="413"/>
        <v>0</v>
      </c>
      <c r="AJ236">
        <f t="shared" ref="AJ236:BO236" si="414">AJ233/$B236</f>
        <v>0</v>
      </c>
      <c r="AK236">
        <f t="shared" si="414"/>
        <v>0</v>
      </c>
      <c r="AL236">
        <f t="shared" si="414"/>
        <v>0</v>
      </c>
      <c r="AM236">
        <f t="shared" si="414"/>
        <v>0</v>
      </c>
      <c r="AN236">
        <f t="shared" si="414"/>
        <v>0</v>
      </c>
      <c r="AO236">
        <f t="shared" si="414"/>
        <v>0</v>
      </c>
      <c r="AP236">
        <f t="shared" si="414"/>
        <v>0</v>
      </c>
      <c r="AQ236">
        <f t="shared" si="414"/>
        <v>0</v>
      </c>
      <c r="AR236">
        <f t="shared" si="414"/>
        <v>0</v>
      </c>
      <c r="AS236">
        <f t="shared" si="414"/>
        <v>0</v>
      </c>
      <c r="AT236">
        <f t="shared" si="414"/>
        <v>0</v>
      </c>
      <c r="AU236">
        <f t="shared" si="414"/>
        <v>0</v>
      </c>
      <c r="AV236">
        <f t="shared" si="414"/>
        <v>0</v>
      </c>
      <c r="AW236">
        <f t="shared" si="414"/>
        <v>0</v>
      </c>
      <c r="AX236">
        <f t="shared" si="414"/>
        <v>0</v>
      </c>
      <c r="AY236">
        <f t="shared" si="414"/>
        <v>0</v>
      </c>
      <c r="AZ236">
        <f t="shared" si="414"/>
        <v>0</v>
      </c>
      <c r="BA236">
        <f t="shared" si="414"/>
        <v>0</v>
      </c>
      <c r="BB236">
        <f t="shared" si="414"/>
        <v>0</v>
      </c>
      <c r="BC236">
        <f t="shared" si="414"/>
        <v>0</v>
      </c>
      <c r="BD236">
        <f t="shared" si="414"/>
        <v>0</v>
      </c>
      <c r="BE236">
        <f t="shared" si="414"/>
        <v>0</v>
      </c>
      <c r="BF236">
        <f t="shared" si="414"/>
        <v>0</v>
      </c>
      <c r="BG236">
        <f t="shared" si="414"/>
        <v>0</v>
      </c>
      <c r="BH236">
        <f t="shared" si="414"/>
        <v>0</v>
      </c>
      <c r="BI236">
        <f t="shared" si="414"/>
        <v>0</v>
      </c>
      <c r="BJ236">
        <f t="shared" si="414"/>
        <v>0</v>
      </c>
      <c r="BK236">
        <f t="shared" si="414"/>
        <v>0</v>
      </c>
      <c r="BL236">
        <f t="shared" si="414"/>
        <v>0</v>
      </c>
      <c r="BM236">
        <f t="shared" si="414"/>
        <v>0</v>
      </c>
      <c r="BN236">
        <f t="shared" si="414"/>
        <v>0</v>
      </c>
      <c r="BO236">
        <f t="shared" si="414"/>
        <v>0</v>
      </c>
      <c r="BP236">
        <f t="shared" ref="BP236:CC236" si="415">BP233/$B236</f>
        <v>0</v>
      </c>
      <c r="BQ236">
        <f t="shared" si="415"/>
        <v>0</v>
      </c>
      <c r="BR236">
        <f t="shared" si="415"/>
        <v>0</v>
      </c>
      <c r="BS236">
        <f t="shared" si="415"/>
        <v>0</v>
      </c>
      <c r="BT236">
        <f t="shared" si="415"/>
        <v>0</v>
      </c>
      <c r="BU236">
        <f t="shared" si="415"/>
        <v>0</v>
      </c>
      <c r="BV236">
        <f t="shared" si="415"/>
        <v>0</v>
      </c>
      <c r="BW236">
        <f t="shared" si="415"/>
        <v>0</v>
      </c>
      <c r="BX236">
        <f t="shared" si="415"/>
        <v>0</v>
      </c>
      <c r="BY236">
        <f t="shared" si="415"/>
        <v>0</v>
      </c>
      <c r="BZ236">
        <f t="shared" si="415"/>
        <v>0</v>
      </c>
      <c r="CA236">
        <f t="shared" si="415"/>
        <v>0</v>
      </c>
      <c r="CB236">
        <f t="shared" si="415"/>
        <v>0</v>
      </c>
      <c r="CC236">
        <f t="shared" si="415"/>
        <v>0</v>
      </c>
    </row>
    <row r="237" spans="1:81" x14ac:dyDescent="0.2">
      <c r="A237" s="10"/>
      <c r="B237" s="67">
        <f>SUM(D241:AJ241)/SUM($D$263:$AJ$263)</f>
        <v>1.1719322232530886E-2</v>
      </c>
      <c r="C237" s="9" t="s">
        <v>216</v>
      </c>
      <c r="D237">
        <f t="shared" ref="D237:AI237" si="416">D231-D234</f>
        <v>200</v>
      </c>
      <c r="E237">
        <f t="shared" si="416"/>
        <v>200</v>
      </c>
      <c r="F237">
        <f t="shared" si="416"/>
        <v>200</v>
      </c>
      <c r="G237">
        <f t="shared" si="416"/>
        <v>200</v>
      </c>
      <c r="H237">
        <f t="shared" si="416"/>
        <v>200</v>
      </c>
      <c r="I237">
        <f t="shared" si="416"/>
        <v>200</v>
      </c>
      <c r="J237">
        <f t="shared" si="416"/>
        <v>200</v>
      </c>
      <c r="K237">
        <f t="shared" si="416"/>
        <v>200</v>
      </c>
      <c r="L237">
        <f t="shared" si="416"/>
        <v>100</v>
      </c>
      <c r="M237">
        <f t="shared" si="416"/>
        <v>100</v>
      </c>
      <c r="N237">
        <f t="shared" si="416"/>
        <v>100</v>
      </c>
      <c r="O237">
        <f t="shared" si="416"/>
        <v>100</v>
      </c>
      <c r="P237">
        <f t="shared" si="416"/>
        <v>100</v>
      </c>
      <c r="Q237">
        <f t="shared" si="416"/>
        <v>100</v>
      </c>
      <c r="R237">
        <f t="shared" si="416"/>
        <v>100</v>
      </c>
      <c r="S237">
        <f t="shared" si="416"/>
        <v>100</v>
      </c>
      <c r="T237">
        <f t="shared" si="416"/>
        <v>100</v>
      </c>
      <c r="U237">
        <f t="shared" si="416"/>
        <v>100</v>
      </c>
      <c r="V237">
        <f t="shared" si="416"/>
        <v>100</v>
      </c>
      <c r="W237">
        <f t="shared" si="416"/>
        <v>100</v>
      </c>
      <c r="X237">
        <f t="shared" si="416"/>
        <v>100</v>
      </c>
      <c r="Y237">
        <f t="shared" si="416"/>
        <v>100</v>
      </c>
      <c r="Z237">
        <f t="shared" si="416"/>
        <v>100</v>
      </c>
      <c r="AA237">
        <f t="shared" si="416"/>
        <v>100</v>
      </c>
      <c r="AB237">
        <f t="shared" si="416"/>
        <v>100</v>
      </c>
      <c r="AC237">
        <f t="shared" si="416"/>
        <v>80</v>
      </c>
      <c r="AD237">
        <f t="shared" si="416"/>
        <v>60</v>
      </c>
      <c r="AE237">
        <f t="shared" si="416"/>
        <v>40</v>
      </c>
      <c r="AF237">
        <f t="shared" si="416"/>
        <v>20</v>
      </c>
      <c r="AG237">
        <f t="shared" si="416"/>
        <v>0</v>
      </c>
      <c r="AH237">
        <f t="shared" si="416"/>
        <v>0</v>
      </c>
      <c r="AI237">
        <f t="shared" si="416"/>
        <v>0</v>
      </c>
      <c r="AJ237">
        <f t="shared" ref="AJ237:BO237" si="417">AJ231-AJ234</f>
        <v>0</v>
      </c>
      <c r="AK237">
        <f t="shared" si="417"/>
        <v>0</v>
      </c>
      <c r="AL237">
        <f t="shared" si="417"/>
        <v>0</v>
      </c>
      <c r="AM237">
        <f t="shared" si="417"/>
        <v>0</v>
      </c>
      <c r="AN237">
        <f t="shared" si="417"/>
        <v>-6</v>
      </c>
      <c r="AO237">
        <f t="shared" si="417"/>
        <v>-12</v>
      </c>
      <c r="AP237">
        <f t="shared" si="417"/>
        <v>-18</v>
      </c>
      <c r="AQ237">
        <f t="shared" si="417"/>
        <v>-25</v>
      </c>
      <c r="AR237">
        <f t="shared" si="417"/>
        <v>-32</v>
      </c>
      <c r="AS237">
        <f t="shared" si="417"/>
        <v>-38</v>
      </c>
      <c r="AT237">
        <f t="shared" si="417"/>
        <v>-45</v>
      </c>
      <c r="AU237">
        <f t="shared" si="417"/>
        <v>-52</v>
      </c>
      <c r="AV237">
        <f t="shared" si="417"/>
        <v>-59</v>
      </c>
      <c r="AW237">
        <f t="shared" si="417"/>
        <v>-66</v>
      </c>
      <c r="AX237">
        <f t="shared" si="417"/>
        <v>-73</v>
      </c>
      <c r="AY237">
        <f t="shared" si="417"/>
        <v>-78</v>
      </c>
      <c r="AZ237">
        <f t="shared" si="417"/>
        <v>-83</v>
      </c>
      <c r="BA237">
        <f t="shared" si="417"/>
        <v>-88</v>
      </c>
      <c r="BB237">
        <f t="shared" si="417"/>
        <v>-93</v>
      </c>
      <c r="BC237">
        <f t="shared" si="417"/>
        <v>-98</v>
      </c>
      <c r="BD237">
        <f t="shared" si="417"/>
        <v>-103</v>
      </c>
      <c r="BE237">
        <f t="shared" si="417"/>
        <v>-108</v>
      </c>
      <c r="BF237">
        <f t="shared" si="417"/>
        <v>-113</v>
      </c>
      <c r="BG237">
        <f t="shared" si="417"/>
        <v>-118</v>
      </c>
      <c r="BH237">
        <f t="shared" si="417"/>
        <v>-123</v>
      </c>
      <c r="BI237">
        <f t="shared" si="417"/>
        <v>-128</v>
      </c>
      <c r="BJ237">
        <f t="shared" si="417"/>
        <v>-133</v>
      </c>
      <c r="BK237">
        <f t="shared" si="417"/>
        <v>-138</v>
      </c>
      <c r="BL237">
        <f t="shared" si="417"/>
        <v>-143</v>
      </c>
      <c r="BM237">
        <f t="shared" si="417"/>
        <v>-148</v>
      </c>
      <c r="BN237">
        <f t="shared" si="417"/>
        <v>-157</v>
      </c>
      <c r="BO237">
        <f t="shared" si="417"/>
        <v>-157</v>
      </c>
      <c r="BP237">
        <f t="shared" ref="BP237:CC237" si="418">BP231-BP234</f>
        <v>-157</v>
      </c>
      <c r="BQ237">
        <f t="shared" si="418"/>
        <v>-157</v>
      </c>
      <c r="BR237">
        <f t="shared" si="418"/>
        <v>-157</v>
      </c>
      <c r="BS237">
        <f t="shared" si="418"/>
        <v>-161</v>
      </c>
      <c r="BT237">
        <f t="shared" si="418"/>
        <v>-165</v>
      </c>
      <c r="BU237">
        <f t="shared" si="418"/>
        <v>-169</v>
      </c>
      <c r="BV237">
        <f t="shared" si="418"/>
        <v>-173</v>
      </c>
      <c r="BW237">
        <f t="shared" si="418"/>
        <v>-177</v>
      </c>
      <c r="BX237">
        <f t="shared" si="418"/>
        <v>-181</v>
      </c>
      <c r="BY237">
        <f t="shared" si="418"/>
        <v>-185</v>
      </c>
      <c r="BZ237">
        <f t="shared" si="418"/>
        <v>-189</v>
      </c>
      <c r="CA237">
        <f t="shared" si="418"/>
        <v>-193</v>
      </c>
      <c r="CB237">
        <f t="shared" si="418"/>
        <v>-197</v>
      </c>
      <c r="CC237">
        <f t="shared" si="418"/>
        <v>-201</v>
      </c>
    </row>
    <row r="238" spans="1:81" x14ac:dyDescent="0.2">
      <c r="A238" s="43" t="s">
        <v>248</v>
      </c>
      <c r="B238" s="44" t="s">
        <v>208</v>
      </c>
      <c r="C238" s="9" t="s">
        <v>38</v>
      </c>
      <c r="D238" s="58">
        <f>IFERROR(VLOOKUP(A238,OS!$A:$B,2,0),0)</f>
        <v>620</v>
      </c>
      <c r="E238" s="5">
        <f>(D238+D239-D241)</f>
        <v>620</v>
      </c>
      <c r="F238" s="5">
        <f>(E238+E239-E241)</f>
        <v>460</v>
      </c>
      <c r="G238" s="5">
        <f>(F238+F239-F241)</f>
        <v>460</v>
      </c>
      <c r="H238" s="5">
        <f>(G238+G239-G241)</f>
        <v>380</v>
      </c>
      <c r="I238" s="5">
        <f t="shared" ref="I238:AN238" si="419">(H238+H239-H241+D240)</f>
        <v>380</v>
      </c>
      <c r="J238" s="5">
        <f t="shared" si="419"/>
        <v>300</v>
      </c>
      <c r="K238" s="5">
        <f t="shared" si="419"/>
        <v>300</v>
      </c>
      <c r="L238" s="5">
        <f t="shared" si="419"/>
        <v>220</v>
      </c>
      <c r="M238" s="5">
        <f t="shared" si="419"/>
        <v>140</v>
      </c>
      <c r="N238" s="5">
        <f t="shared" si="419"/>
        <v>60</v>
      </c>
      <c r="O238" s="5">
        <f t="shared" si="419"/>
        <v>60</v>
      </c>
      <c r="P238" s="5">
        <f t="shared" si="419"/>
        <v>60</v>
      </c>
      <c r="Q238" s="5">
        <f t="shared" si="419"/>
        <v>60</v>
      </c>
      <c r="R238" s="5">
        <f t="shared" si="419"/>
        <v>60</v>
      </c>
      <c r="S238" s="5">
        <f t="shared" si="419"/>
        <v>60</v>
      </c>
      <c r="T238" s="5">
        <f t="shared" si="419"/>
        <v>-20</v>
      </c>
      <c r="U238" s="5">
        <f t="shared" si="419"/>
        <v>-20</v>
      </c>
      <c r="V238" s="5">
        <f t="shared" si="419"/>
        <v>-80</v>
      </c>
      <c r="W238" s="5">
        <f t="shared" si="419"/>
        <v>-140</v>
      </c>
      <c r="X238" s="5">
        <f t="shared" si="419"/>
        <v>-200</v>
      </c>
      <c r="Y238" s="5">
        <f t="shared" si="419"/>
        <v>-260</v>
      </c>
      <c r="Z238" s="5">
        <f t="shared" si="419"/>
        <v>-280</v>
      </c>
      <c r="AA238" s="5">
        <f t="shared" si="419"/>
        <v>-300</v>
      </c>
      <c r="AB238" s="5">
        <f t="shared" si="419"/>
        <v>-320</v>
      </c>
      <c r="AC238" s="5">
        <f t="shared" si="419"/>
        <v>-340</v>
      </c>
      <c r="AD238" s="5">
        <f t="shared" si="419"/>
        <v>-390</v>
      </c>
      <c r="AE238" s="5">
        <f t="shared" si="419"/>
        <v>-440</v>
      </c>
      <c r="AF238" s="5">
        <f t="shared" si="419"/>
        <v>-490</v>
      </c>
      <c r="AG238" s="5">
        <f t="shared" si="419"/>
        <v>-540</v>
      </c>
      <c r="AH238" s="5">
        <f t="shared" si="419"/>
        <v>-580</v>
      </c>
      <c r="AI238" s="5">
        <f t="shared" si="419"/>
        <v>-580</v>
      </c>
      <c r="AJ238" s="5">
        <f t="shared" si="419"/>
        <v>-580</v>
      </c>
      <c r="AK238" s="5">
        <f t="shared" si="419"/>
        <v>-580</v>
      </c>
      <c r="AL238" s="5">
        <f t="shared" si="419"/>
        <v>-580</v>
      </c>
      <c r="AM238" s="5">
        <f t="shared" si="419"/>
        <v>-580</v>
      </c>
      <c r="AN238" s="5">
        <f t="shared" si="419"/>
        <v>-580</v>
      </c>
      <c r="AO238" s="5">
        <f t="shared" ref="AO238:BT238" si="420">(AN238+AN239-AN241+AJ240)</f>
        <v>-612</v>
      </c>
      <c r="AP238" s="5">
        <f t="shared" si="420"/>
        <v>-644</v>
      </c>
      <c r="AQ238" s="5">
        <f t="shared" si="420"/>
        <v>-676</v>
      </c>
      <c r="AR238" s="5">
        <f t="shared" si="420"/>
        <v>-715</v>
      </c>
      <c r="AS238" s="5">
        <f t="shared" si="420"/>
        <v>-754</v>
      </c>
      <c r="AT238" s="5">
        <f t="shared" si="420"/>
        <v>-785</v>
      </c>
      <c r="AU238" s="5">
        <f t="shared" si="420"/>
        <v>-824</v>
      </c>
      <c r="AV238" s="5">
        <f t="shared" si="420"/>
        <v>-861</v>
      </c>
      <c r="AW238" s="5">
        <f t="shared" si="420"/>
        <v>-898</v>
      </c>
      <c r="AX238" s="5">
        <f t="shared" si="420"/>
        <v>-935</v>
      </c>
      <c r="AY238" s="5">
        <f t="shared" si="420"/>
        <v>-972</v>
      </c>
      <c r="AZ238" s="5">
        <f t="shared" si="420"/>
        <v>-1002</v>
      </c>
      <c r="BA238" s="5">
        <f t="shared" si="420"/>
        <v>-1028</v>
      </c>
      <c r="BB238" s="5">
        <f t="shared" si="420"/>
        <v>-1054</v>
      </c>
      <c r="BC238" s="5">
        <f t="shared" si="420"/>
        <v>-1080</v>
      </c>
      <c r="BD238" s="5">
        <f t="shared" si="420"/>
        <v>-1110</v>
      </c>
      <c r="BE238" s="5">
        <f t="shared" si="420"/>
        <v>-1140</v>
      </c>
      <c r="BF238" s="5">
        <f t="shared" si="420"/>
        <v>-1170</v>
      </c>
      <c r="BG238" s="5">
        <f t="shared" si="420"/>
        <v>-1200</v>
      </c>
      <c r="BH238" s="5">
        <f t="shared" si="420"/>
        <v>-1230</v>
      </c>
      <c r="BI238" s="5">
        <f t="shared" si="420"/>
        <v>-1260</v>
      </c>
      <c r="BJ238" s="5">
        <f t="shared" si="420"/>
        <v>-1290</v>
      </c>
      <c r="BK238" s="5">
        <f t="shared" si="420"/>
        <v>-1320</v>
      </c>
      <c r="BL238" s="5">
        <f t="shared" si="420"/>
        <v>-1350</v>
      </c>
      <c r="BM238" s="5">
        <f t="shared" si="420"/>
        <v>-1379</v>
      </c>
      <c r="BN238" s="5">
        <f t="shared" si="420"/>
        <v>-1408</v>
      </c>
      <c r="BO238" s="5">
        <f t="shared" si="420"/>
        <v>-1461</v>
      </c>
      <c r="BP238" s="5">
        <f t="shared" si="420"/>
        <v>-1461</v>
      </c>
      <c r="BQ238" s="5">
        <f t="shared" si="420"/>
        <v>-1461</v>
      </c>
      <c r="BR238" s="5">
        <f t="shared" si="420"/>
        <v>-1461</v>
      </c>
      <c r="BS238" s="5">
        <f t="shared" si="420"/>
        <v>-1461</v>
      </c>
      <c r="BT238" s="5">
        <f t="shared" si="420"/>
        <v>-1485</v>
      </c>
      <c r="BU238" s="5">
        <f t="shared" ref="BU238:CZ238" si="421">(BT238+BT239-BT241+BP240)</f>
        <v>-1509</v>
      </c>
      <c r="BV238" s="5">
        <f t="shared" si="421"/>
        <v>-1533</v>
      </c>
      <c r="BW238" s="5">
        <f t="shared" si="421"/>
        <v>-1557</v>
      </c>
      <c r="BX238" s="5">
        <f t="shared" si="421"/>
        <v>-1581</v>
      </c>
      <c r="BY238" s="5">
        <f t="shared" si="421"/>
        <v>-1605</v>
      </c>
      <c r="BZ238" s="5">
        <f t="shared" si="421"/>
        <v>-1629</v>
      </c>
      <c r="CA238" s="5">
        <f t="shared" si="421"/>
        <v>-1653</v>
      </c>
      <c r="CB238" s="5">
        <f t="shared" si="421"/>
        <v>-1677</v>
      </c>
      <c r="CC238" s="5">
        <f t="shared" si="421"/>
        <v>-1701</v>
      </c>
    </row>
    <row r="239" spans="1:81" x14ac:dyDescent="0.2">
      <c r="A239" s="5" t="s">
        <v>209</v>
      </c>
      <c r="B239" s="5">
        <v>7.8726900000000004</v>
      </c>
      <c r="C239" s="45" t="s">
        <v>39</v>
      </c>
      <c r="D239" s="59">
        <f>IFERROR(VLOOKUP(A238,WIP!$A:$B,2,0),0)</f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</row>
    <row r="240" spans="1:81" x14ac:dyDescent="0.2">
      <c r="A240" s="5" t="s">
        <v>210</v>
      </c>
      <c r="B240" s="5">
        <v>0.20399999999999999</v>
      </c>
      <c r="C240" s="9" t="s">
        <v>211</v>
      </c>
      <c r="D240" s="60">
        <f>IFERROR(VLOOKUP($A238,Plan!$A:B,D$4,0),0)</f>
        <v>0</v>
      </c>
      <c r="E240" s="70">
        <f>IFERROR(VLOOKUP($A238,Plan!$A:C,E$4,0),0)</f>
        <v>0</v>
      </c>
      <c r="F240" s="70">
        <f>IFERROR(VLOOKUP($A238,Plan!$A:D,F$4,0),0)</f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</row>
    <row r="241" spans="1:81" x14ac:dyDescent="0.2">
      <c r="A241" s="5" t="s">
        <v>212</v>
      </c>
      <c r="B241" s="5">
        <v>6.3E-2</v>
      </c>
      <c r="C241" s="9" t="s">
        <v>213</v>
      </c>
      <c r="D241" s="61">
        <f>IFERROR(VLOOKUP($A238,Sales!$A:B,D$2,0),0)</f>
        <v>0</v>
      </c>
      <c r="E241" s="61">
        <f>IFERROR(VLOOKUP($A238,Sales!$A:C,E$2,0),0)</f>
        <v>160</v>
      </c>
      <c r="F241" s="61">
        <f>IFERROR(VLOOKUP($A238,Sales!$A:D,F$2,0),0)</f>
        <v>0</v>
      </c>
      <c r="G241" s="61">
        <f>IFERROR(VLOOKUP($A238,Sales!$A:E,G$2,0),0)</f>
        <v>80</v>
      </c>
      <c r="H241" s="61">
        <f>IFERROR(VLOOKUP($A238,Sales!$A:F,H$2,0),0)</f>
        <v>0</v>
      </c>
      <c r="I241" s="61">
        <f>IFERROR(VLOOKUP($A238,Sales!$A:G,I$2,0),0)</f>
        <v>80</v>
      </c>
      <c r="J241" s="61">
        <f>IFERROR(VLOOKUP($A238,Sales!$A:H,J$2,0),0)</f>
        <v>0</v>
      </c>
      <c r="K241" s="61">
        <f>IFERROR(VLOOKUP($A238,Sales!$A:I,K$2,0),0)</f>
        <v>80</v>
      </c>
      <c r="L241" s="61">
        <f>IFERROR(VLOOKUP($A238,Sales!$A:J,L$2,0),0)</f>
        <v>80</v>
      </c>
      <c r="M241" s="61">
        <f>IFERROR(VLOOKUP($A238,Sales!$A:K,M$2,0),0)</f>
        <v>80</v>
      </c>
      <c r="N241" s="61">
        <f>IFERROR(VLOOKUP($A238,Sales!$A:L,N$2,0),0)</f>
        <v>0</v>
      </c>
      <c r="O241" s="61">
        <f>IFERROR(VLOOKUP($A238,Sales!$A:M,O$2,0),0)</f>
        <v>0</v>
      </c>
      <c r="P241" s="61">
        <f>IFERROR(VLOOKUP($A238,Sales!$A:N,P$2,0),0)</f>
        <v>0</v>
      </c>
      <c r="Q241" s="61">
        <f>IFERROR(VLOOKUP($A238,Sales!$A:O,Q$2,0),0)</f>
        <v>0</v>
      </c>
      <c r="R241" s="61">
        <f>IFERROR(VLOOKUP($A238,Sales!$A:P,R$2,0),0)</f>
        <v>0</v>
      </c>
      <c r="S241" s="61">
        <f>IFERROR(VLOOKUP($A238,Sales!$A:Q,S$2,0),0)</f>
        <v>80</v>
      </c>
      <c r="T241" s="61">
        <f>IFERROR(VLOOKUP($A238,Sales!$A:R,T$2,0),0)</f>
        <v>0</v>
      </c>
      <c r="U241" s="61">
        <f>IFERROR(VLOOKUP($A238,Sales!$A:S,U$2,0),0)</f>
        <v>60</v>
      </c>
      <c r="V241" s="61">
        <f>IFERROR(VLOOKUP($A238,Sales!$A:T,V$2,0),0)</f>
        <v>60</v>
      </c>
      <c r="W241" s="61">
        <f>IFERROR(VLOOKUP($A238,Sales!$A:U,W$2,0),0)</f>
        <v>60</v>
      </c>
      <c r="X241" s="61">
        <f>IFERROR(VLOOKUP($A238,Sales!$A:V,X$2,0),0)</f>
        <v>60</v>
      </c>
      <c r="Y241" s="61">
        <f>IFERROR(VLOOKUP($A238,Sales!$A:W,Y$2,0),0)</f>
        <v>20</v>
      </c>
      <c r="Z241" s="61">
        <f>IFERROR(VLOOKUP($A238,Sales!$A:X,Z$2,0),0)</f>
        <v>20</v>
      </c>
      <c r="AA241" s="61">
        <f>IFERROR(VLOOKUP($A238,Sales!$A:Y,AA$2,0),0)</f>
        <v>20</v>
      </c>
      <c r="AB241" s="61">
        <f>IFERROR(VLOOKUP($A238,Sales!$A:Z,AB$2,0),0)</f>
        <v>20</v>
      </c>
      <c r="AC241" s="61">
        <f>IFERROR(VLOOKUP($A238,Sales!$A:AA,AC$2,0),0)</f>
        <v>50</v>
      </c>
      <c r="AD241" s="61">
        <f>IFERROR(VLOOKUP($A238,Sales!$A:AB,AD$2,0),0)</f>
        <v>50</v>
      </c>
      <c r="AE241" s="61">
        <f>IFERROR(VLOOKUP($A238,Sales!$A:AC,AE$2,0),0)</f>
        <v>50</v>
      </c>
      <c r="AF241" s="61">
        <f>IFERROR(VLOOKUP($A238,Sales!$A:AD,AF$2,0),0)</f>
        <v>50</v>
      </c>
      <c r="AG241" s="61">
        <f>IFERROR(VLOOKUP($A238,Sales!$A:AE,AG$2,0),0)</f>
        <v>40</v>
      </c>
      <c r="AH241" s="61">
        <f>IFERROR(VLOOKUP($A238,Sales!$A:AF,AH$2,0),0)</f>
        <v>0</v>
      </c>
      <c r="AI241" s="61">
        <f>IFERROR(VLOOKUP($A238,Sales!$A:AG,AI$2,0),0)</f>
        <v>0</v>
      </c>
      <c r="AJ241" s="61">
        <f>IFERROR(VLOOKUP($A238,Sales!$A:AH,AJ$2,0),0)</f>
        <v>0</v>
      </c>
      <c r="AK241" s="73">
        <f t="shared" ref="AK241:CC241" si="422">CEILING(AK$5*$B237,1)</f>
        <v>0</v>
      </c>
      <c r="AL241" s="73">
        <f t="shared" si="422"/>
        <v>0</v>
      </c>
      <c r="AM241" s="73">
        <f t="shared" si="422"/>
        <v>0</v>
      </c>
      <c r="AN241" s="73">
        <f t="shared" si="422"/>
        <v>32</v>
      </c>
      <c r="AO241" s="73">
        <f t="shared" si="422"/>
        <v>32</v>
      </c>
      <c r="AP241" s="73">
        <f t="shared" si="422"/>
        <v>32</v>
      </c>
      <c r="AQ241" s="73">
        <f t="shared" si="422"/>
        <v>39</v>
      </c>
      <c r="AR241" s="73">
        <f t="shared" si="422"/>
        <v>39</v>
      </c>
      <c r="AS241" s="73">
        <f t="shared" si="422"/>
        <v>31</v>
      </c>
      <c r="AT241" s="73">
        <f t="shared" si="422"/>
        <v>39</v>
      </c>
      <c r="AU241" s="73">
        <f t="shared" si="422"/>
        <v>37</v>
      </c>
      <c r="AV241" s="73">
        <f t="shared" si="422"/>
        <v>37</v>
      </c>
      <c r="AW241" s="73">
        <f t="shared" si="422"/>
        <v>37</v>
      </c>
      <c r="AX241" s="73">
        <f t="shared" si="422"/>
        <v>37</v>
      </c>
      <c r="AY241" s="73">
        <f t="shared" si="422"/>
        <v>30</v>
      </c>
      <c r="AZ241" s="73">
        <f t="shared" si="422"/>
        <v>26</v>
      </c>
      <c r="BA241" s="73">
        <f t="shared" si="422"/>
        <v>26</v>
      </c>
      <c r="BB241" s="73">
        <f t="shared" si="422"/>
        <v>26</v>
      </c>
      <c r="BC241" s="73">
        <f t="shared" si="422"/>
        <v>30</v>
      </c>
      <c r="BD241" s="73">
        <f t="shared" si="422"/>
        <v>30</v>
      </c>
      <c r="BE241" s="73">
        <f t="shared" si="422"/>
        <v>30</v>
      </c>
      <c r="BF241" s="73">
        <f t="shared" si="422"/>
        <v>30</v>
      </c>
      <c r="BG241" s="73">
        <f t="shared" si="422"/>
        <v>30</v>
      </c>
      <c r="BH241" s="73">
        <f t="shared" si="422"/>
        <v>30</v>
      </c>
      <c r="BI241" s="73">
        <f t="shared" si="422"/>
        <v>30</v>
      </c>
      <c r="BJ241" s="73">
        <f t="shared" si="422"/>
        <v>30</v>
      </c>
      <c r="BK241" s="73">
        <f t="shared" si="422"/>
        <v>30</v>
      </c>
      <c r="BL241" s="73">
        <f t="shared" si="422"/>
        <v>29</v>
      </c>
      <c r="BM241" s="73">
        <f t="shared" si="422"/>
        <v>29</v>
      </c>
      <c r="BN241" s="73">
        <f t="shared" si="422"/>
        <v>53</v>
      </c>
      <c r="BO241" s="73">
        <f t="shared" si="422"/>
        <v>0</v>
      </c>
      <c r="BP241" s="73">
        <f t="shared" si="422"/>
        <v>0</v>
      </c>
      <c r="BQ241" s="73">
        <f t="shared" si="422"/>
        <v>0</v>
      </c>
      <c r="BR241" s="73">
        <f t="shared" si="422"/>
        <v>0</v>
      </c>
      <c r="BS241" s="73">
        <f t="shared" si="422"/>
        <v>24</v>
      </c>
      <c r="BT241" s="73">
        <f t="shared" si="422"/>
        <v>24</v>
      </c>
      <c r="BU241" s="73">
        <f t="shared" si="422"/>
        <v>24</v>
      </c>
      <c r="BV241" s="73">
        <f t="shared" si="422"/>
        <v>24</v>
      </c>
      <c r="BW241" s="73">
        <f t="shared" si="422"/>
        <v>24</v>
      </c>
      <c r="BX241" s="73">
        <f t="shared" si="422"/>
        <v>24</v>
      </c>
      <c r="BY241" s="73">
        <f t="shared" si="422"/>
        <v>24</v>
      </c>
      <c r="BZ241" s="73">
        <f t="shared" si="422"/>
        <v>24</v>
      </c>
      <c r="CA241" s="73">
        <f t="shared" si="422"/>
        <v>24</v>
      </c>
      <c r="CB241" s="73">
        <f t="shared" si="422"/>
        <v>24</v>
      </c>
      <c r="CC241" s="73">
        <f t="shared" si="422"/>
        <v>24</v>
      </c>
    </row>
    <row r="242" spans="1:81" x14ac:dyDescent="0.2">
      <c r="A242" s="5" t="s">
        <v>214</v>
      </c>
      <c r="B242" s="5">
        <v>0.26700000000000002</v>
      </c>
      <c r="C242" s="46" t="s">
        <v>215</v>
      </c>
      <c r="D242" s="11">
        <f t="shared" ref="D242:AI242" si="423">IF(D241=0,0, ROUND(D238 * 1/D241* D$13,1))</f>
        <v>0</v>
      </c>
      <c r="E242" s="11">
        <f t="shared" si="423"/>
        <v>19.399999999999999</v>
      </c>
      <c r="F242" s="11">
        <f t="shared" si="423"/>
        <v>0</v>
      </c>
      <c r="G242" s="11">
        <f t="shared" si="423"/>
        <v>28.8</v>
      </c>
      <c r="H242" s="11">
        <f t="shared" si="423"/>
        <v>0</v>
      </c>
      <c r="I242" s="11">
        <f t="shared" si="423"/>
        <v>23.8</v>
      </c>
      <c r="J242" s="11">
        <f t="shared" si="423"/>
        <v>0</v>
      </c>
      <c r="K242" s="11">
        <f t="shared" si="423"/>
        <v>18.8</v>
      </c>
      <c r="L242" s="11">
        <f t="shared" si="423"/>
        <v>13.8</v>
      </c>
      <c r="M242" s="11">
        <f t="shared" si="423"/>
        <v>8.8000000000000007</v>
      </c>
      <c r="N242" s="11">
        <f t="shared" si="423"/>
        <v>0</v>
      </c>
      <c r="O242" s="11">
        <f t="shared" si="423"/>
        <v>0</v>
      </c>
      <c r="P242" s="11">
        <f t="shared" si="423"/>
        <v>0</v>
      </c>
      <c r="Q242" s="11">
        <f t="shared" si="423"/>
        <v>0</v>
      </c>
      <c r="R242" s="11">
        <f t="shared" si="423"/>
        <v>0</v>
      </c>
      <c r="S242" s="11">
        <f t="shared" si="423"/>
        <v>3.8</v>
      </c>
      <c r="T242" s="11">
        <f t="shared" si="423"/>
        <v>0</v>
      </c>
      <c r="U242" s="11">
        <f t="shared" si="423"/>
        <v>-1.7</v>
      </c>
      <c r="V242" s="11">
        <f t="shared" si="423"/>
        <v>-6.7</v>
      </c>
      <c r="W242" s="11">
        <f t="shared" si="423"/>
        <v>-11.7</v>
      </c>
      <c r="X242" s="11">
        <f t="shared" si="423"/>
        <v>-16.7</v>
      </c>
      <c r="Y242" s="11">
        <f t="shared" si="423"/>
        <v>-65</v>
      </c>
      <c r="Z242" s="11">
        <f t="shared" si="423"/>
        <v>-70</v>
      </c>
      <c r="AA242" s="11">
        <f t="shared" si="423"/>
        <v>-75</v>
      </c>
      <c r="AB242" s="11">
        <f t="shared" si="423"/>
        <v>-80</v>
      </c>
      <c r="AC242" s="11">
        <f t="shared" si="423"/>
        <v>-34</v>
      </c>
      <c r="AD242" s="11">
        <f t="shared" si="423"/>
        <v>-39</v>
      </c>
      <c r="AE242" s="11">
        <f t="shared" si="423"/>
        <v>-44</v>
      </c>
      <c r="AF242" s="11">
        <f t="shared" si="423"/>
        <v>-49</v>
      </c>
      <c r="AG242" s="11">
        <f t="shared" si="423"/>
        <v>-67.5</v>
      </c>
      <c r="AH242" s="11">
        <f t="shared" si="423"/>
        <v>0</v>
      </c>
      <c r="AI242" s="11">
        <f t="shared" si="423"/>
        <v>0</v>
      </c>
      <c r="AJ242" s="11">
        <f t="shared" ref="AJ242:BO242" si="424">IF(AJ241=0,0, ROUND(AJ238 * 1/AJ241* AJ$13,1))</f>
        <v>0</v>
      </c>
      <c r="AK242" s="11">
        <f t="shared" si="424"/>
        <v>0</v>
      </c>
      <c r="AL242" s="11">
        <f t="shared" si="424"/>
        <v>0</v>
      </c>
      <c r="AM242" s="11">
        <f t="shared" si="424"/>
        <v>0</v>
      </c>
      <c r="AN242" s="11">
        <f t="shared" si="424"/>
        <v>-90.6</v>
      </c>
      <c r="AO242" s="11">
        <f t="shared" si="424"/>
        <v>-95.6</v>
      </c>
      <c r="AP242" s="11">
        <f t="shared" si="424"/>
        <v>-100.6</v>
      </c>
      <c r="AQ242" s="11">
        <f t="shared" si="424"/>
        <v>-86.7</v>
      </c>
      <c r="AR242" s="11">
        <f t="shared" si="424"/>
        <v>-91.7</v>
      </c>
      <c r="AS242" s="11">
        <f t="shared" si="424"/>
        <v>-121.6</v>
      </c>
      <c r="AT242" s="11">
        <f t="shared" si="424"/>
        <v>-100.6</v>
      </c>
      <c r="AU242" s="11">
        <f t="shared" si="424"/>
        <v>-111.4</v>
      </c>
      <c r="AV242" s="11">
        <f t="shared" si="424"/>
        <v>-116.4</v>
      </c>
      <c r="AW242" s="11">
        <f t="shared" si="424"/>
        <v>-121.4</v>
      </c>
      <c r="AX242" s="11">
        <f t="shared" si="424"/>
        <v>-126.4</v>
      </c>
      <c r="AY242" s="11">
        <f t="shared" si="424"/>
        <v>-162</v>
      </c>
      <c r="AZ242" s="11">
        <f t="shared" si="424"/>
        <v>-192.7</v>
      </c>
      <c r="BA242" s="11">
        <f t="shared" si="424"/>
        <v>-197.7</v>
      </c>
      <c r="BB242" s="11">
        <f t="shared" si="424"/>
        <v>-202.7</v>
      </c>
      <c r="BC242" s="11">
        <f t="shared" si="424"/>
        <v>-180</v>
      </c>
      <c r="BD242" s="11">
        <f t="shared" si="424"/>
        <v>-185</v>
      </c>
      <c r="BE242" s="11">
        <f t="shared" si="424"/>
        <v>-190</v>
      </c>
      <c r="BF242" s="11">
        <f t="shared" si="424"/>
        <v>-195</v>
      </c>
      <c r="BG242" s="11">
        <f t="shared" si="424"/>
        <v>-200</v>
      </c>
      <c r="BH242" s="11">
        <f t="shared" si="424"/>
        <v>-205</v>
      </c>
      <c r="BI242" s="11">
        <f t="shared" si="424"/>
        <v>-210</v>
      </c>
      <c r="BJ242" s="11">
        <f t="shared" si="424"/>
        <v>-215</v>
      </c>
      <c r="BK242" s="11">
        <f t="shared" si="424"/>
        <v>-220</v>
      </c>
      <c r="BL242" s="11">
        <f t="shared" si="424"/>
        <v>-232.8</v>
      </c>
      <c r="BM242" s="11">
        <f t="shared" si="424"/>
        <v>-237.8</v>
      </c>
      <c r="BN242" s="11">
        <f t="shared" si="424"/>
        <v>-132.80000000000001</v>
      </c>
      <c r="BO242" s="11">
        <f t="shared" si="424"/>
        <v>0</v>
      </c>
      <c r="BP242" s="11">
        <f t="shared" ref="BP242:CU242" si="425">IF(BP241=0,0, ROUND(BP238 * 1/BP241* BP$13,1))</f>
        <v>0</v>
      </c>
      <c r="BQ242" s="11">
        <f t="shared" si="425"/>
        <v>0</v>
      </c>
      <c r="BR242" s="11">
        <f t="shared" si="425"/>
        <v>0</v>
      </c>
      <c r="BS242" s="11">
        <f t="shared" si="425"/>
        <v>-304.39999999999998</v>
      </c>
      <c r="BT242" s="11">
        <f t="shared" si="425"/>
        <v>-309.39999999999998</v>
      </c>
      <c r="BU242" s="11">
        <f t="shared" si="425"/>
        <v>-314.39999999999998</v>
      </c>
      <c r="BV242" s="11">
        <f t="shared" si="425"/>
        <v>-319.39999999999998</v>
      </c>
      <c r="BW242" s="11">
        <f t="shared" si="425"/>
        <v>-324.39999999999998</v>
      </c>
      <c r="BX242" s="11">
        <f t="shared" si="425"/>
        <v>-329.4</v>
      </c>
      <c r="BY242" s="11">
        <f t="shared" si="425"/>
        <v>-334.4</v>
      </c>
      <c r="BZ242" s="11">
        <f t="shared" si="425"/>
        <v>-339.4</v>
      </c>
      <c r="CA242" s="11">
        <f t="shared" si="425"/>
        <v>-344.4</v>
      </c>
      <c r="CB242" s="11">
        <f t="shared" si="425"/>
        <v>-349.4</v>
      </c>
      <c r="CC242" s="11">
        <f t="shared" si="425"/>
        <v>-354.4</v>
      </c>
    </row>
    <row r="243" spans="1:81" x14ac:dyDescent="0.2">
      <c r="A243" s="10">
        <v>16</v>
      </c>
      <c r="B243" s="10">
        <v>1</v>
      </c>
      <c r="C243" s="68">
        <v>6.0232700000000001</v>
      </c>
      <c r="D243" s="10">
        <f t="shared" ref="D243:AI243" si="426">D240/$B243</f>
        <v>0</v>
      </c>
      <c r="E243" s="10">
        <f t="shared" si="426"/>
        <v>0</v>
      </c>
      <c r="F243" s="10">
        <f t="shared" si="426"/>
        <v>0</v>
      </c>
      <c r="G243" s="10">
        <f t="shared" si="426"/>
        <v>0</v>
      </c>
      <c r="H243" s="10">
        <f t="shared" si="426"/>
        <v>0</v>
      </c>
      <c r="I243" s="10">
        <f t="shared" si="426"/>
        <v>0</v>
      </c>
      <c r="J243" s="10">
        <f t="shared" si="426"/>
        <v>0</v>
      </c>
      <c r="K243" s="10">
        <f t="shared" si="426"/>
        <v>0</v>
      </c>
      <c r="L243" s="10">
        <f t="shared" si="426"/>
        <v>0</v>
      </c>
      <c r="M243" s="10">
        <f t="shared" si="426"/>
        <v>0</v>
      </c>
      <c r="N243" s="10">
        <f t="shared" si="426"/>
        <v>0</v>
      </c>
      <c r="O243" s="10">
        <f t="shared" si="426"/>
        <v>0</v>
      </c>
      <c r="P243" s="10">
        <f t="shared" si="426"/>
        <v>0</v>
      </c>
      <c r="Q243" s="10">
        <f t="shared" si="426"/>
        <v>0</v>
      </c>
      <c r="R243" s="10">
        <f t="shared" si="426"/>
        <v>0</v>
      </c>
      <c r="S243" s="10">
        <f t="shared" si="426"/>
        <v>0</v>
      </c>
      <c r="T243" s="10">
        <f t="shared" si="426"/>
        <v>0</v>
      </c>
      <c r="U243" s="10">
        <f t="shared" si="426"/>
        <v>0</v>
      </c>
      <c r="V243" s="10">
        <f t="shared" si="426"/>
        <v>0</v>
      </c>
      <c r="W243" s="10">
        <f t="shared" si="426"/>
        <v>0</v>
      </c>
      <c r="X243" s="10">
        <f t="shared" si="426"/>
        <v>0</v>
      </c>
      <c r="Y243" s="10">
        <f t="shared" si="426"/>
        <v>0</v>
      </c>
      <c r="Z243" s="10">
        <f t="shared" si="426"/>
        <v>0</v>
      </c>
      <c r="AA243" s="10">
        <f t="shared" si="426"/>
        <v>0</v>
      </c>
      <c r="AB243" s="10">
        <f t="shared" si="426"/>
        <v>0</v>
      </c>
      <c r="AC243" s="10">
        <f t="shared" si="426"/>
        <v>0</v>
      </c>
      <c r="AD243" s="10">
        <f t="shared" si="426"/>
        <v>0</v>
      </c>
      <c r="AE243" s="10">
        <f t="shared" si="426"/>
        <v>0</v>
      </c>
      <c r="AF243" s="10">
        <f t="shared" si="426"/>
        <v>0</v>
      </c>
      <c r="AG243" s="10">
        <f t="shared" si="426"/>
        <v>0</v>
      </c>
      <c r="AH243" s="10">
        <f t="shared" si="426"/>
        <v>0</v>
      </c>
      <c r="AI243" s="10">
        <f t="shared" si="426"/>
        <v>0</v>
      </c>
      <c r="AJ243" s="10">
        <f t="shared" ref="AJ243:BO243" si="427">AJ240/$B243</f>
        <v>0</v>
      </c>
      <c r="AK243" s="10">
        <f t="shared" si="427"/>
        <v>0</v>
      </c>
      <c r="AL243" s="10">
        <f t="shared" si="427"/>
        <v>0</v>
      </c>
      <c r="AM243" s="10">
        <f t="shared" si="427"/>
        <v>0</v>
      </c>
      <c r="AN243" s="10">
        <f t="shared" si="427"/>
        <v>0</v>
      </c>
      <c r="AO243" s="10">
        <f t="shared" si="427"/>
        <v>0</v>
      </c>
      <c r="AP243" s="10">
        <f t="shared" si="427"/>
        <v>0</v>
      </c>
      <c r="AQ243" s="10">
        <f t="shared" si="427"/>
        <v>0</v>
      </c>
      <c r="AR243" s="10">
        <f t="shared" si="427"/>
        <v>0</v>
      </c>
      <c r="AS243" s="10">
        <f t="shared" si="427"/>
        <v>0</v>
      </c>
      <c r="AT243" s="10">
        <f t="shared" si="427"/>
        <v>0</v>
      </c>
      <c r="AU243" s="10">
        <f t="shared" si="427"/>
        <v>0</v>
      </c>
      <c r="AV243" s="10">
        <f t="shared" si="427"/>
        <v>0</v>
      </c>
      <c r="AW243" s="10">
        <f t="shared" si="427"/>
        <v>0</v>
      </c>
      <c r="AX243" s="10">
        <f t="shared" si="427"/>
        <v>0</v>
      </c>
      <c r="AY243" s="10">
        <f t="shared" si="427"/>
        <v>0</v>
      </c>
      <c r="AZ243" s="10">
        <f t="shared" si="427"/>
        <v>0</v>
      </c>
      <c r="BA243" s="10">
        <f t="shared" si="427"/>
        <v>0</v>
      </c>
      <c r="BB243" s="10">
        <f t="shared" si="427"/>
        <v>0</v>
      </c>
      <c r="BC243" s="10">
        <f t="shared" si="427"/>
        <v>0</v>
      </c>
      <c r="BD243" s="10">
        <f t="shared" si="427"/>
        <v>0</v>
      </c>
      <c r="BE243" s="10">
        <f t="shared" si="427"/>
        <v>0</v>
      </c>
      <c r="BF243" s="10">
        <f t="shared" si="427"/>
        <v>0</v>
      </c>
      <c r="BG243" s="10">
        <f t="shared" si="427"/>
        <v>0</v>
      </c>
      <c r="BH243" s="10">
        <f t="shared" si="427"/>
        <v>0</v>
      </c>
      <c r="BI243" s="10">
        <f t="shared" si="427"/>
        <v>0</v>
      </c>
      <c r="BJ243" s="10">
        <f t="shared" si="427"/>
        <v>0</v>
      </c>
      <c r="BK243" s="10">
        <f t="shared" si="427"/>
        <v>0</v>
      </c>
      <c r="BL243" s="10">
        <f t="shared" si="427"/>
        <v>0</v>
      </c>
      <c r="BM243" s="10">
        <f t="shared" si="427"/>
        <v>0</v>
      </c>
      <c r="BN243" s="10">
        <f t="shared" si="427"/>
        <v>0</v>
      </c>
      <c r="BO243" s="10">
        <f t="shared" si="427"/>
        <v>0</v>
      </c>
      <c r="BP243" s="10">
        <f t="shared" ref="BP243:CC243" si="428">BP240/$B243</f>
        <v>0</v>
      </c>
      <c r="BQ243" s="10">
        <f t="shared" si="428"/>
        <v>0</v>
      </c>
      <c r="BR243" s="10">
        <f t="shared" si="428"/>
        <v>0</v>
      </c>
      <c r="BS243" s="10">
        <f t="shared" si="428"/>
        <v>0</v>
      </c>
      <c r="BT243" s="10">
        <f t="shared" si="428"/>
        <v>0</v>
      </c>
      <c r="BU243" s="10">
        <f t="shared" si="428"/>
        <v>0</v>
      </c>
      <c r="BV243" s="10">
        <f t="shared" si="428"/>
        <v>0</v>
      </c>
      <c r="BW243" s="10">
        <f t="shared" si="428"/>
        <v>0</v>
      </c>
      <c r="BX243" s="10">
        <f t="shared" si="428"/>
        <v>0</v>
      </c>
      <c r="BY243" s="10">
        <f t="shared" si="428"/>
        <v>0</v>
      </c>
      <c r="BZ243" s="10">
        <f t="shared" si="428"/>
        <v>0</v>
      </c>
      <c r="CA243" s="10">
        <f t="shared" si="428"/>
        <v>0</v>
      </c>
      <c r="CB243" s="10">
        <f t="shared" si="428"/>
        <v>0</v>
      </c>
      <c r="CC243" s="10">
        <f t="shared" si="428"/>
        <v>0</v>
      </c>
    </row>
    <row r="244" spans="1:81" x14ac:dyDescent="0.2">
      <c r="A244" s="10"/>
      <c r="B244" s="67">
        <f>SUM(D248:AJ248)/SUM($D$263:$AJ$263)</f>
        <v>0</v>
      </c>
      <c r="C244" s="9" t="s">
        <v>216</v>
      </c>
      <c r="D244">
        <f t="shared" ref="D244:AI244" si="429">D238-D241</f>
        <v>620</v>
      </c>
      <c r="E244">
        <f t="shared" si="429"/>
        <v>460</v>
      </c>
      <c r="F244">
        <f t="shared" si="429"/>
        <v>460</v>
      </c>
      <c r="G244">
        <f t="shared" si="429"/>
        <v>380</v>
      </c>
      <c r="H244">
        <f t="shared" si="429"/>
        <v>380</v>
      </c>
      <c r="I244">
        <f t="shared" si="429"/>
        <v>300</v>
      </c>
      <c r="J244">
        <f t="shared" si="429"/>
        <v>300</v>
      </c>
      <c r="K244">
        <f t="shared" si="429"/>
        <v>220</v>
      </c>
      <c r="L244">
        <f t="shared" si="429"/>
        <v>140</v>
      </c>
      <c r="M244">
        <f t="shared" si="429"/>
        <v>60</v>
      </c>
      <c r="N244">
        <f t="shared" si="429"/>
        <v>60</v>
      </c>
      <c r="O244">
        <f t="shared" si="429"/>
        <v>60</v>
      </c>
      <c r="P244">
        <f t="shared" si="429"/>
        <v>60</v>
      </c>
      <c r="Q244">
        <f t="shared" si="429"/>
        <v>60</v>
      </c>
      <c r="R244">
        <f t="shared" si="429"/>
        <v>60</v>
      </c>
      <c r="S244">
        <f t="shared" si="429"/>
        <v>-20</v>
      </c>
      <c r="T244">
        <f t="shared" si="429"/>
        <v>-20</v>
      </c>
      <c r="U244">
        <f t="shared" si="429"/>
        <v>-80</v>
      </c>
      <c r="V244">
        <f t="shared" si="429"/>
        <v>-140</v>
      </c>
      <c r="W244">
        <f t="shared" si="429"/>
        <v>-200</v>
      </c>
      <c r="X244">
        <f t="shared" si="429"/>
        <v>-260</v>
      </c>
      <c r="Y244">
        <f t="shared" si="429"/>
        <v>-280</v>
      </c>
      <c r="Z244">
        <f t="shared" si="429"/>
        <v>-300</v>
      </c>
      <c r="AA244">
        <f t="shared" si="429"/>
        <v>-320</v>
      </c>
      <c r="AB244">
        <f t="shared" si="429"/>
        <v>-340</v>
      </c>
      <c r="AC244">
        <f t="shared" si="429"/>
        <v>-390</v>
      </c>
      <c r="AD244">
        <f t="shared" si="429"/>
        <v>-440</v>
      </c>
      <c r="AE244">
        <f t="shared" si="429"/>
        <v>-490</v>
      </c>
      <c r="AF244">
        <f t="shared" si="429"/>
        <v>-540</v>
      </c>
      <c r="AG244">
        <f t="shared" si="429"/>
        <v>-580</v>
      </c>
      <c r="AH244">
        <f t="shared" si="429"/>
        <v>-580</v>
      </c>
      <c r="AI244">
        <f t="shared" si="429"/>
        <v>-580</v>
      </c>
      <c r="AJ244">
        <f t="shared" ref="AJ244:BO244" si="430">AJ238-AJ241</f>
        <v>-580</v>
      </c>
      <c r="AK244">
        <f t="shared" si="430"/>
        <v>-580</v>
      </c>
      <c r="AL244">
        <f t="shared" si="430"/>
        <v>-580</v>
      </c>
      <c r="AM244">
        <f t="shared" si="430"/>
        <v>-580</v>
      </c>
      <c r="AN244">
        <f t="shared" si="430"/>
        <v>-612</v>
      </c>
      <c r="AO244">
        <f t="shared" si="430"/>
        <v>-644</v>
      </c>
      <c r="AP244">
        <f t="shared" si="430"/>
        <v>-676</v>
      </c>
      <c r="AQ244">
        <f t="shared" si="430"/>
        <v>-715</v>
      </c>
      <c r="AR244">
        <f t="shared" si="430"/>
        <v>-754</v>
      </c>
      <c r="AS244">
        <f t="shared" si="430"/>
        <v>-785</v>
      </c>
      <c r="AT244">
        <f t="shared" si="430"/>
        <v>-824</v>
      </c>
      <c r="AU244">
        <f t="shared" si="430"/>
        <v>-861</v>
      </c>
      <c r="AV244">
        <f t="shared" si="430"/>
        <v>-898</v>
      </c>
      <c r="AW244">
        <f t="shared" si="430"/>
        <v>-935</v>
      </c>
      <c r="AX244">
        <f t="shared" si="430"/>
        <v>-972</v>
      </c>
      <c r="AY244">
        <f t="shared" si="430"/>
        <v>-1002</v>
      </c>
      <c r="AZ244">
        <f t="shared" si="430"/>
        <v>-1028</v>
      </c>
      <c r="BA244">
        <f t="shared" si="430"/>
        <v>-1054</v>
      </c>
      <c r="BB244">
        <f t="shared" si="430"/>
        <v>-1080</v>
      </c>
      <c r="BC244">
        <f t="shared" si="430"/>
        <v>-1110</v>
      </c>
      <c r="BD244">
        <f t="shared" si="430"/>
        <v>-1140</v>
      </c>
      <c r="BE244">
        <f t="shared" si="430"/>
        <v>-1170</v>
      </c>
      <c r="BF244">
        <f t="shared" si="430"/>
        <v>-1200</v>
      </c>
      <c r="BG244">
        <f t="shared" si="430"/>
        <v>-1230</v>
      </c>
      <c r="BH244">
        <f t="shared" si="430"/>
        <v>-1260</v>
      </c>
      <c r="BI244">
        <f t="shared" si="430"/>
        <v>-1290</v>
      </c>
      <c r="BJ244">
        <f t="shared" si="430"/>
        <v>-1320</v>
      </c>
      <c r="BK244">
        <f t="shared" si="430"/>
        <v>-1350</v>
      </c>
      <c r="BL244">
        <f t="shared" si="430"/>
        <v>-1379</v>
      </c>
      <c r="BM244">
        <f t="shared" si="430"/>
        <v>-1408</v>
      </c>
      <c r="BN244">
        <f t="shared" si="430"/>
        <v>-1461</v>
      </c>
      <c r="BO244">
        <f t="shared" si="430"/>
        <v>-1461</v>
      </c>
      <c r="BP244">
        <f t="shared" ref="BP244:CC244" si="431">BP238-BP241</f>
        <v>-1461</v>
      </c>
      <c r="BQ244">
        <f t="shared" si="431"/>
        <v>-1461</v>
      </c>
      <c r="BR244">
        <f t="shared" si="431"/>
        <v>-1461</v>
      </c>
      <c r="BS244">
        <f t="shared" si="431"/>
        <v>-1485</v>
      </c>
      <c r="BT244">
        <f t="shared" si="431"/>
        <v>-1509</v>
      </c>
      <c r="BU244">
        <f t="shared" si="431"/>
        <v>-1533</v>
      </c>
      <c r="BV244">
        <f t="shared" si="431"/>
        <v>-1557</v>
      </c>
      <c r="BW244">
        <f t="shared" si="431"/>
        <v>-1581</v>
      </c>
      <c r="BX244">
        <f t="shared" si="431"/>
        <v>-1605</v>
      </c>
      <c r="BY244">
        <f t="shared" si="431"/>
        <v>-1629</v>
      </c>
      <c r="BZ244">
        <f t="shared" si="431"/>
        <v>-1653</v>
      </c>
      <c r="CA244">
        <f t="shared" si="431"/>
        <v>-1677</v>
      </c>
      <c r="CB244">
        <f t="shared" si="431"/>
        <v>-1701</v>
      </c>
      <c r="CC244">
        <f t="shared" si="431"/>
        <v>-1725</v>
      </c>
    </row>
    <row r="245" spans="1:81" x14ac:dyDescent="0.2">
      <c r="A245" s="43" t="s">
        <v>249</v>
      </c>
      <c r="B245" s="44" t="s">
        <v>208</v>
      </c>
      <c r="C245" s="9" t="s">
        <v>38</v>
      </c>
      <c r="D245" s="58">
        <f>IFERROR(VLOOKUP(A245,OS!$A:$B,2,0),0)</f>
        <v>0</v>
      </c>
      <c r="E245" s="5">
        <f>(D245+D246-D248)</f>
        <v>0</v>
      </c>
      <c r="F245" s="5">
        <f>(E245+E246-E248)</f>
        <v>0</v>
      </c>
      <c r="G245" s="5">
        <f>(F245+F246-F248)</f>
        <v>0</v>
      </c>
      <c r="H245" s="5">
        <f>(G245+G246-G248)</f>
        <v>0</v>
      </c>
      <c r="I245" s="5">
        <f t="shared" ref="I245:AN245" si="432">(H245+H246-H248+D247)</f>
        <v>0</v>
      </c>
      <c r="J245" s="5">
        <f t="shared" si="432"/>
        <v>0</v>
      </c>
      <c r="K245" s="5">
        <f t="shared" si="432"/>
        <v>0</v>
      </c>
      <c r="L245" s="5">
        <f t="shared" si="432"/>
        <v>0</v>
      </c>
      <c r="M245" s="5">
        <f t="shared" si="432"/>
        <v>0</v>
      </c>
      <c r="N245" s="5">
        <f t="shared" si="432"/>
        <v>0</v>
      </c>
      <c r="O245" s="5">
        <f t="shared" si="432"/>
        <v>0</v>
      </c>
      <c r="P245" s="5">
        <f t="shared" si="432"/>
        <v>0</v>
      </c>
      <c r="Q245" s="5">
        <f t="shared" si="432"/>
        <v>0</v>
      </c>
      <c r="R245" s="5">
        <f t="shared" si="432"/>
        <v>0</v>
      </c>
      <c r="S245" s="5">
        <f t="shared" si="432"/>
        <v>0</v>
      </c>
      <c r="T245" s="5">
        <f t="shared" si="432"/>
        <v>0</v>
      </c>
      <c r="U245" s="5">
        <f t="shared" si="432"/>
        <v>0</v>
      </c>
      <c r="V245" s="5">
        <f t="shared" si="432"/>
        <v>0</v>
      </c>
      <c r="W245" s="5">
        <f t="shared" si="432"/>
        <v>0</v>
      </c>
      <c r="X245" s="5">
        <f t="shared" si="432"/>
        <v>0</v>
      </c>
      <c r="Y245" s="5">
        <f t="shared" si="432"/>
        <v>0</v>
      </c>
      <c r="Z245" s="5">
        <f t="shared" si="432"/>
        <v>0</v>
      </c>
      <c r="AA245" s="5">
        <f t="shared" si="432"/>
        <v>0</v>
      </c>
      <c r="AB245" s="5">
        <f t="shared" si="432"/>
        <v>0</v>
      </c>
      <c r="AC245" s="5">
        <f t="shared" si="432"/>
        <v>0</v>
      </c>
      <c r="AD245" s="5">
        <f t="shared" si="432"/>
        <v>0</v>
      </c>
      <c r="AE245" s="5">
        <f t="shared" si="432"/>
        <v>0</v>
      </c>
      <c r="AF245" s="5">
        <f t="shared" si="432"/>
        <v>0</v>
      </c>
      <c r="AG245" s="5">
        <f t="shared" si="432"/>
        <v>0</v>
      </c>
      <c r="AH245" s="5">
        <f t="shared" si="432"/>
        <v>0</v>
      </c>
      <c r="AI245" s="5">
        <f t="shared" si="432"/>
        <v>0</v>
      </c>
      <c r="AJ245" s="5">
        <f t="shared" si="432"/>
        <v>0</v>
      </c>
      <c r="AK245" s="5">
        <f t="shared" si="432"/>
        <v>0</v>
      </c>
      <c r="AL245" s="5">
        <f t="shared" si="432"/>
        <v>0</v>
      </c>
      <c r="AM245" s="5">
        <f t="shared" si="432"/>
        <v>0</v>
      </c>
      <c r="AN245" s="5">
        <f t="shared" si="432"/>
        <v>0</v>
      </c>
      <c r="AO245" s="5">
        <f t="shared" ref="AO245:BT245" si="433">(AN245+AN246-AN248+AJ247)</f>
        <v>0</v>
      </c>
      <c r="AP245" s="5">
        <f t="shared" si="433"/>
        <v>0</v>
      </c>
      <c r="AQ245" s="5">
        <f t="shared" si="433"/>
        <v>0</v>
      </c>
      <c r="AR245" s="5">
        <f t="shared" si="433"/>
        <v>0</v>
      </c>
      <c r="AS245" s="5">
        <f t="shared" si="433"/>
        <v>0</v>
      </c>
      <c r="AT245" s="5">
        <f t="shared" si="433"/>
        <v>0</v>
      </c>
      <c r="AU245" s="5">
        <f t="shared" si="433"/>
        <v>0</v>
      </c>
      <c r="AV245" s="5">
        <f t="shared" si="433"/>
        <v>0</v>
      </c>
      <c r="AW245" s="5">
        <f t="shared" si="433"/>
        <v>0</v>
      </c>
      <c r="AX245" s="5">
        <f t="shared" si="433"/>
        <v>0</v>
      </c>
      <c r="AY245" s="5">
        <f t="shared" si="433"/>
        <v>0</v>
      </c>
      <c r="AZ245" s="5">
        <f t="shared" si="433"/>
        <v>0</v>
      </c>
      <c r="BA245" s="5">
        <f t="shared" si="433"/>
        <v>0</v>
      </c>
      <c r="BB245" s="5">
        <f t="shared" si="433"/>
        <v>0</v>
      </c>
      <c r="BC245" s="5">
        <f t="shared" si="433"/>
        <v>0</v>
      </c>
      <c r="BD245" s="5">
        <f t="shared" si="433"/>
        <v>0</v>
      </c>
      <c r="BE245" s="5">
        <f t="shared" si="433"/>
        <v>0</v>
      </c>
      <c r="BF245" s="5">
        <f t="shared" si="433"/>
        <v>0</v>
      </c>
      <c r="BG245" s="5">
        <f t="shared" si="433"/>
        <v>0</v>
      </c>
      <c r="BH245" s="5">
        <f t="shared" si="433"/>
        <v>0</v>
      </c>
      <c r="BI245" s="5">
        <f t="shared" si="433"/>
        <v>0</v>
      </c>
      <c r="BJ245" s="5">
        <f t="shared" si="433"/>
        <v>0</v>
      </c>
      <c r="BK245" s="5">
        <f t="shared" si="433"/>
        <v>0</v>
      </c>
      <c r="BL245" s="5">
        <f t="shared" si="433"/>
        <v>0</v>
      </c>
      <c r="BM245" s="5">
        <f t="shared" si="433"/>
        <v>0</v>
      </c>
      <c r="BN245" s="5">
        <f t="shared" si="433"/>
        <v>0</v>
      </c>
      <c r="BO245" s="5">
        <f t="shared" si="433"/>
        <v>0</v>
      </c>
      <c r="BP245" s="5">
        <f t="shared" si="433"/>
        <v>0</v>
      </c>
      <c r="BQ245" s="5">
        <f t="shared" si="433"/>
        <v>0</v>
      </c>
      <c r="BR245" s="5">
        <f t="shared" si="433"/>
        <v>0</v>
      </c>
      <c r="BS245" s="5">
        <f t="shared" si="433"/>
        <v>0</v>
      </c>
      <c r="BT245" s="5">
        <f t="shared" si="433"/>
        <v>0</v>
      </c>
      <c r="BU245" s="5">
        <f t="shared" ref="BU245:CZ245" si="434">(BT245+BT246-BT248+BP247)</f>
        <v>0</v>
      </c>
      <c r="BV245" s="5">
        <f t="shared" si="434"/>
        <v>0</v>
      </c>
      <c r="BW245" s="5">
        <f t="shared" si="434"/>
        <v>0</v>
      </c>
      <c r="BX245" s="5">
        <f t="shared" si="434"/>
        <v>0</v>
      </c>
      <c r="BY245" s="5">
        <f t="shared" si="434"/>
        <v>0</v>
      </c>
      <c r="BZ245" s="5">
        <f t="shared" si="434"/>
        <v>0</v>
      </c>
      <c r="CA245" s="5">
        <f t="shared" si="434"/>
        <v>0</v>
      </c>
      <c r="CB245" s="5">
        <f t="shared" si="434"/>
        <v>0</v>
      </c>
      <c r="CC245" s="5">
        <f t="shared" si="434"/>
        <v>0</v>
      </c>
    </row>
    <row r="246" spans="1:81" x14ac:dyDescent="0.2">
      <c r="A246" s="5" t="s">
        <v>209</v>
      </c>
      <c r="B246" s="5">
        <v>7.12568</v>
      </c>
      <c r="C246" s="45" t="s">
        <v>39</v>
      </c>
      <c r="D246" s="59">
        <f>IFERROR(VLOOKUP(A245,WIP!$A:$B,2,0),0)</f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</row>
    <row r="247" spans="1:81" x14ac:dyDescent="0.2">
      <c r="A247" s="5" t="s">
        <v>210</v>
      </c>
      <c r="B247" s="5">
        <v>0.16700000000000001</v>
      </c>
      <c r="C247" s="9" t="s">
        <v>211</v>
      </c>
      <c r="D247" s="60">
        <f>IFERROR(VLOOKUP($A245,Plan!$A:B,D$4,0),0)</f>
        <v>0</v>
      </c>
      <c r="E247" s="70">
        <f>IFERROR(VLOOKUP($A245,Plan!$A:C,E$4,0),0)</f>
        <v>0</v>
      </c>
      <c r="F247" s="70">
        <f>IFERROR(VLOOKUP($A245,Plan!$A:D,F$4,0),0)</f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</row>
    <row r="248" spans="1:81" x14ac:dyDescent="0.2">
      <c r="A248" s="5" t="s">
        <v>212</v>
      </c>
      <c r="B248" s="5">
        <v>5.7000000000000002E-2</v>
      </c>
      <c r="C248" s="9" t="s">
        <v>213</v>
      </c>
      <c r="D248" s="61">
        <f>IFERROR(VLOOKUP($A245,Sales!$A:B,D$2,0),0)</f>
        <v>0</v>
      </c>
      <c r="E248" s="61">
        <f>IFERROR(VLOOKUP($A245,Sales!$A:C,E$2,0),0)</f>
        <v>0</v>
      </c>
      <c r="F248" s="61">
        <f>IFERROR(VLOOKUP($A245,Sales!$A:D,F$2,0),0)</f>
        <v>0</v>
      </c>
      <c r="G248" s="61">
        <f>IFERROR(VLOOKUP($A245,Sales!$A:E,G$2,0),0)</f>
        <v>0</v>
      </c>
      <c r="H248" s="61">
        <f>IFERROR(VLOOKUP($A245,Sales!$A:F,H$2,0),0)</f>
        <v>0</v>
      </c>
      <c r="I248" s="61">
        <f>IFERROR(VLOOKUP($A245,Sales!$A:G,I$2,0),0)</f>
        <v>0</v>
      </c>
      <c r="J248" s="61">
        <f>IFERROR(VLOOKUP($A245,Sales!$A:H,J$2,0),0)</f>
        <v>0</v>
      </c>
      <c r="K248" s="61">
        <f>IFERROR(VLOOKUP($A245,Sales!$A:I,K$2,0),0)</f>
        <v>0</v>
      </c>
      <c r="L248" s="61">
        <f>IFERROR(VLOOKUP($A245,Sales!$A:J,L$2,0),0)</f>
        <v>0</v>
      </c>
      <c r="M248" s="61">
        <f>IFERROR(VLOOKUP($A245,Sales!$A:K,M$2,0),0)</f>
        <v>0</v>
      </c>
      <c r="N248" s="61">
        <f>IFERROR(VLOOKUP($A245,Sales!$A:L,N$2,0),0)</f>
        <v>0</v>
      </c>
      <c r="O248" s="61">
        <f>IFERROR(VLOOKUP($A245,Sales!$A:M,O$2,0),0)</f>
        <v>0</v>
      </c>
      <c r="P248" s="61">
        <f>IFERROR(VLOOKUP($A245,Sales!$A:N,P$2,0),0)</f>
        <v>0</v>
      </c>
      <c r="Q248" s="61">
        <f>IFERROR(VLOOKUP($A245,Sales!$A:O,Q$2,0),0)</f>
        <v>0</v>
      </c>
      <c r="R248" s="61">
        <f>IFERROR(VLOOKUP($A245,Sales!$A:P,R$2,0),0)</f>
        <v>0</v>
      </c>
      <c r="S248" s="61">
        <f>IFERROR(VLOOKUP($A245,Sales!$A:Q,S$2,0),0)</f>
        <v>0</v>
      </c>
      <c r="T248" s="61">
        <f>IFERROR(VLOOKUP($A245,Sales!$A:R,T$2,0),0)</f>
        <v>0</v>
      </c>
      <c r="U248" s="61">
        <f>IFERROR(VLOOKUP($A245,Sales!$A:S,U$2,0),0)</f>
        <v>0</v>
      </c>
      <c r="V248" s="61">
        <f>IFERROR(VLOOKUP($A245,Sales!$A:T,V$2,0),0)</f>
        <v>0</v>
      </c>
      <c r="W248" s="61">
        <f>IFERROR(VLOOKUP($A245,Sales!$A:U,W$2,0),0)</f>
        <v>0</v>
      </c>
      <c r="X248" s="61">
        <f>IFERROR(VLOOKUP($A245,Sales!$A:V,X$2,0),0)</f>
        <v>0</v>
      </c>
      <c r="Y248" s="61">
        <f>IFERROR(VLOOKUP($A245,Sales!$A:W,Y$2,0),0)</f>
        <v>0</v>
      </c>
      <c r="Z248" s="61">
        <f>IFERROR(VLOOKUP($A245,Sales!$A:X,Z$2,0),0)</f>
        <v>0</v>
      </c>
      <c r="AA248" s="61">
        <f>IFERROR(VLOOKUP($A245,Sales!$A:Y,AA$2,0),0)</f>
        <v>0</v>
      </c>
      <c r="AB248" s="61">
        <f>IFERROR(VLOOKUP($A245,Sales!$A:Z,AB$2,0),0)</f>
        <v>0</v>
      </c>
      <c r="AC248" s="61">
        <f>IFERROR(VLOOKUP($A245,Sales!$A:AA,AC$2,0),0)</f>
        <v>0</v>
      </c>
      <c r="AD248" s="61">
        <f>IFERROR(VLOOKUP($A245,Sales!$A:AB,AD$2,0),0)</f>
        <v>0</v>
      </c>
      <c r="AE248" s="61">
        <f>IFERROR(VLOOKUP($A245,Sales!$A:AC,AE$2,0),0)</f>
        <v>0</v>
      </c>
      <c r="AF248" s="61">
        <f>IFERROR(VLOOKUP($A245,Sales!$A:AD,AF$2,0),0)</f>
        <v>0</v>
      </c>
      <c r="AG248" s="61">
        <f>IFERROR(VLOOKUP($A245,Sales!$A:AE,AG$2,0),0)</f>
        <v>0</v>
      </c>
      <c r="AH248" s="61">
        <f>IFERROR(VLOOKUP($A245,Sales!$A:AF,AH$2,0),0)</f>
        <v>0</v>
      </c>
      <c r="AI248" s="61">
        <f>IFERROR(VLOOKUP($A245,Sales!$A:AG,AI$2,0),0)</f>
        <v>0</v>
      </c>
      <c r="AJ248" s="61">
        <f>IFERROR(VLOOKUP($A245,Sales!$A:AH,AJ$2,0),0)</f>
        <v>0</v>
      </c>
      <c r="AK248" s="73">
        <f t="shared" ref="AK248:CC248" si="435">CEILING(AK$5*$B244,1)</f>
        <v>0</v>
      </c>
      <c r="AL248" s="73">
        <f t="shared" si="435"/>
        <v>0</v>
      </c>
      <c r="AM248" s="73">
        <f t="shared" si="435"/>
        <v>0</v>
      </c>
      <c r="AN248" s="73">
        <f t="shared" si="435"/>
        <v>0</v>
      </c>
      <c r="AO248" s="73">
        <f t="shared" si="435"/>
        <v>0</v>
      </c>
      <c r="AP248" s="73">
        <f t="shared" si="435"/>
        <v>0</v>
      </c>
      <c r="AQ248" s="73">
        <f t="shared" si="435"/>
        <v>0</v>
      </c>
      <c r="AR248" s="73">
        <f t="shared" si="435"/>
        <v>0</v>
      </c>
      <c r="AS248" s="73">
        <f t="shared" si="435"/>
        <v>0</v>
      </c>
      <c r="AT248" s="73">
        <f t="shared" si="435"/>
        <v>0</v>
      </c>
      <c r="AU248" s="73">
        <f t="shared" si="435"/>
        <v>0</v>
      </c>
      <c r="AV248" s="73">
        <f t="shared" si="435"/>
        <v>0</v>
      </c>
      <c r="AW248" s="73">
        <f t="shared" si="435"/>
        <v>0</v>
      </c>
      <c r="AX248" s="73">
        <f t="shared" si="435"/>
        <v>0</v>
      </c>
      <c r="AY248" s="73">
        <f t="shared" si="435"/>
        <v>0</v>
      </c>
      <c r="AZ248" s="73">
        <f t="shared" si="435"/>
        <v>0</v>
      </c>
      <c r="BA248" s="73">
        <f t="shared" si="435"/>
        <v>0</v>
      </c>
      <c r="BB248" s="73">
        <f t="shared" si="435"/>
        <v>0</v>
      </c>
      <c r="BC248" s="73">
        <f t="shared" si="435"/>
        <v>0</v>
      </c>
      <c r="BD248" s="73">
        <f t="shared" si="435"/>
        <v>0</v>
      </c>
      <c r="BE248" s="73">
        <f t="shared" si="435"/>
        <v>0</v>
      </c>
      <c r="BF248" s="73">
        <f t="shared" si="435"/>
        <v>0</v>
      </c>
      <c r="BG248" s="73">
        <f t="shared" si="435"/>
        <v>0</v>
      </c>
      <c r="BH248" s="73">
        <f t="shared" si="435"/>
        <v>0</v>
      </c>
      <c r="BI248" s="73">
        <f t="shared" si="435"/>
        <v>0</v>
      </c>
      <c r="BJ248" s="73">
        <f t="shared" si="435"/>
        <v>0</v>
      </c>
      <c r="BK248" s="73">
        <f t="shared" si="435"/>
        <v>0</v>
      </c>
      <c r="BL248" s="73">
        <f t="shared" si="435"/>
        <v>0</v>
      </c>
      <c r="BM248" s="73">
        <f t="shared" si="435"/>
        <v>0</v>
      </c>
      <c r="BN248" s="73">
        <f t="shared" si="435"/>
        <v>0</v>
      </c>
      <c r="BO248" s="73">
        <f t="shared" si="435"/>
        <v>0</v>
      </c>
      <c r="BP248" s="73">
        <f t="shared" si="435"/>
        <v>0</v>
      </c>
      <c r="BQ248" s="73">
        <f t="shared" si="435"/>
        <v>0</v>
      </c>
      <c r="BR248" s="73">
        <f t="shared" si="435"/>
        <v>0</v>
      </c>
      <c r="BS248" s="73">
        <f t="shared" si="435"/>
        <v>0</v>
      </c>
      <c r="BT248" s="73">
        <f t="shared" si="435"/>
        <v>0</v>
      </c>
      <c r="BU248" s="73">
        <f t="shared" si="435"/>
        <v>0</v>
      </c>
      <c r="BV248" s="73">
        <f t="shared" si="435"/>
        <v>0</v>
      </c>
      <c r="BW248" s="73">
        <f t="shared" si="435"/>
        <v>0</v>
      </c>
      <c r="BX248" s="73">
        <f t="shared" si="435"/>
        <v>0</v>
      </c>
      <c r="BY248" s="73">
        <f t="shared" si="435"/>
        <v>0</v>
      </c>
      <c r="BZ248" s="73">
        <f t="shared" si="435"/>
        <v>0</v>
      </c>
      <c r="CA248" s="73">
        <f t="shared" si="435"/>
        <v>0</v>
      </c>
      <c r="CB248" s="73">
        <f t="shared" si="435"/>
        <v>0</v>
      </c>
      <c r="CC248" s="73">
        <f t="shared" si="435"/>
        <v>0</v>
      </c>
    </row>
    <row r="249" spans="1:81" x14ac:dyDescent="0.2">
      <c r="A249" s="5" t="s">
        <v>214</v>
      </c>
      <c r="B249" s="5">
        <v>0.224</v>
      </c>
      <c r="C249" s="46" t="s">
        <v>215</v>
      </c>
      <c r="D249" s="11">
        <f t="shared" ref="D249:AI249" si="436">IF(D248=0,0, ROUND(D245 * 1/D248* D$13,1))</f>
        <v>0</v>
      </c>
      <c r="E249" s="11">
        <f t="shared" si="436"/>
        <v>0</v>
      </c>
      <c r="F249" s="11">
        <f t="shared" si="436"/>
        <v>0</v>
      </c>
      <c r="G249" s="11">
        <f t="shared" si="436"/>
        <v>0</v>
      </c>
      <c r="H249" s="11">
        <f t="shared" si="436"/>
        <v>0</v>
      </c>
      <c r="I249" s="11">
        <f t="shared" si="436"/>
        <v>0</v>
      </c>
      <c r="J249" s="11">
        <f t="shared" si="436"/>
        <v>0</v>
      </c>
      <c r="K249" s="11">
        <f t="shared" si="436"/>
        <v>0</v>
      </c>
      <c r="L249" s="11">
        <f t="shared" si="436"/>
        <v>0</v>
      </c>
      <c r="M249" s="11">
        <f t="shared" si="436"/>
        <v>0</v>
      </c>
      <c r="N249" s="11">
        <f t="shared" si="436"/>
        <v>0</v>
      </c>
      <c r="O249" s="11">
        <f t="shared" si="436"/>
        <v>0</v>
      </c>
      <c r="P249" s="11">
        <f t="shared" si="436"/>
        <v>0</v>
      </c>
      <c r="Q249" s="11">
        <f t="shared" si="436"/>
        <v>0</v>
      </c>
      <c r="R249" s="11">
        <f t="shared" si="436"/>
        <v>0</v>
      </c>
      <c r="S249" s="11">
        <f t="shared" si="436"/>
        <v>0</v>
      </c>
      <c r="T249" s="11">
        <f t="shared" si="436"/>
        <v>0</v>
      </c>
      <c r="U249" s="11">
        <f t="shared" si="436"/>
        <v>0</v>
      </c>
      <c r="V249" s="11">
        <f t="shared" si="436"/>
        <v>0</v>
      </c>
      <c r="W249" s="11">
        <f t="shared" si="436"/>
        <v>0</v>
      </c>
      <c r="X249" s="11">
        <f t="shared" si="436"/>
        <v>0</v>
      </c>
      <c r="Y249" s="11">
        <f t="shared" si="436"/>
        <v>0</v>
      </c>
      <c r="Z249" s="11">
        <f t="shared" si="436"/>
        <v>0</v>
      </c>
      <c r="AA249" s="11">
        <f t="shared" si="436"/>
        <v>0</v>
      </c>
      <c r="AB249" s="11">
        <f t="shared" si="436"/>
        <v>0</v>
      </c>
      <c r="AC249" s="11">
        <f t="shared" si="436"/>
        <v>0</v>
      </c>
      <c r="AD249" s="11">
        <f t="shared" si="436"/>
        <v>0</v>
      </c>
      <c r="AE249" s="11">
        <f t="shared" si="436"/>
        <v>0</v>
      </c>
      <c r="AF249" s="11">
        <f t="shared" si="436"/>
        <v>0</v>
      </c>
      <c r="AG249" s="11">
        <f t="shared" si="436"/>
        <v>0</v>
      </c>
      <c r="AH249" s="11">
        <f t="shared" si="436"/>
        <v>0</v>
      </c>
      <c r="AI249" s="11">
        <f t="shared" si="436"/>
        <v>0</v>
      </c>
      <c r="AJ249" s="11">
        <f t="shared" ref="AJ249:BO249" si="437">IF(AJ248=0,0, ROUND(AJ245 * 1/AJ248* AJ$13,1))</f>
        <v>0</v>
      </c>
      <c r="AK249" s="11">
        <f t="shared" si="437"/>
        <v>0</v>
      </c>
      <c r="AL249" s="11">
        <f t="shared" si="437"/>
        <v>0</v>
      </c>
      <c r="AM249" s="11">
        <f t="shared" si="437"/>
        <v>0</v>
      </c>
      <c r="AN249" s="11">
        <f t="shared" si="437"/>
        <v>0</v>
      </c>
      <c r="AO249" s="11">
        <f t="shared" si="437"/>
        <v>0</v>
      </c>
      <c r="AP249" s="11">
        <f t="shared" si="437"/>
        <v>0</v>
      </c>
      <c r="AQ249" s="11">
        <f t="shared" si="437"/>
        <v>0</v>
      </c>
      <c r="AR249" s="11">
        <f t="shared" si="437"/>
        <v>0</v>
      </c>
      <c r="AS249" s="11">
        <f t="shared" si="437"/>
        <v>0</v>
      </c>
      <c r="AT249" s="11">
        <f t="shared" si="437"/>
        <v>0</v>
      </c>
      <c r="AU249" s="11">
        <f t="shared" si="437"/>
        <v>0</v>
      </c>
      <c r="AV249" s="11">
        <f t="shared" si="437"/>
        <v>0</v>
      </c>
      <c r="AW249" s="11">
        <f t="shared" si="437"/>
        <v>0</v>
      </c>
      <c r="AX249" s="11">
        <f t="shared" si="437"/>
        <v>0</v>
      </c>
      <c r="AY249" s="11">
        <f t="shared" si="437"/>
        <v>0</v>
      </c>
      <c r="AZ249" s="11">
        <f t="shared" si="437"/>
        <v>0</v>
      </c>
      <c r="BA249" s="11">
        <f t="shared" si="437"/>
        <v>0</v>
      </c>
      <c r="BB249" s="11">
        <f t="shared" si="437"/>
        <v>0</v>
      </c>
      <c r="BC249" s="11">
        <f t="shared" si="437"/>
        <v>0</v>
      </c>
      <c r="BD249" s="11">
        <f t="shared" si="437"/>
        <v>0</v>
      </c>
      <c r="BE249" s="11">
        <f t="shared" si="437"/>
        <v>0</v>
      </c>
      <c r="BF249" s="11">
        <f t="shared" si="437"/>
        <v>0</v>
      </c>
      <c r="BG249" s="11">
        <f t="shared" si="437"/>
        <v>0</v>
      </c>
      <c r="BH249" s="11">
        <f t="shared" si="437"/>
        <v>0</v>
      </c>
      <c r="BI249" s="11">
        <f t="shared" si="437"/>
        <v>0</v>
      </c>
      <c r="BJ249" s="11">
        <f t="shared" si="437"/>
        <v>0</v>
      </c>
      <c r="BK249" s="11">
        <f t="shared" si="437"/>
        <v>0</v>
      </c>
      <c r="BL249" s="11">
        <f t="shared" si="437"/>
        <v>0</v>
      </c>
      <c r="BM249" s="11">
        <f t="shared" si="437"/>
        <v>0</v>
      </c>
      <c r="BN249" s="11">
        <f t="shared" si="437"/>
        <v>0</v>
      </c>
      <c r="BO249" s="11">
        <f t="shared" si="437"/>
        <v>0</v>
      </c>
      <c r="BP249" s="11">
        <f t="shared" ref="BP249:CU249" si="438">IF(BP248=0,0, ROUND(BP245 * 1/BP248* BP$13,1))</f>
        <v>0</v>
      </c>
      <c r="BQ249" s="11">
        <f t="shared" si="438"/>
        <v>0</v>
      </c>
      <c r="BR249" s="11">
        <f t="shared" si="438"/>
        <v>0</v>
      </c>
      <c r="BS249" s="11">
        <f t="shared" si="438"/>
        <v>0</v>
      </c>
      <c r="BT249" s="11">
        <f t="shared" si="438"/>
        <v>0</v>
      </c>
      <c r="BU249" s="11">
        <f t="shared" si="438"/>
        <v>0</v>
      </c>
      <c r="BV249" s="11">
        <f t="shared" si="438"/>
        <v>0</v>
      </c>
      <c r="BW249" s="11">
        <f t="shared" si="438"/>
        <v>0</v>
      </c>
      <c r="BX249" s="11">
        <f t="shared" si="438"/>
        <v>0</v>
      </c>
      <c r="BY249" s="11">
        <f t="shared" si="438"/>
        <v>0</v>
      </c>
      <c r="BZ249" s="11">
        <f t="shared" si="438"/>
        <v>0</v>
      </c>
      <c r="CA249" s="11">
        <f t="shared" si="438"/>
        <v>0</v>
      </c>
      <c r="CB249" s="11">
        <f t="shared" si="438"/>
        <v>0</v>
      </c>
      <c r="CC249" s="11">
        <f t="shared" si="438"/>
        <v>0</v>
      </c>
    </row>
    <row r="250" spans="1:81" x14ac:dyDescent="0.2">
      <c r="A250" s="10">
        <v>10</v>
      </c>
      <c r="B250" s="10">
        <v>1</v>
      </c>
      <c r="C250" s="68">
        <v>5.5266400000000004</v>
      </c>
      <c r="D250">
        <f t="shared" ref="D250:AI250" si="439">D247/$B250</f>
        <v>0</v>
      </c>
      <c r="E250">
        <f t="shared" si="439"/>
        <v>0</v>
      </c>
      <c r="F250">
        <f t="shared" si="439"/>
        <v>0</v>
      </c>
      <c r="G250">
        <f t="shared" si="439"/>
        <v>0</v>
      </c>
      <c r="H250">
        <f t="shared" si="439"/>
        <v>0</v>
      </c>
      <c r="I250">
        <f t="shared" si="439"/>
        <v>0</v>
      </c>
      <c r="J250">
        <f t="shared" si="439"/>
        <v>0</v>
      </c>
      <c r="K250">
        <f t="shared" si="439"/>
        <v>0</v>
      </c>
      <c r="L250">
        <f t="shared" si="439"/>
        <v>0</v>
      </c>
      <c r="M250">
        <f t="shared" si="439"/>
        <v>0</v>
      </c>
      <c r="N250">
        <f t="shared" si="439"/>
        <v>0</v>
      </c>
      <c r="O250">
        <f t="shared" si="439"/>
        <v>0</v>
      </c>
      <c r="P250">
        <f t="shared" si="439"/>
        <v>0</v>
      </c>
      <c r="Q250">
        <f t="shared" si="439"/>
        <v>0</v>
      </c>
      <c r="R250">
        <f t="shared" si="439"/>
        <v>0</v>
      </c>
      <c r="S250">
        <f t="shared" si="439"/>
        <v>0</v>
      </c>
      <c r="T250">
        <f t="shared" si="439"/>
        <v>0</v>
      </c>
      <c r="U250">
        <f t="shared" si="439"/>
        <v>0</v>
      </c>
      <c r="V250">
        <f t="shared" si="439"/>
        <v>0</v>
      </c>
      <c r="W250">
        <f t="shared" si="439"/>
        <v>0</v>
      </c>
      <c r="X250">
        <f t="shared" si="439"/>
        <v>0</v>
      </c>
      <c r="Y250">
        <f t="shared" si="439"/>
        <v>0</v>
      </c>
      <c r="Z250">
        <f t="shared" si="439"/>
        <v>0</v>
      </c>
      <c r="AA250">
        <f t="shared" si="439"/>
        <v>0</v>
      </c>
      <c r="AB250">
        <f t="shared" si="439"/>
        <v>0</v>
      </c>
      <c r="AC250">
        <f t="shared" si="439"/>
        <v>0</v>
      </c>
      <c r="AD250">
        <f t="shared" si="439"/>
        <v>0</v>
      </c>
      <c r="AE250">
        <f t="shared" si="439"/>
        <v>0</v>
      </c>
      <c r="AF250">
        <f t="shared" si="439"/>
        <v>0</v>
      </c>
      <c r="AG250">
        <f t="shared" si="439"/>
        <v>0</v>
      </c>
      <c r="AH250">
        <f t="shared" si="439"/>
        <v>0</v>
      </c>
      <c r="AI250">
        <f t="shared" si="439"/>
        <v>0</v>
      </c>
      <c r="AJ250">
        <f t="shared" ref="AJ250:BO250" si="440">AJ247/$B250</f>
        <v>0</v>
      </c>
      <c r="AK250">
        <f t="shared" si="440"/>
        <v>0</v>
      </c>
      <c r="AL250">
        <f t="shared" si="440"/>
        <v>0</v>
      </c>
      <c r="AM250">
        <f t="shared" si="440"/>
        <v>0</v>
      </c>
      <c r="AN250">
        <f t="shared" si="440"/>
        <v>0</v>
      </c>
      <c r="AO250">
        <f t="shared" si="440"/>
        <v>0</v>
      </c>
      <c r="AP250">
        <f t="shared" si="440"/>
        <v>0</v>
      </c>
      <c r="AQ250">
        <f t="shared" si="440"/>
        <v>0</v>
      </c>
      <c r="AR250">
        <f t="shared" si="440"/>
        <v>0</v>
      </c>
      <c r="AS250">
        <f t="shared" si="440"/>
        <v>0</v>
      </c>
      <c r="AT250">
        <f t="shared" si="440"/>
        <v>0</v>
      </c>
      <c r="AU250">
        <f t="shared" si="440"/>
        <v>0</v>
      </c>
      <c r="AV250">
        <f t="shared" si="440"/>
        <v>0</v>
      </c>
      <c r="AW250">
        <f t="shared" si="440"/>
        <v>0</v>
      </c>
      <c r="AX250">
        <f t="shared" si="440"/>
        <v>0</v>
      </c>
      <c r="AY250">
        <f t="shared" si="440"/>
        <v>0</v>
      </c>
      <c r="AZ250">
        <f t="shared" si="440"/>
        <v>0</v>
      </c>
      <c r="BA250">
        <f t="shared" si="440"/>
        <v>0</v>
      </c>
      <c r="BB250">
        <f t="shared" si="440"/>
        <v>0</v>
      </c>
      <c r="BC250">
        <f t="shared" si="440"/>
        <v>0</v>
      </c>
      <c r="BD250">
        <f t="shared" si="440"/>
        <v>0</v>
      </c>
      <c r="BE250">
        <f t="shared" si="440"/>
        <v>0</v>
      </c>
      <c r="BF250">
        <f t="shared" si="440"/>
        <v>0</v>
      </c>
      <c r="BG250">
        <f t="shared" si="440"/>
        <v>0</v>
      </c>
      <c r="BH250">
        <f t="shared" si="440"/>
        <v>0</v>
      </c>
      <c r="BI250">
        <f t="shared" si="440"/>
        <v>0</v>
      </c>
      <c r="BJ250">
        <f t="shared" si="440"/>
        <v>0</v>
      </c>
      <c r="BK250">
        <f t="shared" si="440"/>
        <v>0</v>
      </c>
      <c r="BL250">
        <f t="shared" si="440"/>
        <v>0</v>
      </c>
      <c r="BM250">
        <f t="shared" si="440"/>
        <v>0</v>
      </c>
      <c r="BN250">
        <f t="shared" si="440"/>
        <v>0</v>
      </c>
      <c r="BO250">
        <f t="shared" si="440"/>
        <v>0</v>
      </c>
      <c r="BP250">
        <f t="shared" ref="BP250:CC250" si="441">BP247/$B250</f>
        <v>0</v>
      </c>
      <c r="BQ250">
        <f t="shared" si="441"/>
        <v>0</v>
      </c>
      <c r="BR250">
        <f t="shared" si="441"/>
        <v>0</v>
      </c>
      <c r="BS250">
        <f t="shared" si="441"/>
        <v>0</v>
      </c>
      <c r="BT250">
        <f t="shared" si="441"/>
        <v>0</v>
      </c>
      <c r="BU250">
        <f t="shared" si="441"/>
        <v>0</v>
      </c>
      <c r="BV250">
        <f t="shared" si="441"/>
        <v>0</v>
      </c>
      <c r="BW250">
        <f t="shared" si="441"/>
        <v>0</v>
      </c>
      <c r="BX250">
        <f t="shared" si="441"/>
        <v>0</v>
      </c>
      <c r="BY250">
        <f t="shared" si="441"/>
        <v>0</v>
      </c>
      <c r="BZ250">
        <f t="shared" si="441"/>
        <v>0</v>
      </c>
      <c r="CA250">
        <f t="shared" si="441"/>
        <v>0</v>
      </c>
      <c r="CB250">
        <f t="shared" si="441"/>
        <v>0</v>
      </c>
      <c r="CC250">
        <f t="shared" si="441"/>
        <v>0</v>
      </c>
    </row>
    <row r="251" spans="1:81" x14ac:dyDescent="0.2">
      <c r="B251" s="67">
        <f>SUM(D255:AJ255)/SUM($D$263:$AJ$263)</f>
        <v>0</v>
      </c>
      <c r="C251" s="9" t="s">
        <v>216</v>
      </c>
      <c r="D251">
        <f t="shared" ref="D251:AI251" si="442">D245-D248</f>
        <v>0</v>
      </c>
      <c r="E251">
        <f t="shared" si="442"/>
        <v>0</v>
      </c>
      <c r="F251">
        <f t="shared" si="442"/>
        <v>0</v>
      </c>
      <c r="G251">
        <f t="shared" si="442"/>
        <v>0</v>
      </c>
      <c r="H251">
        <f t="shared" si="442"/>
        <v>0</v>
      </c>
      <c r="I251">
        <f t="shared" si="442"/>
        <v>0</v>
      </c>
      <c r="J251">
        <f t="shared" si="442"/>
        <v>0</v>
      </c>
      <c r="K251">
        <f t="shared" si="442"/>
        <v>0</v>
      </c>
      <c r="L251">
        <f t="shared" si="442"/>
        <v>0</v>
      </c>
      <c r="M251">
        <f t="shared" si="442"/>
        <v>0</v>
      </c>
      <c r="N251">
        <f t="shared" si="442"/>
        <v>0</v>
      </c>
      <c r="O251">
        <f t="shared" si="442"/>
        <v>0</v>
      </c>
      <c r="P251">
        <f t="shared" si="442"/>
        <v>0</v>
      </c>
      <c r="Q251">
        <f t="shared" si="442"/>
        <v>0</v>
      </c>
      <c r="R251">
        <f t="shared" si="442"/>
        <v>0</v>
      </c>
      <c r="S251">
        <f t="shared" si="442"/>
        <v>0</v>
      </c>
      <c r="T251">
        <f t="shared" si="442"/>
        <v>0</v>
      </c>
      <c r="U251">
        <f t="shared" si="442"/>
        <v>0</v>
      </c>
      <c r="V251">
        <f t="shared" si="442"/>
        <v>0</v>
      </c>
      <c r="W251">
        <f t="shared" si="442"/>
        <v>0</v>
      </c>
      <c r="X251">
        <f t="shared" si="442"/>
        <v>0</v>
      </c>
      <c r="Y251">
        <f t="shared" si="442"/>
        <v>0</v>
      </c>
      <c r="Z251">
        <f t="shared" si="442"/>
        <v>0</v>
      </c>
      <c r="AA251">
        <f t="shared" si="442"/>
        <v>0</v>
      </c>
      <c r="AB251">
        <f t="shared" si="442"/>
        <v>0</v>
      </c>
      <c r="AC251">
        <f t="shared" si="442"/>
        <v>0</v>
      </c>
      <c r="AD251">
        <f t="shared" si="442"/>
        <v>0</v>
      </c>
      <c r="AE251">
        <f t="shared" si="442"/>
        <v>0</v>
      </c>
      <c r="AF251">
        <f t="shared" si="442"/>
        <v>0</v>
      </c>
      <c r="AG251">
        <f t="shared" si="442"/>
        <v>0</v>
      </c>
      <c r="AH251">
        <f t="shared" si="442"/>
        <v>0</v>
      </c>
      <c r="AI251">
        <f t="shared" si="442"/>
        <v>0</v>
      </c>
      <c r="AJ251">
        <f t="shared" ref="AJ251:BO251" si="443">AJ245-AJ248</f>
        <v>0</v>
      </c>
      <c r="AK251">
        <f t="shared" si="443"/>
        <v>0</v>
      </c>
      <c r="AL251">
        <f t="shared" si="443"/>
        <v>0</v>
      </c>
      <c r="AM251">
        <f t="shared" si="443"/>
        <v>0</v>
      </c>
      <c r="AN251">
        <f t="shared" si="443"/>
        <v>0</v>
      </c>
      <c r="AO251">
        <f t="shared" si="443"/>
        <v>0</v>
      </c>
      <c r="AP251">
        <f t="shared" si="443"/>
        <v>0</v>
      </c>
      <c r="AQ251">
        <f t="shared" si="443"/>
        <v>0</v>
      </c>
      <c r="AR251">
        <f t="shared" si="443"/>
        <v>0</v>
      </c>
      <c r="AS251">
        <f t="shared" si="443"/>
        <v>0</v>
      </c>
      <c r="AT251">
        <f t="shared" si="443"/>
        <v>0</v>
      </c>
      <c r="AU251">
        <f t="shared" si="443"/>
        <v>0</v>
      </c>
      <c r="AV251">
        <f t="shared" si="443"/>
        <v>0</v>
      </c>
      <c r="AW251">
        <f t="shared" si="443"/>
        <v>0</v>
      </c>
      <c r="AX251">
        <f t="shared" si="443"/>
        <v>0</v>
      </c>
      <c r="AY251">
        <f t="shared" si="443"/>
        <v>0</v>
      </c>
      <c r="AZ251">
        <f t="shared" si="443"/>
        <v>0</v>
      </c>
      <c r="BA251">
        <f t="shared" si="443"/>
        <v>0</v>
      </c>
      <c r="BB251">
        <f t="shared" si="443"/>
        <v>0</v>
      </c>
      <c r="BC251">
        <f t="shared" si="443"/>
        <v>0</v>
      </c>
      <c r="BD251">
        <f t="shared" si="443"/>
        <v>0</v>
      </c>
      <c r="BE251">
        <f t="shared" si="443"/>
        <v>0</v>
      </c>
      <c r="BF251">
        <f t="shared" si="443"/>
        <v>0</v>
      </c>
      <c r="BG251">
        <f t="shared" si="443"/>
        <v>0</v>
      </c>
      <c r="BH251">
        <f t="shared" si="443"/>
        <v>0</v>
      </c>
      <c r="BI251">
        <f t="shared" si="443"/>
        <v>0</v>
      </c>
      <c r="BJ251">
        <f t="shared" si="443"/>
        <v>0</v>
      </c>
      <c r="BK251">
        <f t="shared" si="443"/>
        <v>0</v>
      </c>
      <c r="BL251">
        <f t="shared" si="443"/>
        <v>0</v>
      </c>
      <c r="BM251">
        <f t="shared" si="443"/>
        <v>0</v>
      </c>
      <c r="BN251">
        <f t="shared" si="443"/>
        <v>0</v>
      </c>
      <c r="BO251">
        <f t="shared" si="443"/>
        <v>0</v>
      </c>
      <c r="BP251">
        <f t="shared" ref="BP251:CC251" si="444">BP245-BP248</f>
        <v>0</v>
      </c>
      <c r="BQ251">
        <f t="shared" si="444"/>
        <v>0</v>
      </c>
      <c r="BR251">
        <f t="shared" si="444"/>
        <v>0</v>
      </c>
      <c r="BS251">
        <f t="shared" si="444"/>
        <v>0</v>
      </c>
      <c r="BT251">
        <f t="shared" si="444"/>
        <v>0</v>
      </c>
      <c r="BU251">
        <f t="shared" si="444"/>
        <v>0</v>
      </c>
      <c r="BV251">
        <f t="shared" si="444"/>
        <v>0</v>
      </c>
      <c r="BW251">
        <f t="shared" si="444"/>
        <v>0</v>
      </c>
      <c r="BX251">
        <f t="shared" si="444"/>
        <v>0</v>
      </c>
      <c r="BY251">
        <f t="shared" si="444"/>
        <v>0</v>
      </c>
      <c r="BZ251">
        <f t="shared" si="444"/>
        <v>0</v>
      </c>
      <c r="CA251">
        <f t="shared" si="444"/>
        <v>0</v>
      </c>
      <c r="CB251">
        <f t="shared" si="444"/>
        <v>0</v>
      </c>
      <c r="CC251">
        <f t="shared" si="444"/>
        <v>0</v>
      </c>
    </row>
    <row r="252" spans="1:81" x14ac:dyDescent="0.2">
      <c r="A252" s="43" t="s">
        <v>250</v>
      </c>
      <c r="B252" s="44" t="s">
        <v>208</v>
      </c>
      <c r="C252" s="9" t="s">
        <v>38</v>
      </c>
      <c r="D252" s="58">
        <f>IFERROR(VLOOKUP(A252,OS!$A:$B,2,0),0)</f>
        <v>0</v>
      </c>
      <c r="E252" s="5">
        <f>(D252+D253-D255)</f>
        <v>0</v>
      </c>
      <c r="F252" s="5">
        <f>(E252+E253-E255)</f>
        <v>0</v>
      </c>
      <c r="G252" s="5">
        <f>(F252+F253-F255)</f>
        <v>0</v>
      </c>
      <c r="H252" s="5">
        <f>(G252+G253-G255)</f>
        <v>0</v>
      </c>
      <c r="I252" s="5">
        <f t="shared" ref="I252:AN252" si="445">(H252+H253-H255+D254)</f>
        <v>10</v>
      </c>
      <c r="J252" s="5">
        <f t="shared" si="445"/>
        <v>10</v>
      </c>
      <c r="K252" s="5">
        <f t="shared" si="445"/>
        <v>10</v>
      </c>
      <c r="L252" s="5">
        <f t="shared" si="445"/>
        <v>10</v>
      </c>
      <c r="M252" s="5">
        <f t="shared" si="445"/>
        <v>10</v>
      </c>
      <c r="N252" s="5">
        <f t="shared" si="445"/>
        <v>10</v>
      </c>
      <c r="O252" s="5">
        <f t="shared" si="445"/>
        <v>10</v>
      </c>
      <c r="P252" s="5">
        <f t="shared" si="445"/>
        <v>10</v>
      </c>
      <c r="Q252" s="5">
        <f t="shared" si="445"/>
        <v>10</v>
      </c>
      <c r="R252" s="5">
        <f t="shared" si="445"/>
        <v>10</v>
      </c>
      <c r="S252" s="5">
        <f t="shared" si="445"/>
        <v>10</v>
      </c>
      <c r="T252" s="5">
        <f t="shared" si="445"/>
        <v>10</v>
      </c>
      <c r="U252" s="5">
        <f t="shared" si="445"/>
        <v>10</v>
      </c>
      <c r="V252" s="5">
        <f t="shared" si="445"/>
        <v>10</v>
      </c>
      <c r="W252" s="5">
        <f t="shared" si="445"/>
        <v>10</v>
      </c>
      <c r="X252" s="5">
        <f t="shared" si="445"/>
        <v>10</v>
      </c>
      <c r="Y252" s="5">
        <f t="shared" si="445"/>
        <v>10</v>
      </c>
      <c r="Z252" s="5">
        <f t="shared" si="445"/>
        <v>10</v>
      </c>
      <c r="AA252" s="5">
        <f t="shared" si="445"/>
        <v>10</v>
      </c>
      <c r="AB252" s="5">
        <f t="shared" si="445"/>
        <v>10</v>
      </c>
      <c r="AC252" s="5">
        <f t="shared" si="445"/>
        <v>10</v>
      </c>
      <c r="AD252" s="5">
        <f t="shared" si="445"/>
        <v>10</v>
      </c>
      <c r="AE252" s="5">
        <f t="shared" si="445"/>
        <v>10</v>
      </c>
      <c r="AF252" s="5">
        <f t="shared" si="445"/>
        <v>10</v>
      </c>
      <c r="AG252" s="5">
        <f t="shared" si="445"/>
        <v>10</v>
      </c>
      <c r="AH252" s="5">
        <f t="shared" si="445"/>
        <v>10</v>
      </c>
      <c r="AI252" s="5">
        <f t="shared" si="445"/>
        <v>10</v>
      </c>
      <c r="AJ252" s="5">
        <f t="shared" si="445"/>
        <v>10</v>
      </c>
      <c r="AK252" s="5">
        <f t="shared" si="445"/>
        <v>10</v>
      </c>
      <c r="AL252" s="5">
        <f t="shared" si="445"/>
        <v>10</v>
      </c>
      <c r="AM252" s="5">
        <f t="shared" si="445"/>
        <v>10</v>
      </c>
      <c r="AN252" s="5">
        <f t="shared" si="445"/>
        <v>10</v>
      </c>
      <c r="AO252" s="5">
        <f t="shared" ref="AO252:BT252" si="446">(AN252+AN253-AN255+AJ254)</f>
        <v>10</v>
      </c>
      <c r="AP252" s="5">
        <f t="shared" si="446"/>
        <v>10</v>
      </c>
      <c r="AQ252" s="5">
        <f t="shared" si="446"/>
        <v>10</v>
      </c>
      <c r="AR252" s="5">
        <f t="shared" si="446"/>
        <v>10</v>
      </c>
      <c r="AS252" s="5">
        <f t="shared" si="446"/>
        <v>10</v>
      </c>
      <c r="AT252" s="5">
        <f t="shared" si="446"/>
        <v>10</v>
      </c>
      <c r="AU252" s="5">
        <f t="shared" si="446"/>
        <v>10</v>
      </c>
      <c r="AV252" s="5">
        <f t="shared" si="446"/>
        <v>10</v>
      </c>
      <c r="AW252" s="5">
        <f t="shared" si="446"/>
        <v>10</v>
      </c>
      <c r="AX252" s="5">
        <f t="shared" si="446"/>
        <v>10</v>
      </c>
      <c r="AY252" s="5">
        <f t="shared" si="446"/>
        <v>10</v>
      </c>
      <c r="AZ252" s="5">
        <f t="shared" si="446"/>
        <v>10</v>
      </c>
      <c r="BA252" s="5">
        <f t="shared" si="446"/>
        <v>10</v>
      </c>
      <c r="BB252" s="5">
        <f t="shared" si="446"/>
        <v>10</v>
      </c>
      <c r="BC252" s="5">
        <f t="shared" si="446"/>
        <v>10</v>
      </c>
      <c r="BD252" s="5">
        <f t="shared" si="446"/>
        <v>10</v>
      </c>
      <c r="BE252" s="5">
        <f t="shared" si="446"/>
        <v>10</v>
      </c>
      <c r="BF252" s="5">
        <f t="shared" si="446"/>
        <v>10</v>
      </c>
      <c r="BG252" s="5">
        <f t="shared" si="446"/>
        <v>10</v>
      </c>
      <c r="BH252" s="5">
        <f t="shared" si="446"/>
        <v>10</v>
      </c>
      <c r="BI252" s="5">
        <f t="shared" si="446"/>
        <v>10</v>
      </c>
      <c r="BJ252" s="5">
        <f t="shared" si="446"/>
        <v>10</v>
      </c>
      <c r="BK252" s="5">
        <f t="shared" si="446"/>
        <v>10</v>
      </c>
      <c r="BL252" s="5">
        <f t="shared" si="446"/>
        <v>10</v>
      </c>
      <c r="BM252" s="5">
        <f t="shared" si="446"/>
        <v>10</v>
      </c>
      <c r="BN252" s="5">
        <f t="shared" si="446"/>
        <v>10</v>
      </c>
      <c r="BO252" s="5">
        <f t="shared" si="446"/>
        <v>10</v>
      </c>
      <c r="BP252" s="5">
        <f t="shared" si="446"/>
        <v>10</v>
      </c>
      <c r="BQ252" s="5">
        <f t="shared" si="446"/>
        <v>10</v>
      </c>
      <c r="BR252" s="5">
        <f t="shared" si="446"/>
        <v>10</v>
      </c>
      <c r="BS252" s="5">
        <f t="shared" si="446"/>
        <v>10</v>
      </c>
      <c r="BT252" s="5">
        <f t="shared" si="446"/>
        <v>10</v>
      </c>
      <c r="BU252" s="5">
        <f t="shared" ref="BU252:CZ252" si="447">(BT252+BT253-BT255+BP254)</f>
        <v>10</v>
      </c>
      <c r="BV252" s="5">
        <f t="shared" si="447"/>
        <v>10</v>
      </c>
      <c r="BW252" s="5">
        <f t="shared" si="447"/>
        <v>10</v>
      </c>
      <c r="BX252" s="5">
        <f t="shared" si="447"/>
        <v>10</v>
      </c>
      <c r="BY252" s="5">
        <f t="shared" si="447"/>
        <v>10</v>
      </c>
      <c r="BZ252" s="5">
        <f t="shared" si="447"/>
        <v>10</v>
      </c>
      <c r="CA252" s="5">
        <f t="shared" si="447"/>
        <v>10</v>
      </c>
      <c r="CB252" s="5">
        <f t="shared" si="447"/>
        <v>10</v>
      </c>
      <c r="CC252" s="5">
        <f t="shared" si="447"/>
        <v>10</v>
      </c>
    </row>
    <row r="253" spans="1:81" x14ac:dyDescent="0.2">
      <c r="A253" s="5" t="s">
        <v>209</v>
      </c>
      <c r="B253" s="5">
        <v>9.2230899999999991</v>
      </c>
      <c r="C253" s="45" t="s">
        <v>39</v>
      </c>
      <c r="D253" s="59">
        <f>IFERROR(VLOOKUP(A252,WIP!$A:$B,2,0),0)</f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</row>
    <row r="254" spans="1:81" x14ac:dyDescent="0.2">
      <c r="A254" s="5" t="s">
        <v>210</v>
      </c>
      <c r="B254" s="5">
        <v>0.224</v>
      </c>
      <c r="C254" s="9" t="s">
        <v>211</v>
      </c>
      <c r="D254" s="60">
        <f>IFERROR(VLOOKUP($A252,Plan!$A:B,D$4,0),0)</f>
        <v>10</v>
      </c>
      <c r="E254" s="70">
        <f>IFERROR(VLOOKUP($A252,Plan!$A:C,E$4,0),0)</f>
        <v>0</v>
      </c>
      <c r="F254" s="70">
        <f>IFERROR(VLOOKUP($A252,Plan!$A:D,F$4,0),0)</f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</row>
    <row r="255" spans="1:81" x14ac:dyDescent="0.2">
      <c r="A255" s="5" t="s">
        <v>212</v>
      </c>
      <c r="B255" s="5">
        <v>7.3999999999999996E-2</v>
      </c>
      <c r="C255" s="9" t="s">
        <v>213</v>
      </c>
      <c r="D255" s="61">
        <f>IFERROR(VLOOKUP($A252,Sales!$A:B,D$2,0),0)</f>
        <v>0</v>
      </c>
      <c r="E255" s="61">
        <f>IFERROR(VLOOKUP($A252,Sales!$A:C,E$2,0),0)</f>
        <v>0</v>
      </c>
      <c r="F255" s="61">
        <f>IFERROR(VLOOKUP($A252,Sales!$A:D,F$2,0),0)</f>
        <v>0</v>
      </c>
      <c r="G255" s="61">
        <f>IFERROR(VLOOKUP($A252,Sales!$A:E,G$2,0),0)</f>
        <v>0</v>
      </c>
      <c r="H255" s="61">
        <f>IFERROR(VLOOKUP($A252,Sales!$A:F,H$2,0),0)</f>
        <v>0</v>
      </c>
      <c r="I255" s="61">
        <f>IFERROR(VLOOKUP($A252,Sales!$A:G,I$2,0),0)</f>
        <v>0</v>
      </c>
      <c r="J255" s="61">
        <f>IFERROR(VLOOKUP($A252,Sales!$A:H,J$2,0),0)</f>
        <v>0</v>
      </c>
      <c r="K255" s="61">
        <f>IFERROR(VLOOKUP($A252,Sales!$A:I,K$2,0),0)</f>
        <v>0</v>
      </c>
      <c r="L255" s="61">
        <f>IFERROR(VLOOKUP($A252,Sales!$A:J,L$2,0),0)</f>
        <v>0</v>
      </c>
      <c r="M255" s="61">
        <f>IFERROR(VLOOKUP($A252,Sales!$A:K,M$2,0),0)</f>
        <v>0</v>
      </c>
      <c r="N255" s="61">
        <f>IFERROR(VLOOKUP($A252,Sales!$A:L,N$2,0),0)</f>
        <v>0</v>
      </c>
      <c r="O255" s="61">
        <f>IFERROR(VLOOKUP($A252,Sales!$A:M,O$2,0),0)</f>
        <v>0</v>
      </c>
      <c r="P255" s="61">
        <f>IFERROR(VLOOKUP($A252,Sales!$A:N,P$2,0),0)</f>
        <v>0</v>
      </c>
      <c r="Q255" s="61">
        <f>IFERROR(VLOOKUP($A252,Sales!$A:O,Q$2,0),0)</f>
        <v>0</v>
      </c>
      <c r="R255" s="61">
        <f>IFERROR(VLOOKUP($A252,Sales!$A:P,R$2,0),0)</f>
        <v>0</v>
      </c>
      <c r="S255" s="61">
        <f>IFERROR(VLOOKUP($A252,Sales!$A:Q,S$2,0),0)</f>
        <v>0</v>
      </c>
      <c r="T255" s="61">
        <f>IFERROR(VLOOKUP($A252,Sales!$A:R,T$2,0),0)</f>
        <v>0</v>
      </c>
      <c r="U255" s="61">
        <f>IFERROR(VLOOKUP($A252,Sales!$A:S,U$2,0),0)</f>
        <v>0</v>
      </c>
      <c r="V255" s="61">
        <f>IFERROR(VLOOKUP($A252,Sales!$A:T,V$2,0),0)</f>
        <v>0</v>
      </c>
      <c r="W255" s="61">
        <f>IFERROR(VLOOKUP($A252,Sales!$A:U,W$2,0),0)</f>
        <v>0</v>
      </c>
      <c r="X255" s="61">
        <f>IFERROR(VLOOKUP($A252,Sales!$A:V,X$2,0),0)</f>
        <v>0</v>
      </c>
      <c r="Y255" s="61">
        <f>IFERROR(VLOOKUP($A252,Sales!$A:W,Y$2,0),0)</f>
        <v>0</v>
      </c>
      <c r="Z255" s="61">
        <f>IFERROR(VLOOKUP($A252,Sales!$A:X,Z$2,0),0)</f>
        <v>0</v>
      </c>
      <c r="AA255" s="61">
        <f>IFERROR(VLOOKUP($A252,Sales!$A:Y,AA$2,0),0)</f>
        <v>0</v>
      </c>
      <c r="AB255" s="61">
        <f>IFERROR(VLOOKUP($A252,Sales!$A:Z,AB$2,0),0)</f>
        <v>0</v>
      </c>
      <c r="AC255" s="61">
        <f>IFERROR(VLOOKUP($A252,Sales!$A:AA,AC$2,0),0)</f>
        <v>0</v>
      </c>
      <c r="AD255" s="61">
        <f>IFERROR(VLOOKUP($A252,Sales!$A:AB,AD$2,0),0)</f>
        <v>0</v>
      </c>
      <c r="AE255" s="61">
        <f>IFERROR(VLOOKUP($A252,Sales!$A:AC,AE$2,0),0)</f>
        <v>0</v>
      </c>
      <c r="AF255" s="61">
        <f>IFERROR(VLOOKUP($A252,Sales!$A:AD,AF$2,0),0)</f>
        <v>0</v>
      </c>
      <c r="AG255" s="61">
        <f>IFERROR(VLOOKUP($A252,Sales!$A:AE,AG$2,0),0)</f>
        <v>0</v>
      </c>
      <c r="AH255" s="61">
        <f>IFERROR(VLOOKUP($A252,Sales!$A:AF,AH$2,0),0)</f>
        <v>0</v>
      </c>
      <c r="AI255" s="61">
        <f>IFERROR(VLOOKUP($A252,Sales!$A:AG,AI$2,0),0)</f>
        <v>0</v>
      </c>
      <c r="AJ255" s="61">
        <f>IFERROR(VLOOKUP($A252,Sales!$A:AH,AJ$2,0),0)</f>
        <v>0</v>
      </c>
      <c r="AK255" s="73">
        <f t="shared" ref="AK255:CC255" si="448">CEILING(AK$5*$B251,1)</f>
        <v>0</v>
      </c>
      <c r="AL255" s="73">
        <f t="shared" si="448"/>
        <v>0</v>
      </c>
      <c r="AM255" s="73">
        <f t="shared" si="448"/>
        <v>0</v>
      </c>
      <c r="AN255" s="73">
        <f t="shared" si="448"/>
        <v>0</v>
      </c>
      <c r="AO255" s="73">
        <f t="shared" si="448"/>
        <v>0</v>
      </c>
      <c r="AP255" s="73">
        <f t="shared" si="448"/>
        <v>0</v>
      </c>
      <c r="AQ255" s="73">
        <f t="shared" si="448"/>
        <v>0</v>
      </c>
      <c r="AR255" s="73">
        <f t="shared" si="448"/>
        <v>0</v>
      </c>
      <c r="AS255" s="73">
        <f t="shared" si="448"/>
        <v>0</v>
      </c>
      <c r="AT255" s="73">
        <f t="shared" si="448"/>
        <v>0</v>
      </c>
      <c r="AU255" s="73">
        <f t="shared" si="448"/>
        <v>0</v>
      </c>
      <c r="AV255" s="73">
        <f t="shared" si="448"/>
        <v>0</v>
      </c>
      <c r="AW255" s="73">
        <f t="shared" si="448"/>
        <v>0</v>
      </c>
      <c r="AX255" s="73">
        <f t="shared" si="448"/>
        <v>0</v>
      </c>
      <c r="AY255" s="73">
        <f t="shared" si="448"/>
        <v>0</v>
      </c>
      <c r="AZ255" s="73">
        <f t="shared" si="448"/>
        <v>0</v>
      </c>
      <c r="BA255" s="73">
        <f t="shared" si="448"/>
        <v>0</v>
      </c>
      <c r="BB255" s="73">
        <f t="shared" si="448"/>
        <v>0</v>
      </c>
      <c r="BC255" s="73">
        <f t="shared" si="448"/>
        <v>0</v>
      </c>
      <c r="BD255" s="73">
        <f t="shared" si="448"/>
        <v>0</v>
      </c>
      <c r="BE255" s="73">
        <f t="shared" si="448"/>
        <v>0</v>
      </c>
      <c r="BF255" s="73">
        <f t="shared" si="448"/>
        <v>0</v>
      </c>
      <c r="BG255" s="73">
        <f t="shared" si="448"/>
        <v>0</v>
      </c>
      <c r="BH255" s="73">
        <f t="shared" si="448"/>
        <v>0</v>
      </c>
      <c r="BI255" s="73">
        <f t="shared" si="448"/>
        <v>0</v>
      </c>
      <c r="BJ255" s="73">
        <f t="shared" si="448"/>
        <v>0</v>
      </c>
      <c r="BK255" s="73">
        <f t="shared" si="448"/>
        <v>0</v>
      </c>
      <c r="BL255" s="73">
        <f t="shared" si="448"/>
        <v>0</v>
      </c>
      <c r="BM255" s="73">
        <f t="shared" si="448"/>
        <v>0</v>
      </c>
      <c r="BN255" s="73">
        <f t="shared" si="448"/>
        <v>0</v>
      </c>
      <c r="BO255" s="73">
        <f t="shared" si="448"/>
        <v>0</v>
      </c>
      <c r="BP255" s="73">
        <f t="shared" si="448"/>
        <v>0</v>
      </c>
      <c r="BQ255" s="73">
        <f t="shared" si="448"/>
        <v>0</v>
      </c>
      <c r="BR255" s="73">
        <f t="shared" si="448"/>
        <v>0</v>
      </c>
      <c r="BS255" s="73">
        <f t="shared" si="448"/>
        <v>0</v>
      </c>
      <c r="BT255" s="73">
        <f t="shared" si="448"/>
        <v>0</v>
      </c>
      <c r="BU255" s="73">
        <f t="shared" si="448"/>
        <v>0</v>
      </c>
      <c r="BV255" s="73">
        <f t="shared" si="448"/>
        <v>0</v>
      </c>
      <c r="BW255" s="73">
        <f t="shared" si="448"/>
        <v>0</v>
      </c>
      <c r="BX255" s="73">
        <f t="shared" si="448"/>
        <v>0</v>
      </c>
      <c r="BY255" s="73">
        <f t="shared" si="448"/>
        <v>0</v>
      </c>
      <c r="BZ255" s="73">
        <f t="shared" si="448"/>
        <v>0</v>
      </c>
      <c r="CA255" s="73">
        <f t="shared" si="448"/>
        <v>0</v>
      </c>
      <c r="CB255" s="73">
        <f t="shared" si="448"/>
        <v>0</v>
      </c>
      <c r="CC255" s="73">
        <f t="shared" si="448"/>
        <v>0</v>
      </c>
    </row>
    <row r="256" spans="1:81" x14ac:dyDescent="0.2">
      <c r="A256" s="5" t="s">
        <v>214</v>
      </c>
      <c r="B256" s="5">
        <v>0.29799999999999999</v>
      </c>
      <c r="C256" s="46" t="s">
        <v>215</v>
      </c>
      <c r="D256" s="11">
        <f t="shared" ref="D256:AI256" si="449">IF(D255=0,0, ROUND(D252 * 1/D255* D$13,1))</f>
        <v>0</v>
      </c>
      <c r="E256" s="11">
        <f t="shared" si="449"/>
        <v>0</v>
      </c>
      <c r="F256" s="11">
        <f t="shared" si="449"/>
        <v>0</v>
      </c>
      <c r="G256" s="11">
        <f t="shared" si="449"/>
        <v>0</v>
      </c>
      <c r="H256" s="11">
        <f t="shared" si="449"/>
        <v>0</v>
      </c>
      <c r="I256" s="11">
        <f t="shared" si="449"/>
        <v>0</v>
      </c>
      <c r="J256" s="11">
        <f t="shared" si="449"/>
        <v>0</v>
      </c>
      <c r="K256" s="11">
        <f t="shared" si="449"/>
        <v>0</v>
      </c>
      <c r="L256" s="11">
        <f t="shared" si="449"/>
        <v>0</v>
      </c>
      <c r="M256" s="11">
        <f t="shared" si="449"/>
        <v>0</v>
      </c>
      <c r="N256" s="11">
        <f t="shared" si="449"/>
        <v>0</v>
      </c>
      <c r="O256" s="11">
        <f t="shared" si="449"/>
        <v>0</v>
      </c>
      <c r="P256" s="11">
        <f t="shared" si="449"/>
        <v>0</v>
      </c>
      <c r="Q256" s="11">
        <f t="shared" si="449"/>
        <v>0</v>
      </c>
      <c r="R256" s="11">
        <f t="shared" si="449"/>
        <v>0</v>
      </c>
      <c r="S256" s="11">
        <f t="shared" si="449"/>
        <v>0</v>
      </c>
      <c r="T256" s="11">
        <f t="shared" si="449"/>
        <v>0</v>
      </c>
      <c r="U256" s="11">
        <f t="shared" si="449"/>
        <v>0</v>
      </c>
      <c r="V256" s="11">
        <f t="shared" si="449"/>
        <v>0</v>
      </c>
      <c r="W256" s="11">
        <f t="shared" si="449"/>
        <v>0</v>
      </c>
      <c r="X256" s="11">
        <f t="shared" si="449"/>
        <v>0</v>
      </c>
      <c r="Y256" s="11">
        <f t="shared" si="449"/>
        <v>0</v>
      </c>
      <c r="Z256" s="11">
        <f t="shared" si="449"/>
        <v>0</v>
      </c>
      <c r="AA256" s="11">
        <f t="shared" si="449"/>
        <v>0</v>
      </c>
      <c r="AB256" s="11">
        <f t="shared" si="449"/>
        <v>0</v>
      </c>
      <c r="AC256" s="11">
        <f t="shared" si="449"/>
        <v>0</v>
      </c>
      <c r="AD256" s="11">
        <f t="shared" si="449"/>
        <v>0</v>
      </c>
      <c r="AE256" s="11">
        <f t="shared" si="449"/>
        <v>0</v>
      </c>
      <c r="AF256" s="11">
        <f t="shared" si="449"/>
        <v>0</v>
      </c>
      <c r="AG256" s="11">
        <f t="shared" si="449"/>
        <v>0</v>
      </c>
      <c r="AH256" s="11">
        <f t="shared" si="449"/>
        <v>0</v>
      </c>
      <c r="AI256" s="11">
        <f t="shared" si="449"/>
        <v>0</v>
      </c>
      <c r="AJ256" s="11">
        <f t="shared" ref="AJ256:BO256" si="450">IF(AJ255=0,0, ROUND(AJ252 * 1/AJ255* AJ$13,1))</f>
        <v>0</v>
      </c>
      <c r="AK256" s="11">
        <f t="shared" si="450"/>
        <v>0</v>
      </c>
      <c r="AL256" s="11">
        <f t="shared" si="450"/>
        <v>0</v>
      </c>
      <c r="AM256" s="11">
        <f t="shared" si="450"/>
        <v>0</v>
      </c>
      <c r="AN256" s="11">
        <f t="shared" si="450"/>
        <v>0</v>
      </c>
      <c r="AO256" s="11">
        <f t="shared" si="450"/>
        <v>0</v>
      </c>
      <c r="AP256" s="11">
        <f t="shared" si="450"/>
        <v>0</v>
      </c>
      <c r="AQ256" s="11">
        <f t="shared" si="450"/>
        <v>0</v>
      </c>
      <c r="AR256" s="11">
        <f t="shared" si="450"/>
        <v>0</v>
      </c>
      <c r="AS256" s="11">
        <f t="shared" si="450"/>
        <v>0</v>
      </c>
      <c r="AT256" s="11">
        <f t="shared" si="450"/>
        <v>0</v>
      </c>
      <c r="AU256" s="11">
        <f t="shared" si="450"/>
        <v>0</v>
      </c>
      <c r="AV256" s="11">
        <f t="shared" si="450"/>
        <v>0</v>
      </c>
      <c r="AW256" s="11">
        <f t="shared" si="450"/>
        <v>0</v>
      </c>
      <c r="AX256" s="11">
        <f t="shared" si="450"/>
        <v>0</v>
      </c>
      <c r="AY256" s="11">
        <f t="shared" si="450"/>
        <v>0</v>
      </c>
      <c r="AZ256" s="11">
        <f t="shared" si="450"/>
        <v>0</v>
      </c>
      <c r="BA256" s="11">
        <f t="shared" si="450"/>
        <v>0</v>
      </c>
      <c r="BB256" s="11">
        <f t="shared" si="450"/>
        <v>0</v>
      </c>
      <c r="BC256" s="11">
        <f t="shared" si="450"/>
        <v>0</v>
      </c>
      <c r="BD256" s="11">
        <f t="shared" si="450"/>
        <v>0</v>
      </c>
      <c r="BE256" s="11">
        <f t="shared" si="450"/>
        <v>0</v>
      </c>
      <c r="BF256" s="11">
        <f t="shared" si="450"/>
        <v>0</v>
      </c>
      <c r="BG256" s="11">
        <f t="shared" si="450"/>
        <v>0</v>
      </c>
      <c r="BH256" s="11">
        <f t="shared" si="450"/>
        <v>0</v>
      </c>
      <c r="BI256" s="11">
        <f t="shared" si="450"/>
        <v>0</v>
      </c>
      <c r="BJ256" s="11">
        <f t="shared" si="450"/>
        <v>0</v>
      </c>
      <c r="BK256" s="11">
        <f t="shared" si="450"/>
        <v>0</v>
      </c>
      <c r="BL256" s="11">
        <f t="shared" si="450"/>
        <v>0</v>
      </c>
      <c r="BM256" s="11">
        <f t="shared" si="450"/>
        <v>0</v>
      </c>
      <c r="BN256" s="11">
        <f t="shared" si="450"/>
        <v>0</v>
      </c>
      <c r="BO256" s="11">
        <f t="shared" si="450"/>
        <v>0</v>
      </c>
      <c r="BP256" s="11">
        <f t="shared" ref="BP256:CU256" si="451">IF(BP255=0,0, ROUND(BP252 * 1/BP255* BP$13,1))</f>
        <v>0</v>
      </c>
      <c r="BQ256" s="11">
        <f t="shared" si="451"/>
        <v>0</v>
      </c>
      <c r="BR256" s="11">
        <f t="shared" si="451"/>
        <v>0</v>
      </c>
      <c r="BS256" s="11">
        <f t="shared" si="451"/>
        <v>0</v>
      </c>
      <c r="BT256" s="11">
        <f t="shared" si="451"/>
        <v>0</v>
      </c>
      <c r="BU256" s="11">
        <f t="shared" si="451"/>
        <v>0</v>
      </c>
      <c r="BV256" s="11">
        <f t="shared" si="451"/>
        <v>0</v>
      </c>
      <c r="BW256" s="11">
        <f t="shared" si="451"/>
        <v>0</v>
      </c>
      <c r="BX256" s="11">
        <f t="shared" si="451"/>
        <v>0</v>
      </c>
      <c r="BY256" s="11">
        <f t="shared" si="451"/>
        <v>0</v>
      </c>
      <c r="BZ256" s="11">
        <f t="shared" si="451"/>
        <v>0</v>
      </c>
      <c r="CA256" s="11">
        <f t="shared" si="451"/>
        <v>0</v>
      </c>
      <c r="CB256" s="11">
        <f t="shared" si="451"/>
        <v>0</v>
      </c>
      <c r="CC256" s="11">
        <f t="shared" si="451"/>
        <v>0</v>
      </c>
    </row>
    <row r="257" spans="1:81" x14ac:dyDescent="0.2">
      <c r="A257" s="10">
        <v>19</v>
      </c>
      <c r="B257" s="10">
        <v>1</v>
      </c>
      <c r="C257" s="68">
        <v>7.1307299999999998</v>
      </c>
      <c r="D257">
        <f t="shared" ref="D257:AI257" si="452">D254/$B257</f>
        <v>10</v>
      </c>
      <c r="E257">
        <f t="shared" si="452"/>
        <v>0</v>
      </c>
      <c r="F257">
        <f t="shared" si="452"/>
        <v>0</v>
      </c>
      <c r="G257">
        <f t="shared" si="452"/>
        <v>0</v>
      </c>
      <c r="H257">
        <f t="shared" si="452"/>
        <v>0</v>
      </c>
      <c r="I257">
        <f t="shared" si="452"/>
        <v>0</v>
      </c>
      <c r="J257">
        <f t="shared" si="452"/>
        <v>0</v>
      </c>
      <c r="K257">
        <f t="shared" si="452"/>
        <v>0</v>
      </c>
      <c r="L257">
        <f t="shared" si="452"/>
        <v>0</v>
      </c>
      <c r="M257">
        <f t="shared" si="452"/>
        <v>0</v>
      </c>
      <c r="N257">
        <f t="shared" si="452"/>
        <v>0</v>
      </c>
      <c r="O257">
        <f t="shared" si="452"/>
        <v>0</v>
      </c>
      <c r="P257">
        <f t="shared" si="452"/>
        <v>0</v>
      </c>
      <c r="Q257">
        <f t="shared" si="452"/>
        <v>0</v>
      </c>
      <c r="R257">
        <f t="shared" si="452"/>
        <v>0</v>
      </c>
      <c r="S257">
        <f t="shared" si="452"/>
        <v>0</v>
      </c>
      <c r="T257">
        <f t="shared" si="452"/>
        <v>0</v>
      </c>
      <c r="U257">
        <f t="shared" si="452"/>
        <v>0</v>
      </c>
      <c r="V257">
        <f t="shared" si="452"/>
        <v>0</v>
      </c>
      <c r="W257">
        <f t="shared" si="452"/>
        <v>0</v>
      </c>
      <c r="X257">
        <f t="shared" si="452"/>
        <v>0</v>
      </c>
      <c r="Y257">
        <f t="shared" si="452"/>
        <v>0</v>
      </c>
      <c r="Z257">
        <f t="shared" si="452"/>
        <v>0</v>
      </c>
      <c r="AA257">
        <f t="shared" si="452"/>
        <v>0</v>
      </c>
      <c r="AB257">
        <f t="shared" si="452"/>
        <v>0</v>
      </c>
      <c r="AC257">
        <f t="shared" si="452"/>
        <v>0</v>
      </c>
      <c r="AD257">
        <f t="shared" si="452"/>
        <v>0</v>
      </c>
      <c r="AE257">
        <f t="shared" si="452"/>
        <v>0</v>
      </c>
      <c r="AF257">
        <f t="shared" si="452"/>
        <v>0</v>
      </c>
      <c r="AG257">
        <f t="shared" si="452"/>
        <v>0</v>
      </c>
      <c r="AH257">
        <f t="shared" si="452"/>
        <v>0</v>
      </c>
      <c r="AI257">
        <f t="shared" si="452"/>
        <v>0</v>
      </c>
      <c r="AJ257">
        <f t="shared" ref="AJ257:BO257" si="453">AJ254/$B257</f>
        <v>0</v>
      </c>
      <c r="AK257">
        <f t="shared" si="453"/>
        <v>0</v>
      </c>
      <c r="AL257">
        <f t="shared" si="453"/>
        <v>0</v>
      </c>
      <c r="AM257">
        <f t="shared" si="453"/>
        <v>0</v>
      </c>
      <c r="AN257">
        <f t="shared" si="453"/>
        <v>0</v>
      </c>
      <c r="AO257">
        <f t="shared" si="453"/>
        <v>0</v>
      </c>
      <c r="AP257">
        <f t="shared" si="453"/>
        <v>0</v>
      </c>
      <c r="AQ257">
        <f t="shared" si="453"/>
        <v>0</v>
      </c>
      <c r="AR257">
        <f t="shared" si="453"/>
        <v>0</v>
      </c>
      <c r="AS257">
        <f t="shared" si="453"/>
        <v>0</v>
      </c>
      <c r="AT257">
        <f t="shared" si="453"/>
        <v>0</v>
      </c>
      <c r="AU257">
        <f t="shared" si="453"/>
        <v>0</v>
      </c>
      <c r="AV257">
        <f t="shared" si="453"/>
        <v>0</v>
      </c>
      <c r="AW257">
        <f t="shared" si="453"/>
        <v>0</v>
      </c>
      <c r="AX257">
        <f t="shared" si="453"/>
        <v>0</v>
      </c>
      <c r="AY257">
        <f t="shared" si="453"/>
        <v>0</v>
      </c>
      <c r="AZ257">
        <f t="shared" si="453"/>
        <v>0</v>
      </c>
      <c r="BA257">
        <f t="shared" si="453"/>
        <v>0</v>
      </c>
      <c r="BB257">
        <f t="shared" si="453"/>
        <v>0</v>
      </c>
      <c r="BC257">
        <f t="shared" si="453"/>
        <v>0</v>
      </c>
      <c r="BD257">
        <f t="shared" si="453"/>
        <v>0</v>
      </c>
      <c r="BE257">
        <f t="shared" si="453"/>
        <v>0</v>
      </c>
      <c r="BF257">
        <f t="shared" si="453"/>
        <v>0</v>
      </c>
      <c r="BG257">
        <f t="shared" si="453"/>
        <v>0</v>
      </c>
      <c r="BH257">
        <f t="shared" si="453"/>
        <v>0</v>
      </c>
      <c r="BI257">
        <f t="shared" si="453"/>
        <v>0</v>
      </c>
      <c r="BJ257">
        <f t="shared" si="453"/>
        <v>0</v>
      </c>
      <c r="BK257">
        <f t="shared" si="453"/>
        <v>0</v>
      </c>
      <c r="BL257">
        <f t="shared" si="453"/>
        <v>0</v>
      </c>
      <c r="BM257">
        <f t="shared" si="453"/>
        <v>0</v>
      </c>
      <c r="BN257">
        <f t="shared" si="453"/>
        <v>0</v>
      </c>
      <c r="BO257">
        <f t="shared" si="453"/>
        <v>0</v>
      </c>
      <c r="BP257">
        <f t="shared" ref="BP257:CC257" si="454">BP254/$B257</f>
        <v>0</v>
      </c>
      <c r="BQ257">
        <f t="shared" si="454"/>
        <v>0</v>
      </c>
      <c r="BR257">
        <f t="shared" si="454"/>
        <v>0</v>
      </c>
      <c r="BS257">
        <f t="shared" si="454"/>
        <v>0</v>
      </c>
      <c r="BT257">
        <f t="shared" si="454"/>
        <v>0</v>
      </c>
      <c r="BU257">
        <f t="shared" si="454"/>
        <v>0</v>
      </c>
      <c r="BV257">
        <f t="shared" si="454"/>
        <v>0</v>
      </c>
      <c r="BW257">
        <f t="shared" si="454"/>
        <v>0</v>
      </c>
      <c r="BX257">
        <f t="shared" si="454"/>
        <v>0</v>
      </c>
      <c r="BY257">
        <f t="shared" si="454"/>
        <v>0</v>
      </c>
      <c r="BZ257">
        <f t="shared" si="454"/>
        <v>0</v>
      </c>
      <c r="CA257">
        <f t="shared" si="454"/>
        <v>0</v>
      </c>
      <c r="CB257">
        <f t="shared" si="454"/>
        <v>0</v>
      </c>
      <c r="CC257">
        <f t="shared" si="454"/>
        <v>0</v>
      </c>
    </row>
    <row r="258" spans="1:81" x14ac:dyDescent="0.2">
      <c r="C258" s="9" t="s">
        <v>216</v>
      </c>
      <c r="D258">
        <f t="shared" ref="D258:AI258" si="455">D252-D255</f>
        <v>0</v>
      </c>
      <c r="E258">
        <f t="shared" si="455"/>
        <v>0</v>
      </c>
      <c r="F258">
        <f t="shared" si="455"/>
        <v>0</v>
      </c>
      <c r="G258">
        <f t="shared" si="455"/>
        <v>0</v>
      </c>
      <c r="H258">
        <f t="shared" si="455"/>
        <v>0</v>
      </c>
      <c r="I258">
        <f t="shared" si="455"/>
        <v>10</v>
      </c>
      <c r="J258">
        <f t="shared" si="455"/>
        <v>10</v>
      </c>
      <c r="K258">
        <f t="shared" si="455"/>
        <v>10</v>
      </c>
      <c r="L258">
        <f t="shared" si="455"/>
        <v>10</v>
      </c>
      <c r="M258">
        <f t="shared" si="455"/>
        <v>10</v>
      </c>
      <c r="N258">
        <f t="shared" si="455"/>
        <v>10</v>
      </c>
      <c r="O258">
        <f t="shared" si="455"/>
        <v>10</v>
      </c>
      <c r="P258">
        <f t="shared" si="455"/>
        <v>10</v>
      </c>
      <c r="Q258">
        <f t="shared" si="455"/>
        <v>10</v>
      </c>
      <c r="R258">
        <f t="shared" si="455"/>
        <v>10</v>
      </c>
      <c r="S258">
        <f t="shared" si="455"/>
        <v>10</v>
      </c>
      <c r="T258">
        <f t="shared" si="455"/>
        <v>10</v>
      </c>
      <c r="U258">
        <f t="shared" si="455"/>
        <v>10</v>
      </c>
      <c r="V258">
        <f t="shared" si="455"/>
        <v>10</v>
      </c>
      <c r="W258">
        <f t="shared" si="455"/>
        <v>10</v>
      </c>
      <c r="X258">
        <f t="shared" si="455"/>
        <v>10</v>
      </c>
      <c r="Y258">
        <f t="shared" si="455"/>
        <v>10</v>
      </c>
      <c r="Z258">
        <f t="shared" si="455"/>
        <v>10</v>
      </c>
      <c r="AA258">
        <f t="shared" si="455"/>
        <v>10</v>
      </c>
      <c r="AB258">
        <f t="shared" si="455"/>
        <v>10</v>
      </c>
      <c r="AC258">
        <f t="shared" si="455"/>
        <v>10</v>
      </c>
      <c r="AD258">
        <f t="shared" si="455"/>
        <v>10</v>
      </c>
      <c r="AE258">
        <f t="shared" si="455"/>
        <v>10</v>
      </c>
      <c r="AF258">
        <f t="shared" si="455"/>
        <v>10</v>
      </c>
      <c r="AG258">
        <f t="shared" si="455"/>
        <v>10</v>
      </c>
      <c r="AH258">
        <f t="shared" si="455"/>
        <v>10</v>
      </c>
      <c r="AI258">
        <f t="shared" si="455"/>
        <v>10</v>
      </c>
      <c r="AJ258">
        <f t="shared" ref="AJ258:BO258" si="456">AJ252-AJ255</f>
        <v>10</v>
      </c>
      <c r="AK258">
        <f t="shared" si="456"/>
        <v>10</v>
      </c>
      <c r="AL258">
        <f t="shared" si="456"/>
        <v>10</v>
      </c>
      <c r="AM258">
        <f t="shared" si="456"/>
        <v>10</v>
      </c>
      <c r="AN258">
        <f t="shared" si="456"/>
        <v>10</v>
      </c>
      <c r="AO258">
        <f t="shared" si="456"/>
        <v>10</v>
      </c>
      <c r="AP258">
        <f t="shared" si="456"/>
        <v>10</v>
      </c>
      <c r="AQ258">
        <f t="shared" si="456"/>
        <v>10</v>
      </c>
      <c r="AR258">
        <f t="shared" si="456"/>
        <v>10</v>
      </c>
      <c r="AS258">
        <f t="shared" si="456"/>
        <v>10</v>
      </c>
      <c r="AT258">
        <f t="shared" si="456"/>
        <v>10</v>
      </c>
      <c r="AU258">
        <f t="shared" si="456"/>
        <v>10</v>
      </c>
      <c r="AV258">
        <f t="shared" si="456"/>
        <v>10</v>
      </c>
      <c r="AW258">
        <f t="shared" si="456"/>
        <v>10</v>
      </c>
      <c r="AX258">
        <f t="shared" si="456"/>
        <v>10</v>
      </c>
      <c r="AY258">
        <f t="shared" si="456"/>
        <v>10</v>
      </c>
      <c r="AZ258">
        <f t="shared" si="456"/>
        <v>10</v>
      </c>
      <c r="BA258">
        <f t="shared" si="456"/>
        <v>10</v>
      </c>
      <c r="BB258">
        <f t="shared" si="456"/>
        <v>10</v>
      </c>
      <c r="BC258">
        <f t="shared" si="456"/>
        <v>10</v>
      </c>
      <c r="BD258">
        <f t="shared" si="456"/>
        <v>10</v>
      </c>
      <c r="BE258">
        <f t="shared" si="456"/>
        <v>10</v>
      </c>
      <c r="BF258">
        <f t="shared" si="456"/>
        <v>10</v>
      </c>
      <c r="BG258">
        <f t="shared" si="456"/>
        <v>10</v>
      </c>
      <c r="BH258">
        <f t="shared" si="456"/>
        <v>10</v>
      </c>
      <c r="BI258">
        <f t="shared" si="456"/>
        <v>10</v>
      </c>
      <c r="BJ258">
        <f t="shared" si="456"/>
        <v>10</v>
      </c>
      <c r="BK258">
        <f t="shared" si="456"/>
        <v>10</v>
      </c>
      <c r="BL258">
        <f t="shared" si="456"/>
        <v>10</v>
      </c>
      <c r="BM258">
        <f t="shared" si="456"/>
        <v>10</v>
      </c>
      <c r="BN258">
        <f t="shared" si="456"/>
        <v>10</v>
      </c>
      <c r="BO258">
        <f t="shared" si="456"/>
        <v>10</v>
      </c>
      <c r="BP258">
        <f t="shared" ref="BP258:CC258" si="457">BP252-BP255</f>
        <v>10</v>
      </c>
      <c r="BQ258">
        <f t="shared" si="457"/>
        <v>10</v>
      </c>
      <c r="BR258">
        <f t="shared" si="457"/>
        <v>10</v>
      </c>
      <c r="BS258">
        <f t="shared" si="457"/>
        <v>10</v>
      </c>
      <c r="BT258">
        <f t="shared" si="457"/>
        <v>10</v>
      </c>
      <c r="BU258">
        <f t="shared" si="457"/>
        <v>10</v>
      </c>
      <c r="BV258">
        <f t="shared" si="457"/>
        <v>10</v>
      </c>
      <c r="BW258">
        <f t="shared" si="457"/>
        <v>10</v>
      </c>
      <c r="BX258">
        <f t="shared" si="457"/>
        <v>10</v>
      </c>
      <c r="BY258">
        <f t="shared" si="457"/>
        <v>10</v>
      </c>
      <c r="BZ258">
        <f t="shared" si="457"/>
        <v>10</v>
      </c>
      <c r="CA258">
        <f t="shared" si="457"/>
        <v>10</v>
      </c>
      <c r="CB258">
        <f t="shared" si="457"/>
        <v>10</v>
      </c>
      <c r="CC258">
        <f t="shared" si="457"/>
        <v>10</v>
      </c>
    </row>
    <row r="259" spans="1:81" x14ac:dyDescent="0.2">
      <c r="C259" s="9"/>
    </row>
    <row r="260" spans="1:81" x14ac:dyDescent="0.2">
      <c r="A260" t="s">
        <v>251</v>
      </c>
      <c r="C260" s="47" t="s">
        <v>38</v>
      </c>
      <c r="D260" s="47">
        <f t="shared" ref="D260:AI260" si="458">D14+D21+D28+D35+D42+D49+D56+D63+D70+D77+D84+D91+D98+D105+D112+D119+D126+D133+D140+D147+D154+D161+D168+D175+D182+D189+D196+D203+D210+D217+D224+D231+D238+D245+D252</f>
        <v>25017</v>
      </c>
      <c r="E260" s="47">
        <f t="shared" si="458"/>
        <v>27429</v>
      </c>
      <c r="F260" s="47">
        <f t="shared" si="458"/>
        <v>21729</v>
      </c>
      <c r="G260" s="47">
        <f t="shared" si="458"/>
        <v>18069</v>
      </c>
      <c r="H260" s="47">
        <f t="shared" si="458"/>
        <v>13829</v>
      </c>
      <c r="I260" s="47">
        <f t="shared" si="458"/>
        <v>12430</v>
      </c>
      <c r="J260" s="47">
        <f t="shared" si="458"/>
        <v>12114</v>
      </c>
      <c r="K260" s="47">
        <f t="shared" si="458"/>
        <v>10484</v>
      </c>
      <c r="L260" s="47">
        <f t="shared" si="458"/>
        <v>6484</v>
      </c>
      <c r="M260" s="47">
        <f t="shared" si="458"/>
        <v>1084</v>
      </c>
      <c r="N260" s="47">
        <f t="shared" si="458"/>
        <v>-5216</v>
      </c>
      <c r="O260" s="47">
        <f t="shared" si="458"/>
        <v>-5216</v>
      </c>
      <c r="P260" s="47">
        <f t="shared" si="458"/>
        <v>-5216</v>
      </c>
      <c r="Q260" s="47">
        <f t="shared" si="458"/>
        <v>-5216</v>
      </c>
      <c r="R260" s="47">
        <f t="shared" si="458"/>
        <v>-5216</v>
      </c>
      <c r="S260" s="47">
        <f t="shared" si="458"/>
        <v>-8956</v>
      </c>
      <c r="T260" s="47">
        <f t="shared" si="458"/>
        <v>-12356</v>
      </c>
      <c r="U260" s="47">
        <f t="shared" si="458"/>
        <v>-15616</v>
      </c>
      <c r="V260" s="47">
        <f t="shared" si="458"/>
        <v>-19296</v>
      </c>
      <c r="W260" s="47">
        <f t="shared" si="458"/>
        <v>-22976</v>
      </c>
      <c r="X260" s="47">
        <f t="shared" si="458"/>
        <v>-26656</v>
      </c>
      <c r="Y260" s="47">
        <f t="shared" si="458"/>
        <v>-30276</v>
      </c>
      <c r="Z260" s="47">
        <f t="shared" si="458"/>
        <v>-32806</v>
      </c>
      <c r="AA260" s="47">
        <f t="shared" si="458"/>
        <v>-35336</v>
      </c>
      <c r="AB260" s="47">
        <f t="shared" si="458"/>
        <v>-37866</v>
      </c>
      <c r="AC260" s="47">
        <f t="shared" si="458"/>
        <v>-40336</v>
      </c>
      <c r="AD260" s="47">
        <f t="shared" si="458"/>
        <v>-44126</v>
      </c>
      <c r="AE260" s="47">
        <f t="shared" si="458"/>
        <v>-47916</v>
      </c>
      <c r="AF260" s="47">
        <f t="shared" si="458"/>
        <v>-51696</v>
      </c>
      <c r="AG260" s="47">
        <f t="shared" si="458"/>
        <v>-55476</v>
      </c>
      <c r="AH260" s="47">
        <f t="shared" si="458"/>
        <v>-58956</v>
      </c>
      <c r="AI260" s="47">
        <f t="shared" si="458"/>
        <v>-62766</v>
      </c>
      <c r="AJ260" s="47">
        <f t="shared" ref="AJ260:BO260" si="459">AJ14+AJ21+AJ28+AJ35+AJ42+AJ49+AJ56+AJ63+AJ70+AJ77+AJ84+AJ91+AJ98+AJ105+AJ112+AJ119+AJ126+AJ133+AJ140+AJ147+AJ154+AJ161+AJ168+AJ175+AJ182+AJ189+AJ196+AJ203+AJ210+AJ217+AJ224+AJ231+AJ238+AJ245+AJ252</f>
        <v>-66576</v>
      </c>
      <c r="AK260" s="47">
        <f t="shared" si="459"/>
        <v>-66576</v>
      </c>
      <c r="AL260" s="47">
        <f t="shared" si="459"/>
        <v>-66576</v>
      </c>
      <c r="AM260" s="47">
        <f t="shared" si="459"/>
        <v>-66576</v>
      </c>
      <c r="AN260" s="47">
        <f t="shared" si="459"/>
        <v>-66576</v>
      </c>
      <c r="AO260" s="47">
        <f t="shared" si="459"/>
        <v>-69300</v>
      </c>
      <c r="AP260" s="47">
        <f t="shared" si="459"/>
        <v>-72024</v>
      </c>
      <c r="AQ260" s="47">
        <f t="shared" si="459"/>
        <v>-74748</v>
      </c>
      <c r="AR260" s="47">
        <f t="shared" si="459"/>
        <v>-78033</v>
      </c>
      <c r="AS260" s="47">
        <f t="shared" si="459"/>
        <v>-81318</v>
      </c>
      <c r="AT260" s="47">
        <f t="shared" si="459"/>
        <v>-83952</v>
      </c>
      <c r="AU260" s="47">
        <f t="shared" si="459"/>
        <v>-87237</v>
      </c>
      <c r="AV260" s="47">
        <f t="shared" si="459"/>
        <v>-90361</v>
      </c>
      <c r="AW260" s="47">
        <f t="shared" si="459"/>
        <v>-93485</v>
      </c>
      <c r="AX260" s="47">
        <f t="shared" si="459"/>
        <v>-96609</v>
      </c>
      <c r="AY260" s="47">
        <f t="shared" si="459"/>
        <v>-99733</v>
      </c>
      <c r="AZ260" s="47">
        <f t="shared" si="459"/>
        <v>-102233</v>
      </c>
      <c r="BA260" s="47">
        <f t="shared" si="459"/>
        <v>-104460</v>
      </c>
      <c r="BB260" s="47">
        <f t="shared" si="459"/>
        <v>-106687</v>
      </c>
      <c r="BC260" s="47">
        <f t="shared" si="459"/>
        <v>-108914</v>
      </c>
      <c r="BD260" s="47">
        <f t="shared" si="459"/>
        <v>-111414</v>
      </c>
      <c r="BE260" s="47">
        <f t="shared" si="459"/>
        <v>-113914</v>
      </c>
      <c r="BF260" s="47">
        <f t="shared" si="459"/>
        <v>-116414</v>
      </c>
      <c r="BG260" s="47">
        <f t="shared" si="459"/>
        <v>-118914</v>
      </c>
      <c r="BH260" s="47">
        <f t="shared" si="459"/>
        <v>-121414</v>
      </c>
      <c r="BI260" s="47">
        <f t="shared" si="459"/>
        <v>-123914</v>
      </c>
      <c r="BJ260" s="47">
        <f t="shared" si="459"/>
        <v>-126414</v>
      </c>
      <c r="BK260" s="47">
        <f t="shared" si="459"/>
        <v>-128914</v>
      </c>
      <c r="BL260" s="47">
        <f t="shared" si="459"/>
        <v>-131414</v>
      </c>
      <c r="BM260" s="47">
        <f t="shared" si="459"/>
        <v>-133899</v>
      </c>
      <c r="BN260" s="47">
        <f t="shared" si="459"/>
        <v>-136384</v>
      </c>
      <c r="BO260" s="47">
        <f t="shared" si="459"/>
        <v>-140910</v>
      </c>
      <c r="BP260" s="47">
        <f t="shared" ref="BP260:CC260" si="460">BP14+BP21+BP28+BP35+BP42+BP49+BP56+BP63+BP70+BP77+BP84+BP91+BP98+BP105+BP112+BP119+BP126+BP133+BP140+BP147+BP154+BP161+BP168+BP175+BP182+BP189+BP196+BP203+BP210+BP217+BP224+BP231+BP238+BP245+BP252</f>
        <v>-140910</v>
      </c>
      <c r="BQ260" s="47">
        <f t="shared" si="460"/>
        <v>-140910</v>
      </c>
      <c r="BR260" s="47">
        <f t="shared" si="460"/>
        <v>-140910</v>
      </c>
      <c r="BS260" s="47">
        <f t="shared" si="460"/>
        <v>-140910</v>
      </c>
      <c r="BT260" s="47">
        <f t="shared" si="460"/>
        <v>-142961</v>
      </c>
      <c r="BU260" s="47">
        <f t="shared" si="460"/>
        <v>-145012</v>
      </c>
      <c r="BV260" s="47">
        <f t="shared" si="460"/>
        <v>-147063</v>
      </c>
      <c r="BW260" s="47">
        <f t="shared" si="460"/>
        <v>-149114</v>
      </c>
      <c r="BX260" s="47">
        <f t="shared" si="460"/>
        <v>-151165</v>
      </c>
      <c r="BY260" s="47">
        <f t="shared" si="460"/>
        <v>-153216</v>
      </c>
      <c r="BZ260" s="47">
        <f t="shared" si="460"/>
        <v>-155267</v>
      </c>
      <c r="CA260" s="47">
        <f t="shared" si="460"/>
        <v>-157318</v>
      </c>
      <c r="CB260" s="47">
        <f t="shared" si="460"/>
        <v>-159369</v>
      </c>
      <c r="CC260" s="47">
        <f t="shared" si="460"/>
        <v>-161420</v>
      </c>
    </row>
    <row r="261" spans="1:81" x14ac:dyDescent="0.2">
      <c r="C261" s="47" t="s">
        <v>39</v>
      </c>
      <c r="D261" s="47">
        <f t="shared" ref="D261:AI261" si="461">D15+D22+D29+D36+D43+D50+D57+D64+D71+D78+D85+D92+D99+D106+D113+D120+D127+D134+D141+D148+D155+D162+D169+D176+D183+D190+D197+D204+D211+D218+D225+D232+D239+D246+D253</f>
        <v>2732</v>
      </c>
      <c r="E261" s="47">
        <f t="shared" si="461"/>
        <v>0</v>
      </c>
      <c r="F261" s="47">
        <f t="shared" si="461"/>
        <v>0</v>
      </c>
      <c r="G261" s="47">
        <f t="shared" si="461"/>
        <v>0</v>
      </c>
      <c r="H261" s="47">
        <f t="shared" si="461"/>
        <v>0</v>
      </c>
      <c r="I261" s="47">
        <f t="shared" si="461"/>
        <v>0</v>
      </c>
      <c r="J261" s="47">
        <f t="shared" si="461"/>
        <v>0</v>
      </c>
      <c r="K261" s="47">
        <f t="shared" si="461"/>
        <v>0</v>
      </c>
      <c r="L261" s="47">
        <f t="shared" si="461"/>
        <v>0</v>
      </c>
      <c r="M261" s="47">
        <f t="shared" si="461"/>
        <v>0</v>
      </c>
      <c r="N261" s="47">
        <f t="shared" si="461"/>
        <v>0</v>
      </c>
      <c r="O261" s="47">
        <f t="shared" si="461"/>
        <v>0</v>
      </c>
      <c r="P261" s="47">
        <f t="shared" si="461"/>
        <v>0</v>
      </c>
      <c r="Q261" s="47">
        <f t="shared" si="461"/>
        <v>0</v>
      </c>
      <c r="R261" s="47">
        <f t="shared" si="461"/>
        <v>0</v>
      </c>
      <c r="S261" s="47">
        <f t="shared" si="461"/>
        <v>0</v>
      </c>
      <c r="T261" s="47">
        <f t="shared" si="461"/>
        <v>0</v>
      </c>
      <c r="U261" s="47">
        <f t="shared" si="461"/>
        <v>0</v>
      </c>
      <c r="V261" s="47">
        <f t="shared" si="461"/>
        <v>0</v>
      </c>
      <c r="W261" s="47">
        <f t="shared" si="461"/>
        <v>0</v>
      </c>
      <c r="X261" s="47">
        <f t="shared" si="461"/>
        <v>0</v>
      </c>
      <c r="Y261" s="47">
        <f t="shared" si="461"/>
        <v>0</v>
      </c>
      <c r="Z261" s="47">
        <f t="shared" si="461"/>
        <v>0</v>
      </c>
      <c r="AA261" s="47">
        <f t="shared" si="461"/>
        <v>0</v>
      </c>
      <c r="AB261" s="47">
        <f t="shared" si="461"/>
        <v>0</v>
      </c>
      <c r="AC261" s="47">
        <f t="shared" si="461"/>
        <v>0</v>
      </c>
      <c r="AD261" s="47">
        <f t="shared" si="461"/>
        <v>0</v>
      </c>
      <c r="AE261" s="47">
        <f t="shared" si="461"/>
        <v>0</v>
      </c>
      <c r="AF261" s="47">
        <f t="shared" si="461"/>
        <v>0</v>
      </c>
      <c r="AG261" s="47">
        <f t="shared" si="461"/>
        <v>0</v>
      </c>
      <c r="AH261" s="47">
        <f t="shared" si="461"/>
        <v>0</v>
      </c>
      <c r="AI261" s="47">
        <f t="shared" si="461"/>
        <v>0</v>
      </c>
      <c r="AJ261" s="47">
        <f t="shared" ref="AJ261:BO261" si="462">AJ15+AJ22+AJ29+AJ36+AJ43+AJ50+AJ57+AJ64+AJ71+AJ78+AJ85+AJ92+AJ99+AJ106+AJ113+AJ120+AJ127+AJ134+AJ141+AJ148+AJ155+AJ162+AJ169+AJ176+AJ183+AJ190+AJ197+AJ204+AJ211+AJ218+AJ225+AJ232+AJ239+AJ246+AJ253</f>
        <v>0</v>
      </c>
      <c r="AK261" s="47">
        <f t="shared" si="462"/>
        <v>0</v>
      </c>
      <c r="AL261" s="47">
        <f t="shared" si="462"/>
        <v>0</v>
      </c>
      <c r="AM261" s="47">
        <f t="shared" si="462"/>
        <v>0</v>
      </c>
      <c r="AN261" s="47">
        <f t="shared" si="462"/>
        <v>0</v>
      </c>
      <c r="AO261" s="47">
        <f t="shared" si="462"/>
        <v>0</v>
      </c>
      <c r="AP261" s="47">
        <f t="shared" si="462"/>
        <v>0</v>
      </c>
      <c r="AQ261" s="47">
        <f t="shared" si="462"/>
        <v>0</v>
      </c>
      <c r="AR261" s="47">
        <f t="shared" si="462"/>
        <v>0</v>
      </c>
      <c r="AS261" s="47">
        <f t="shared" si="462"/>
        <v>0</v>
      </c>
      <c r="AT261" s="47">
        <f t="shared" si="462"/>
        <v>0</v>
      </c>
      <c r="AU261" s="47">
        <f t="shared" si="462"/>
        <v>0</v>
      </c>
      <c r="AV261" s="47">
        <f t="shared" si="462"/>
        <v>0</v>
      </c>
      <c r="AW261" s="47">
        <f t="shared" si="462"/>
        <v>0</v>
      </c>
      <c r="AX261" s="47">
        <f t="shared" si="462"/>
        <v>0</v>
      </c>
      <c r="AY261" s="47">
        <f t="shared" si="462"/>
        <v>0</v>
      </c>
      <c r="AZ261" s="47">
        <f t="shared" si="462"/>
        <v>0</v>
      </c>
      <c r="BA261" s="47">
        <f t="shared" si="462"/>
        <v>0</v>
      </c>
      <c r="BB261" s="47">
        <f t="shared" si="462"/>
        <v>0</v>
      </c>
      <c r="BC261" s="47">
        <f t="shared" si="462"/>
        <v>0</v>
      </c>
      <c r="BD261" s="47">
        <f t="shared" si="462"/>
        <v>0</v>
      </c>
      <c r="BE261" s="47">
        <f t="shared" si="462"/>
        <v>0</v>
      </c>
      <c r="BF261" s="47">
        <f t="shared" si="462"/>
        <v>0</v>
      </c>
      <c r="BG261" s="47">
        <f t="shared" si="462"/>
        <v>0</v>
      </c>
      <c r="BH261" s="47">
        <f t="shared" si="462"/>
        <v>0</v>
      </c>
      <c r="BI261" s="47">
        <f t="shared" si="462"/>
        <v>0</v>
      </c>
      <c r="BJ261" s="47">
        <f t="shared" si="462"/>
        <v>0</v>
      </c>
      <c r="BK261" s="47">
        <f t="shared" si="462"/>
        <v>0</v>
      </c>
      <c r="BL261" s="47">
        <f t="shared" si="462"/>
        <v>0</v>
      </c>
      <c r="BM261" s="47">
        <f t="shared" si="462"/>
        <v>0</v>
      </c>
      <c r="BN261" s="47">
        <f t="shared" si="462"/>
        <v>0</v>
      </c>
      <c r="BO261" s="47">
        <f t="shared" si="462"/>
        <v>0</v>
      </c>
      <c r="BP261" s="47">
        <f t="shared" ref="BP261:CC261" si="463">BP15+BP22+BP29+BP36+BP43+BP50+BP57+BP64+BP71+BP78+BP85+BP92+BP99+BP106+BP113+BP120+BP127+BP134+BP141+BP148+BP155+BP162+BP169+BP176+BP183+BP190+BP197+BP204+BP211+BP218+BP225+BP232+BP239+BP246+BP253</f>
        <v>0</v>
      </c>
      <c r="BQ261" s="47">
        <f t="shared" si="463"/>
        <v>0</v>
      </c>
      <c r="BR261" s="47">
        <f t="shared" si="463"/>
        <v>0</v>
      </c>
      <c r="BS261" s="47">
        <f t="shared" si="463"/>
        <v>0</v>
      </c>
      <c r="BT261" s="47">
        <f t="shared" si="463"/>
        <v>0</v>
      </c>
      <c r="BU261" s="47">
        <f t="shared" si="463"/>
        <v>0</v>
      </c>
      <c r="BV261" s="47">
        <f t="shared" si="463"/>
        <v>0</v>
      </c>
      <c r="BW261" s="47">
        <f t="shared" si="463"/>
        <v>0</v>
      </c>
      <c r="BX261" s="47">
        <f t="shared" si="463"/>
        <v>0</v>
      </c>
      <c r="BY261" s="47">
        <f t="shared" si="463"/>
        <v>0</v>
      </c>
      <c r="BZ261" s="47">
        <f t="shared" si="463"/>
        <v>0</v>
      </c>
      <c r="CA261" s="47">
        <f t="shared" si="463"/>
        <v>0</v>
      </c>
      <c r="CB261" s="47">
        <f t="shared" si="463"/>
        <v>0</v>
      </c>
      <c r="CC261" s="47">
        <f t="shared" si="463"/>
        <v>0</v>
      </c>
    </row>
    <row r="262" spans="1:81" x14ac:dyDescent="0.2">
      <c r="C262" s="47" t="s">
        <v>211</v>
      </c>
      <c r="D262" s="47">
        <f t="shared" ref="D262:AI262" si="464">D16+D23+D30+D37+D44+D51+D58+D65+D72+D79+D86+D93+D100+D107+D114+D121+D128+D135+D142+D149+D156+D163+D170+D177+D184+D191+D198+D205+D212+D219+D226+D233+D240+D247+D254</f>
        <v>2576</v>
      </c>
      <c r="E262" s="47">
        <f t="shared" si="464"/>
        <v>3544</v>
      </c>
      <c r="F262" s="47">
        <f t="shared" si="464"/>
        <v>1950</v>
      </c>
      <c r="G262" s="47">
        <f t="shared" si="464"/>
        <v>0</v>
      </c>
      <c r="H262" s="47">
        <f t="shared" si="464"/>
        <v>0</v>
      </c>
      <c r="I262" s="47">
        <f t="shared" si="464"/>
        <v>0</v>
      </c>
      <c r="J262" s="47">
        <f t="shared" si="464"/>
        <v>0</v>
      </c>
      <c r="K262" s="47">
        <f t="shared" si="464"/>
        <v>0</v>
      </c>
      <c r="L262" s="47">
        <f t="shared" si="464"/>
        <v>0</v>
      </c>
      <c r="M262" s="47">
        <f t="shared" si="464"/>
        <v>0</v>
      </c>
      <c r="N262" s="47">
        <f t="shared" si="464"/>
        <v>0</v>
      </c>
      <c r="O262" s="47">
        <f t="shared" si="464"/>
        <v>0</v>
      </c>
      <c r="P262" s="47">
        <f t="shared" si="464"/>
        <v>0</v>
      </c>
      <c r="Q262" s="47">
        <f t="shared" si="464"/>
        <v>0</v>
      </c>
      <c r="R262" s="47">
        <f t="shared" si="464"/>
        <v>0</v>
      </c>
      <c r="S262" s="47">
        <f t="shared" si="464"/>
        <v>0</v>
      </c>
      <c r="T262" s="47">
        <f t="shared" si="464"/>
        <v>0</v>
      </c>
      <c r="U262" s="47">
        <f t="shared" si="464"/>
        <v>0</v>
      </c>
      <c r="V262" s="47">
        <f t="shared" si="464"/>
        <v>0</v>
      </c>
      <c r="W262" s="47">
        <f t="shared" si="464"/>
        <v>0</v>
      </c>
      <c r="X262" s="47">
        <f t="shared" si="464"/>
        <v>0</v>
      </c>
      <c r="Y262" s="47">
        <f t="shared" si="464"/>
        <v>0</v>
      </c>
      <c r="Z262" s="47">
        <f t="shared" si="464"/>
        <v>0</v>
      </c>
      <c r="AA262" s="47">
        <f t="shared" si="464"/>
        <v>0</v>
      </c>
      <c r="AB262" s="47">
        <f t="shared" si="464"/>
        <v>0</v>
      </c>
      <c r="AC262" s="47">
        <f t="shared" si="464"/>
        <v>0</v>
      </c>
      <c r="AD262" s="47">
        <f t="shared" si="464"/>
        <v>0</v>
      </c>
      <c r="AE262" s="47">
        <f t="shared" si="464"/>
        <v>0</v>
      </c>
      <c r="AF262" s="47">
        <f t="shared" si="464"/>
        <v>0</v>
      </c>
      <c r="AG262" s="47">
        <f t="shared" si="464"/>
        <v>0</v>
      </c>
      <c r="AH262" s="47">
        <f t="shared" si="464"/>
        <v>0</v>
      </c>
      <c r="AI262" s="47">
        <f t="shared" si="464"/>
        <v>0</v>
      </c>
      <c r="AJ262" s="47">
        <f t="shared" ref="AJ262:BO262" si="465">AJ16+AJ23+AJ30+AJ37+AJ44+AJ51+AJ58+AJ65+AJ72+AJ79+AJ86+AJ93+AJ100+AJ107+AJ114+AJ121+AJ128+AJ135+AJ142+AJ149+AJ156+AJ163+AJ170+AJ177+AJ184+AJ191+AJ198+AJ205+AJ212+AJ219+AJ226+AJ233+AJ240+AJ247+AJ254</f>
        <v>0</v>
      </c>
      <c r="AK262" s="47">
        <f t="shared" si="465"/>
        <v>0</v>
      </c>
      <c r="AL262" s="47">
        <f t="shared" si="465"/>
        <v>0</v>
      </c>
      <c r="AM262" s="47">
        <f t="shared" si="465"/>
        <v>0</v>
      </c>
      <c r="AN262" s="47">
        <f t="shared" si="465"/>
        <v>0</v>
      </c>
      <c r="AO262" s="47">
        <f t="shared" si="465"/>
        <v>0</v>
      </c>
      <c r="AP262" s="47">
        <f t="shared" si="465"/>
        <v>0</v>
      </c>
      <c r="AQ262" s="47">
        <f t="shared" si="465"/>
        <v>0</v>
      </c>
      <c r="AR262" s="47">
        <f t="shared" si="465"/>
        <v>0</v>
      </c>
      <c r="AS262" s="47">
        <f t="shared" si="465"/>
        <v>0</v>
      </c>
      <c r="AT262" s="47">
        <f t="shared" si="465"/>
        <v>0</v>
      </c>
      <c r="AU262" s="47">
        <f t="shared" si="465"/>
        <v>0</v>
      </c>
      <c r="AV262" s="47">
        <f t="shared" si="465"/>
        <v>0</v>
      </c>
      <c r="AW262" s="47">
        <f t="shared" si="465"/>
        <v>0</v>
      </c>
      <c r="AX262" s="47">
        <f t="shared" si="465"/>
        <v>0</v>
      </c>
      <c r="AY262" s="47">
        <f t="shared" si="465"/>
        <v>0</v>
      </c>
      <c r="AZ262" s="47">
        <f t="shared" si="465"/>
        <v>0</v>
      </c>
      <c r="BA262" s="47">
        <f t="shared" si="465"/>
        <v>0</v>
      </c>
      <c r="BB262" s="47">
        <f t="shared" si="465"/>
        <v>0</v>
      </c>
      <c r="BC262" s="47">
        <f t="shared" si="465"/>
        <v>0</v>
      </c>
      <c r="BD262" s="47">
        <f t="shared" si="465"/>
        <v>0</v>
      </c>
      <c r="BE262" s="47">
        <f t="shared" si="465"/>
        <v>0</v>
      </c>
      <c r="BF262" s="47">
        <f t="shared" si="465"/>
        <v>0</v>
      </c>
      <c r="BG262" s="47">
        <f t="shared" si="465"/>
        <v>0</v>
      </c>
      <c r="BH262" s="47">
        <f t="shared" si="465"/>
        <v>0</v>
      </c>
      <c r="BI262" s="47">
        <f t="shared" si="465"/>
        <v>0</v>
      </c>
      <c r="BJ262" s="47">
        <f t="shared" si="465"/>
        <v>0</v>
      </c>
      <c r="BK262" s="47">
        <f t="shared" si="465"/>
        <v>0</v>
      </c>
      <c r="BL262" s="47">
        <f t="shared" si="465"/>
        <v>0</v>
      </c>
      <c r="BM262" s="47">
        <f t="shared" si="465"/>
        <v>0</v>
      </c>
      <c r="BN262" s="47">
        <f t="shared" si="465"/>
        <v>0</v>
      </c>
      <c r="BO262" s="47">
        <f t="shared" si="465"/>
        <v>0</v>
      </c>
      <c r="BP262" s="47">
        <f t="shared" ref="BP262:CC262" si="466">BP16+BP23+BP30+BP37+BP44+BP51+BP58+BP65+BP72+BP79+BP86+BP93+BP100+BP107+BP114+BP121+BP128+BP135+BP142+BP149+BP156+BP163+BP170+BP177+BP184+BP191+BP198+BP205+BP212+BP219+BP226+BP233+BP240+BP247+BP254</f>
        <v>0</v>
      </c>
      <c r="BQ262" s="47">
        <f t="shared" si="466"/>
        <v>0</v>
      </c>
      <c r="BR262" s="47">
        <f t="shared" si="466"/>
        <v>0</v>
      </c>
      <c r="BS262" s="47">
        <f t="shared" si="466"/>
        <v>0</v>
      </c>
      <c r="BT262" s="47">
        <f t="shared" si="466"/>
        <v>0</v>
      </c>
      <c r="BU262" s="47">
        <f t="shared" si="466"/>
        <v>0</v>
      </c>
      <c r="BV262" s="47">
        <f t="shared" si="466"/>
        <v>0</v>
      </c>
      <c r="BW262" s="47">
        <f t="shared" si="466"/>
        <v>0</v>
      </c>
      <c r="BX262" s="47">
        <f t="shared" si="466"/>
        <v>0</v>
      </c>
      <c r="BY262" s="47">
        <f t="shared" si="466"/>
        <v>0</v>
      </c>
      <c r="BZ262" s="47">
        <f t="shared" si="466"/>
        <v>0</v>
      </c>
      <c r="CA262" s="47">
        <f t="shared" si="466"/>
        <v>0</v>
      </c>
      <c r="CB262" s="47">
        <f t="shared" si="466"/>
        <v>0</v>
      </c>
      <c r="CC262" s="47">
        <f t="shared" si="466"/>
        <v>0</v>
      </c>
    </row>
    <row r="263" spans="1:81" x14ac:dyDescent="0.2">
      <c r="C263" s="47" t="s">
        <v>213</v>
      </c>
      <c r="D263" s="47">
        <f t="shared" ref="D263:AI263" si="467">D17+D24+D31+D38+D45+D52+D59+D66+D73+D80+D87+D94+D101+D108+D115+D122+D129+D136+D143+D150+D157+D164+D171+D178+D185+D192+D199+D206+D213+D220+D227+D234+D241+D248+D255</f>
        <v>320</v>
      </c>
      <c r="E263" s="47">
        <f t="shared" si="467"/>
        <v>5700</v>
      </c>
      <c r="F263" s="47">
        <f t="shared" si="467"/>
        <v>3660</v>
      </c>
      <c r="G263" s="47">
        <f t="shared" si="467"/>
        <v>4240</v>
      </c>
      <c r="H263" s="47">
        <f t="shared" si="467"/>
        <v>3975</v>
      </c>
      <c r="I263" s="47">
        <f t="shared" si="467"/>
        <v>3860</v>
      </c>
      <c r="J263" s="47">
        <f t="shared" si="467"/>
        <v>3580</v>
      </c>
      <c r="K263" s="47">
        <f t="shared" si="467"/>
        <v>4000</v>
      </c>
      <c r="L263" s="47">
        <f t="shared" si="467"/>
        <v>5400</v>
      </c>
      <c r="M263" s="47">
        <f t="shared" si="467"/>
        <v>6300</v>
      </c>
      <c r="N263" s="47">
        <f t="shared" si="467"/>
        <v>0</v>
      </c>
      <c r="O263" s="47">
        <f t="shared" si="467"/>
        <v>0</v>
      </c>
      <c r="P263" s="47">
        <f t="shared" si="467"/>
        <v>0</v>
      </c>
      <c r="Q263" s="47">
        <f t="shared" si="467"/>
        <v>0</v>
      </c>
      <c r="R263" s="47">
        <f t="shared" si="467"/>
        <v>3740</v>
      </c>
      <c r="S263" s="47">
        <f t="shared" si="467"/>
        <v>3400</v>
      </c>
      <c r="T263" s="47">
        <f t="shared" si="467"/>
        <v>3260</v>
      </c>
      <c r="U263" s="47">
        <f t="shared" si="467"/>
        <v>3680</v>
      </c>
      <c r="V263" s="47">
        <f t="shared" si="467"/>
        <v>3680</v>
      </c>
      <c r="W263" s="47">
        <f t="shared" si="467"/>
        <v>3680</v>
      </c>
      <c r="X263" s="47">
        <f t="shared" si="467"/>
        <v>3620</v>
      </c>
      <c r="Y263" s="47">
        <f t="shared" si="467"/>
        <v>2530</v>
      </c>
      <c r="Z263" s="47">
        <f t="shared" si="467"/>
        <v>2530</v>
      </c>
      <c r="AA263" s="47">
        <f t="shared" si="467"/>
        <v>2530</v>
      </c>
      <c r="AB263" s="47">
        <f t="shared" si="467"/>
        <v>2470</v>
      </c>
      <c r="AC263" s="47">
        <f t="shared" si="467"/>
        <v>3790</v>
      </c>
      <c r="AD263" s="47">
        <f t="shared" si="467"/>
        <v>3790</v>
      </c>
      <c r="AE263" s="47">
        <f t="shared" si="467"/>
        <v>3780</v>
      </c>
      <c r="AF263" s="47">
        <f t="shared" si="467"/>
        <v>3780</v>
      </c>
      <c r="AG263" s="47">
        <f t="shared" si="467"/>
        <v>3480</v>
      </c>
      <c r="AH263" s="47">
        <f t="shared" si="467"/>
        <v>3810</v>
      </c>
      <c r="AI263" s="47">
        <f t="shared" si="467"/>
        <v>3810</v>
      </c>
      <c r="AJ263" s="47">
        <f t="shared" ref="AJ263:BO263" si="468">AJ17+AJ24+AJ31+AJ38+AJ45+AJ52+AJ59+AJ66+AJ73+AJ80+AJ87+AJ94+AJ101+AJ108+AJ115+AJ122+AJ129+AJ136+AJ143+AJ150+AJ157+AJ164+AJ171+AJ178+AJ185+AJ192+AJ199+AJ206+AJ213+AJ220+AJ227+AJ234+AJ241+AJ248+AJ255</f>
        <v>0</v>
      </c>
      <c r="AK263" s="47">
        <f t="shared" si="468"/>
        <v>0</v>
      </c>
      <c r="AL263" s="47">
        <f t="shared" si="468"/>
        <v>0</v>
      </c>
      <c r="AM263" s="47">
        <f t="shared" si="468"/>
        <v>0</v>
      </c>
      <c r="AN263" s="47">
        <f t="shared" si="468"/>
        <v>2724</v>
      </c>
      <c r="AO263" s="47">
        <f t="shared" si="468"/>
        <v>2724</v>
      </c>
      <c r="AP263" s="47">
        <f t="shared" si="468"/>
        <v>2724</v>
      </c>
      <c r="AQ263" s="47">
        <f t="shared" si="468"/>
        <v>3285</v>
      </c>
      <c r="AR263" s="47">
        <f t="shared" si="468"/>
        <v>3285</v>
      </c>
      <c r="AS263" s="47">
        <f t="shared" si="468"/>
        <v>2634</v>
      </c>
      <c r="AT263" s="47">
        <f t="shared" si="468"/>
        <v>3285</v>
      </c>
      <c r="AU263" s="47">
        <f t="shared" si="468"/>
        <v>3124</v>
      </c>
      <c r="AV263" s="47">
        <f t="shared" si="468"/>
        <v>3124</v>
      </c>
      <c r="AW263" s="47">
        <f t="shared" si="468"/>
        <v>3124</v>
      </c>
      <c r="AX263" s="47">
        <f t="shared" si="468"/>
        <v>3124</v>
      </c>
      <c r="AY263" s="47">
        <f t="shared" si="468"/>
        <v>2500</v>
      </c>
      <c r="AZ263" s="47">
        <f t="shared" si="468"/>
        <v>2227</v>
      </c>
      <c r="BA263" s="47">
        <f t="shared" si="468"/>
        <v>2227</v>
      </c>
      <c r="BB263" s="47">
        <f t="shared" si="468"/>
        <v>2227</v>
      </c>
      <c r="BC263" s="47">
        <f t="shared" si="468"/>
        <v>2500</v>
      </c>
      <c r="BD263" s="47">
        <f t="shared" si="468"/>
        <v>2500</v>
      </c>
      <c r="BE263" s="47">
        <f t="shared" si="468"/>
        <v>2500</v>
      </c>
      <c r="BF263" s="47">
        <f t="shared" si="468"/>
        <v>2500</v>
      </c>
      <c r="BG263" s="47">
        <f t="shared" si="468"/>
        <v>2500</v>
      </c>
      <c r="BH263" s="47">
        <f t="shared" si="468"/>
        <v>2500</v>
      </c>
      <c r="BI263" s="47">
        <f t="shared" si="468"/>
        <v>2500</v>
      </c>
      <c r="BJ263" s="47">
        <f t="shared" si="468"/>
        <v>2500</v>
      </c>
      <c r="BK263" s="47">
        <f t="shared" si="468"/>
        <v>2500</v>
      </c>
      <c r="BL263" s="47">
        <f t="shared" si="468"/>
        <v>2485</v>
      </c>
      <c r="BM263" s="47">
        <f t="shared" si="468"/>
        <v>2485</v>
      </c>
      <c r="BN263" s="47">
        <f t="shared" si="468"/>
        <v>4526</v>
      </c>
      <c r="BO263" s="47">
        <f t="shared" si="468"/>
        <v>0</v>
      </c>
      <c r="BP263" s="47">
        <f t="shared" ref="BP263:CC263" si="469">BP17+BP24+BP31+BP38+BP45+BP52+BP59+BP66+BP73+BP80+BP87+BP94+BP101+BP108+BP115+BP122+BP129+BP136+BP143+BP150+BP157+BP164+BP171+BP178+BP185+BP192+BP199+BP206+BP213+BP220+BP227+BP234+BP241+BP248+BP255</f>
        <v>0</v>
      </c>
      <c r="BQ263" s="47">
        <f t="shared" si="469"/>
        <v>0</v>
      </c>
      <c r="BR263" s="47">
        <f t="shared" si="469"/>
        <v>0</v>
      </c>
      <c r="BS263" s="47">
        <f t="shared" si="469"/>
        <v>2051</v>
      </c>
      <c r="BT263" s="47">
        <f t="shared" si="469"/>
        <v>2051</v>
      </c>
      <c r="BU263" s="47">
        <f t="shared" si="469"/>
        <v>2051</v>
      </c>
      <c r="BV263" s="47">
        <f t="shared" si="469"/>
        <v>2051</v>
      </c>
      <c r="BW263" s="47">
        <f t="shared" si="469"/>
        <v>2051</v>
      </c>
      <c r="BX263" s="47">
        <f t="shared" si="469"/>
        <v>2051</v>
      </c>
      <c r="BY263" s="47">
        <f t="shared" si="469"/>
        <v>2051</v>
      </c>
      <c r="BZ263" s="47">
        <f t="shared" si="469"/>
        <v>2051</v>
      </c>
      <c r="CA263" s="47">
        <f t="shared" si="469"/>
        <v>2051</v>
      </c>
      <c r="CB263" s="47">
        <f t="shared" si="469"/>
        <v>2051</v>
      </c>
      <c r="CC263" s="47">
        <f t="shared" si="469"/>
        <v>2051</v>
      </c>
    </row>
    <row r="264" spans="1:81" x14ac:dyDescent="0.2">
      <c r="C264" s="47" t="s">
        <v>252</v>
      </c>
      <c r="D264" s="47">
        <f t="shared" ref="D264:AI264" si="470">D16*$A19+D23*$A26+D30*$A33+D37*$A40+D44*$A47+D51*$A54+D58*$A61+D65*$A68+D72*$A75+D79*$A82+D86*$A89+D93*$A96+D100*$A103+D107*$A110+D114*$A117+D121*$A124+D128*$A131+D135*$A138+D142*$A145+D149*$A152+D156*$A159+D163*$A166+D170*$A173+D177*$A180+D184*$A187+D191*$A194+D198*$A201+D205*$A208+D212*$A215+D219*$A222+D226*$A229+D233*$A236+D240*$A243+D247*$A250+D254*$A257</f>
        <v>100678</v>
      </c>
      <c r="E264" s="47">
        <f t="shared" si="470"/>
        <v>116340</v>
      </c>
      <c r="F264" s="47">
        <f t="shared" si="470"/>
        <v>65640</v>
      </c>
      <c r="G264" s="47">
        <f t="shared" si="470"/>
        <v>0</v>
      </c>
      <c r="H264" s="47">
        <f t="shared" si="470"/>
        <v>0</v>
      </c>
      <c r="I264" s="47">
        <f t="shared" si="470"/>
        <v>0</v>
      </c>
      <c r="J264" s="47">
        <f t="shared" si="470"/>
        <v>0</v>
      </c>
      <c r="K264" s="47">
        <f t="shared" si="470"/>
        <v>0</v>
      </c>
      <c r="L264" s="47">
        <f t="shared" si="470"/>
        <v>0</v>
      </c>
      <c r="M264" s="47">
        <f t="shared" si="470"/>
        <v>0</v>
      </c>
      <c r="N264" s="47">
        <f t="shared" si="470"/>
        <v>0</v>
      </c>
      <c r="O264" s="47">
        <f t="shared" si="470"/>
        <v>0</v>
      </c>
      <c r="P264" s="47">
        <f t="shared" si="470"/>
        <v>0</v>
      </c>
      <c r="Q264" s="47">
        <f t="shared" si="470"/>
        <v>0</v>
      </c>
      <c r="R264" s="47">
        <f t="shared" si="470"/>
        <v>0</v>
      </c>
      <c r="S264" s="47">
        <f t="shared" si="470"/>
        <v>0</v>
      </c>
      <c r="T264" s="47">
        <f t="shared" si="470"/>
        <v>0</v>
      </c>
      <c r="U264" s="47">
        <f t="shared" si="470"/>
        <v>0</v>
      </c>
      <c r="V264" s="47">
        <f t="shared" si="470"/>
        <v>0</v>
      </c>
      <c r="W264" s="47">
        <f t="shared" si="470"/>
        <v>0</v>
      </c>
      <c r="X264" s="47">
        <f t="shared" si="470"/>
        <v>0</v>
      </c>
      <c r="Y264" s="47">
        <f t="shared" si="470"/>
        <v>0</v>
      </c>
      <c r="Z264" s="47">
        <f t="shared" si="470"/>
        <v>0</v>
      </c>
      <c r="AA264" s="47">
        <f t="shared" si="470"/>
        <v>0</v>
      </c>
      <c r="AB264" s="47">
        <f t="shared" si="470"/>
        <v>0</v>
      </c>
      <c r="AC264" s="47">
        <f t="shared" si="470"/>
        <v>0</v>
      </c>
      <c r="AD264" s="47">
        <f t="shared" si="470"/>
        <v>0</v>
      </c>
      <c r="AE264" s="47">
        <f t="shared" si="470"/>
        <v>0</v>
      </c>
      <c r="AF264" s="47">
        <f t="shared" si="470"/>
        <v>0</v>
      </c>
      <c r="AG264" s="47">
        <f t="shared" si="470"/>
        <v>0</v>
      </c>
      <c r="AH264" s="47">
        <f t="shared" si="470"/>
        <v>0</v>
      </c>
      <c r="AI264" s="47">
        <f t="shared" si="470"/>
        <v>0</v>
      </c>
      <c r="AJ264" s="47">
        <f t="shared" ref="AJ264:BO264" si="471">AJ16*$A19+AJ23*$A26+AJ30*$A33+AJ37*$A40+AJ44*$A47+AJ51*$A54+AJ58*$A61+AJ65*$A68+AJ72*$A75+AJ79*$A82+AJ86*$A89+AJ93*$A96+AJ100*$A103+AJ107*$A110+AJ114*$A117+AJ121*$A124+AJ128*$A131+AJ135*$A138+AJ142*$A145+AJ149*$A152+AJ156*$A159+AJ163*$A166+AJ170*$A173+AJ177*$A180+AJ184*$A187+AJ191*$A194+AJ198*$A201+AJ205*$A208+AJ212*$A215+AJ219*$A222+AJ226*$A229+AJ233*$A236+AJ240*$A243+AJ247*$A250+AJ254*$A257</f>
        <v>0</v>
      </c>
      <c r="AK264" s="47">
        <f t="shared" si="471"/>
        <v>0</v>
      </c>
      <c r="AL264" s="47">
        <f t="shared" si="471"/>
        <v>0</v>
      </c>
      <c r="AM264" s="47">
        <f t="shared" si="471"/>
        <v>0</v>
      </c>
      <c r="AN264" s="47">
        <f t="shared" si="471"/>
        <v>0</v>
      </c>
      <c r="AO264" s="47">
        <f t="shared" si="471"/>
        <v>0</v>
      </c>
      <c r="AP264" s="47">
        <f t="shared" si="471"/>
        <v>0</v>
      </c>
      <c r="AQ264" s="47">
        <f t="shared" si="471"/>
        <v>0</v>
      </c>
      <c r="AR264" s="47">
        <f t="shared" si="471"/>
        <v>0</v>
      </c>
      <c r="AS264" s="47">
        <f t="shared" si="471"/>
        <v>0</v>
      </c>
      <c r="AT264" s="47">
        <f t="shared" si="471"/>
        <v>0</v>
      </c>
      <c r="AU264" s="47">
        <f t="shared" si="471"/>
        <v>0</v>
      </c>
      <c r="AV264" s="47">
        <f t="shared" si="471"/>
        <v>0</v>
      </c>
      <c r="AW264" s="47">
        <f t="shared" si="471"/>
        <v>0</v>
      </c>
      <c r="AX264" s="47">
        <f t="shared" si="471"/>
        <v>0</v>
      </c>
      <c r="AY264" s="47">
        <f t="shared" si="471"/>
        <v>0</v>
      </c>
      <c r="AZ264" s="47">
        <f t="shared" si="471"/>
        <v>0</v>
      </c>
      <c r="BA264" s="47">
        <f t="shared" si="471"/>
        <v>0</v>
      </c>
      <c r="BB264" s="47">
        <f t="shared" si="471"/>
        <v>0</v>
      </c>
      <c r="BC264" s="47">
        <f t="shared" si="471"/>
        <v>0</v>
      </c>
      <c r="BD264" s="47">
        <f t="shared" si="471"/>
        <v>0</v>
      </c>
      <c r="BE264" s="47">
        <f t="shared" si="471"/>
        <v>0</v>
      </c>
      <c r="BF264" s="47">
        <f t="shared" si="471"/>
        <v>0</v>
      </c>
      <c r="BG264" s="47">
        <f t="shared" si="471"/>
        <v>0</v>
      </c>
      <c r="BH264" s="47">
        <f t="shared" si="471"/>
        <v>0</v>
      </c>
      <c r="BI264" s="47">
        <f t="shared" si="471"/>
        <v>0</v>
      </c>
      <c r="BJ264" s="47">
        <f t="shared" si="471"/>
        <v>0</v>
      </c>
      <c r="BK264" s="47">
        <f t="shared" si="471"/>
        <v>0</v>
      </c>
      <c r="BL264" s="47">
        <f t="shared" si="471"/>
        <v>0</v>
      </c>
      <c r="BM264" s="47">
        <f t="shared" si="471"/>
        <v>0</v>
      </c>
      <c r="BN264" s="47">
        <f t="shared" si="471"/>
        <v>0</v>
      </c>
      <c r="BO264" s="47">
        <f t="shared" si="471"/>
        <v>0</v>
      </c>
      <c r="BP264" s="47">
        <f t="shared" ref="BP264:CC264" si="472">BP16*$A19+BP23*$A26+BP30*$A33+BP37*$A40+BP44*$A47+BP51*$A54+BP58*$A61+BP65*$A68+BP72*$A75+BP79*$A82+BP86*$A89+BP93*$A96+BP100*$A103+BP107*$A110+BP114*$A117+BP121*$A124+BP128*$A131+BP135*$A138+BP142*$A145+BP149*$A152+BP156*$A159+BP163*$A166+BP170*$A173+BP177*$A180+BP184*$A187+BP191*$A194+BP198*$A201+BP205*$A208+BP212*$A215+BP219*$A222+BP226*$A229+BP233*$A236+BP240*$A243+BP247*$A250+BP254*$A257</f>
        <v>0</v>
      </c>
      <c r="BQ264" s="47">
        <f t="shared" si="472"/>
        <v>0</v>
      </c>
      <c r="BR264" s="47">
        <f t="shared" si="472"/>
        <v>0</v>
      </c>
      <c r="BS264" s="47">
        <f t="shared" si="472"/>
        <v>0</v>
      </c>
      <c r="BT264" s="47">
        <f t="shared" si="472"/>
        <v>0</v>
      </c>
      <c r="BU264" s="47">
        <f t="shared" si="472"/>
        <v>0</v>
      </c>
      <c r="BV264" s="47">
        <f t="shared" si="472"/>
        <v>0</v>
      </c>
      <c r="BW264" s="47">
        <f t="shared" si="472"/>
        <v>0</v>
      </c>
      <c r="BX264" s="47">
        <f t="shared" si="472"/>
        <v>0</v>
      </c>
      <c r="BY264" s="47">
        <f t="shared" si="472"/>
        <v>0</v>
      </c>
      <c r="BZ264" s="47">
        <f t="shared" si="472"/>
        <v>0</v>
      </c>
      <c r="CA264" s="47">
        <f t="shared" si="472"/>
        <v>0</v>
      </c>
      <c r="CB264" s="47">
        <f t="shared" si="472"/>
        <v>0</v>
      </c>
      <c r="CC264" s="47">
        <f t="shared" si="472"/>
        <v>0</v>
      </c>
    </row>
    <row r="265" spans="1:81" x14ac:dyDescent="0.2">
      <c r="C265" s="47" t="s">
        <v>253</v>
      </c>
      <c r="D265" s="48">
        <f t="shared" ref="D265:AI265" si="473">ROUND(IF(D291=0,0,D277/D291*100),1)/100</f>
        <v>0.505</v>
      </c>
      <c r="E265" s="48">
        <f t="shared" si="473"/>
        <v>0.626</v>
      </c>
      <c r="F265" s="48">
        <f t="shared" si="473"/>
        <v>0.70299999999999996</v>
      </c>
      <c r="G265" s="48">
        <f t="shared" si="473"/>
        <v>0</v>
      </c>
      <c r="H265" s="48">
        <f t="shared" si="473"/>
        <v>0</v>
      </c>
      <c r="I265" s="48">
        <f t="shared" si="473"/>
        <v>0</v>
      </c>
      <c r="J265" s="48">
        <f t="shared" si="473"/>
        <v>0</v>
      </c>
      <c r="K265" s="48">
        <f t="shared" si="473"/>
        <v>0</v>
      </c>
      <c r="L265" s="48">
        <f t="shared" si="473"/>
        <v>0</v>
      </c>
      <c r="M265" s="48">
        <f t="shared" si="473"/>
        <v>0</v>
      </c>
      <c r="N265" s="48">
        <f t="shared" si="473"/>
        <v>0</v>
      </c>
      <c r="O265" s="48">
        <f t="shared" si="473"/>
        <v>0</v>
      </c>
      <c r="P265" s="48">
        <f t="shared" si="473"/>
        <v>0</v>
      </c>
      <c r="Q265" s="48">
        <f t="shared" si="473"/>
        <v>0</v>
      </c>
      <c r="R265" s="48">
        <f t="shared" si="473"/>
        <v>0</v>
      </c>
      <c r="S265" s="48">
        <f t="shared" si="473"/>
        <v>0</v>
      </c>
      <c r="T265" s="48">
        <f t="shared" si="473"/>
        <v>0</v>
      </c>
      <c r="U265" s="48">
        <f t="shared" si="473"/>
        <v>0</v>
      </c>
      <c r="V265" s="48">
        <f t="shared" si="473"/>
        <v>0</v>
      </c>
      <c r="W265" s="48">
        <f t="shared" si="473"/>
        <v>0</v>
      </c>
      <c r="X265" s="48">
        <f t="shared" si="473"/>
        <v>0</v>
      </c>
      <c r="Y265" s="48">
        <f t="shared" si="473"/>
        <v>0</v>
      </c>
      <c r="Z265" s="48">
        <f t="shared" si="473"/>
        <v>0</v>
      </c>
      <c r="AA265" s="48">
        <f t="shared" si="473"/>
        <v>0</v>
      </c>
      <c r="AB265" s="48">
        <f t="shared" si="473"/>
        <v>0</v>
      </c>
      <c r="AC265" s="48">
        <f t="shared" si="473"/>
        <v>0</v>
      </c>
      <c r="AD265" s="48">
        <f t="shared" si="473"/>
        <v>0</v>
      </c>
      <c r="AE265" s="48">
        <f t="shared" si="473"/>
        <v>0</v>
      </c>
      <c r="AF265" s="48">
        <f t="shared" si="473"/>
        <v>0</v>
      </c>
      <c r="AG265" s="48">
        <f t="shared" si="473"/>
        <v>0</v>
      </c>
      <c r="AH265" s="48">
        <f t="shared" si="473"/>
        <v>0</v>
      </c>
      <c r="AI265" s="48">
        <f t="shared" si="473"/>
        <v>0</v>
      </c>
      <c r="AJ265" s="48">
        <f t="shared" ref="AJ265:BO265" si="474">ROUND(IF(AJ291=0,0,AJ277/AJ291*100),1)/100</f>
        <v>0</v>
      </c>
      <c r="AK265" s="48">
        <f t="shared" si="474"/>
        <v>0</v>
      </c>
      <c r="AL265" s="48">
        <f t="shared" si="474"/>
        <v>0</v>
      </c>
      <c r="AM265" s="48">
        <f t="shared" si="474"/>
        <v>0</v>
      </c>
      <c r="AN265" s="48">
        <f t="shared" si="474"/>
        <v>0</v>
      </c>
      <c r="AO265" s="48">
        <f t="shared" si="474"/>
        <v>0</v>
      </c>
      <c r="AP265" s="48">
        <f t="shared" si="474"/>
        <v>0</v>
      </c>
      <c r="AQ265" s="48">
        <f t="shared" si="474"/>
        <v>0</v>
      </c>
      <c r="AR265" s="48">
        <f t="shared" si="474"/>
        <v>0</v>
      </c>
      <c r="AS265" s="48">
        <f t="shared" si="474"/>
        <v>0</v>
      </c>
      <c r="AT265" s="48">
        <f t="shared" si="474"/>
        <v>0</v>
      </c>
      <c r="AU265" s="48">
        <f t="shared" si="474"/>
        <v>0</v>
      </c>
      <c r="AV265" s="48">
        <f t="shared" si="474"/>
        <v>0</v>
      </c>
      <c r="AW265" s="48">
        <f t="shared" si="474"/>
        <v>0</v>
      </c>
      <c r="AX265" s="48">
        <f t="shared" si="474"/>
        <v>0</v>
      </c>
      <c r="AY265" s="48">
        <f t="shared" si="474"/>
        <v>0</v>
      </c>
      <c r="AZ265" s="48">
        <f t="shared" si="474"/>
        <v>0</v>
      </c>
      <c r="BA265" s="48">
        <f t="shared" si="474"/>
        <v>0</v>
      </c>
      <c r="BB265" s="48">
        <f t="shared" si="474"/>
        <v>0</v>
      </c>
      <c r="BC265" s="48">
        <f t="shared" si="474"/>
        <v>0</v>
      </c>
      <c r="BD265" s="48">
        <f t="shared" si="474"/>
        <v>0</v>
      </c>
      <c r="BE265" s="48">
        <f t="shared" si="474"/>
        <v>0</v>
      </c>
      <c r="BF265" s="48">
        <f t="shared" si="474"/>
        <v>0</v>
      </c>
      <c r="BG265" s="48">
        <f t="shared" si="474"/>
        <v>0</v>
      </c>
      <c r="BH265" s="48">
        <f t="shared" si="474"/>
        <v>0</v>
      </c>
      <c r="BI265" s="48">
        <f t="shared" si="474"/>
        <v>0</v>
      </c>
      <c r="BJ265" s="48">
        <f t="shared" si="474"/>
        <v>0</v>
      </c>
      <c r="BK265" s="48">
        <f t="shared" si="474"/>
        <v>0</v>
      </c>
      <c r="BL265" s="48">
        <f t="shared" si="474"/>
        <v>0</v>
      </c>
      <c r="BM265" s="48">
        <f t="shared" si="474"/>
        <v>0</v>
      </c>
      <c r="BN265" s="48">
        <f t="shared" si="474"/>
        <v>0</v>
      </c>
      <c r="BO265" s="48">
        <f t="shared" si="474"/>
        <v>0</v>
      </c>
      <c r="BP265" s="48">
        <f t="shared" ref="BP265:CC265" si="475">ROUND(IF(BP291=0,0,BP277/BP291*100),1)/100</f>
        <v>0</v>
      </c>
      <c r="BQ265" s="48">
        <f t="shared" si="475"/>
        <v>0</v>
      </c>
      <c r="BR265" s="48">
        <f t="shared" si="475"/>
        <v>0</v>
      </c>
      <c r="BS265" s="48">
        <f t="shared" si="475"/>
        <v>0</v>
      </c>
      <c r="BT265" s="48">
        <f t="shared" si="475"/>
        <v>0</v>
      </c>
      <c r="BU265" s="48">
        <f t="shared" si="475"/>
        <v>0</v>
      </c>
      <c r="BV265" s="48">
        <f t="shared" si="475"/>
        <v>0</v>
      </c>
      <c r="BW265" s="48">
        <f t="shared" si="475"/>
        <v>0</v>
      </c>
      <c r="BX265" s="48">
        <f t="shared" si="475"/>
        <v>0</v>
      </c>
      <c r="BY265" s="48">
        <f t="shared" si="475"/>
        <v>0</v>
      </c>
      <c r="BZ265" s="48">
        <f t="shared" si="475"/>
        <v>0</v>
      </c>
      <c r="CA265" s="48">
        <f t="shared" si="475"/>
        <v>0</v>
      </c>
      <c r="CB265" s="48">
        <f t="shared" si="475"/>
        <v>0</v>
      </c>
      <c r="CC265" s="48">
        <f t="shared" si="475"/>
        <v>0</v>
      </c>
    </row>
    <row r="266" spans="1:81" x14ac:dyDescent="0.2">
      <c r="C266" s="49" t="s">
        <v>215</v>
      </c>
      <c r="D266" s="49">
        <f t="shared" ref="D266:AI266" si="476">IF(D263=0,0, ROUND(D260 * 1/D263*D$13,1))</f>
        <v>390.9</v>
      </c>
      <c r="E266" s="49">
        <f t="shared" si="476"/>
        <v>24.1</v>
      </c>
      <c r="F266" s="49">
        <f t="shared" si="476"/>
        <v>29.7</v>
      </c>
      <c r="G266" s="49">
        <f t="shared" si="476"/>
        <v>21.3</v>
      </c>
      <c r="H266" s="49">
        <f t="shared" si="476"/>
        <v>17.399999999999999</v>
      </c>
      <c r="I266" s="49">
        <f t="shared" si="476"/>
        <v>16.100000000000001</v>
      </c>
      <c r="J266" s="49">
        <f t="shared" si="476"/>
        <v>16.899999999999999</v>
      </c>
      <c r="K266" s="49">
        <f t="shared" si="476"/>
        <v>13.1</v>
      </c>
      <c r="L266" s="49">
        <f t="shared" si="476"/>
        <v>6</v>
      </c>
      <c r="M266" s="49">
        <f t="shared" si="476"/>
        <v>0.9</v>
      </c>
      <c r="N266" s="49">
        <f t="shared" si="476"/>
        <v>0</v>
      </c>
      <c r="O266" s="49">
        <f t="shared" si="476"/>
        <v>0</v>
      </c>
      <c r="P266" s="49">
        <f t="shared" si="476"/>
        <v>0</v>
      </c>
      <c r="Q266" s="49">
        <f t="shared" si="476"/>
        <v>0</v>
      </c>
      <c r="R266" s="49">
        <f t="shared" si="476"/>
        <v>-7</v>
      </c>
      <c r="S266" s="49">
        <f t="shared" si="476"/>
        <v>-13.2</v>
      </c>
      <c r="T266" s="49">
        <f t="shared" si="476"/>
        <v>-19</v>
      </c>
      <c r="U266" s="49">
        <f t="shared" si="476"/>
        <v>-21.2</v>
      </c>
      <c r="V266" s="49">
        <f t="shared" si="476"/>
        <v>-26.2</v>
      </c>
      <c r="W266" s="49">
        <f t="shared" si="476"/>
        <v>-31.2</v>
      </c>
      <c r="X266" s="49">
        <f t="shared" si="476"/>
        <v>-36.799999999999997</v>
      </c>
      <c r="Y266" s="49">
        <f t="shared" si="476"/>
        <v>-59.8</v>
      </c>
      <c r="Z266" s="49">
        <f t="shared" si="476"/>
        <v>-64.8</v>
      </c>
      <c r="AA266" s="49">
        <f t="shared" si="476"/>
        <v>-69.8</v>
      </c>
      <c r="AB266" s="49">
        <f t="shared" si="476"/>
        <v>-76.7</v>
      </c>
      <c r="AC266" s="49">
        <f t="shared" si="476"/>
        <v>-53.2</v>
      </c>
      <c r="AD266" s="49">
        <f t="shared" si="476"/>
        <v>-58.2</v>
      </c>
      <c r="AE266" s="49">
        <f t="shared" si="476"/>
        <v>-63.4</v>
      </c>
      <c r="AF266" s="49">
        <f t="shared" si="476"/>
        <v>-68.400000000000006</v>
      </c>
      <c r="AG266" s="49">
        <f t="shared" si="476"/>
        <v>-79.7</v>
      </c>
      <c r="AH266" s="49">
        <f t="shared" si="476"/>
        <v>-77.400000000000006</v>
      </c>
      <c r="AI266" s="49">
        <f t="shared" si="476"/>
        <v>-82.4</v>
      </c>
      <c r="AJ266" s="49">
        <f t="shared" ref="AJ266:BO266" si="477">IF(AJ263=0,0, ROUND(AJ260 * 1/AJ263*AJ$13,1))</f>
        <v>0</v>
      </c>
      <c r="AK266" s="49">
        <f t="shared" si="477"/>
        <v>0</v>
      </c>
      <c r="AL266" s="49">
        <f t="shared" si="477"/>
        <v>0</v>
      </c>
      <c r="AM266" s="49">
        <f t="shared" si="477"/>
        <v>0</v>
      </c>
      <c r="AN266" s="49">
        <f t="shared" si="477"/>
        <v>-122.2</v>
      </c>
      <c r="AO266" s="49">
        <f t="shared" si="477"/>
        <v>-127.2</v>
      </c>
      <c r="AP266" s="49">
        <f t="shared" si="477"/>
        <v>-132.19999999999999</v>
      </c>
      <c r="AQ266" s="49">
        <f t="shared" si="477"/>
        <v>-113.8</v>
      </c>
      <c r="AR266" s="49">
        <f t="shared" si="477"/>
        <v>-118.8</v>
      </c>
      <c r="AS266" s="49">
        <f t="shared" si="477"/>
        <v>-154.4</v>
      </c>
      <c r="AT266" s="49">
        <f t="shared" si="477"/>
        <v>-127.8</v>
      </c>
      <c r="AU266" s="49">
        <f t="shared" si="477"/>
        <v>-139.6</v>
      </c>
      <c r="AV266" s="49">
        <f t="shared" si="477"/>
        <v>-144.6</v>
      </c>
      <c r="AW266" s="49">
        <f t="shared" si="477"/>
        <v>-149.6</v>
      </c>
      <c r="AX266" s="49">
        <f t="shared" si="477"/>
        <v>-154.6</v>
      </c>
      <c r="AY266" s="49">
        <f t="shared" si="477"/>
        <v>-199.5</v>
      </c>
      <c r="AZ266" s="49">
        <f t="shared" si="477"/>
        <v>-229.5</v>
      </c>
      <c r="BA266" s="49">
        <f t="shared" si="477"/>
        <v>-234.5</v>
      </c>
      <c r="BB266" s="49">
        <f t="shared" si="477"/>
        <v>-239.5</v>
      </c>
      <c r="BC266" s="49">
        <f t="shared" si="477"/>
        <v>-217.8</v>
      </c>
      <c r="BD266" s="49">
        <f t="shared" si="477"/>
        <v>-222.8</v>
      </c>
      <c r="BE266" s="49">
        <f t="shared" si="477"/>
        <v>-227.8</v>
      </c>
      <c r="BF266" s="49">
        <f t="shared" si="477"/>
        <v>-232.8</v>
      </c>
      <c r="BG266" s="49">
        <f t="shared" si="477"/>
        <v>-237.8</v>
      </c>
      <c r="BH266" s="49">
        <f t="shared" si="477"/>
        <v>-242.8</v>
      </c>
      <c r="BI266" s="49">
        <f t="shared" si="477"/>
        <v>-247.8</v>
      </c>
      <c r="BJ266" s="49">
        <f t="shared" si="477"/>
        <v>-252.8</v>
      </c>
      <c r="BK266" s="49">
        <f t="shared" si="477"/>
        <v>-257.8</v>
      </c>
      <c r="BL266" s="49">
        <f t="shared" si="477"/>
        <v>-264.39999999999998</v>
      </c>
      <c r="BM266" s="49">
        <f t="shared" si="477"/>
        <v>-269.39999999999998</v>
      </c>
      <c r="BN266" s="49">
        <f t="shared" si="477"/>
        <v>-150.69999999999999</v>
      </c>
      <c r="BO266" s="49">
        <f t="shared" si="477"/>
        <v>0</v>
      </c>
      <c r="BP266" s="49">
        <f t="shared" ref="BP266:CC266" si="478">IF(BP263=0,0, ROUND(BP260 * 1/BP263*BP$13,1))</f>
        <v>0</v>
      </c>
      <c r="BQ266" s="49">
        <f t="shared" si="478"/>
        <v>0</v>
      </c>
      <c r="BR266" s="49">
        <f t="shared" si="478"/>
        <v>0</v>
      </c>
      <c r="BS266" s="49">
        <f t="shared" si="478"/>
        <v>-343.5</v>
      </c>
      <c r="BT266" s="49">
        <f t="shared" si="478"/>
        <v>-348.5</v>
      </c>
      <c r="BU266" s="49">
        <f t="shared" si="478"/>
        <v>-353.5</v>
      </c>
      <c r="BV266" s="49">
        <f t="shared" si="478"/>
        <v>-358.5</v>
      </c>
      <c r="BW266" s="49">
        <f t="shared" si="478"/>
        <v>-363.5</v>
      </c>
      <c r="BX266" s="49">
        <f t="shared" si="478"/>
        <v>-368.5</v>
      </c>
      <c r="BY266" s="49">
        <f t="shared" si="478"/>
        <v>-373.5</v>
      </c>
      <c r="BZ266" s="49">
        <f t="shared" si="478"/>
        <v>-378.5</v>
      </c>
      <c r="CA266" s="49">
        <f t="shared" si="478"/>
        <v>-383.5</v>
      </c>
      <c r="CB266" s="49">
        <f t="shared" si="478"/>
        <v>-388.5</v>
      </c>
      <c r="CC266" s="49">
        <f t="shared" si="478"/>
        <v>-393.5</v>
      </c>
    </row>
    <row r="267" spans="1:81" x14ac:dyDescent="0.2">
      <c r="C267" s="39" t="s">
        <v>254</v>
      </c>
      <c r="D267" s="39">
        <v>6</v>
      </c>
      <c r="E267" s="39">
        <v>6</v>
      </c>
      <c r="F267" s="39">
        <v>0</v>
      </c>
      <c r="G267" s="39">
        <v>6</v>
      </c>
      <c r="H267" s="39">
        <v>6</v>
      </c>
      <c r="I267" s="39">
        <v>5</v>
      </c>
      <c r="J267" s="39">
        <v>4</v>
      </c>
      <c r="K267" s="39">
        <v>5</v>
      </c>
      <c r="L267" s="39">
        <v>6</v>
      </c>
      <c r="M267" s="39">
        <v>6</v>
      </c>
      <c r="N267" s="39">
        <v>5</v>
      </c>
      <c r="O267" s="39">
        <v>6</v>
      </c>
      <c r="P267" s="39">
        <v>0</v>
      </c>
      <c r="Q267" s="39">
        <v>0</v>
      </c>
      <c r="R267" s="39">
        <v>6</v>
      </c>
      <c r="S267" s="39">
        <v>5</v>
      </c>
      <c r="T267" s="39">
        <v>6</v>
      </c>
      <c r="U267" s="39">
        <v>6</v>
      </c>
      <c r="V267" s="39">
        <v>6</v>
      </c>
      <c r="W267" s="39">
        <v>4</v>
      </c>
      <c r="X267" s="39">
        <v>6</v>
      </c>
      <c r="Y267" s="39">
        <v>5</v>
      </c>
      <c r="Z267" s="39">
        <v>6</v>
      </c>
      <c r="AA267" s="39">
        <v>6</v>
      </c>
      <c r="AB267" s="39">
        <v>6</v>
      </c>
      <c r="AC267" s="39">
        <v>6</v>
      </c>
      <c r="AD267" s="39">
        <v>6</v>
      </c>
      <c r="AE267" s="39">
        <v>6</v>
      </c>
      <c r="AF267" s="39">
        <v>6</v>
      </c>
      <c r="AG267" s="39">
        <v>6</v>
      </c>
      <c r="AH267" s="39">
        <v>6</v>
      </c>
      <c r="AI267" s="39">
        <v>6</v>
      </c>
      <c r="AJ267" s="39">
        <v>4</v>
      </c>
      <c r="AK267" s="39">
        <v>0</v>
      </c>
      <c r="AL267" s="39">
        <v>6</v>
      </c>
      <c r="AM267" s="39">
        <v>5</v>
      </c>
      <c r="AN267" s="39">
        <v>6</v>
      </c>
      <c r="AO267" s="39">
        <v>6</v>
      </c>
      <c r="AP267" s="39">
        <v>5</v>
      </c>
      <c r="AQ267" s="39">
        <v>6</v>
      </c>
      <c r="AR267" s="39">
        <v>5</v>
      </c>
      <c r="AS267" s="39">
        <v>6</v>
      </c>
      <c r="AT267" s="39">
        <v>6</v>
      </c>
      <c r="AU267" s="39">
        <v>6</v>
      </c>
      <c r="AV267" s="39">
        <v>3</v>
      </c>
      <c r="AW267" s="39">
        <v>5</v>
      </c>
      <c r="AX267" s="39">
        <v>6</v>
      </c>
      <c r="AY267" s="39">
        <v>3</v>
      </c>
      <c r="AZ267" s="39">
        <v>6</v>
      </c>
      <c r="BA267" s="39">
        <v>6</v>
      </c>
      <c r="BB267" s="39">
        <v>5</v>
      </c>
      <c r="BC267" s="39">
        <v>5</v>
      </c>
      <c r="BD267" s="39">
        <v>5</v>
      </c>
      <c r="BE267" s="39">
        <v>5</v>
      </c>
      <c r="BF267" s="39">
        <v>5</v>
      </c>
      <c r="BG267" s="39">
        <v>5</v>
      </c>
      <c r="BH267" s="39">
        <v>5</v>
      </c>
      <c r="BI267" s="39">
        <v>5</v>
      </c>
      <c r="BJ267" s="39">
        <v>5</v>
      </c>
      <c r="BK267" s="39">
        <v>5</v>
      </c>
      <c r="BL267" s="39">
        <v>5</v>
      </c>
      <c r="BM267" s="39">
        <v>5</v>
      </c>
      <c r="BN267" s="39">
        <v>5</v>
      </c>
      <c r="BO267" s="39">
        <v>5</v>
      </c>
      <c r="BP267" s="39">
        <v>5</v>
      </c>
      <c r="BQ267" s="39">
        <v>5</v>
      </c>
      <c r="BR267" s="39">
        <v>5</v>
      </c>
      <c r="BS267" s="39">
        <v>5</v>
      </c>
      <c r="BT267" s="39">
        <v>5</v>
      </c>
      <c r="BU267" s="39">
        <v>5</v>
      </c>
      <c r="BV267" s="39">
        <v>5</v>
      </c>
      <c r="BW267" s="39">
        <v>5</v>
      </c>
      <c r="BX267" s="39">
        <v>5</v>
      </c>
      <c r="BY267" s="39">
        <v>5</v>
      </c>
      <c r="BZ267" s="39">
        <v>5</v>
      </c>
      <c r="CA267" s="39">
        <v>5</v>
      </c>
      <c r="CB267" s="39">
        <v>5</v>
      </c>
      <c r="CC267" s="39">
        <v>5</v>
      </c>
    </row>
    <row r="268" spans="1:81" x14ac:dyDescent="0.2">
      <c r="C268" s="50" t="s">
        <v>255</v>
      </c>
      <c r="D268" s="50">
        <f t="array" aca="1" ref="D268:CC268" ca="1">TRANSPOSE('T-JCI2 RH'!K12:K89)</f>
        <v>2694</v>
      </c>
      <c r="E268" s="50">
        <f ca="1"/>
        <v>3232</v>
      </c>
      <c r="F268" s="50">
        <f ca="1"/>
        <v>1886</v>
      </c>
      <c r="G268" s="50">
        <f ca="1"/>
        <v>3456</v>
      </c>
      <c r="H268" s="50">
        <f ca="1"/>
        <v>4148</v>
      </c>
      <c r="I268" s="50">
        <f ca="1"/>
        <v>2074</v>
      </c>
      <c r="J268" s="50">
        <f ca="1"/>
        <v>4148</v>
      </c>
      <c r="K268" s="50">
        <f ca="1"/>
        <v>3456</v>
      </c>
      <c r="L268" s="50">
        <f ca="1"/>
        <v>4148</v>
      </c>
      <c r="M268" s="50">
        <f ca="1"/>
        <v>0</v>
      </c>
      <c r="N268" s="50">
        <f ca="1"/>
        <v>0</v>
      </c>
      <c r="O268" s="50">
        <f ca="1"/>
        <v>3492</v>
      </c>
      <c r="P268" s="50">
        <f ca="1"/>
        <v>3492</v>
      </c>
      <c r="Q268" s="50">
        <f ca="1"/>
        <v>3492</v>
      </c>
      <c r="R268" s="50">
        <f ca="1"/>
        <v>3492</v>
      </c>
      <c r="S268" s="50">
        <f ca="1"/>
        <v>2910</v>
      </c>
      <c r="T268" s="50">
        <f ca="1"/>
        <v>3492</v>
      </c>
      <c r="U268" s="50">
        <f ca="1"/>
        <v>3056</v>
      </c>
      <c r="V268" s="50">
        <f ca="1"/>
        <v>3056</v>
      </c>
      <c r="W268" s="50">
        <f ca="1"/>
        <v>2038</v>
      </c>
      <c r="X268" s="50">
        <f ca="1"/>
        <v>2546</v>
      </c>
      <c r="Y268" s="50">
        <f ca="1"/>
        <v>2546</v>
      </c>
      <c r="Z268" s="50">
        <f ca="1"/>
        <v>3056</v>
      </c>
      <c r="AA268" s="50">
        <f ca="1"/>
        <v>3056</v>
      </c>
      <c r="AB268" s="50">
        <f ca="1"/>
        <v>3056</v>
      </c>
      <c r="AC268" s="50">
        <f ca="1"/>
        <v>3056</v>
      </c>
      <c r="AD268" s="50">
        <f ca="1"/>
        <v>3056</v>
      </c>
      <c r="AE268" s="50">
        <f ca="1"/>
        <v>3056</v>
      </c>
      <c r="AF268" s="50">
        <f ca="1"/>
        <v>3056</v>
      </c>
      <c r="AG268" s="50">
        <f ca="1"/>
        <v>3056</v>
      </c>
      <c r="AH268" s="50">
        <f ca="1"/>
        <v>3056</v>
      </c>
      <c r="AI268" s="50">
        <f ca="1"/>
        <v>3056</v>
      </c>
      <c r="AJ268" s="50">
        <f ca="1"/>
        <v>3056</v>
      </c>
      <c r="AK268" s="50">
        <f ca="1"/>
        <v>0</v>
      </c>
      <c r="AL268" s="50">
        <f ca="1"/>
        <v>3056</v>
      </c>
      <c r="AM268" s="50">
        <f ca="1"/>
        <v>2038</v>
      </c>
      <c r="AN268" s="50">
        <f ca="1"/>
        <v>3056</v>
      </c>
      <c r="AO268" s="50">
        <f ca="1"/>
        <v>3056</v>
      </c>
      <c r="AP268" s="50">
        <f ca="1"/>
        <v>2546</v>
      </c>
      <c r="AQ268" s="50">
        <f ca="1"/>
        <v>3056</v>
      </c>
      <c r="AR268" s="50">
        <f ca="1"/>
        <v>1274</v>
      </c>
      <c r="AS268" s="50">
        <f ca="1"/>
        <v>1528</v>
      </c>
      <c r="AT268" s="50">
        <f ca="1"/>
        <v>1528</v>
      </c>
      <c r="AU268" s="50">
        <f ca="1"/>
        <v>1528</v>
      </c>
      <c r="AV268" s="50">
        <f ca="1"/>
        <v>764</v>
      </c>
      <c r="AW268" s="50">
        <f ca="1"/>
        <v>2038</v>
      </c>
      <c r="AX268" s="50">
        <f ca="1"/>
        <v>3056</v>
      </c>
      <c r="AY268" s="50">
        <f ca="1"/>
        <v>2038</v>
      </c>
      <c r="AZ268" s="50">
        <f ca="1"/>
        <v>3056</v>
      </c>
      <c r="BA268" s="50">
        <f ca="1"/>
        <v>3056</v>
      </c>
      <c r="BB268" s="50">
        <f ca="1"/>
        <v>1528</v>
      </c>
      <c r="BC268" s="50">
        <f ca="1"/>
        <v>3056</v>
      </c>
      <c r="BD268" s="50">
        <f ca="1"/>
        <v>1528</v>
      </c>
      <c r="BE268" s="50">
        <f ca="1"/>
        <v>3056</v>
      </c>
      <c r="BF268" s="50">
        <f ca="1"/>
        <v>3056</v>
      </c>
      <c r="BG268" s="50">
        <f ca="1"/>
        <v>3056</v>
      </c>
      <c r="BH268" s="50">
        <f ca="1"/>
        <v>3056</v>
      </c>
      <c r="BI268" s="50">
        <f ca="1"/>
        <v>2546</v>
      </c>
      <c r="BJ268" s="50">
        <f ca="1"/>
        <v>3056</v>
      </c>
      <c r="BK268" s="50">
        <f ca="1"/>
        <v>1019</v>
      </c>
      <c r="BL268" s="50">
        <f ca="1"/>
        <v>255</v>
      </c>
      <c r="BM268" s="50">
        <f ca="1"/>
        <v>1528</v>
      </c>
      <c r="BN268" s="50">
        <f ca="1"/>
        <v>1528</v>
      </c>
      <c r="BO268" s="50">
        <f ca="1"/>
        <v>1273</v>
      </c>
      <c r="BP268" s="50">
        <f ca="1"/>
        <v>1528</v>
      </c>
      <c r="BQ268" s="50">
        <f ca="1"/>
        <v>0</v>
      </c>
      <c r="BR268" s="50">
        <f ca="1"/>
        <v>0</v>
      </c>
      <c r="BS268" s="50">
        <f ca="1"/>
        <v>1273</v>
      </c>
      <c r="BT268" s="50">
        <f ca="1"/>
        <v>1528</v>
      </c>
      <c r="BU268" s="50">
        <f ca="1"/>
        <v>1528</v>
      </c>
      <c r="BV268" s="50">
        <f ca="1"/>
        <v>1528</v>
      </c>
      <c r="BW268" s="50">
        <f ca="1"/>
        <v>1528</v>
      </c>
      <c r="BX268" s="50">
        <f ca="1"/>
        <v>1019</v>
      </c>
      <c r="BY268" s="50">
        <f ca="1"/>
        <v>1528</v>
      </c>
      <c r="BZ268" s="50">
        <f ca="1"/>
        <v>1273</v>
      </c>
      <c r="CA268" s="50">
        <f ca="1"/>
        <v>1528</v>
      </c>
      <c r="CB268" s="50">
        <f ca="1"/>
        <v>1528</v>
      </c>
      <c r="CC268" s="50">
        <f ca="1"/>
        <v>1528</v>
      </c>
    </row>
    <row r="269" spans="1:81" x14ac:dyDescent="0.2">
      <c r="C269" s="39" t="s">
        <v>256</v>
      </c>
      <c r="D269" s="39">
        <f t="shared" ref="D269:AI269" ca="1" si="479">D268-D262</f>
        <v>118</v>
      </c>
      <c r="E269" s="39">
        <f t="shared" ca="1" si="479"/>
        <v>-312</v>
      </c>
      <c r="F269" s="39">
        <f t="shared" ca="1" si="479"/>
        <v>-64</v>
      </c>
      <c r="G269" s="39">
        <f t="shared" ca="1" si="479"/>
        <v>3456</v>
      </c>
      <c r="H269" s="39">
        <f t="shared" ca="1" si="479"/>
        <v>4148</v>
      </c>
      <c r="I269" s="39">
        <f t="shared" ca="1" si="479"/>
        <v>2074</v>
      </c>
      <c r="J269" s="39">
        <f t="shared" ca="1" si="479"/>
        <v>4148</v>
      </c>
      <c r="K269" s="39">
        <f t="shared" ca="1" si="479"/>
        <v>3456</v>
      </c>
      <c r="L269" s="39">
        <f t="shared" ca="1" si="479"/>
        <v>4148</v>
      </c>
      <c r="M269" s="39">
        <f t="shared" ca="1" si="479"/>
        <v>0</v>
      </c>
      <c r="N269" s="39">
        <f t="shared" ca="1" si="479"/>
        <v>0</v>
      </c>
      <c r="O269" s="39">
        <f t="shared" ca="1" si="479"/>
        <v>3492</v>
      </c>
      <c r="P269" s="39">
        <f t="shared" ca="1" si="479"/>
        <v>3492</v>
      </c>
      <c r="Q269" s="39">
        <f t="shared" ca="1" si="479"/>
        <v>3492</v>
      </c>
      <c r="R269" s="39">
        <f t="shared" ca="1" si="479"/>
        <v>3492</v>
      </c>
      <c r="S269" s="39">
        <f t="shared" ca="1" si="479"/>
        <v>2910</v>
      </c>
      <c r="T269" s="39">
        <f t="shared" ca="1" si="479"/>
        <v>3492</v>
      </c>
      <c r="U269" s="39">
        <f t="shared" ca="1" si="479"/>
        <v>3056</v>
      </c>
      <c r="V269" s="39">
        <f t="shared" ca="1" si="479"/>
        <v>3056</v>
      </c>
      <c r="W269" s="39">
        <f t="shared" ca="1" si="479"/>
        <v>2038</v>
      </c>
      <c r="X269" s="39">
        <f t="shared" ca="1" si="479"/>
        <v>2546</v>
      </c>
      <c r="Y269" s="39">
        <f t="shared" ca="1" si="479"/>
        <v>2546</v>
      </c>
      <c r="Z269" s="39">
        <f t="shared" ca="1" si="479"/>
        <v>3056</v>
      </c>
      <c r="AA269" s="39">
        <f t="shared" ca="1" si="479"/>
        <v>3056</v>
      </c>
      <c r="AB269" s="39">
        <f t="shared" ca="1" si="479"/>
        <v>3056</v>
      </c>
      <c r="AC269" s="39">
        <f t="shared" ca="1" si="479"/>
        <v>3056</v>
      </c>
      <c r="AD269" s="39">
        <f t="shared" ca="1" si="479"/>
        <v>3056</v>
      </c>
      <c r="AE269" s="39">
        <f t="shared" ca="1" si="479"/>
        <v>3056</v>
      </c>
      <c r="AF269" s="39">
        <f t="shared" ca="1" si="479"/>
        <v>3056</v>
      </c>
      <c r="AG269" s="39">
        <f t="shared" ca="1" si="479"/>
        <v>3056</v>
      </c>
      <c r="AH269" s="39">
        <f t="shared" ca="1" si="479"/>
        <v>3056</v>
      </c>
      <c r="AI269" s="39">
        <f t="shared" ca="1" si="479"/>
        <v>3056</v>
      </c>
      <c r="AJ269" s="39">
        <f t="shared" ref="AJ269:BO269" ca="1" si="480">AJ268-AJ262</f>
        <v>3056</v>
      </c>
      <c r="AK269" s="39">
        <f t="shared" ca="1" si="480"/>
        <v>0</v>
      </c>
      <c r="AL269" s="39">
        <f t="shared" ca="1" si="480"/>
        <v>3056</v>
      </c>
      <c r="AM269" s="39">
        <f t="shared" ca="1" si="480"/>
        <v>2038</v>
      </c>
      <c r="AN269" s="39">
        <f t="shared" ca="1" si="480"/>
        <v>3056</v>
      </c>
      <c r="AO269" s="39">
        <f t="shared" ca="1" si="480"/>
        <v>3056</v>
      </c>
      <c r="AP269" s="39">
        <f t="shared" ca="1" si="480"/>
        <v>2546</v>
      </c>
      <c r="AQ269" s="39">
        <f t="shared" ca="1" si="480"/>
        <v>3056</v>
      </c>
      <c r="AR269" s="39">
        <f t="shared" ca="1" si="480"/>
        <v>1274</v>
      </c>
      <c r="AS269" s="39">
        <f t="shared" ca="1" si="480"/>
        <v>1528</v>
      </c>
      <c r="AT269" s="39">
        <f t="shared" ca="1" si="480"/>
        <v>1528</v>
      </c>
      <c r="AU269" s="39">
        <f t="shared" ca="1" si="480"/>
        <v>1528</v>
      </c>
      <c r="AV269" s="39">
        <f t="shared" ca="1" si="480"/>
        <v>764</v>
      </c>
      <c r="AW269" s="39">
        <f t="shared" ca="1" si="480"/>
        <v>2038</v>
      </c>
      <c r="AX269" s="39">
        <f t="shared" ca="1" si="480"/>
        <v>3056</v>
      </c>
      <c r="AY269" s="39">
        <f t="shared" ca="1" si="480"/>
        <v>2038</v>
      </c>
      <c r="AZ269" s="39">
        <f t="shared" ca="1" si="480"/>
        <v>3056</v>
      </c>
      <c r="BA269" s="39">
        <f t="shared" ca="1" si="480"/>
        <v>3056</v>
      </c>
      <c r="BB269" s="39">
        <f t="shared" ca="1" si="480"/>
        <v>1528</v>
      </c>
      <c r="BC269" s="39">
        <f t="shared" ca="1" si="480"/>
        <v>3056</v>
      </c>
      <c r="BD269" s="39">
        <f t="shared" ca="1" si="480"/>
        <v>1528</v>
      </c>
      <c r="BE269" s="39">
        <f t="shared" ca="1" si="480"/>
        <v>3056</v>
      </c>
      <c r="BF269" s="39">
        <f t="shared" ca="1" si="480"/>
        <v>3056</v>
      </c>
      <c r="BG269" s="39">
        <f t="shared" ca="1" si="480"/>
        <v>3056</v>
      </c>
      <c r="BH269" s="39">
        <f t="shared" ca="1" si="480"/>
        <v>3056</v>
      </c>
      <c r="BI269" s="39">
        <f t="shared" ca="1" si="480"/>
        <v>2546</v>
      </c>
      <c r="BJ269" s="39">
        <f t="shared" ca="1" si="480"/>
        <v>3056</v>
      </c>
      <c r="BK269" s="39">
        <f t="shared" ca="1" si="480"/>
        <v>1019</v>
      </c>
      <c r="BL269" s="39">
        <f t="shared" ca="1" si="480"/>
        <v>255</v>
      </c>
      <c r="BM269" s="39">
        <f t="shared" ca="1" si="480"/>
        <v>1528</v>
      </c>
      <c r="BN269" s="39">
        <f t="shared" ca="1" si="480"/>
        <v>1528</v>
      </c>
      <c r="BO269" s="39">
        <f t="shared" ca="1" si="480"/>
        <v>1273</v>
      </c>
      <c r="BP269" s="39">
        <f t="shared" ref="BP269:CC269" ca="1" si="481">BP268-BP262</f>
        <v>1528</v>
      </c>
      <c r="BQ269" s="39">
        <f t="shared" ca="1" si="481"/>
        <v>0</v>
      </c>
      <c r="BR269" s="39">
        <f t="shared" ca="1" si="481"/>
        <v>0</v>
      </c>
      <c r="BS269" s="39">
        <f t="shared" ca="1" si="481"/>
        <v>1273</v>
      </c>
      <c r="BT269" s="39">
        <f t="shared" ca="1" si="481"/>
        <v>1528</v>
      </c>
      <c r="BU269" s="39">
        <f t="shared" ca="1" si="481"/>
        <v>1528</v>
      </c>
      <c r="BV269" s="39">
        <f t="shared" ca="1" si="481"/>
        <v>1528</v>
      </c>
      <c r="BW269" s="39">
        <f t="shared" ca="1" si="481"/>
        <v>1528</v>
      </c>
      <c r="BX269" s="39">
        <f t="shared" ca="1" si="481"/>
        <v>1019</v>
      </c>
      <c r="BY269" s="39">
        <f t="shared" ca="1" si="481"/>
        <v>1528</v>
      </c>
      <c r="BZ269" s="39">
        <f t="shared" ca="1" si="481"/>
        <v>1273</v>
      </c>
      <c r="CA269" s="39">
        <f t="shared" ca="1" si="481"/>
        <v>1528</v>
      </c>
      <c r="CB269" s="39">
        <f t="shared" ca="1" si="481"/>
        <v>1528</v>
      </c>
      <c r="CC269" s="39">
        <f t="shared" ca="1" si="481"/>
        <v>1528</v>
      </c>
    </row>
    <row r="272" spans="1:81" x14ac:dyDescent="0.2">
      <c r="A272" t="s">
        <v>257</v>
      </c>
      <c r="D272" s="39">
        <f t="shared" ref="D272:AI272" si="482">ROUND(D14*$B15+D21*$B22+D28*$B29+D35*$B36+D42*$B43+D49*$B50+D56*$B57+D63*$B64+D70*$B71+D77*$B78+D84*$B85+D91*$B92+D98*$B99+D105*$B106+D112*$B113+D119*$B120+D126*$B127+D133*$B134+D140*$B141+D147*$B148+D154*$B155+D161*$B162+D168*$B169+D175*$B176+D182*$B183+D189*$B190+D196*$B197+D203*$B204+D210*$B211+D217*$B218+D224*$B225+D231*$B232+D238*$B239+D245*$B246+D252*$B253,0)</f>
        <v>248452</v>
      </c>
      <c r="E272" s="39">
        <f t="shared" si="482"/>
        <v>269140</v>
      </c>
      <c r="F272" s="39">
        <f t="shared" si="482"/>
        <v>210841</v>
      </c>
      <c r="G272" s="39">
        <f t="shared" si="482"/>
        <v>174321</v>
      </c>
      <c r="H272" s="39">
        <f t="shared" si="482"/>
        <v>130727</v>
      </c>
      <c r="I272" s="39">
        <f t="shared" si="482"/>
        <v>117971</v>
      </c>
      <c r="J272" s="39">
        <f t="shared" si="482"/>
        <v>112904</v>
      </c>
      <c r="K272" s="39">
        <f t="shared" si="482"/>
        <v>94155</v>
      </c>
      <c r="L272" s="39">
        <f t="shared" si="482"/>
        <v>52594</v>
      </c>
      <c r="M272" s="39">
        <f t="shared" si="482"/>
        <v>-2985</v>
      </c>
      <c r="N272" s="39">
        <f t="shared" si="482"/>
        <v>-67659</v>
      </c>
      <c r="O272" s="39">
        <f t="shared" si="482"/>
        <v>-67659</v>
      </c>
      <c r="P272" s="39">
        <f t="shared" si="482"/>
        <v>-67659</v>
      </c>
      <c r="Q272" s="39">
        <f t="shared" si="482"/>
        <v>-67659</v>
      </c>
      <c r="R272" s="39">
        <f t="shared" si="482"/>
        <v>-67659</v>
      </c>
      <c r="S272" s="39">
        <f t="shared" si="482"/>
        <v>-106613</v>
      </c>
      <c r="T272" s="39">
        <f t="shared" si="482"/>
        <v>-142506</v>
      </c>
      <c r="U272" s="39">
        <f t="shared" si="482"/>
        <v>-176317</v>
      </c>
      <c r="V272" s="39">
        <f t="shared" si="482"/>
        <v>-214610</v>
      </c>
      <c r="W272" s="39">
        <f t="shared" si="482"/>
        <v>-252903</v>
      </c>
      <c r="X272" s="39">
        <f t="shared" si="482"/>
        <v>-291196</v>
      </c>
      <c r="Y272" s="39">
        <f t="shared" si="482"/>
        <v>-329060</v>
      </c>
      <c r="Z272" s="39">
        <f t="shared" si="482"/>
        <v>-355061</v>
      </c>
      <c r="AA272" s="39">
        <f t="shared" si="482"/>
        <v>-381062</v>
      </c>
      <c r="AB272" s="39">
        <f t="shared" si="482"/>
        <v>-407064</v>
      </c>
      <c r="AC272" s="39">
        <f t="shared" si="482"/>
        <v>-432699</v>
      </c>
      <c r="AD272" s="39">
        <f t="shared" si="482"/>
        <v>-472180</v>
      </c>
      <c r="AE272" s="39">
        <f t="shared" si="482"/>
        <v>-511661</v>
      </c>
      <c r="AF272" s="39">
        <f t="shared" si="482"/>
        <v>-550947</v>
      </c>
      <c r="AG272" s="39">
        <f t="shared" si="482"/>
        <v>-590234</v>
      </c>
      <c r="AH272" s="39">
        <f t="shared" si="482"/>
        <v>-626192</v>
      </c>
      <c r="AI272" s="39">
        <f t="shared" si="482"/>
        <v>-666519</v>
      </c>
      <c r="AJ272" s="39">
        <f t="shared" ref="AJ272:BO272" si="483">ROUND(AJ14*$B15+AJ21*$B22+AJ28*$B29+AJ35*$B36+AJ42*$B43+AJ49*$B50+AJ56*$B57+AJ63*$B64+AJ70*$B71+AJ77*$B78+AJ84*$B85+AJ91*$B92+AJ98*$B99+AJ105*$B106+AJ112*$B113+AJ119*$B120+AJ126*$B127+AJ133*$B134+AJ140*$B141+AJ147*$B148+AJ154*$B155+AJ161*$B162+AJ168*$B169+AJ175*$B176+AJ182*$B183+AJ189*$B190+AJ196*$B197+AJ203*$B204+AJ210*$B211+AJ217*$B218+AJ224*$B225+AJ231*$B232+AJ238*$B239+AJ245*$B246+AJ252*$B253,0)</f>
        <v>-706845</v>
      </c>
      <c r="AK272" s="39">
        <f t="shared" si="483"/>
        <v>-706845</v>
      </c>
      <c r="AL272" s="39">
        <f t="shared" si="483"/>
        <v>-706845</v>
      </c>
      <c r="AM272" s="39">
        <f t="shared" si="483"/>
        <v>-706845</v>
      </c>
      <c r="AN272" s="39">
        <f t="shared" si="483"/>
        <v>-706845</v>
      </c>
      <c r="AO272" s="39">
        <f t="shared" si="483"/>
        <v>-735029</v>
      </c>
      <c r="AP272" s="39">
        <f t="shared" si="483"/>
        <v>-763214</v>
      </c>
      <c r="AQ272" s="39">
        <f t="shared" si="483"/>
        <v>-791398</v>
      </c>
      <c r="AR272" s="39">
        <f t="shared" si="483"/>
        <v>-825398</v>
      </c>
      <c r="AS272" s="39">
        <f t="shared" si="483"/>
        <v>-859397</v>
      </c>
      <c r="AT272" s="39">
        <f t="shared" si="483"/>
        <v>-886656</v>
      </c>
      <c r="AU272" s="39">
        <f t="shared" si="483"/>
        <v>-920655</v>
      </c>
      <c r="AV272" s="39">
        <f t="shared" si="483"/>
        <v>-952975</v>
      </c>
      <c r="AW272" s="39">
        <f t="shared" si="483"/>
        <v>-985295</v>
      </c>
      <c r="AX272" s="39">
        <f t="shared" si="483"/>
        <v>-1017615</v>
      </c>
      <c r="AY272" s="39">
        <f t="shared" si="483"/>
        <v>-1049935</v>
      </c>
      <c r="AZ272" s="39">
        <f t="shared" si="483"/>
        <v>-1075802</v>
      </c>
      <c r="BA272" s="39">
        <f t="shared" si="483"/>
        <v>-1098845</v>
      </c>
      <c r="BB272" s="39">
        <f t="shared" si="483"/>
        <v>-1121888</v>
      </c>
      <c r="BC272" s="39">
        <f t="shared" si="483"/>
        <v>-1144932</v>
      </c>
      <c r="BD272" s="39">
        <f t="shared" si="483"/>
        <v>-1170798</v>
      </c>
      <c r="BE272" s="39">
        <f t="shared" si="483"/>
        <v>-1196664</v>
      </c>
      <c r="BF272" s="39">
        <f t="shared" si="483"/>
        <v>-1222530</v>
      </c>
      <c r="BG272" s="39">
        <f t="shared" si="483"/>
        <v>-1248396</v>
      </c>
      <c r="BH272" s="39">
        <f t="shared" si="483"/>
        <v>-1274262</v>
      </c>
      <c r="BI272" s="39">
        <f t="shared" si="483"/>
        <v>-1300129</v>
      </c>
      <c r="BJ272" s="39">
        <f t="shared" si="483"/>
        <v>-1325995</v>
      </c>
      <c r="BK272" s="39">
        <f t="shared" si="483"/>
        <v>-1351861</v>
      </c>
      <c r="BL272" s="39">
        <f t="shared" si="483"/>
        <v>-1377727</v>
      </c>
      <c r="BM272" s="39">
        <f t="shared" si="483"/>
        <v>-1403443</v>
      </c>
      <c r="BN272" s="39">
        <f t="shared" si="483"/>
        <v>-1429159</v>
      </c>
      <c r="BO272" s="39">
        <f t="shared" si="483"/>
        <v>-1476000</v>
      </c>
      <c r="BP272" s="39">
        <f t="shared" ref="BP272:CC272" si="484">ROUND(BP14*$B15+BP21*$B22+BP28*$B29+BP35*$B36+BP42*$B43+BP49*$B50+BP56*$B57+BP63*$B64+BP70*$B71+BP77*$B78+BP84*$B85+BP91*$B92+BP98*$B99+BP105*$B106+BP112*$B113+BP119*$B120+BP126*$B127+BP133*$B134+BP140*$B141+BP147*$B148+BP154*$B155+BP161*$B162+BP168*$B169+BP175*$B176+BP182*$B183+BP189*$B190+BP196*$B197+BP203*$B204+BP210*$B211+BP217*$B218+BP224*$B225+BP231*$B232+BP238*$B239+BP245*$B246+BP252*$B253,0)</f>
        <v>-1476000</v>
      </c>
      <c r="BQ272" s="39">
        <f t="shared" si="484"/>
        <v>-1476000</v>
      </c>
      <c r="BR272" s="39">
        <f t="shared" si="484"/>
        <v>-1476000</v>
      </c>
      <c r="BS272" s="39">
        <f t="shared" si="484"/>
        <v>-1476000</v>
      </c>
      <c r="BT272" s="39">
        <f t="shared" si="484"/>
        <v>-1497236</v>
      </c>
      <c r="BU272" s="39">
        <f t="shared" si="484"/>
        <v>-1518472</v>
      </c>
      <c r="BV272" s="39">
        <f t="shared" si="484"/>
        <v>-1539707</v>
      </c>
      <c r="BW272" s="39">
        <f t="shared" si="484"/>
        <v>-1560943</v>
      </c>
      <c r="BX272" s="39">
        <f t="shared" si="484"/>
        <v>-1582178</v>
      </c>
      <c r="BY272" s="39">
        <f t="shared" si="484"/>
        <v>-1603414</v>
      </c>
      <c r="BZ272" s="39">
        <f t="shared" si="484"/>
        <v>-1624649</v>
      </c>
      <c r="CA272" s="39">
        <f t="shared" si="484"/>
        <v>-1645885</v>
      </c>
      <c r="CB272" s="39">
        <f t="shared" si="484"/>
        <v>-1667120</v>
      </c>
      <c r="CC272" s="39">
        <f t="shared" si="484"/>
        <v>-1688356</v>
      </c>
    </row>
    <row r="273" spans="1:81" x14ac:dyDescent="0.2">
      <c r="A273" t="s">
        <v>258</v>
      </c>
      <c r="D273" s="39">
        <f t="shared" ref="D273:AI273" si="485">ROUND(D15*$B15+D22*$B22+D29*$B29+D36*$B36+D43*$B43+D50*$B50+D57*$B57+D64*$B64+D71*$B71+D78*$B78+D85*$B85+D92*$B92+D99*$B99+D106*$B106+D113*$B113+D120*$B120+D127*$B127+D134*$B134+D141*$B141+D148*$B148+D155*$B155+D162*$B162+D169*$B169+D176*$B176+D183*$B183+D190*$B190+D197*$B197+D204*$B204+D211*$B211+D218*$B218+D225*$B225+D232*$B232+D239*$B239+D246*$B246+D253*$B253,0)</f>
        <v>23656</v>
      </c>
      <c r="E273" s="39">
        <f t="shared" si="485"/>
        <v>0</v>
      </c>
      <c r="F273" s="39">
        <f t="shared" si="485"/>
        <v>0</v>
      </c>
      <c r="G273" s="39">
        <f t="shared" si="485"/>
        <v>0</v>
      </c>
      <c r="H273" s="39">
        <f t="shared" si="485"/>
        <v>0</v>
      </c>
      <c r="I273" s="39">
        <f t="shared" si="485"/>
        <v>0</v>
      </c>
      <c r="J273" s="39">
        <f t="shared" si="485"/>
        <v>0</v>
      </c>
      <c r="K273" s="39">
        <f t="shared" si="485"/>
        <v>0</v>
      </c>
      <c r="L273" s="39">
        <f t="shared" si="485"/>
        <v>0</v>
      </c>
      <c r="M273" s="39">
        <f t="shared" si="485"/>
        <v>0</v>
      </c>
      <c r="N273" s="39">
        <f t="shared" si="485"/>
        <v>0</v>
      </c>
      <c r="O273" s="39">
        <f t="shared" si="485"/>
        <v>0</v>
      </c>
      <c r="P273" s="39">
        <f t="shared" si="485"/>
        <v>0</v>
      </c>
      <c r="Q273" s="39">
        <f t="shared" si="485"/>
        <v>0</v>
      </c>
      <c r="R273" s="39">
        <f t="shared" si="485"/>
        <v>0</v>
      </c>
      <c r="S273" s="39">
        <f t="shared" si="485"/>
        <v>0</v>
      </c>
      <c r="T273" s="39">
        <f t="shared" si="485"/>
        <v>0</v>
      </c>
      <c r="U273" s="39">
        <f t="shared" si="485"/>
        <v>0</v>
      </c>
      <c r="V273" s="39">
        <f t="shared" si="485"/>
        <v>0</v>
      </c>
      <c r="W273" s="39">
        <f t="shared" si="485"/>
        <v>0</v>
      </c>
      <c r="X273" s="39">
        <f t="shared" si="485"/>
        <v>0</v>
      </c>
      <c r="Y273" s="39">
        <f t="shared" si="485"/>
        <v>0</v>
      </c>
      <c r="Z273" s="39">
        <f t="shared" si="485"/>
        <v>0</v>
      </c>
      <c r="AA273" s="39">
        <f t="shared" si="485"/>
        <v>0</v>
      </c>
      <c r="AB273" s="39">
        <f t="shared" si="485"/>
        <v>0</v>
      </c>
      <c r="AC273" s="39">
        <f t="shared" si="485"/>
        <v>0</v>
      </c>
      <c r="AD273" s="39">
        <f t="shared" si="485"/>
        <v>0</v>
      </c>
      <c r="AE273" s="39">
        <f t="shared" si="485"/>
        <v>0</v>
      </c>
      <c r="AF273" s="39">
        <f t="shared" si="485"/>
        <v>0</v>
      </c>
      <c r="AG273" s="39">
        <f t="shared" si="485"/>
        <v>0</v>
      </c>
      <c r="AH273" s="39">
        <f t="shared" si="485"/>
        <v>0</v>
      </c>
      <c r="AI273" s="39">
        <f t="shared" si="485"/>
        <v>0</v>
      </c>
      <c r="AJ273" s="39">
        <f t="shared" ref="AJ273:BO273" si="486">ROUND(AJ15*$B15+AJ22*$B22+AJ29*$B29+AJ36*$B36+AJ43*$B43+AJ50*$B50+AJ57*$B57+AJ64*$B64+AJ71*$B71+AJ78*$B78+AJ85*$B85+AJ92*$B92+AJ99*$B99+AJ106*$B106+AJ113*$B113+AJ120*$B120+AJ127*$B127+AJ134*$B134+AJ141*$B141+AJ148*$B148+AJ155*$B155+AJ162*$B162+AJ169*$B169+AJ176*$B176+AJ183*$B183+AJ190*$B190+AJ197*$B197+AJ204*$B204+AJ211*$B211+AJ218*$B218+AJ225*$B225+AJ232*$B232+AJ239*$B239+AJ246*$B246+AJ253*$B253,0)</f>
        <v>0</v>
      </c>
      <c r="AK273" s="39">
        <f t="shared" si="486"/>
        <v>0</v>
      </c>
      <c r="AL273" s="39">
        <f t="shared" si="486"/>
        <v>0</v>
      </c>
      <c r="AM273" s="39">
        <f t="shared" si="486"/>
        <v>0</v>
      </c>
      <c r="AN273" s="39">
        <f t="shared" si="486"/>
        <v>0</v>
      </c>
      <c r="AO273" s="39">
        <f t="shared" si="486"/>
        <v>0</v>
      </c>
      <c r="AP273" s="39">
        <f t="shared" si="486"/>
        <v>0</v>
      </c>
      <c r="AQ273" s="39">
        <f t="shared" si="486"/>
        <v>0</v>
      </c>
      <c r="AR273" s="39">
        <f t="shared" si="486"/>
        <v>0</v>
      </c>
      <c r="AS273" s="39">
        <f t="shared" si="486"/>
        <v>0</v>
      </c>
      <c r="AT273" s="39">
        <f t="shared" si="486"/>
        <v>0</v>
      </c>
      <c r="AU273" s="39">
        <f t="shared" si="486"/>
        <v>0</v>
      </c>
      <c r="AV273" s="39">
        <f t="shared" si="486"/>
        <v>0</v>
      </c>
      <c r="AW273" s="39">
        <f t="shared" si="486"/>
        <v>0</v>
      </c>
      <c r="AX273" s="39">
        <f t="shared" si="486"/>
        <v>0</v>
      </c>
      <c r="AY273" s="39">
        <f t="shared" si="486"/>
        <v>0</v>
      </c>
      <c r="AZ273" s="39">
        <f t="shared" si="486"/>
        <v>0</v>
      </c>
      <c r="BA273" s="39">
        <f t="shared" si="486"/>
        <v>0</v>
      </c>
      <c r="BB273" s="39">
        <f t="shared" si="486"/>
        <v>0</v>
      </c>
      <c r="BC273" s="39">
        <f t="shared" si="486"/>
        <v>0</v>
      </c>
      <c r="BD273" s="39">
        <f t="shared" si="486"/>
        <v>0</v>
      </c>
      <c r="BE273" s="39">
        <f t="shared" si="486"/>
        <v>0</v>
      </c>
      <c r="BF273" s="39">
        <f t="shared" si="486"/>
        <v>0</v>
      </c>
      <c r="BG273" s="39">
        <f t="shared" si="486"/>
        <v>0</v>
      </c>
      <c r="BH273" s="39">
        <f t="shared" si="486"/>
        <v>0</v>
      </c>
      <c r="BI273" s="39">
        <f t="shared" si="486"/>
        <v>0</v>
      </c>
      <c r="BJ273" s="39">
        <f t="shared" si="486"/>
        <v>0</v>
      </c>
      <c r="BK273" s="39">
        <f t="shared" si="486"/>
        <v>0</v>
      </c>
      <c r="BL273" s="39">
        <f t="shared" si="486"/>
        <v>0</v>
      </c>
      <c r="BM273" s="39">
        <f t="shared" si="486"/>
        <v>0</v>
      </c>
      <c r="BN273" s="39">
        <f t="shared" si="486"/>
        <v>0</v>
      </c>
      <c r="BO273" s="39">
        <f t="shared" si="486"/>
        <v>0</v>
      </c>
      <c r="BP273" s="39">
        <f t="shared" ref="BP273:CC273" si="487">ROUND(BP15*$B15+BP22*$B22+BP29*$B29+BP36*$B36+BP43*$B43+BP50*$B50+BP57*$B57+BP64*$B64+BP71*$B71+BP78*$B78+BP85*$B85+BP92*$B92+BP99*$B99+BP106*$B106+BP113*$B113+BP120*$B120+BP127*$B127+BP134*$B134+BP141*$B141+BP148*$B148+BP155*$B155+BP162*$B162+BP169*$B169+BP176*$B176+BP183*$B183+BP190*$B190+BP197*$B197+BP204*$B204+BP211*$B211+BP218*$B218+BP225*$B225+BP232*$B232+BP239*$B239+BP246*$B246+BP253*$B253,0)</f>
        <v>0</v>
      </c>
      <c r="BQ273" s="39">
        <f t="shared" si="487"/>
        <v>0</v>
      </c>
      <c r="BR273" s="39">
        <f t="shared" si="487"/>
        <v>0</v>
      </c>
      <c r="BS273" s="39">
        <f t="shared" si="487"/>
        <v>0</v>
      </c>
      <c r="BT273" s="39">
        <f t="shared" si="487"/>
        <v>0</v>
      </c>
      <c r="BU273" s="39">
        <f t="shared" si="487"/>
        <v>0</v>
      </c>
      <c r="BV273" s="39">
        <f t="shared" si="487"/>
        <v>0</v>
      </c>
      <c r="BW273" s="39">
        <f t="shared" si="487"/>
        <v>0</v>
      </c>
      <c r="BX273" s="39">
        <f t="shared" si="487"/>
        <v>0</v>
      </c>
      <c r="BY273" s="39">
        <f t="shared" si="487"/>
        <v>0</v>
      </c>
      <c r="BZ273" s="39">
        <f t="shared" si="487"/>
        <v>0</v>
      </c>
      <c r="CA273" s="39">
        <f t="shared" si="487"/>
        <v>0</v>
      </c>
      <c r="CB273" s="39">
        <f t="shared" si="487"/>
        <v>0</v>
      </c>
      <c r="CC273" s="39">
        <f t="shared" si="487"/>
        <v>0</v>
      </c>
    </row>
    <row r="274" spans="1:81" x14ac:dyDescent="0.2">
      <c r="A274" t="s">
        <v>259</v>
      </c>
      <c r="D274" s="39">
        <f t="shared" ref="D274:AI274" si="488">ROUND(D16*$B15+D23*$B22+D30*$B29+D37*$B36+D44*$B43+D51*$B50+D58*$B57+D65*$B64+D72*$B71+D79*$B78+D86*$B85+D93*$B92+D100*$B99+D107*$B106+D114*$B113+D121*$B120+D128*$B127+D135*$B134+D142*$B141+D149*$B148+D156*$B155+D163*$B162+D170*$B169+D177*$B176+D184*$B183+D191*$B190+D198*$B197+D205*$B204+D212*$B211+D219*$B218+D226*$B225+D233*$B232+D240*$B239+D247*$B246+D254*$B253,0)</f>
        <v>28035</v>
      </c>
      <c r="E274" s="39">
        <f t="shared" si="488"/>
        <v>33777</v>
      </c>
      <c r="F274" s="39">
        <f t="shared" si="488"/>
        <v>19113</v>
      </c>
      <c r="G274" s="39">
        <f t="shared" si="488"/>
        <v>0</v>
      </c>
      <c r="H274" s="39">
        <f t="shared" si="488"/>
        <v>0</v>
      </c>
      <c r="I274" s="39">
        <f t="shared" si="488"/>
        <v>0</v>
      </c>
      <c r="J274" s="39">
        <f t="shared" si="488"/>
        <v>0</v>
      </c>
      <c r="K274" s="39">
        <f t="shared" si="488"/>
        <v>0</v>
      </c>
      <c r="L274" s="39">
        <f t="shared" si="488"/>
        <v>0</v>
      </c>
      <c r="M274" s="39">
        <f t="shared" si="488"/>
        <v>0</v>
      </c>
      <c r="N274" s="39">
        <f t="shared" si="488"/>
        <v>0</v>
      </c>
      <c r="O274" s="39">
        <f t="shared" si="488"/>
        <v>0</v>
      </c>
      <c r="P274" s="39">
        <f t="shared" si="488"/>
        <v>0</v>
      </c>
      <c r="Q274" s="39">
        <f t="shared" si="488"/>
        <v>0</v>
      </c>
      <c r="R274" s="39">
        <f t="shared" si="488"/>
        <v>0</v>
      </c>
      <c r="S274" s="39">
        <f t="shared" si="488"/>
        <v>0</v>
      </c>
      <c r="T274" s="39">
        <f t="shared" si="488"/>
        <v>0</v>
      </c>
      <c r="U274" s="39">
        <f t="shared" si="488"/>
        <v>0</v>
      </c>
      <c r="V274" s="39">
        <f t="shared" si="488"/>
        <v>0</v>
      </c>
      <c r="W274" s="39">
        <f t="shared" si="488"/>
        <v>0</v>
      </c>
      <c r="X274" s="39">
        <f t="shared" si="488"/>
        <v>0</v>
      </c>
      <c r="Y274" s="39">
        <f t="shared" si="488"/>
        <v>0</v>
      </c>
      <c r="Z274" s="39">
        <f t="shared" si="488"/>
        <v>0</v>
      </c>
      <c r="AA274" s="39">
        <f t="shared" si="488"/>
        <v>0</v>
      </c>
      <c r="AB274" s="39">
        <f t="shared" si="488"/>
        <v>0</v>
      </c>
      <c r="AC274" s="39">
        <f t="shared" si="488"/>
        <v>0</v>
      </c>
      <c r="AD274" s="39">
        <f t="shared" si="488"/>
        <v>0</v>
      </c>
      <c r="AE274" s="39">
        <f t="shared" si="488"/>
        <v>0</v>
      </c>
      <c r="AF274" s="39">
        <f t="shared" si="488"/>
        <v>0</v>
      </c>
      <c r="AG274" s="39">
        <f t="shared" si="488"/>
        <v>0</v>
      </c>
      <c r="AH274" s="39">
        <f t="shared" si="488"/>
        <v>0</v>
      </c>
      <c r="AI274" s="39">
        <f t="shared" si="488"/>
        <v>0</v>
      </c>
      <c r="AJ274" s="39">
        <f t="shared" ref="AJ274:BO274" si="489">ROUND(AJ16*$B15+AJ23*$B22+AJ30*$B29+AJ37*$B36+AJ44*$B43+AJ51*$B50+AJ58*$B57+AJ65*$B64+AJ72*$B71+AJ79*$B78+AJ86*$B85+AJ93*$B92+AJ100*$B99+AJ107*$B106+AJ114*$B113+AJ121*$B120+AJ128*$B127+AJ135*$B134+AJ142*$B141+AJ149*$B148+AJ156*$B155+AJ163*$B162+AJ170*$B169+AJ177*$B176+AJ184*$B183+AJ191*$B190+AJ198*$B197+AJ205*$B204+AJ212*$B211+AJ219*$B218+AJ226*$B225+AJ233*$B232+AJ240*$B239+AJ247*$B246+AJ254*$B253,0)</f>
        <v>0</v>
      </c>
      <c r="AK274" s="39">
        <f t="shared" si="489"/>
        <v>0</v>
      </c>
      <c r="AL274" s="39">
        <f t="shared" si="489"/>
        <v>0</v>
      </c>
      <c r="AM274" s="39">
        <f t="shared" si="489"/>
        <v>0</v>
      </c>
      <c r="AN274" s="39">
        <f t="shared" si="489"/>
        <v>0</v>
      </c>
      <c r="AO274" s="39">
        <f t="shared" si="489"/>
        <v>0</v>
      </c>
      <c r="AP274" s="39">
        <f t="shared" si="489"/>
        <v>0</v>
      </c>
      <c r="AQ274" s="39">
        <f t="shared" si="489"/>
        <v>0</v>
      </c>
      <c r="AR274" s="39">
        <f t="shared" si="489"/>
        <v>0</v>
      </c>
      <c r="AS274" s="39">
        <f t="shared" si="489"/>
        <v>0</v>
      </c>
      <c r="AT274" s="39">
        <f t="shared" si="489"/>
        <v>0</v>
      </c>
      <c r="AU274" s="39">
        <f t="shared" si="489"/>
        <v>0</v>
      </c>
      <c r="AV274" s="39">
        <f t="shared" si="489"/>
        <v>0</v>
      </c>
      <c r="AW274" s="39">
        <f t="shared" si="489"/>
        <v>0</v>
      </c>
      <c r="AX274" s="39">
        <f t="shared" si="489"/>
        <v>0</v>
      </c>
      <c r="AY274" s="39">
        <f t="shared" si="489"/>
        <v>0</v>
      </c>
      <c r="AZ274" s="39">
        <f t="shared" si="489"/>
        <v>0</v>
      </c>
      <c r="BA274" s="39">
        <f t="shared" si="489"/>
        <v>0</v>
      </c>
      <c r="BB274" s="39">
        <f t="shared" si="489"/>
        <v>0</v>
      </c>
      <c r="BC274" s="39">
        <f t="shared" si="489"/>
        <v>0</v>
      </c>
      <c r="BD274" s="39">
        <f t="shared" si="489"/>
        <v>0</v>
      </c>
      <c r="BE274" s="39">
        <f t="shared" si="489"/>
        <v>0</v>
      </c>
      <c r="BF274" s="39">
        <f t="shared" si="489"/>
        <v>0</v>
      </c>
      <c r="BG274" s="39">
        <f t="shared" si="489"/>
        <v>0</v>
      </c>
      <c r="BH274" s="39">
        <f t="shared" si="489"/>
        <v>0</v>
      </c>
      <c r="BI274" s="39">
        <f t="shared" si="489"/>
        <v>0</v>
      </c>
      <c r="BJ274" s="39">
        <f t="shared" si="489"/>
        <v>0</v>
      </c>
      <c r="BK274" s="39">
        <f t="shared" si="489"/>
        <v>0</v>
      </c>
      <c r="BL274" s="39">
        <f t="shared" si="489"/>
        <v>0</v>
      </c>
      <c r="BM274" s="39">
        <f t="shared" si="489"/>
        <v>0</v>
      </c>
      <c r="BN274" s="39">
        <f t="shared" si="489"/>
        <v>0</v>
      </c>
      <c r="BO274" s="39">
        <f t="shared" si="489"/>
        <v>0</v>
      </c>
      <c r="BP274" s="39">
        <f t="shared" ref="BP274:CC274" si="490">ROUND(BP16*$B15+BP23*$B22+BP30*$B29+BP37*$B36+BP44*$B43+BP51*$B50+BP58*$B57+BP65*$B64+BP72*$B71+BP79*$B78+BP86*$B85+BP93*$B92+BP100*$B99+BP107*$B106+BP114*$B113+BP121*$B120+BP128*$B127+BP135*$B134+BP142*$B141+BP149*$B148+BP156*$B155+BP163*$B162+BP170*$B169+BP177*$B176+BP184*$B183+BP191*$B190+BP198*$B197+BP205*$B204+BP212*$B211+BP219*$B218+BP226*$B225+BP233*$B232+BP240*$B239+BP247*$B246+BP254*$B253,0)</f>
        <v>0</v>
      </c>
      <c r="BQ274" s="39">
        <f t="shared" si="490"/>
        <v>0</v>
      </c>
      <c r="BR274" s="39">
        <f t="shared" si="490"/>
        <v>0</v>
      </c>
      <c r="BS274" s="39">
        <f t="shared" si="490"/>
        <v>0</v>
      </c>
      <c r="BT274" s="39">
        <f t="shared" si="490"/>
        <v>0</v>
      </c>
      <c r="BU274" s="39">
        <f t="shared" si="490"/>
        <v>0</v>
      </c>
      <c r="BV274" s="39">
        <f t="shared" si="490"/>
        <v>0</v>
      </c>
      <c r="BW274" s="39">
        <f t="shared" si="490"/>
        <v>0</v>
      </c>
      <c r="BX274" s="39">
        <f t="shared" si="490"/>
        <v>0</v>
      </c>
      <c r="BY274" s="39">
        <f t="shared" si="490"/>
        <v>0</v>
      </c>
      <c r="BZ274" s="39">
        <f t="shared" si="490"/>
        <v>0</v>
      </c>
      <c r="CA274" s="39">
        <f t="shared" si="490"/>
        <v>0</v>
      </c>
      <c r="CB274" s="39">
        <f t="shared" si="490"/>
        <v>0</v>
      </c>
      <c r="CC274" s="39">
        <f t="shared" si="490"/>
        <v>0</v>
      </c>
    </row>
    <row r="275" spans="1:81" x14ac:dyDescent="0.2">
      <c r="A275" t="s">
        <v>260</v>
      </c>
      <c r="D275" s="39">
        <f t="shared" ref="D275:AI275" si="491">ROUND(D17*$B15+D24*$B22+D31*$B29+D38*$B36+D45*$B43+D52*$B50+D59*$B57+D66*$B64+D73*$B71+D80*$B78+D87*$B85+D94*$B92+D101*$B99+D108*$B106+D115*$B113+D122*$B120+D129*$B127+D136*$B134+D143*$B141+D150*$B148+D157*$B155+D164*$B162+D171*$B169+D178*$B176+D185*$B183+D192*$B190+D199*$B197+D206*$B204+D213*$B211+D220*$B218+D227*$B225+D234*$B232+D241*$B239+D248*$B246+D255*$B253,0)</f>
        <v>2968</v>
      </c>
      <c r="E275" s="39">
        <f t="shared" si="491"/>
        <v>58299</v>
      </c>
      <c r="F275" s="39">
        <f t="shared" si="491"/>
        <v>36520</v>
      </c>
      <c r="G275" s="39">
        <f t="shared" si="491"/>
        <v>43594</v>
      </c>
      <c r="H275" s="39">
        <f t="shared" si="491"/>
        <v>40791</v>
      </c>
      <c r="I275" s="39">
        <f t="shared" si="491"/>
        <v>38844</v>
      </c>
      <c r="J275" s="39">
        <f t="shared" si="491"/>
        <v>37862</v>
      </c>
      <c r="K275" s="39">
        <f t="shared" si="491"/>
        <v>41561</v>
      </c>
      <c r="L275" s="39">
        <f t="shared" si="491"/>
        <v>55579</v>
      </c>
      <c r="M275" s="39">
        <f t="shared" si="491"/>
        <v>64674</v>
      </c>
      <c r="N275" s="39">
        <f t="shared" si="491"/>
        <v>0</v>
      </c>
      <c r="O275" s="39">
        <f t="shared" si="491"/>
        <v>0</v>
      </c>
      <c r="P275" s="39">
        <f t="shared" si="491"/>
        <v>0</v>
      </c>
      <c r="Q275" s="39">
        <f t="shared" si="491"/>
        <v>0</v>
      </c>
      <c r="R275" s="39">
        <f t="shared" si="491"/>
        <v>38954</v>
      </c>
      <c r="S275" s="39">
        <f t="shared" si="491"/>
        <v>35894</v>
      </c>
      <c r="T275" s="39">
        <f t="shared" si="491"/>
        <v>33810</v>
      </c>
      <c r="U275" s="39">
        <f t="shared" si="491"/>
        <v>38293</v>
      </c>
      <c r="V275" s="39">
        <f t="shared" si="491"/>
        <v>38293</v>
      </c>
      <c r="W275" s="39">
        <f t="shared" si="491"/>
        <v>38293</v>
      </c>
      <c r="X275" s="39">
        <f t="shared" si="491"/>
        <v>37864</v>
      </c>
      <c r="Y275" s="39">
        <f t="shared" si="491"/>
        <v>26001</v>
      </c>
      <c r="Z275" s="39">
        <f t="shared" si="491"/>
        <v>26001</v>
      </c>
      <c r="AA275" s="39">
        <f t="shared" si="491"/>
        <v>26001</v>
      </c>
      <c r="AB275" s="39">
        <f t="shared" si="491"/>
        <v>25635</v>
      </c>
      <c r="AC275" s="39">
        <f t="shared" si="491"/>
        <v>39481</v>
      </c>
      <c r="AD275" s="39">
        <f t="shared" si="491"/>
        <v>39481</v>
      </c>
      <c r="AE275" s="39">
        <f t="shared" si="491"/>
        <v>39286</v>
      </c>
      <c r="AF275" s="39">
        <f t="shared" si="491"/>
        <v>39286</v>
      </c>
      <c r="AG275" s="39">
        <f t="shared" si="491"/>
        <v>35958</v>
      </c>
      <c r="AH275" s="39">
        <f t="shared" si="491"/>
        <v>40326</v>
      </c>
      <c r="AI275" s="39">
        <f t="shared" si="491"/>
        <v>40326</v>
      </c>
      <c r="AJ275" s="39">
        <f t="shared" ref="AJ275:BO275" si="492">ROUND(AJ17*$B15+AJ24*$B22+AJ31*$B29+AJ38*$B36+AJ45*$B43+AJ52*$B50+AJ59*$B57+AJ66*$B64+AJ73*$B71+AJ80*$B78+AJ87*$B85+AJ94*$B92+AJ101*$B99+AJ108*$B106+AJ115*$B113+AJ122*$B120+AJ129*$B127+AJ136*$B134+AJ143*$B141+AJ150*$B148+AJ157*$B155+AJ164*$B162+AJ171*$B169+AJ178*$B176+AJ185*$B183+AJ192*$B190+AJ199*$B197+AJ206*$B204+AJ213*$B211+AJ220*$B218+AJ227*$B225+AJ234*$B232+AJ241*$B239+AJ248*$B246+AJ255*$B253,0)</f>
        <v>0</v>
      </c>
      <c r="AK275" s="39">
        <f t="shared" si="492"/>
        <v>0</v>
      </c>
      <c r="AL275" s="39">
        <f t="shared" si="492"/>
        <v>0</v>
      </c>
      <c r="AM275" s="39">
        <f t="shared" si="492"/>
        <v>0</v>
      </c>
      <c r="AN275" s="39">
        <f t="shared" si="492"/>
        <v>28185</v>
      </c>
      <c r="AO275" s="39">
        <f t="shared" si="492"/>
        <v>28185</v>
      </c>
      <c r="AP275" s="39">
        <f t="shared" si="492"/>
        <v>28185</v>
      </c>
      <c r="AQ275" s="39">
        <f t="shared" si="492"/>
        <v>33999</v>
      </c>
      <c r="AR275" s="39">
        <f t="shared" si="492"/>
        <v>33999</v>
      </c>
      <c r="AS275" s="39">
        <f t="shared" si="492"/>
        <v>27258</v>
      </c>
      <c r="AT275" s="39">
        <f t="shared" si="492"/>
        <v>33999</v>
      </c>
      <c r="AU275" s="39">
        <f t="shared" si="492"/>
        <v>32320</v>
      </c>
      <c r="AV275" s="39">
        <f t="shared" si="492"/>
        <v>32320</v>
      </c>
      <c r="AW275" s="39">
        <f t="shared" si="492"/>
        <v>32320</v>
      </c>
      <c r="AX275" s="39">
        <f t="shared" si="492"/>
        <v>32320</v>
      </c>
      <c r="AY275" s="39">
        <f t="shared" si="492"/>
        <v>25866</v>
      </c>
      <c r="AZ275" s="39">
        <f t="shared" si="492"/>
        <v>23043</v>
      </c>
      <c r="BA275" s="39">
        <f t="shared" si="492"/>
        <v>23043</v>
      </c>
      <c r="BB275" s="39">
        <f t="shared" si="492"/>
        <v>23043</v>
      </c>
      <c r="BC275" s="39">
        <f t="shared" si="492"/>
        <v>25866</v>
      </c>
      <c r="BD275" s="39">
        <f t="shared" si="492"/>
        <v>25866</v>
      </c>
      <c r="BE275" s="39">
        <f t="shared" si="492"/>
        <v>25866</v>
      </c>
      <c r="BF275" s="39">
        <f t="shared" si="492"/>
        <v>25866</v>
      </c>
      <c r="BG275" s="39">
        <f t="shared" si="492"/>
        <v>25866</v>
      </c>
      <c r="BH275" s="39">
        <f t="shared" si="492"/>
        <v>25866</v>
      </c>
      <c r="BI275" s="39">
        <f t="shared" si="492"/>
        <v>25866</v>
      </c>
      <c r="BJ275" s="39">
        <f t="shared" si="492"/>
        <v>25866</v>
      </c>
      <c r="BK275" s="39">
        <f t="shared" si="492"/>
        <v>25866</v>
      </c>
      <c r="BL275" s="39">
        <f t="shared" si="492"/>
        <v>25716</v>
      </c>
      <c r="BM275" s="39">
        <f t="shared" si="492"/>
        <v>25716</v>
      </c>
      <c r="BN275" s="39">
        <f t="shared" si="492"/>
        <v>46842</v>
      </c>
      <c r="BO275" s="39">
        <f t="shared" si="492"/>
        <v>0</v>
      </c>
      <c r="BP275" s="39">
        <f t="shared" ref="BP275:CC275" si="493">ROUND(BP17*$B15+BP24*$B22+BP31*$B29+BP38*$B36+BP45*$B43+BP52*$B50+BP59*$B57+BP66*$B64+BP73*$B71+BP80*$B78+BP87*$B85+BP94*$B92+BP101*$B99+BP108*$B106+BP115*$B113+BP122*$B120+BP129*$B127+BP136*$B134+BP143*$B141+BP150*$B148+BP157*$B155+BP164*$B162+BP171*$B169+BP178*$B176+BP185*$B183+BP192*$B190+BP199*$B197+BP206*$B204+BP213*$B211+BP220*$B218+BP227*$B225+BP234*$B232+BP241*$B239+BP248*$B246+BP255*$B253,0)</f>
        <v>0</v>
      </c>
      <c r="BQ275" s="39">
        <f t="shared" si="493"/>
        <v>0</v>
      </c>
      <c r="BR275" s="39">
        <f t="shared" si="493"/>
        <v>0</v>
      </c>
      <c r="BS275" s="39">
        <f t="shared" si="493"/>
        <v>21236</v>
      </c>
      <c r="BT275" s="39">
        <f t="shared" si="493"/>
        <v>21236</v>
      </c>
      <c r="BU275" s="39">
        <f t="shared" si="493"/>
        <v>21236</v>
      </c>
      <c r="BV275" s="39">
        <f t="shared" si="493"/>
        <v>21236</v>
      </c>
      <c r="BW275" s="39">
        <f t="shared" si="493"/>
        <v>21236</v>
      </c>
      <c r="BX275" s="39">
        <f t="shared" si="493"/>
        <v>21236</v>
      </c>
      <c r="BY275" s="39">
        <f t="shared" si="493"/>
        <v>21236</v>
      </c>
      <c r="BZ275" s="39">
        <f t="shared" si="493"/>
        <v>21236</v>
      </c>
      <c r="CA275" s="39">
        <f t="shared" si="493"/>
        <v>21236</v>
      </c>
      <c r="CB275" s="39">
        <f t="shared" si="493"/>
        <v>21236</v>
      </c>
      <c r="CC275" s="39">
        <f t="shared" si="493"/>
        <v>21236</v>
      </c>
    </row>
    <row r="276" spans="1:81" x14ac:dyDescent="0.2">
      <c r="A276" t="s">
        <v>261</v>
      </c>
      <c r="D276" s="51">
        <f t="shared" ref="D276:AI276" si="494">ROUND(D16*$C19+D23*$C26+D30*$C33+D37*$C40+D44*$C47+D51*$C54+D58*$C61+D65*$C68+D72*$C75+D79*$C82+D86*$C89+D93*$C96+D100*$C103+D107*$C110+D114*$C117+D121*$C124+D128*$C131+D135*$C138+D142*$C145+D149*$C152+D156*$C159+D163*$C166+D170*$C173+D177*$C180+D184*$C187+D191*$C194+D198*$C201+D205*$C208+D212*$C215+D219*$C222+D226*$C229+D233*$C236+D240*$C243+D247*$C250+D254*$C257,0)</f>
        <v>21264</v>
      </c>
      <c r="E276" s="51">
        <f t="shared" si="494"/>
        <v>25504</v>
      </c>
      <c r="F276" s="51">
        <f t="shared" si="494"/>
        <v>14458</v>
      </c>
      <c r="G276" s="51">
        <f t="shared" si="494"/>
        <v>0</v>
      </c>
      <c r="H276" s="51">
        <f t="shared" si="494"/>
        <v>0</v>
      </c>
      <c r="I276" s="51">
        <f t="shared" si="494"/>
        <v>0</v>
      </c>
      <c r="J276" s="51">
        <f t="shared" si="494"/>
        <v>0</v>
      </c>
      <c r="K276" s="51">
        <f t="shared" si="494"/>
        <v>0</v>
      </c>
      <c r="L276" s="51">
        <f t="shared" si="494"/>
        <v>0</v>
      </c>
      <c r="M276" s="51">
        <f t="shared" si="494"/>
        <v>0</v>
      </c>
      <c r="N276" s="51">
        <f t="shared" si="494"/>
        <v>0</v>
      </c>
      <c r="O276" s="51">
        <f t="shared" si="494"/>
        <v>0</v>
      </c>
      <c r="P276" s="51">
        <f t="shared" si="494"/>
        <v>0</v>
      </c>
      <c r="Q276" s="51">
        <f t="shared" si="494"/>
        <v>0</v>
      </c>
      <c r="R276" s="51">
        <f t="shared" si="494"/>
        <v>0</v>
      </c>
      <c r="S276" s="51">
        <f t="shared" si="494"/>
        <v>0</v>
      </c>
      <c r="T276" s="51">
        <f t="shared" si="494"/>
        <v>0</v>
      </c>
      <c r="U276" s="51">
        <f t="shared" si="494"/>
        <v>0</v>
      </c>
      <c r="V276" s="51">
        <f t="shared" si="494"/>
        <v>0</v>
      </c>
      <c r="W276" s="51">
        <f t="shared" si="494"/>
        <v>0</v>
      </c>
      <c r="X276" s="51">
        <f t="shared" si="494"/>
        <v>0</v>
      </c>
      <c r="Y276" s="51">
        <f t="shared" si="494"/>
        <v>0</v>
      </c>
      <c r="Z276" s="51">
        <f t="shared" si="494"/>
        <v>0</v>
      </c>
      <c r="AA276" s="51">
        <f t="shared" si="494"/>
        <v>0</v>
      </c>
      <c r="AB276" s="51">
        <f t="shared" si="494"/>
        <v>0</v>
      </c>
      <c r="AC276" s="51">
        <f t="shared" si="494"/>
        <v>0</v>
      </c>
      <c r="AD276" s="51">
        <f t="shared" si="494"/>
        <v>0</v>
      </c>
      <c r="AE276" s="51">
        <f t="shared" si="494"/>
        <v>0</v>
      </c>
      <c r="AF276" s="51">
        <f t="shared" si="494"/>
        <v>0</v>
      </c>
      <c r="AG276" s="51">
        <f t="shared" si="494"/>
        <v>0</v>
      </c>
      <c r="AH276" s="51">
        <f t="shared" si="494"/>
        <v>0</v>
      </c>
      <c r="AI276" s="51">
        <f t="shared" si="494"/>
        <v>0</v>
      </c>
      <c r="AJ276" s="51">
        <f t="shared" ref="AJ276:BO276" si="495">ROUND(AJ16*$C19+AJ23*$C26+AJ30*$C33+AJ37*$C40+AJ44*$C47+AJ51*$C54+AJ58*$C61+AJ65*$C68+AJ72*$C75+AJ79*$C82+AJ86*$C89+AJ93*$C96+AJ100*$C103+AJ107*$C110+AJ114*$C117+AJ121*$C124+AJ128*$C131+AJ135*$C138+AJ142*$C145+AJ149*$C152+AJ156*$C159+AJ163*$C166+AJ170*$C173+AJ177*$C180+AJ184*$C187+AJ191*$C194+AJ198*$C201+AJ205*$C208+AJ212*$C215+AJ219*$C222+AJ226*$C229+AJ233*$C236+AJ240*$C243+AJ247*$C250+AJ254*$C257,0)</f>
        <v>0</v>
      </c>
      <c r="AK276" s="51">
        <f t="shared" si="495"/>
        <v>0</v>
      </c>
      <c r="AL276" s="51">
        <f t="shared" si="495"/>
        <v>0</v>
      </c>
      <c r="AM276" s="51">
        <f t="shared" si="495"/>
        <v>0</v>
      </c>
      <c r="AN276" s="51">
        <f t="shared" si="495"/>
        <v>0</v>
      </c>
      <c r="AO276" s="51">
        <f t="shared" si="495"/>
        <v>0</v>
      </c>
      <c r="AP276" s="51">
        <f t="shared" si="495"/>
        <v>0</v>
      </c>
      <c r="AQ276" s="51">
        <f t="shared" si="495"/>
        <v>0</v>
      </c>
      <c r="AR276" s="51">
        <f t="shared" si="495"/>
        <v>0</v>
      </c>
      <c r="AS276" s="51">
        <f t="shared" si="495"/>
        <v>0</v>
      </c>
      <c r="AT276" s="51">
        <f t="shared" si="495"/>
        <v>0</v>
      </c>
      <c r="AU276" s="51">
        <f t="shared" si="495"/>
        <v>0</v>
      </c>
      <c r="AV276" s="51">
        <f t="shared" si="495"/>
        <v>0</v>
      </c>
      <c r="AW276" s="51">
        <f t="shared" si="495"/>
        <v>0</v>
      </c>
      <c r="AX276" s="51">
        <f t="shared" si="495"/>
        <v>0</v>
      </c>
      <c r="AY276" s="51">
        <f t="shared" si="495"/>
        <v>0</v>
      </c>
      <c r="AZ276" s="51">
        <f t="shared" si="495"/>
        <v>0</v>
      </c>
      <c r="BA276" s="51">
        <f t="shared" si="495"/>
        <v>0</v>
      </c>
      <c r="BB276" s="51">
        <f t="shared" si="495"/>
        <v>0</v>
      </c>
      <c r="BC276" s="51">
        <f t="shared" si="495"/>
        <v>0</v>
      </c>
      <c r="BD276" s="51">
        <f t="shared" si="495"/>
        <v>0</v>
      </c>
      <c r="BE276" s="51">
        <f t="shared" si="495"/>
        <v>0</v>
      </c>
      <c r="BF276" s="51">
        <f t="shared" si="495"/>
        <v>0</v>
      </c>
      <c r="BG276" s="51">
        <f t="shared" si="495"/>
        <v>0</v>
      </c>
      <c r="BH276" s="51">
        <f t="shared" si="495"/>
        <v>0</v>
      </c>
      <c r="BI276" s="51">
        <f t="shared" si="495"/>
        <v>0</v>
      </c>
      <c r="BJ276" s="51">
        <f t="shared" si="495"/>
        <v>0</v>
      </c>
      <c r="BK276" s="51">
        <f t="shared" si="495"/>
        <v>0</v>
      </c>
      <c r="BL276" s="51">
        <f t="shared" si="495"/>
        <v>0</v>
      </c>
      <c r="BM276" s="51">
        <f t="shared" si="495"/>
        <v>0</v>
      </c>
      <c r="BN276" s="51">
        <f t="shared" si="495"/>
        <v>0</v>
      </c>
      <c r="BO276" s="51">
        <f t="shared" si="495"/>
        <v>0</v>
      </c>
      <c r="BP276" s="51">
        <f t="shared" ref="BP276:CC276" si="496">ROUND(BP16*$C19+BP23*$C26+BP30*$C33+BP37*$C40+BP44*$C47+BP51*$C54+BP58*$C61+BP65*$C68+BP72*$C75+BP79*$C82+BP86*$C89+BP93*$C96+BP100*$C103+BP107*$C110+BP114*$C117+BP121*$C124+BP128*$C131+BP135*$C138+BP142*$C145+BP149*$C152+BP156*$C159+BP163*$C166+BP170*$C173+BP177*$C180+BP184*$C187+BP191*$C194+BP198*$C201+BP205*$C208+BP212*$C215+BP219*$C222+BP226*$C229+BP233*$C236+BP240*$C243+BP247*$C250+BP254*$C257,0)</f>
        <v>0</v>
      </c>
      <c r="BQ276" s="51">
        <f t="shared" si="496"/>
        <v>0</v>
      </c>
      <c r="BR276" s="51">
        <f t="shared" si="496"/>
        <v>0</v>
      </c>
      <c r="BS276" s="51">
        <f t="shared" si="496"/>
        <v>0</v>
      </c>
      <c r="BT276" s="51">
        <f t="shared" si="496"/>
        <v>0</v>
      </c>
      <c r="BU276" s="51">
        <f t="shared" si="496"/>
        <v>0</v>
      </c>
      <c r="BV276" s="51">
        <f t="shared" si="496"/>
        <v>0</v>
      </c>
      <c r="BW276" s="51">
        <f t="shared" si="496"/>
        <v>0</v>
      </c>
      <c r="BX276" s="51">
        <f t="shared" si="496"/>
        <v>0</v>
      </c>
      <c r="BY276" s="51">
        <f t="shared" si="496"/>
        <v>0</v>
      </c>
      <c r="BZ276" s="51">
        <f t="shared" si="496"/>
        <v>0</v>
      </c>
      <c r="CA276" s="51">
        <f t="shared" si="496"/>
        <v>0</v>
      </c>
      <c r="CB276" s="51">
        <f t="shared" si="496"/>
        <v>0</v>
      </c>
      <c r="CC276" s="51">
        <f t="shared" si="496"/>
        <v>0</v>
      </c>
    </row>
    <row r="277" spans="1:81" x14ac:dyDescent="0.2">
      <c r="A277" t="s">
        <v>262</v>
      </c>
      <c r="D277" s="52">
        <f t="shared" ref="D277:AI277" si="497">ROUND(D16*$B16+D23*$B23+D30*$B30+D37*$B37+D44*$B44+D51*$B51+D58*$B58+D65*$B65+D72*$B72+D79*$B79+D86*$B86+D93*$B93+D100*$B100+D107*$B107+D114*$B114+D121*$B121+D128*$B128+D135*$B135+D142*$B142+D149*$B149+D156*$B156+D163*$B163+D170*$B170+D177*$B177+D184*$B184+D191*$B191+D198*$B198+D205*$B205+D212*$B212+D219*$B219+D226*$B226+D233*$B233+D240*$B240+D247*$B247+D254*$B254,0)</f>
        <v>806</v>
      </c>
      <c r="E277" s="52">
        <f t="shared" si="497"/>
        <v>999</v>
      </c>
      <c r="F277" s="52">
        <f t="shared" si="497"/>
        <v>561</v>
      </c>
      <c r="G277" s="52">
        <f t="shared" si="497"/>
        <v>0</v>
      </c>
      <c r="H277" s="52">
        <f t="shared" si="497"/>
        <v>0</v>
      </c>
      <c r="I277" s="52">
        <f t="shared" si="497"/>
        <v>0</v>
      </c>
      <c r="J277" s="52">
        <f t="shared" si="497"/>
        <v>0</v>
      </c>
      <c r="K277" s="52">
        <f t="shared" si="497"/>
        <v>0</v>
      </c>
      <c r="L277" s="52">
        <f t="shared" si="497"/>
        <v>0</v>
      </c>
      <c r="M277" s="52">
        <f t="shared" si="497"/>
        <v>0</v>
      </c>
      <c r="N277" s="52">
        <f t="shared" si="497"/>
        <v>0</v>
      </c>
      <c r="O277" s="52">
        <f t="shared" si="497"/>
        <v>0</v>
      </c>
      <c r="P277" s="52">
        <f t="shared" si="497"/>
        <v>0</v>
      </c>
      <c r="Q277" s="52">
        <f t="shared" si="497"/>
        <v>0</v>
      </c>
      <c r="R277" s="52">
        <f t="shared" si="497"/>
        <v>0</v>
      </c>
      <c r="S277" s="52">
        <f t="shared" si="497"/>
        <v>0</v>
      </c>
      <c r="T277" s="52">
        <f t="shared" si="497"/>
        <v>0</v>
      </c>
      <c r="U277" s="52">
        <f t="shared" si="497"/>
        <v>0</v>
      </c>
      <c r="V277" s="52">
        <f t="shared" si="497"/>
        <v>0</v>
      </c>
      <c r="W277" s="52">
        <f t="shared" si="497"/>
        <v>0</v>
      </c>
      <c r="X277" s="52">
        <f t="shared" si="497"/>
        <v>0</v>
      </c>
      <c r="Y277" s="52">
        <f t="shared" si="497"/>
        <v>0</v>
      </c>
      <c r="Z277" s="52">
        <f t="shared" si="497"/>
        <v>0</v>
      </c>
      <c r="AA277" s="52">
        <f t="shared" si="497"/>
        <v>0</v>
      </c>
      <c r="AB277" s="52">
        <f t="shared" si="497"/>
        <v>0</v>
      </c>
      <c r="AC277" s="52">
        <f t="shared" si="497"/>
        <v>0</v>
      </c>
      <c r="AD277" s="52">
        <f t="shared" si="497"/>
        <v>0</v>
      </c>
      <c r="AE277" s="52">
        <f t="shared" si="497"/>
        <v>0</v>
      </c>
      <c r="AF277" s="52">
        <f t="shared" si="497"/>
        <v>0</v>
      </c>
      <c r="AG277" s="52">
        <f t="shared" si="497"/>
        <v>0</v>
      </c>
      <c r="AH277" s="52">
        <f t="shared" si="497"/>
        <v>0</v>
      </c>
      <c r="AI277" s="52">
        <f t="shared" si="497"/>
        <v>0</v>
      </c>
      <c r="AJ277" s="52">
        <f t="shared" ref="AJ277:BO277" si="498">ROUND(AJ16*$B16+AJ23*$B23+AJ30*$B30+AJ37*$B37+AJ44*$B44+AJ51*$B51+AJ58*$B58+AJ65*$B65+AJ72*$B72+AJ79*$B79+AJ86*$B86+AJ93*$B93+AJ100*$B100+AJ107*$B107+AJ114*$B114+AJ121*$B121+AJ128*$B128+AJ135*$B135+AJ142*$B142+AJ149*$B149+AJ156*$B156+AJ163*$B163+AJ170*$B170+AJ177*$B177+AJ184*$B184+AJ191*$B191+AJ198*$B198+AJ205*$B205+AJ212*$B212+AJ219*$B219+AJ226*$B226+AJ233*$B233+AJ240*$B240+AJ247*$B247+AJ254*$B254,0)</f>
        <v>0</v>
      </c>
      <c r="AK277" s="52">
        <f t="shared" si="498"/>
        <v>0</v>
      </c>
      <c r="AL277" s="52">
        <f t="shared" si="498"/>
        <v>0</v>
      </c>
      <c r="AM277" s="52">
        <f t="shared" si="498"/>
        <v>0</v>
      </c>
      <c r="AN277" s="52">
        <f t="shared" si="498"/>
        <v>0</v>
      </c>
      <c r="AO277" s="52">
        <f t="shared" si="498"/>
        <v>0</v>
      </c>
      <c r="AP277" s="52">
        <f t="shared" si="498"/>
        <v>0</v>
      </c>
      <c r="AQ277" s="52">
        <f t="shared" si="498"/>
        <v>0</v>
      </c>
      <c r="AR277" s="52">
        <f t="shared" si="498"/>
        <v>0</v>
      </c>
      <c r="AS277" s="52">
        <f t="shared" si="498"/>
        <v>0</v>
      </c>
      <c r="AT277" s="52">
        <f t="shared" si="498"/>
        <v>0</v>
      </c>
      <c r="AU277" s="52">
        <f t="shared" si="498"/>
        <v>0</v>
      </c>
      <c r="AV277" s="52">
        <f t="shared" si="498"/>
        <v>0</v>
      </c>
      <c r="AW277" s="52">
        <f t="shared" si="498"/>
        <v>0</v>
      </c>
      <c r="AX277" s="52">
        <f t="shared" si="498"/>
        <v>0</v>
      </c>
      <c r="AY277" s="52">
        <f t="shared" si="498"/>
        <v>0</v>
      </c>
      <c r="AZ277" s="52">
        <f t="shared" si="498"/>
        <v>0</v>
      </c>
      <c r="BA277" s="52">
        <f t="shared" si="498"/>
        <v>0</v>
      </c>
      <c r="BB277" s="52">
        <f t="shared" si="498"/>
        <v>0</v>
      </c>
      <c r="BC277" s="52">
        <f t="shared" si="498"/>
        <v>0</v>
      </c>
      <c r="BD277" s="52">
        <f t="shared" si="498"/>
        <v>0</v>
      </c>
      <c r="BE277" s="52">
        <f t="shared" si="498"/>
        <v>0</v>
      </c>
      <c r="BF277" s="52">
        <f t="shared" si="498"/>
        <v>0</v>
      </c>
      <c r="BG277" s="52">
        <f t="shared" si="498"/>
        <v>0</v>
      </c>
      <c r="BH277" s="52">
        <f t="shared" si="498"/>
        <v>0</v>
      </c>
      <c r="BI277" s="52">
        <f t="shared" si="498"/>
        <v>0</v>
      </c>
      <c r="BJ277" s="52">
        <f t="shared" si="498"/>
        <v>0</v>
      </c>
      <c r="BK277" s="52">
        <f t="shared" si="498"/>
        <v>0</v>
      </c>
      <c r="BL277" s="52">
        <f t="shared" si="498"/>
        <v>0</v>
      </c>
      <c r="BM277" s="52">
        <f t="shared" si="498"/>
        <v>0</v>
      </c>
      <c r="BN277" s="52">
        <f t="shared" si="498"/>
        <v>0</v>
      </c>
      <c r="BO277" s="52">
        <f t="shared" si="498"/>
        <v>0</v>
      </c>
      <c r="BP277" s="52">
        <f t="shared" ref="BP277:CC277" si="499">ROUND(BP16*$B16+BP23*$B23+BP30*$B30+BP37*$B37+BP44*$B44+BP51*$B51+BP58*$B58+BP65*$B65+BP72*$B72+BP79*$B79+BP86*$B86+BP93*$B93+BP100*$B100+BP107*$B107+BP114*$B114+BP121*$B121+BP128*$B128+BP135*$B135+BP142*$B142+BP149*$B149+BP156*$B156+BP163*$B163+BP170*$B170+BP177*$B177+BP184*$B184+BP191*$B191+BP198*$B198+BP205*$B205+BP212*$B212+BP219*$B219+BP226*$B226+BP233*$B233+BP240*$B240+BP247*$B247+BP254*$B254,0)</f>
        <v>0</v>
      </c>
      <c r="BQ277" s="52">
        <f t="shared" si="499"/>
        <v>0</v>
      </c>
      <c r="BR277" s="52">
        <f t="shared" si="499"/>
        <v>0</v>
      </c>
      <c r="BS277" s="52">
        <f t="shared" si="499"/>
        <v>0</v>
      </c>
      <c r="BT277" s="52">
        <f t="shared" si="499"/>
        <v>0</v>
      </c>
      <c r="BU277" s="52">
        <f t="shared" si="499"/>
        <v>0</v>
      </c>
      <c r="BV277" s="52">
        <f t="shared" si="499"/>
        <v>0</v>
      </c>
      <c r="BW277" s="52">
        <f t="shared" si="499"/>
        <v>0</v>
      </c>
      <c r="BX277" s="52">
        <f t="shared" si="499"/>
        <v>0</v>
      </c>
      <c r="BY277" s="52">
        <f t="shared" si="499"/>
        <v>0</v>
      </c>
      <c r="BZ277" s="52">
        <f t="shared" si="499"/>
        <v>0</v>
      </c>
      <c r="CA277" s="52">
        <f t="shared" si="499"/>
        <v>0</v>
      </c>
      <c r="CB277" s="52">
        <f t="shared" si="499"/>
        <v>0</v>
      </c>
      <c r="CC277" s="52">
        <f t="shared" si="499"/>
        <v>0</v>
      </c>
    </row>
    <row r="278" spans="1:81" x14ac:dyDescent="0.2">
      <c r="A278" t="s">
        <v>263</v>
      </c>
      <c r="D278" s="39">
        <f t="shared" ref="D278:AI278" si="500">ROUND(D16*$B18+D23*$B25+D30*$B32+D37*$B39+D44*$B46+D51*$B53+D58*$B60+D65*$B67+D72*$B74+D79*$B81+D86*$B88+D93*$B95+D100*$B102+D107*$B109+D114*$B116+D121*$B123+D128*$B130+D135*$B137+D142*$B144+D149*$B151+D156*$B158+D163*$B165+D170*$B172+D177*$B179+D184*$B186+D191*$B193+D198*$B200+D205*$B207+D212*$B214+D219*$B221+D226*$B228+D233*$B235+D240*$B242+D247*$B249+D254*$B256,0)</f>
        <v>994</v>
      </c>
      <c r="E278" s="39">
        <f t="shared" si="500"/>
        <v>1220</v>
      </c>
      <c r="F278" s="39">
        <f t="shared" si="500"/>
        <v>685</v>
      </c>
      <c r="G278" s="39">
        <f t="shared" si="500"/>
        <v>0</v>
      </c>
      <c r="H278" s="39">
        <f t="shared" si="500"/>
        <v>0</v>
      </c>
      <c r="I278" s="39">
        <f t="shared" si="500"/>
        <v>0</v>
      </c>
      <c r="J278" s="39">
        <f t="shared" si="500"/>
        <v>0</v>
      </c>
      <c r="K278" s="39">
        <f t="shared" si="500"/>
        <v>0</v>
      </c>
      <c r="L278" s="39">
        <f t="shared" si="500"/>
        <v>0</v>
      </c>
      <c r="M278" s="39">
        <f t="shared" si="500"/>
        <v>0</v>
      </c>
      <c r="N278" s="39">
        <f t="shared" si="500"/>
        <v>0</v>
      </c>
      <c r="O278" s="39">
        <f t="shared" si="500"/>
        <v>0</v>
      </c>
      <c r="P278" s="39">
        <f t="shared" si="500"/>
        <v>0</v>
      </c>
      <c r="Q278" s="39">
        <f t="shared" si="500"/>
        <v>0</v>
      </c>
      <c r="R278" s="39">
        <f t="shared" si="500"/>
        <v>0</v>
      </c>
      <c r="S278" s="39">
        <f t="shared" si="500"/>
        <v>0</v>
      </c>
      <c r="T278" s="39">
        <f t="shared" si="500"/>
        <v>0</v>
      </c>
      <c r="U278" s="39">
        <f t="shared" si="500"/>
        <v>0</v>
      </c>
      <c r="V278" s="39">
        <f t="shared" si="500"/>
        <v>0</v>
      </c>
      <c r="W278" s="39">
        <f t="shared" si="500"/>
        <v>0</v>
      </c>
      <c r="X278" s="39">
        <f t="shared" si="500"/>
        <v>0</v>
      </c>
      <c r="Y278" s="39">
        <f t="shared" si="500"/>
        <v>0</v>
      </c>
      <c r="Z278" s="39">
        <f t="shared" si="500"/>
        <v>0</v>
      </c>
      <c r="AA278" s="39">
        <f t="shared" si="500"/>
        <v>0</v>
      </c>
      <c r="AB278" s="39">
        <f t="shared" si="500"/>
        <v>0</v>
      </c>
      <c r="AC278" s="39">
        <f t="shared" si="500"/>
        <v>0</v>
      </c>
      <c r="AD278" s="39">
        <f t="shared" si="500"/>
        <v>0</v>
      </c>
      <c r="AE278" s="39">
        <f t="shared" si="500"/>
        <v>0</v>
      </c>
      <c r="AF278" s="39">
        <f t="shared" si="500"/>
        <v>0</v>
      </c>
      <c r="AG278" s="39">
        <f t="shared" si="500"/>
        <v>0</v>
      </c>
      <c r="AH278" s="39">
        <f t="shared" si="500"/>
        <v>0</v>
      </c>
      <c r="AI278" s="39">
        <f t="shared" si="500"/>
        <v>0</v>
      </c>
      <c r="AJ278" s="39">
        <f t="shared" ref="AJ278:BO278" si="501">ROUND(AJ16*$B18+AJ23*$B25+AJ30*$B32+AJ37*$B39+AJ44*$B46+AJ51*$B53+AJ58*$B60+AJ65*$B67+AJ72*$B74+AJ79*$B81+AJ86*$B88+AJ93*$B95+AJ100*$B102+AJ107*$B109+AJ114*$B116+AJ121*$B123+AJ128*$B130+AJ135*$B137+AJ142*$B144+AJ149*$B151+AJ156*$B158+AJ163*$B165+AJ170*$B172+AJ177*$B179+AJ184*$B186+AJ191*$B193+AJ198*$B200+AJ205*$B207+AJ212*$B214+AJ219*$B221+AJ226*$B228+AJ233*$B235+AJ240*$B242+AJ247*$B249+AJ254*$B256,0)</f>
        <v>0</v>
      </c>
      <c r="AK278" s="39">
        <f t="shared" si="501"/>
        <v>0</v>
      </c>
      <c r="AL278" s="39">
        <f t="shared" si="501"/>
        <v>0</v>
      </c>
      <c r="AM278" s="39">
        <f t="shared" si="501"/>
        <v>0</v>
      </c>
      <c r="AN278" s="39">
        <f t="shared" si="501"/>
        <v>0</v>
      </c>
      <c r="AO278" s="39">
        <f t="shared" si="501"/>
        <v>0</v>
      </c>
      <c r="AP278" s="39">
        <f t="shared" si="501"/>
        <v>0</v>
      </c>
      <c r="AQ278" s="39">
        <f t="shared" si="501"/>
        <v>0</v>
      </c>
      <c r="AR278" s="39">
        <f t="shared" si="501"/>
        <v>0</v>
      </c>
      <c r="AS278" s="39">
        <f t="shared" si="501"/>
        <v>0</v>
      </c>
      <c r="AT278" s="39">
        <f t="shared" si="501"/>
        <v>0</v>
      </c>
      <c r="AU278" s="39">
        <f t="shared" si="501"/>
        <v>0</v>
      </c>
      <c r="AV278" s="39">
        <f t="shared" si="501"/>
        <v>0</v>
      </c>
      <c r="AW278" s="39">
        <f t="shared" si="501"/>
        <v>0</v>
      </c>
      <c r="AX278" s="39">
        <f t="shared" si="501"/>
        <v>0</v>
      </c>
      <c r="AY278" s="39">
        <f t="shared" si="501"/>
        <v>0</v>
      </c>
      <c r="AZ278" s="39">
        <f t="shared" si="501"/>
        <v>0</v>
      </c>
      <c r="BA278" s="39">
        <f t="shared" si="501"/>
        <v>0</v>
      </c>
      <c r="BB278" s="39">
        <f t="shared" si="501"/>
        <v>0</v>
      </c>
      <c r="BC278" s="39">
        <f t="shared" si="501"/>
        <v>0</v>
      </c>
      <c r="BD278" s="39">
        <f t="shared" si="501"/>
        <v>0</v>
      </c>
      <c r="BE278" s="39">
        <f t="shared" si="501"/>
        <v>0</v>
      </c>
      <c r="BF278" s="39">
        <f t="shared" si="501"/>
        <v>0</v>
      </c>
      <c r="BG278" s="39">
        <f t="shared" si="501"/>
        <v>0</v>
      </c>
      <c r="BH278" s="39">
        <f t="shared" si="501"/>
        <v>0</v>
      </c>
      <c r="BI278" s="39">
        <f t="shared" si="501"/>
        <v>0</v>
      </c>
      <c r="BJ278" s="39">
        <f t="shared" si="501"/>
        <v>0</v>
      </c>
      <c r="BK278" s="39">
        <f t="shared" si="501"/>
        <v>0</v>
      </c>
      <c r="BL278" s="39">
        <f t="shared" si="501"/>
        <v>0</v>
      </c>
      <c r="BM278" s="39">
        <f t="shared" si="501"/>
        <v>0</v>
      </c>
      <c r="BN278" s="39">
        <f t="shared" si="501"/>
        <v>0</v>
      </c>
      <c r="BO278" s="39">
        <f t="shared" si="501"/>
        <v>0</v>
      </c>
      <c r="BP278" s="39">
        <f t="shared" ref="BP278:CC278" si="502">ROUND(BP16*$B18+BP23*$B25+BP30*$B32+BP37*$B39+BP44*$B46+BP51*$B53+BP58*$B60+BP65*$B67+BP72*$B74+BP79*$B81+BP86*$B88+BP93*$B95+BP100*$B102+BP107*$B109+BP114*$B116+BP121*$B123+BP128*$B130+BP135*$B137+BP142*$B144+BP149*$B151+BP156*$B158+BP163*$B165+BP170*$B172+BP177*$B179+BP184*$B186+BP191*$B193+BP198*$B200+BP205*$B207+BP212*$B214+BP219*$B221+BP226*$B228+BP233*$B235+BP240*$B242+BP247*$B249+BP254*$B256,0)</f>
        <v>0</v>
      </c>
      <c r="BQ278" s="39">
        <f t="shared" si="502"/>
        <v>0</v>
      </c>
      <c r="BR278" s="39">
        <f t="shared" si="502"/>
        <v>0</v>
      </c>
      <c r="BS278" s="39">
        <f t="shared" si="502"/>
        <v>0</v>
      </c>
      <c r="BT278" s="39">
        <f t="shared" si="502"/>
        <v>0</v>
      </c>
      <c r="BU278" s="39">
        <f t="shared" si="502"/>
        <v>0</v>
      </c>
      <c r="BV278" s="39">
        <f t="shared" si="502"/>
        <v>0</v>
      </c>
      <c r="BW278" s="39">
        <f t="shared" si="502"/>
        <v>0</v>
      </c>
      <c r="BX278" s="39">
        <f t="shared" si="502"/>
        <v>0</v>
      </c>
      <c r="BY278" s="39">
        <f t="shared" si="502"/>
        <v>0</v>
      </c>
      <c r="BZ278" s="39">
        <f t="shared" si="502"/>
        <v>0</v>
      </c>
      <c r="CA278" s="39">
        <f t="shared" si="502"/>
        <v>0</v>
      </c>
      <c r="CB278" s="39">
        <f t="shared" si="502"/>
        <v>0</v>
      </c>
      <c r="CC278" s="39">
        <f t="shared" si="502"/>
        <v>0</v>
      </c>
    </row>
    <row r="279" spans="1:81" x14ac:dyDescent="0.2">
      <c r="A279" t="s">
        <v>264</v>
      </c>
      <c r="D279" s="39">
        <f t="shared" ref="D279:AI279" si="503">ROUND(D17*$B16+D24*$B23+D31*$B30+D38*$B37+D45*$B44+D52*$B51+D59*$B58+D66*$B65+D73*$B72+D80*$B79+D87*$B86+D94*$B93+D101*$B100+D108*$B107+D115*$B114+D122*$B121+D129*$B128+D136*$B135+D143*$B142+D150*$B149+D157*$B156+D164*$B163+D171*$B170+D178*$B177+D185*$B184+D192*$B191+D199*$B198+D206*$B205+D213*$B212+D220*$B219+D227*$B226+D234*$B233+D241*$B240+D248*$B247+D255*$B254,0)</f>
        <v>86</v>
      </c>
      <c r="E279" s="39">
        <f t="shared" si="503"/>
        <v>1676</v>
      </c>
      <c r="F279" s="39">
        <f t="shared" si="503"/>
        <v>1069</v>
      </c>
      <c r="G279" s="39">
        <f t="shared" si="503"/>
        <v>1258</v>
      </c>
      <c r="H279" s="39">
        <f t="shared" si="503"/>
        <v>1180</v>
      </c>
      <c r="I279" s="39">
        <f t="shared" si="503"/>
        <v>1127</v>
      </c>
      <c r="J279" s="39">
        <f t="shared" si="503"/>
        <v>1095</v>
      </c>
      <c r="K279" s="39">
        <f t="shared" si="503"/>
        <v>1199</v>
      </c>
      <c r="L279" s="39">
        <f t="shared" si="503"/>
        <v>1601</v>
      </c>
      <c r="M279" s="39">
        <f t="shared" si="503"/>
        <v>1868</v>
      </c>
      <c r="N279" s="39">
        <f t="shared" si="503"/>
        <v>0</v>
      </c>
      <c r="O279" s="39">
        <f t="shared" si="503"/>
        <v>0</v>
      </c>
      <c r="P279" s="39">
        <f t="shared" si="503"/>
        <v>0</v>
      </c>
      <c r="Q279" s="39">
        <f t="shared" si="503"/>
        <v>0</v>
      </c>
      <c r="R279" s="39">
        <f t="shared" si="503"/>
        <v>1121</v>
      </c>
      <c r="S279" s="39">
        <f t="shared" si="503"/>
        <v>1028</v>
      </c>
      <c r="T279" s="39">
        <f t="shared" si="503"/>
        <v>977</v>
      </c>
      <c r="U279" s="39">
        <f t="shared" si="503"/>
        <v>1103</v>
      </c>
      <c r="V279" s="39">
        <f t="shared" si="503"/>
        <v>1103</v>
      </c>
      <c r="W279" s="39">
        <f t="shared" si="503"/>
        <v>1103</v>
      </c>
      <c r="X279" s="39">
        <f t="shared" si="503"/>
        <v>1089</v>
      </c>
      <c r="Y279" s="39">
        <f t="shared" si="503"/>
        <v>746</v>
      </c>
      <c r="Z279" s="39">
        <f t="shared" si="503"/>
        <v>746</v>
      </c>
      <c r="AA279" s="39">
        <f t="shared" si="503"/>
        <v>746</v>
      </c>
      <c r="AB279" s="39">
        <f t="shared" si="503"/>
        <v>736</v>
      </c>
      <c r="AC279" s="39">
        <f t="shared" si="503"/>
        <v>1121</v>
      </c>
      <c r="AD279" s="39">
        <f t="shared" si="503"/>
        <v>1121</v>
      </c>
      <c r="AE279" s="39">
        <f t="shared" si="503"/>
        <v>1118</v>
      </c>
      <c r="AF279" s="39">
        <f t="shared" si="503"/>
        <v>1118</v>
      </c>
      <c r="AG279" s="39">
        <f t="shared" si="503"/>
        <v>1030</v>
      </c>
      <c r="AH279" s="39">
        <f t="shared" si="503"/>
        <v>1145</v>
      </c>
      <c r="AI279" s="39">
        <f t="shared" si="503"/>
        <v>1145</v>
      </c>
      <c r="AJ279" s="39">
        <f t="shared" ref="AJ279:BO279" si="504">ROUND(AJ17*$B16+AJ24*$B23+AJ31*$B30+AJ38*$B37+AJ45*$B44+AJ52*$B51+AJ59*$B58+AJ66*$B65+AJ73*$B72+AJ80*$B79+AJ87*$B86+AJ94*$B93+AJ101*$B100+AJ108*$B107+AJ115*$B114+AJ122*$B121+AJ129*$B128+AJ136*$B135+AJ143*$B142+AJ150*$B149+AJ157*$B156+AJ164*$B163+AJ171*$B170+AJ178*$B177+AJ185*$B184+AJ192*$B191+AJ199*$B198+AJ206*$B205+AJ213*$B212+AJ220*$B219+AJ227*$B226+AJ234*$B233+AJ241*$B240+AJ248*$B247+AJ255*$B254,0)</f>
        <v>0</v>
      </c>
      <c r="AK279" s="39">
        <f t="shared" si="504"/>
        <v>0</v>
      </c>
      <c r="AL279" s="39">
        <f t="shared" si="504"/>
        <v>0</v>
      </c>
      <c r="AM279" s="39">
        <f t="shared" si="504"/>
        <v>0</v>
      </c>
      <c r="AN279" s="39">
        <f t="shared" si="504"/>
        <v>809</v>
      </c>
      <c r="AO279" s="39">
        <f t="shared" si="504"/>
        <v>809</v>
      </c>
      <c r="AP279" s="39">
        <f t="shared" si="504"/>
        <v>809</v>
      </c>
      <c r="AQ279" s="39">
        <f t="shared" si="504"/>
        <v>976</v>
      </c>
      <c r="AR279" s="39">
        <f t="shared" si="504"/>
        <v>976</v>
      </c>
      <c r="AS279" s="39">
        <f t="shared" si="504"/>
        <v>783</v>
      </c>
      <c r="AT279" s="39">
        <f t="shared" si="504"/>
        <v>976</v>
      </c>
      <c r="AU279" s="39">
        <f t="shared" si="504"/>
        <v>928</v>
      </c>
      <c r="AV279" s="39">
        <f t="shared" si="504"/>
        <v>928</v>
      </c>
      <c r="AW279" s="39">
        <f t="shared" si="504"/>
        <v>928</v>
      </c>
      <c r="AX279" s="39">
        <f t="shared" si="504"/>
        <v>928</v>
      </c>
      <c r="AY279" s="39">
        <f t="shared" si="504"/>
        <v>743</v>
      </c>
      <c r="AZ279" s="39">
        <f t="shared" si="504"/>
        <v>662</v>
      </c>
      <c r="BA279" s="39">
        <f t="shared" si="504"/>
        <v>662</v>
      </c>
      <c r="BB279" s="39">
        <f t="shared" si="504"/>
        <v>662</v>
      </c>
      <c r="BC279" s="39">
        <f t="shared" si="504"/>
        <v>743</v>
      </c>
      <c r="BD279" s="39">
        <f t="shared" si="504"/>
        <v>743</v>
      </c>
      <c r="BE279" s="39">
        <f t="shared" si="504"/>
        <v>743</v>
      </c>
      <c r="BF279" s="39">
        <f t="shared" si="504"/>
        <v>743</v>
      </c>
      <c r="BG279" s="39">
        <f t="shared" si="504"/>
        <v>743</v>
      </c>
      <c r="BH279" s="39">
        <f t="shared" si="504"/>
        <v>743</v>
      </c>
      <c r="BI279" s="39">
        <f t="shared" si="504"/>
        <v>743</v>
      </c>
      <c r="BJ279" s="39">
        <f t="shared" si="504"/>
        <v>743</v>
      </c>
      <c r="BK279" s="39">
        <f t="shared" si="504"/>
        <v>743</v>
      </c>
      <c r="BL279" s="39">
        <f t="shared" si="504"/>
        <v>739</v>
      </c>
      <c r="BM279" s="39">
        <f t="shared" si="504"/>
        <v>739</v>
      </c>
      <c r="BN279" s="39">
        <f t="shared" si="504"/>
        <v>1345</v>
      </c>
      <c r="BO279" s="39">
        <f t="shared" si="504"/>
        <v>0</v>
      </c>
      <c r="BP279" s="39">
        <f t="shared" ref="BP279:CC279" si="505">ROUND(BP17*$B16+BP24*$B23+BP31*$B30+BP38*$B37+BP45*$B44+BP52*$B51+BP59*$B58+BP66*$B65+BP73*$B72+BP80*$B79+BP87*$B86+BP94*$B93+BP101*$B100+BP108*$B107+BP115*$B114+BP122*$B121+BP129*$B128+BP136*$B135+BP143*$B142+BP150*$B149+BP157*$B156+BP164*$B163+BP171*$B170+BP178*$B177+BP185*$B184+BP192*$B191+BP199*$B198+BP206*$B205+BP213*$B212+BP220*$B219+BP227*$B226+BP234*$B233+BP241*$B240+BP248*$B247+BP255*$B254,0)</f>
        <v>0</v>
      </c>
      <c r="BQ279" s="39">
        <f t="shared" si="505"/>
        <v>0</v>
      </c>
      <c r="BR279" s="39">
        <f t="shared" si="505"/>
        <v>0</v>
      </c>
      <c r="BS279" s="39">
        <f t="shared" si="505"/>
        <v>610</v>
      </c>
      <c r="BT279" s="39">
        <f t="shared" si="505"/>
        <v>610</v>
      </c>
      <c r="BU279" s="39">
        <f t="shared" si="505"/>
        <v>610</v>
      </c>
      <c r="BV279" s="39">
        <f t="shared" si="505"/>
        <v>610</v>
      </c>
      <c r="BW279" s="39">
        <f t="shared" si="505"/>
        <v>610</v>
      </c>
      <c r="BX279" s="39">
        <f t="shared" si="505"/>
        <v>610</v>
      </c>
      <c r="BY279" s="39">
        <f t="shared" si="505"/>
        <v>610</v>
      </c>
      <c r="BZ279" s="39">
        <f t="shared" si="505"/>
        <v>610</v>
      </c>
      <c r="CA279" s="39">
        <f t="shared" si="505"/>
        <v>610</v>
      </c>
      <c r="CB279" s="39">
        <f t="shared" si="505"/>
        <v>610</v>
      </c>
      <c r="CC279" s="39">
        <f t="shared" si="505"/>
        <v>610</v>
      </c>
    </row>
    <row r="280" spans="1:81" x14ac:dyDescent="0.2">
      <c r="A280" t="s">
        <v>265</v>
      </c>
      <c r="D280" s="39">
        <f t="shared" ref="D280:AI280" si="506">ROUND(D17*$B18+D24*$B25+D31*$B32+D38*$B39+D45*$B46+D52*$B53+D59*$B60+D66*$B67+D73*$B74+D80*$B81+D87*$B88+D94*$B95+D101*$B102+D108*$B109+D115*$B116+D122*$B123+D129*$B130+D136*$B137+D143*$B144+D150*$B151+D157*$B158+D164*$B165+D171*$B172+D178*$B179+D185*$B186+D192*$B193+D199*$B200+D206*$B207+D213*$B214+D220*$B221+D227*$B228+D234*$B235+D241*$B242+D248*$B249+D255*$B256,0)</f>
        <v>105</v>
      </c>
      <c r="E280" s="39">
        <f t="shared" si="506"/>
        <v>2063</v>
      </c>
      <c r="F280" s="39">
        <f t="shared" si="506"/>
        <v>1310</v>
      </c>
      <c r="G280" s="39">
        <f t="shared" si="506"/>
        <v>1548</v>
      </c>
      <c r="H280" s="39">
        <f t="shared" si="506"/>
        <v>1449</v>
      </c>
      <c r="I280" s="39">
        <f t="shared" si="506"/>
        <v>1384</v>
      </c>
      <c r="J280" s="39">
        <f t="shared" si="506"/>
        <v>1352</v>
      </c>
      <c r="K280" s="39">
        <f t="shared" si="506"/>
        <v>1477</v>
      </c>
      <c r="L280" s="39">
        <f t="shared" si="506"/>
        <v>1975</v>
      </c>
      <c r="M280" s="39">
        <f t="shared" si="506"/>
        <v>2300</v>
      </c>
      <c r="N280" s="39">
        <f t="shared" si="506"/>
        <v>0</v>
      </c>
      <c r="O280" s="39">
        <f t="shared" si="506"/>
        <v>0</v>
      </c>
      <c r="P280" s="39">
        <f t="shared" si="506"/>
        <v>0</v>
      </c>
      <c r="Q280" s="39">
        <f t="shared" si="506"/>
        <v>0</v>
      </c>
      <c r="R280" s="39">
        <f t="shared" si="506"/>
        <v>1381</v>
      </c>
      <c r="S280" s="39">
        <f t="shared" si="506"/>
        <v>1270</v>
      </c>
      <c r="T280" s="39">
        <f t="shared" si="506"/>
        <v>1202</v>
      </c>
      <c r="U280" s="39">
        <f t="shared" si="506"/>
        <v>1359</v>
      </c>
      <c r="V280" s="39">
        <f t="shared" si="506"/>
        <v>1359</v>
      </c>
      <c r="W280" s="39">
        <f t="shared" si="506"/>
        <v>1359</v>
      </c>
      <c r="X280" s="39">
        <f t="shared" si="506"/>
        <v>1344</v>
      </c>
      <c r="Y280" s="39">
        <f t="shared" si="506"/>
        <v>917</v>
      </c>
      <c r="Z280" s="39">
        <f t="shared" si="506"/>
        <v>917</v>
      </c>
      <c r="AA280" s="39">
        <f t="shared" si="506"/>
        <v>917</v>
      </c>
      <c r="AB280" s="39">
        <f t="shared" si="506"/>
        <v>907</v>
      </c>
      <c r="AC280" s="39">
        <f t="shared" si="506"/>
        <v>1383</v>
      </c>
      <c r="AD280" s="39">
        <f t="shared" si="506"/>
        <v>1383</v>
      </c>
      <c r="AE280" s="39">
        <f t="shared" si="506"/>
        <v>1380</v>
      </c>
      <c r="AF280" s="39">
        <f t="shared" si="506"/>
        <v>1380</v>
      </c>
      <c r="AG280" s="39">
        <f t="shared" si="506"/>
        <v>1270</v>
      </c>
      <c r="AH280" s="39">
        <f t="shared" si="506"/>
        <v>1413</v>
      </c>
      <c r="AI280" s="39">
        <f t="shared" si="506"/>
        <v>1413</v>
      </c>
      <c r="AJ280" s="39">
        <f t="shared" ref="AJ280:BO280" si="507">ROUND(AJ17*$B18+AJ24*$B25+AJ31*$B32+AJ38*$B39+AJ45*$B46+AJ52*$B53+AJ59*$B60+AJ66*$B67+AJ73*$B74+AJ80*$B81+AJ87*$B88+AJ94*$B95+AJ101*$B102+AJ108*$B109+AJ115*$B116+AJ122*$B123+AJ129*$B130+AJ136*$B137+AJ143*$B144+AJ150*$B151+AJ157*$B158+AJ164*$B165+AJ171*$B172+AJ178*$B179+AJ185*$B186+AJ192*$B193+AJ199*$B200+AJ206*$B207+AJ213*$B214+AJ220*$B221+AJ227*$B228+AJ234*$B235+AJ241*$B242+AJ248*$B249+AJ255*$B256,0)</f>
        <v>0</v>
      </c>
      <c r="AK280" s="39">
        <f t="shared" si="507"/>
        <v>0</v>
      </c>
      <c r="AL280" s="39">
        <f t="shared" si="507"/>
        <v>0</v>
      </c>
      <c r="AM280" s="39">
        <f t="shared" si="507"/>
        <v>0</v>
      </c>
      <c r="AN280" s="39">
        <f t="shared" si="507"/>
        <v>997</v>
      </c>
      <c r="AO280" s="39">
        <f t="shared" si="507"/>
        <v>997</v>
      </c>
      <c r="AP280" s="39">
        <f t="shared" si="507"/>
        <v>997</v>
      </c>
      <c r="AQ280" s="39">
        <f t="shared" si="507"/>
        <v>1203</v>
      </c>
      <c r="AR280" s="39">
        <f t="shared" si="507"/>
        <v>1203</v>
      </c>
      <c r="AS280" s="39">
        <f t="shared" si="507"/>
        <v>964</v>
      </c>
      <c r="AT280" s="39">
        <f t="shared" si="507"/>
        <v>1203</v>
      </c>
      <c r="AU280" s="39">
        <f t="shared" si="507"/>
        <v>1144</v>
      </c>
      <c r="AV280" s="39">
        <f t="shared" si="507"/>
        <v>1144</v>
      </c>
      <c r="AW280" s="39">
        <f t="shared" si="507"/>
        <v>1144</v>
      </c>
      <c r="AX280" s="39">
        <f t="shared" si="507"/>
        <v>1144</v>
      </c>
      <c r="AY280" s="39">
        <f t="shared" si="507"/>
        <v>915</v>
      </c>
      <c r="AZ280" s="39">
        <f t="shared" si="507"/>
        <v>815</v>
      </c>
      <c r="BA280" s="39">
        <f t="shared" si="507"/>
        <v>815</v>
      </c>
      <c r="BB280" s="39">
        <f t="shared" si="507"/>
        <v>815</v>
      </c>
      <c r="BC280" s="39">
        <f t="shared" si="507"/>
        <v>915</v>
      </c>
      <c r="BD280" s="39">
        <f t="shared" si="507"/>
        <v>915</v>
      </c>
      <c r="BE280" s="39">
        <f t="shared" si="507"/>
        <v>915</v>
      </c>
      <c r="BF280" s="39">
        <f t="shared" si="507"/>
        <v>915</v>
      </c>
      <c r="BG280" s="39">
        <f t="shared" si="507"/>
        <v>915</v>
      </c>
      <c r="BH280" s="39">
        <f t="shared" si="507"/>
        <v>915</v>
      </c>
      <c r="BI280" s="39">
        <f t="shared" si="507"/>
        <v>915</v>
      </c>
      <c r="BJ280" s="39">
        <f t="shared" si="507"/>
        <v>915</v>
      </c>
      <c r="BK280" s="39">
        <f t="shared" si="507"/>
        <v>915</v>
      </c>
      <c r="BL280" s="39">
        <f t="shared" si="507"/>
        <v>910</v>
      </c>
      <c r="BM280" s="39">
        <f t="shared" si="507"/>
        <v>910</v>
      </c>
      <c r="BN280" s="39">
        <f t="shared" si="507"/>
        <v>1658</v>
      </c>
      <c r="BO280" s="39">
        <f t="shared" si="507"/>
        <v>0</v>
      </c>
      <c r="BP280" s="39">
        <f t="shared" ref="BP280:CC280" si="508">ROUND(BP17*$B18+BP24*$B25+BP31*$B32+BP38*$B39+BP45*$B46+BP52*$B53+BP59*$B60+BP66*$B67+BP73*$B74+BP80*$B81+BP87*$B88+BP94*$B95+BP101*$B102+BP108*$B109+BP115*$B116+BP122*$B123+BP129*$B130+BP136*$B137+BP143*$B144+BP150*$B151+BP157*$B158+BP164*$B165+BP171*$B172+BP178*$B179+BP185*$B186+BP192*$B193+BP199*$B200+BP206*$B207+BP213*$B214+BP220*$B221+BP227*$B228+BP234*$B235+BP241*$B242+BP248*$B249+BP255*$B256,0)</f>
        <v>0</v>
      </c>
      <c r="BQ280" s="39">
        <f t="shared" si="508"/>
        <v>0</v>
      </c>
      <c r="BR280" s="39">
        <f t="shared" si="508"/>
        <v>0</v>
      </c>
      <c r="BS280" s="39">
        <f t="shared" si="508"/>
        <v>751</v>
      </c>
      <c r="BT280" s="39">
        <f t="shared" si="508"/>
        <v>751</v>
      </c>
      <c r="BU280" s="39">
        <f t="shared" si="508"/>
        <v>751</v>
      </c>
      <c r="BV280" s="39">
        <f t="shared" si="508"/>
        <v>751</v>
      </c>
      <c r="BW280" s="39">
        <f t="shared" si="508"/>
        <v>751</v>
      </c>
      <c r="BX280" s="39">
        <f t="shared" si="508"/>
        <v>751</v>
      </c>
      <c r="BY280" s="39">
        <f t="shared" si="508"/>
        <v>751</v>
      </c>
      <c r="BZ280" s="39">
        <f t="shared" si="508"/>
        <v>751</v>
      </c>
      <c r="CA280" s="39">
        <f t="shared" si="508"/>
        <v>751</v>
      </c>
      <c r="CB280" s="39">
        <f t="shared" si="508"/>
        <v>751</v>
      </c>
      <c r="CC280" s="39">
        <f t="shared" si="508"/>
        <v>751</v>
      </c>
    </row>
    <row r="281" spans="1:81" x14ac:dyDescent="0.2">
      <c r="A281" t="s">
        <v>266</v>
      </c>
      <c r="D281" s="39">
        <f t="shared" ref="D281:AI281" si="509">ROUND(D14*$B16+D21*$B23+D28*$B30+D35*$B37+D42*$B44+D49*$B51+D56*$B58+D63*$B65+D70*$B72+D77*$B79+D84*$B86+D91*$B93+D98*$B100+D105*$B107+D112*$B114+D119*$B121+D126*$B128+D133*$B135+D140*$B142+D147*$B149+D154*$B156+D161*$B163+D168*$B170+D175*$B177+D182*$B184+D189*$B191+D196*$B198+D203*$B205+D210*$B212+D217*$B219+D224*$B226+D231*$B233+D238*$B240+D245*$B247+D252*$B254,0)</f>
        <v>7130</v>
      </c>
      <c r="E281" s="39">
        <f t="shared" si="509"/>
        <v>7743</v>
      </c>
      <c r="F281" s="39">
        <f t="shared" si="509"/>
        <v>6068</v>
      </c>
      <c r="G281" s="39">
        <f t="shared" si="509"/>
        <v>4999</v>
      </c>
      <c r="H281" s="39">
        <f t="shared" si="509"/>
        <v>3741</v>
      </c>
      <c r="I281" s="39">
        <f t="shared" si="509"/>
        <v>3367</v>
      </c>
      <c r="J281" s="39">
        <f t="shared" si="509"/>
        <v>3239</v>
      </c>
      <c r="K281" s="39">
        <f t="shared" si="509"/>
        <v>2705</v>
      </c>
      <c r="L281" s="39">
        <f t="shared" si="509"/>
        <v>1507</v>
      </c>
      <c r="M281" s="39">
        <f t="shared" si="509"/>
        <v>-95</v>
      </c>
      <c r="N281" s="39">
        <f t="shared" si="509"/>
        <v>-1963</v>
      </c>
      <c r="O281" s="39">
        <f t="shared" si="509"/>
        <v>-1963</v>
      </c>
      <c r="P281" s="39">
        <f t="shared" si="509"/>
        <v>-1963</v>
      </c>
      <c r="Q281" s="39">
        <f t="shared" si="509"/>
        <v>-1963</v>
      </c>
      <c r="R281" s="39">
        <f t="shared" si="509"/>
        <v>-1963</v>
      </c>
      <c r="S281" s="39">
        <f t="shared" si="509"/>
        <v>-3084</v>
      </c>
      <c r="T281" s="39">
        <f t="shared" si="509"/>
        <v>-4112</v>
      </c>
      <c r="U281" s="39">
        <f t="shared" si="509"/>
        <v>-5089</v>
      </c>
      <c r="V281" s="39">
        <f t="shared" si="509"/>
        <v>-6192</v>
      </c>
      <c r="W281" s="39">
        <f t="shared" si="509"/>
        <v>-7295</v>
      </c>
      <c r="X281" s="39">
        <f t="shared" si="509"/>
        <v>-8397</v>
      </c>
      <c r="Y281" s="39">
        <f t="shared" si="509"/>
        <v>-9487</v>
      </c>
      <c r="Z281" s="39">
        <f t="shared" si="509"/>
        <v>-10232</v>
      </c>
      <c r="AA281" s="39">
        <f t="shared" si="509"/>
        <v>-10978</v>
      </c>
      <c r="AB281" s="39">
        <f t="shared" si="509"/>
        <v>-11724</v>
      </c>
      <c r="AC281" s="39">
        <f t="shared" si="509"/>
        <v>-12460</v>
      </c>
      <c r="AD281" s="39">
        <f t="shared" si="509"/>
        <v>-13581</v>
      </c>
      <c r="AE281" s="39">
        <f t="shared" si="509"/>
        <v>-14702</v>
      </c>
      <c r="AF281" s="39">
        <f t="shared" si="509"/>
        <v>-15820</v>
      </c>
      <c r="AG281" s="39">
        <f t="shared" si="509"/>
        <v>-16938</v>
      </c>
      <c r="AH281" s="39">
        <f t="shared" si="509"/>
        <v>-17968</v>
      </c>
      <c r="AI281" s="39">
        <f t="shared" si="509"/>
        <v>-19113</v>
      </c>
      <c r="AJ281" s="39">
        <f t="shared" ref="AJ281:BO281" si="510">ROUND(AJ14*$B16+AJ21*$B23+AJ28*$B30+AJ35*$B37+AJ42*$B44+AJ49*$B51+AJ56*$B58+AJ63*$B65+AJ70*$B72+AJ77*$B79+AJ84*$B86+AJ91*$B93+AJ98*$B100+AJ105*$B107+AJ112*$B114+AJ119*$B121+AJ126*$B128+AJ133*$B135+AJ140*$B142+AJ147*$B149+AJ154*$B156+AJ161*$B163+AJ168*$B170+AJ175*$B177+AJ182*$B184+AJ189*$B191+AJ196*$B198+AJ203*$B205+AJ210*$B212+AJ217*$B219+AJ224*$B226+AJ231*$B233+AJ238*$B240+AJ245*$B247+AJ252*$B254,0)</f>
        <v>-20257</v>
      </c>
      <c r="AK281" s="39">
        <f t="shared" si="510"/>
        <v>-20257</v>
      </c>
      <c r="AL281" s="39">
        <f t="shared" si="510"/>
        <v>-20257</v>
      </c>
      <c r="AM281" s="39">
        <f t="shared" si="510"/>
        <v>-20257</v>
      </c>
      <c r="AN281" s="39">
        <f t="shared" si="510"/>
        <v>-20257</v>
      </c>
      <c r="AO281" s="39">
        <f t="shared" si="510"/>
        <v>-21067</v>
      </c>
      <c r="AP281" s="39">
        <f t="shared" si="510"/>
        <v>-21876</v>
      </c>
      <c r="AQ281" s="39">
        <f t="shared" si="510"/>
        <v>-22686</v>
      </c>
      <c r="AR281" s="39">
        <f t="shared" si="510"/>
        <v>-23662</v>
      </c>
      <c r="AS281" s="39">
        <f t="shared" si="510"/>
        <v>-24639</v>
      </c>
      <c r="AT281" s="39">
        <f t="shared" si="510"/>
        <v>-25421</v>
      </c>
      <c r="AU281" s="39">
        <f t="shared" si="510"/>
        <v>-26398</v>
      </c>
      <c r="AV281" s="39">
        <f t="shared" si="510"/>
        <v>-27326</v>
      </c>
      <c r="AW281" s="39">
        <f t="shared" si="510"/>
        <v>-28255</v>
      </c>
      <c r="AX281" s="39">
        <f t="shared" si="510"/>
        <v>-29183</v>
      </c>
      <c r="AY281" s="39">
        <f t="shared" si="510"/>
        <v>-30111</v>
      </c>
      <c r="AZ281" s="39">
        <f t="shared" si="510"/>
        <v>-30854</v>
      </c>
      <c r="BA281" s="39">
        <f t="shared" si="510"/>
        <v>-31516</v>
      </c>
      <c r="BB281" s="39">
        <f t="shared" si="510"/>
        <v>-32178</v>
      </c>
      <c r="BC281" s="39">
        <f t="shared" si="510"/>
        <v>-32840</v>
      </c>
      <c r="BD281" s="39">
        <f t="shared" si="510"/>
        <v>-33582</v>
      </c>
      <c r="BE281" s="39">
        <f t="shared" si="510"/>
        <v>-34325</v>
      </c>
      <c r="BF281" s="39">
        <f t="shared" si="510"/>
        <v>-35068</v>
      </c>
      <c r="BG281" s="39">
        <f t="shared" si="510"/>
        <v>-35811</v>
      </c>
      <c r="BH281" s="39">
        <f t="shared" si="510"/>
        <v>-36554</v>
      </c>
      <c r="BI281" s="39">
        <f t="shared" si="510"/>
        <v>-37297</v>
      </c>
      <c r="BJ281" s="39">
        <f t="shared" si="510"/>
        <v>-38040</v>
      </c>
      <c r="BK281" s="39">
        <f t="shared" si="510"/>
        <v>-38783</v>
      </c>
      <c r="BL281" s="39">
        <f t="shared" si="510"/>
        <v>-39526</v>
      </c>
      <c r="BM281" s="39">
        <f t="shared" si="510"/>
        <v>-40265</v>
      </c>
      <c r="BN281" s="39">
        <f t="shared" si="510"/>
        <v>-41003</v>
      </c>
      <c r="BO281" s="39">
        <f t="shared" si="510"/>
        <v>-42349</v>
      </c>
      <c r="BP281" s="39">
        <f t="shared" ref="BP281:CC281" si="511">ROUND(BP14*$B16+BP21*$B23+BP28*$B30+BP35*$B37+BP42*$B44+BP49*$B51+BP56*$B58+BP63*$B65+BP70*$B72+BP77*$B79+BP84*$B86+BP91*$B93+BP98*$B100+BP105*$B107+BP112*$B114+BP119*$B121+BP126*$B128+BP133*$B135+BP140*$B142+BP147*$B149+BP154*$B156+BP161*$B163+BP168*$B170+BP175*$B177+BP182*$B184+BP189*$B191+BP196*$B198+BP203*$B205+BP210*$B212+BP217*$B219+BP224*$B226+BP231*$B233+BP238*$B240+BP245*$B247+BP252*$B254,0)</f>
        <v>-42349</v>
      </c>
      <c r="BQ281" s="39">
        <f t="shared" si="511"/>
        <v>-42349</v>
      </c>
      <c r="BR281" s="39">
        <f t="shared" si="511"/>
        <v>-42349</v>
      </c>
      <c r="BS281" s="39">
        <f t="shared" si="511"/>
        <v>-42349</v>
      </c>
      <c r="BT281" s="39">
        <f t="shared" si="511"/>
        <v>-42958</v>
      </c>
      <c r="BU281" s="39">
        <f t="shared" si="511"/>
        <v>-43568</v>
      </c>
      <c r="BV281" s="39">
        <f t="shared" si="511"/>
        <v>-44178</v>
      </c>
      <c r="BW281" s="39">
        <f t="shared" si="511"/>
        <v>-44788</v>
      </c>
      <c r="BX281" s="39">
        <f t="shared" si="511"/>
        <v>-45397</v>
      </c>
      <c r="BY281" s="39">
        <f t="shared" si="511"/>
        <v>-46007</v>
      </c>
      <c r="BZ281" s="39">
        <f t="shared" si="511"/>
        <v>-46617</v>
      </c>
      <c r="CA281" s="39">
        <f t="shared" si="511"/>
        <v>-47226</v>
      </c>
      <c r="CB281" s="39">
        <f t="shared" si="511"/>
        <v>-47836</v>
      </c>
      <c r="CC281" s="39">
        <f t="shared" si="511"/>
        <v>-48446</v>
      </c>
    </row>
    <row r="282" spans="1:81" x14ac:dyDescent="0.2">
      <c r="A282" t="s">
        <v>267</v>
      </c>
      <c r="D282" s="39">
        <f t="shared" ref="D282:AI282" si="512">ROUND(D16*$B17+D23*$B24+D30*$B31+D37*$B38+D44*$B45+D51*$B52+D58*$B59+D65*$B66+D72*$B73+D79*$B80+D86*$B87+D93*$B94+D100*$B101+D107*$B108+D114*$B115+D121*$B122+D128*$B129+D135*$B136+D142*$B143+D149*$B150+D156*$B157+D163*$B164+D170*$B171+D177*$B178+D184*$B185+D191*$B192+D198*$B199+D205*$B206+D212*$B213+D219*$B220+D226*$B227+D233*$B234+D240*$B241+D247*$B248+D254*$B255,0)</f>
        <v>188</v>
      </c>
      <c r="E282" s="39">
        <f t="shared" si="512"/>
        <v>222</v>
      </c>
      <c r="F282" s="39">
        <f t="shared" si="512"/>
        <v>124</v>
      </c>
      <c r="G282" s="39">
        <f t="shared" si="512"/>
        <v>0</v>
      </c>
      <c r="H282" s="39">
        <f t="shared" si="512"/>
        <v>0</v>
      </c>
      <c r="I282" s="39">
        <f t="shared" si="512"/>
        <v>0</v>
      </c>
      <c r="J282" s="39">
        <f t="shared" si="512"/>
        <v>0</v>
      </c>
      <c r="K282" s="39">
        <f t="shared" si="512"/>
        <v>0</v>
      </c>
      <c r="L282" s="39">
        <f t="shared" si="512"/>
        <v>0</v>
      </c>
      <c r="M282" s="39">
        <f t="shared" si="512"/>
        <v>0</v>
      </c>
      <c r="N282" s="39">
        <f t="shared" si="512"/>
        <v>0</v>
      </c>
      <c r="O282" s="39">
        <f t="shared" si="512"/>
        <v>0</v>
      </c>
      <c r="P282" s="39">
        <f t="shared" si="512"/>
        <v>0</v>
      </c>
      <c r="Q282" s="39">
        <f t="shared" si="512"/>
        <v>0</v>
      </c>
      <c r="R282" s="39">
        <f t="shared" si="512"/>
        <v>0</v>
      </c>
      <c r="S282" s="39">
        <f t="shared" si="512"/>
        <v>0</v>
      </c>
      <c r="T282" s="39">
        <f t="shared" si="512"/>
        <v>0</v>
      </c>
      <c r="U282" s="39">
        <f t="shared" si="512"/>
        <v>0</v>
      </c>
      <c r="V282" s="39">
        <f t="shared" si="512"/>
        <v>0</v>
      </c>
      <c r="W282" s="39">
        <f t="shared" si="512"/>
        <v>0</v>
      </c>
      <c r="X282" s="39">
        <f t="shared" si="512"/>
        <v>0</v>
      </c>
      <c r="Y282" s="39">
        <f t="shared" si="512"/>
        <v>0</v>
      </c>
      <c r="Z282" s="39">
        <f t="shared" si="512"/>
        <v>0</v>
      </c>
      <c r="AA282" s="39">
        <f t="shared" si="512"/>
        <v>0</v>
      </c>
      <c r="AB282" s="39">
        <f t="shared" si="512"/>
        <v>0</v>
      </c>
      <c r="AC282" s="39">
        <f t="shared" si="512"/>
        <v>0</v>
      </c>
      <c r="AD282" s="39">
        <f t="shared" si="512"/>
        <v>0</v>
      </c>
      <c r="AE282" s="39">
        <f t="shared" si="512"/>
        <v>0</v>
      </c>
      <c r="AF282" s="39">
        <f t="shared" si="512"/>
        <v>0</v>
      </c>
      <c r="AG282" s="39">
        <f t="shared" si="512"/>
        <v>0</v>
      </c>
      <c r="AH282" s="39">
        <f t="shared" si="512"/>
        <v>0</v>
      </c>
      <c r="AI282" s="39">
        <f t="shared" si="512"/>
        <v>0</v>
      </c>
      <c r="AJ282" s="39">
        <f t="shared" ref="AJ282:BO282" si="513">ROUND(AJ16*$B17+AJ23*$B24+AJ30*$B31+AJ37*$B38+AJ44*$B45+AJ51*$B52+AJ58*$B59+AJ65*$B66+AJ72*$B73+AJ79*$B80+AJ86*$B87+AJ93*$B94+AJ100*$B101+AJ107*$B108+AJ114*$B115+AJ121*$B122+AJ128*$B129+AJ135*$B136+AJ142*$B143+AJ149*$B150+AJ156*$B157+AJ163*$B164+AJ170*$B171+AJ177*$B178+AJ184*$B185+AJ191*$B192+AJ198*$B199+AJ205*$B206+AJ212*$B213+AJ219*$B220+AJ226*$B227+AJ233*$B234+AJ240*$B241+AJ247*$B248+AJ254*$B255,0)</f>
        <v>0</v>
      </c>
      <c r="AK282" s="39">
        <f t="shared" si="513"/>
        <v>0</v>
      </c>
      <c r="AL282" s="39">
        <f t="shared" si="513"/>
        <v>0</v>
      </c>
      <c r="AM282" s="39">
        <f t="shared" si="513"/>
        <v>0</v>
      </c>
      <c r="AN282" s="39">
        <f t="shared" si="513"/>
        <v>0</v>
      </c>
      <c r="AO282" s="39">
        <f t="shared" si="513"/>
        <v>0</v>
      </c>
      <c r="AP282" s="39">
        <f t="shared" si="513"/>
        <v>0</v>
      </c>
      <c r="AQ282" s="39">
        <f t="shared" si="513"/>
        <v>0</v>
      </c>
      <c r="AR282" s="39">
        <f t="shared" si="513"/>
        <v>0</v>
      </c>
      <c r="AS282" s="39">
        <f t="shared" si="513"/>
        <v>0</v>
      </c>
      <c r="AT282" s="39">
        <f t="shared" si="513"/>
        <v>0</v>
      </c>
      <c r="AU282" s="39">
        <f t="shared" si="513"/>
        <v>0</v>
      </c>
      <c r="AV282" s="39">
        <f t="shared" si="513"/>
        <v>0</v>
      </c>
      <c r="AW282" s="39">
        <f t="shared" si="513"/>
        <v>0</v>
      </c>
      <c r="AX282" s="39">
        <f t="shared" si="513"/>
        <v>0</v>
      </c>
      <c r="AY282" s="39">
        <f t="shared" si="513"/>
        <v>0</v>
      </c>
      <c r="AZ282" s="39">
        <f t="shared" si="513"/>
        <v>0</v>
      </c>
      <c r="BA282" s="39">
        <f t="shared" si="513"/>
        <v>0</v>
      </c>
      <c r="BB282" s="39">
        <f t="shared" si="513"/>
        <v>0</v>
      </c>
      <c r="BC282" s="39">
        <f t="shared" si="513"/>
        <v>0</v>
      </c>
      <c r="BD282" s="39">
        <f t="shared" si="513"/>
        <v>0</v>
      </c>
      <c r="BE282" s="39">
        <f t="shared" si="513"/>
        <v>0</v>
      </c>
      <c r="BF282" s="39">
        <f t="shared" si="513"/>
        <v>0</v>
      </c>
      <c r="BG282" s="39">
        <f t="shared" si="513"/>
        <v>0</v>
      </c>
      <c r="BH282" s="39">
        <f t="shared" si="513"/>
        <v>0</v>
      </c>
      <c r="BI282" s="39">
        <f t="shared" si="513"/>
        <v>0</v>
      </c>
      <c r="BJ282" s="39">
        <f t="shared" si="513"/>
        <v>0</v>
      </c>
      <c r="BK282" s="39">
        <f t="shared" si="513"/>
        <v>0</v>
      </c>
      <c r="BL282" s="39">
        <f t="shared" si="513"/>
        <v>0</v>
      </c>
      <c r="BM282" s="39">
        <f t="shared" si="513"/>
        <v>0</v>
      </c>
      <c r="BN282" s="39">
        <f t="shared" si="513"/>
        <v>0</v>
      </c>
      <c r="BO282" s="39">
        <f t="shared" si="513"/>
        <v>0</v>
      </c>
      <c r="BP282" s="39">
        <f t="shared" ref="BP282:CC282" si="514">ROUND(BP16*$B17+BP23*$B24+BP30*$B31+BP37*$B38+BP44*$B45+BP51*$B52+BP58*$B59+BP65*$B66+BP72*$B73+BP79*$B80+BP86*$B87+BP93*$B94+BP100*$B101+BP107*$B108+BP114*$B115+BP121*$B122+BP128*$B129+BP135*$B136+BP142*$B143+BP149*$B150+BP156*$B157+BP163*$B164+BP170*$B171+BP177*$B178+BP184*$B185+BP191*$B192+BP198*$B199+BP205*$B206+BP212*$B213+BP219*$B220+BP226*$B227+BP233*$B234+BP240*$B241+BP247*$B248+BP254*$B255,0)</f>
        <v>0</v>
      </c>
      <c r="BQ282" s="39">
        <f t="shared" si="514"/>
        <v>0</v>
      </c>
      <c r="BR282" s="39">
        <f t="shared" si="514"/>
        <v>0</v>
      </c>
      <c r="BS282" s="39">
        <f t="shared" si="514"/>
        <v>0</v>
      </c>
      <c r="BT282" s="39">
        <f t="shared" si="514"/>
        <v>0</v>
      </c>
      <c r="BU282" s="39">
        <f t="shared" si="514"/>
        <v>0</v>
      </c>
      <c r="BV282" s="39">
        <f t="shared" si="514"/>
        <v>0</v>
      </c>
      <c r="BW282" s="39">
        <f t="shared" si="514"/>
        <v>0</v>
      </c>
      <c r="BX282" s="39">
        <f t="shared" si="514"/>
        <v>0</v>
      </c>
      <c r="BY282" s="39">
        <f t="shared" si="514"/>
        <v>0</v>
      </c>
      <c r="BZ282" s="39">
        <f t="shared" si="514"/>
        <v>0</v>
      </c>
      <c r="CA282" s="39">
        <f t="shared" si="514"/>
        <v>0</v>
      </c>
      <c r="CB282" s="39">
        <f t="shared" si="514"/>
        <v>0</v>
      </c>
      <c r="CC282" s="39">
        <f t="shared" si="514"/>
        <v>0</v>
      </c>
    </row>
    <row r="283" spans="1:81" x14ac:dyDescent="0.2">
      <c r="A283" t="s">
        <v>268</v>
      </c>
      <c r="D283" s="53">
        <f t="shared" ref="D283:AI283" ca="1" si="515">ROUND(IF(D284=0,0,D285/D284),0)</f>
        <v>38</v>
      </c>
      <c r="E283" s="53">
        <f t="shared" ca="1" si="515"/>
        <v>40</v>
      </c>
      <c r="F283" s="53">
        <f t="shared" ca="1" si="515"/>
        <v>38</v>
      </c>
      <c r="G283" s="53">
        <f t="shared" ca="1" si="515"/>
        <v>0</v>
      </c>
      <c r="H283" s="53">
        <f t="shared" ca="1" si="515"/>
        <v>0</v>
      </c>
      <c r="I283" s="53">
        <f t="shared" ca="1" si="515"/>
        <v>0</v>
      </c>
      <c r="J283" s="53">
        <f t="shared" ca="1" si="515"/>
        <v>0</v>
      </c>
      <c r="K283" s="53">
        <f t="shared" ca="1" si="515"/>
        <v>0</v>
      </c>
      <c r="L283" s="53">
        <f t="shared" ca="1" si="515"/>
        <v>0</v>
      </c>
      <c r="M283" s="53">
        <f t="shared" si="515"/>
        <v>0</v>
      </c>
      <c r="N283" s="53">
        <f t="shared" si="515"/>
        <v>0</v>
      </c>
      <c r="O283" s="53">
        <f t="shared" ca="1" si="515"/>
        <v>0</v>
      </c>
      <c r="P283" s="53">
        <f t="shared" ca="1" si="515"/>
        <v>0</v>
      </c>
      <c r="Q283" s="53">
        <f t="shared" ca="1" si="515"/>
        <v>0</v>
      </c>
      <c r="R283" s="53">
        <f t="shared" ca="1" si="515"/>
        <v>0</v>
      </c>
      <c r="S283" s="53">
        <f t="shared" ca="1" si="515"/>
        <v>0</v>
      </c>
      <c r="T283" s="53">
        <f t="shared" ca="1" si="515"/>
        <v>0</v>
      </c>
      <c r="U283" s="53">
        <f t="shared" ca="1" si="515"/>
        <v>0</v>
      </c>
      <c r="V283" s="53">
        <f t="shared" ca="1" si="515"/>
        <v>0</v>
      </c>
      <c r="W283" s="53">
        <f t="shared" ca="1" si="515"/>
        <v>0</v>
      </c>
      <c r="X283" s="53">
        <f t="shared" ca="1" si="515"/>
        <v>0</v>
      </c>
      <c r="Y283" s="53">
        <f t="shared" ca="1" si="515"/>
        <v>0</v>
      </c>
      <c r="Z283" s="53">
        <f t="shared" ca="1" si="515"/>
        <v>0</v>
      </c>
      <c r="AA283" s="53">
        <f t="shared" ca="1" si="515"/>
        <v>0</v>
      </c>
      <c r="AB283" s="53">
        <f t="shared" ca="1" si="515"/>
        <v>0</v>
      </c>
      <c r="AC283" s="53">
        <f t="shared" ca="1" si="515"/>
        <v>0</v>
      </c>
      <c r="AD283" s="53">
        <f t="shared" ca="1" si="515"/>
        <v>0</v>
      </c>
      <c r="AE283" s="53">
        <f t="shared" ca="1" si="515"/>
        <v>0</v>
      </c>
      <c r="AF283" s="53">
        <f t="shared" ca="1" si="515"/>
        <v>0</v>
      </c>
      <c r="AG283" s="53">
        <f t="shared" ca="1" si="515"/>
        <v>0</v>
      </c>
      <c r="AH283" s="53">
        <f t="shared" ca="1" si="515"/>
        <v>0</v>
      </c>
      <c r="AI283" s="53">
        <f t="shared" ca="1" si="515"/>
        <v>0</v>
      </c>
      <c r="AJ283" s="53">
        <f t="shared" ref="AJ283:BO283" ca="1" si="516">ROUND(IF(AJ284=0,0,AJ285/AJ284),0)</f>
        <v>0</v>
      </c>
      <c r="AK283" s="53">
        <f t="shared" si="516"/>
        <v>0</v>
      </c>
      <c r="AL283" s="53">
        <f t="shared" ca="1" si="516"/>
        <v>0</v>
      </c>
      <c r="AM283" s="53">
        <f t="shared" ca="1" si="516"/>
        <v>0</v>
      </c>
      <c r="AN283" s="53">
        <f t="shared" ca="1" si="516"/>
        <v>0</v>
      </c>
      <c r="AO283" s="53">
        <f t="shared" ca="1" si="516"/>
        <v>0</v>
      </c>
      <c r="AP283" s="53">
        <f t="shared" ca="1" si="516"/>
        <v>0</v>
      </c>
      <c r="AQ283" s="53">
        <f t="shared" ca="1" si="516"/>
        <v>0</v>
      </c>
      <c r="AR283" s="53">
        <f t="shared" ca="1" si="516"/>
        <v>0</v>
      </c>
      <c r="AS283" s="53">
        <f t="shared" ca="1" si="516"/>
        <v>0</v>
      </c>
      <c r="AT283" s="53">
        <f t="shared" ca="1" si="516"/>
        <v>0</v>
      </c>
      <c r="AU283" s="53">
        <f t="shared" ca="1" si="516"/>
        <v>0</v>
      </c>
      <c r="AV283" s="53">
        <f t="shared" ca="1" si="516"/>
        <v>0</v>
      </c>
      <c r="AW283" s="53">
        <f t="shared" ca="1" si="516"/>
        <v>0</v>
      </c>
      <c r="AX283" s="53">
        <f t="shared" ca="1" si="516"/>
        <v>0</v>
      </c>
      <c r="AY283" s="53">
        <f t="shared" ca="1" si="516"/>
        <v>0</v>
      </c>
      <c r="AZ283" s="53">
        <f t="shared" ca="1" si="516"/>
        <v>0</v>
      </c>
      <c r="BA283" s="53">
        <f t="shared" ca="1" si="516"/>
        <v>0</v>
      </c>
      <c r="BB283" s="53">
        <f t="shared" ca="1" si="516"/>
        <v>0</v>
      </c>
      <c r="BC283" s="53">
        <f t="shared" ca="1" si="516"/>
        <v>0</v>
      </c>
      <c r="BD283" s="53">
        <f t="shared" ca="1" si="516"/>
        <v>0</v>
      </c>
      <c r="BE283" s="53">
        <f t="shared" ca="1" si="516"/>
        <v>0</v>
      </c>
      <c r="BF283" s="53">
        <f t="shared" ca="1" si="516"/>
        <v>0</v>
      </c>
      <c r="BG283" s="53">
        <f t="shared" ca="1" si="516"/>
        <v>0</v>
      </c>
      <c r="BH283" s="53">
        <f t="shared" ca="1" si="516"/>
        <v>0</v>
      </c>
      <c r="BI283" s="53">
        <f t="shared" ca="1" si="516"/>
        <v>0</v>
      </c>
      <c r="BJ283" s="53">
        <f t="shared" ca="1" si="516"/>
        <v>0</v>
      </c>
      <c r="BK283" s="53">
        <f t="shared" ca="1" si="516"/>
        <v>0</v>
      </c>
      <c r="BL283" s="53">
        <f t="shared" ca="1" si="516"/>
        <v>0</v>
      </c>
      <c r="BM283" s="53">
        <f t="shared" ca="1" si="516"/>
        <v>0</v>
      </c>
      <c r="BN283" s="53">
        <f t="shared" ca="1" si="516"/>
        <v>0</v>
      </c>
      <c r="BO283" s="53">
        <f t="shared" ca="1" si="516"/>
        <v>0</v>
      </c>
      <c r="BP283" s="53">
        <f t="shared" ref="BP283:CC283" ca="1" si="517">ROUND(IF(BP284=0,0,BP285/BP284),0)</f>
        <v>0</v>
      </c>
      <c r="BQ283" s="53">
        <f t="shared" si="517"/>
        <v>0</v>
      </c>
      <c r="BR283" s="53">
        <f t="shared" si="517"/>
        <v>0</v>
      </c>
      <c r="BS283" s="53">
        <f t="shared" ca="1" si="517"/>
        <v>0</v>
      </c>
      <c r="BT283" s="53">
        <f t="shared" ca="1" si="517"/>
        <v>0</v>
      </c>
      <c r="BU283" s="53">
        <f t="shared" ca="1" si="517"/>
        <v>0</v>
      </c>
      <c r="BV283" s="53">
        <f t="shared" ca="1" si="517"/>
        <v>0</v>
      </c>
      <c r="BW283" s="53">
        <f t="shared" ca="1" si="517"/>
        <v>0</v>
      </c>
      <c r="BX283" s="53">
        <f t="shared" ca="1" si="517"/>
        <v>0</v>
      </c>
      <c r="BY283" s="53">
        <f t="shared" ca="1" si="517"/>
        <v>0</v>
      </c>
      <c r="BZ283" s="53">
        <f t="shared" ca="1" si="517"/>
        <v>0</v>
      </c>
      <c r="CA283" s="53">
        <f t="shared" ca="1" si="517"/>
        <v>0</v>
      </c>
      <c r="CB283" s="53">
        <f t="shared" ca="1" si="517"/>
        <v>0</v>
      </c>
      <c r="CC283" s="53">
        <f t="shared" ca="1" si="517"/>
        <v>0</v>
      </c>
    </row>
    <row r="284" spans="1:81" x14ac:dyDescent="0.2">
      <c r="A284" t="s">
        <v>269</v>
      </c>
      <c r="D284" s="39">
        <f t="array" ref="D284:CC284">TRANSPOSE('T-JCI2 RH'!U12:U89)</f>
        <v>42</v>
      </c>
      <c r="E284" s="39">
        <v>42</v>
      </c>
      <c r="F284" s="39">
        <v>21</v>
      </c>
      <c r="G284" s="39">
        <v>35</v>
      </c>
      <c r="H284" s="39">
        <v>42</v>
      </c>
      <c r="I284" s="39">
        <v>21</v>
      </c>
      <c r="J284" s="39">
        <v>42</v>
      </c>
      <c r="K284" s="39">
        <v>35</v>
      </c>
      <c r="L284" s="39">
        <v>42</v>
      </c>
      <c r="M284" s="39">
        <v>0</v>
      </c>
      <c r="N284" s="39">
        <v>0</v>
      </c>
      <c r="O284" s="39">
        <v>42</v>
      </c>
      <c r="P284" s="39">
        <v>42</v>
      </c>
      <c r="Q284" s="39">
        <v>42</v>
      </c>
      <c r="R284" s="39">
        <v>42</v>
      </c>
      <c r="S284" s="39">
        <v>35</v>
      </c>
      <c r="T284" s="39">
        <v>42</v>
      </c>
      <c r="U284" s="39">
        <v>42</v>
      </c>
      <c r="V284" s="39">
        <v>42</v>
      </c>
      <c r="W284" s="39">
        <v>28</v>
      </c>
      <c r="X284" s="39">
        <v>35</v>
      </c>
      <c r="Y284" s="39">
        <v>35</v>
      </c>
      <c r="Z284" s="39">
        <v>42</v>
      </c>
      <c r="AA284" s="39">
        <v>42</v>
      </c>
      <c r="AB284" s="39">
        <v>42</v>
      </c>
      <c r="AC284" s="39">
        <v>42</v>
      </c>
      <c r="AD284" s="39">
        <v>42</v>
      </c>
      <c r="AE284" s="39">
        <v>42</v>
      </c>
      <c r="AF284" s="39">
        <v>42</v>
      </c>
      <c r="AG284" s="39">
        <v>42</v>
      </c>
      <c r="AH284" s="39">
        <v>42</v>
      </c>
      <c r="AI284" s="39">
        <v>42</v>
      </c>
      <c r="AJ284" s="39">
        <v>42</v>
      </c>
      <c r="AK284" s="39">
        <v>0</v>
      </c>
      <c r="AL284" s="39">
        <v>42</v>
      </c>
      <c r="AM284" s="39">
        <v>28</v>
      </c>
      <c r="AN284" s="39">
        <v>42</v>
      </c>
      <c r="AO284" s="39">
        <v>42</v>
      </c>
      <c r="AP284" s="39">
        <v>35</v>
      </c>
      <c r="AQ284" s="39">
        <v>42</v>
      </c>
      <c r="AR284" s="39">
        <v>17.5</v>
      </c>
      <c r="AS284" s="39">
        <v>21</v>
      </c>
      <c r="AT284" s="39">
        <v>21</v>
      </c>
      <c r="AU284" s="39">
        <v>21</v>
      </c>
      <c r="AV284" s="39">
        <v>10.5</v>
      </c>
      <c r="AW284" s="39">
        <v>28</v>
      </c>
      <c r="AX284" s="39">
        <v>42</v>
      </c>
      <c r="AY284" s="39">
        <v>28</v>
      </c>
      <c r="AZ284" s="39">
        <v>42</v>
      </c>
      <c r="BA284" s="39">
        <v>42</v>
      </c>
      <c r="BB284" s="39">
        <v>21</v>
      </c>
      <c r="BC284" s="39">
        <v>42</v>
      </c>
      <c r="BD284" s="39">
        <v>21</v>
      </c>
      <c r="BE284" s="39">
        <v>42</v>
      </c>
      <c r="BF284" s="39">
        <v>42</v>
      </c>
      <c r="BG284" s="39">
        <v>42</v>
      </c>
      <c r="BH284" s="39">
        <v>42</v>
      </c>
      <c r="BI284" s="39">
        <v>35</v>
      </c>
      <c r="BJ284" s="39">
        <v>42</v>
      </c>
      <c r="BK284" s="39">
        <v>28</v>
      </c>
      <c r="BL284" s="39">
        <v>7</v>
      </c>
      <c r="BM284" s="39">
        <v>42</v>
      </c>
      <c r="BN284" s="39">
        <v>42</v>
      </c>
      <c r="BO284" s="39">
        <v>35</v>
      </c>
      <c r="BP284" s="39">
        <v>42</v>
      </c>
      <c r="BQ284" s="39">
        <v>0</v>
      </c>
      <c r="BR284" s="39">
        <v>0</v>
      </c>
      <c r="BS284" s="39">
        <v>35</v>
      </c>
      <c r="BT284" s="39">
        <v>42</v>
      </c>
      <c r="BU284" s="39">
        <v>42</v>
      </c>
      <c r="BV284" s="39">
        <v>42</v>
      </c>
      <c r="BW284" s="39">
        <v>42</v>
      </c>
      <c r="BX284" s="39">
        <v>28</v>
      </c>
      <c r="BY284" s="39">
        <v>42</v>
      </c>
      <c r="BZ284" s="39">
        <v>35</v>
      </c>
      <c r="CA284" s="39">
        <v>42</v>
      </c>
      <c r="CB284" s="39">
        <v>42</v>
      </c>
      <c r="CC284" s="39">
        <v>42</v>
      </c>
    </row>
    <row r="285" spans="1:81" x14ac:dyDescent="0.2">
      <c r="A285" t="s">
        <v>270</v>
      </c>
      <c r="D285" s="39">
        <f t="shared" ref="D285:AI285" ca="1" si="518">IF(D286=0,0,ROUND(D277/(D286/100)/100,0))</f>
        <v>1612</v>
      </c>
      <c r="E285" s="39">
        <f t="shared" ca="1" si="518"/>
        <v>1665</v>
      </c>
      <c r="F285" s="39">
        <f t="shared" ca="1" si="518"/>
        <v>801</v>
      </c>
      <c r="G285" s="39">
        <f t="shared" ca="1" si="518"/>
        <v>0</v>
      </c>
      <c r="H285" s="39">
        <f t="shared" ca="1" si="518"/>
        <v>0</v>
      </c>
      <c r="I285" s="39">
        <f t="shared" ca="1" si="518"/>
        <v>0</v>
      </c>
      <c r="J285" s="39">
        <f t="shared" ca="1" si="518"/>
        <v>0</v>
      </c>
      <c r="K285" s="39">
        <f t="shared" ca="1" si="518"/>
        <v>0</v>
      </c>
      <c r="L285" s="39">
        <f t="shared" ca="1" si="518"/>
        <v>0</v>
      </c>
      <c r="M285" s="39">
        <f t="shared" si="518"/>
        <v>0</v>
      </c>
      <c r="N285" s="39">
        <f t="shared" si="518"/>
        <v>0</v>
      </c>
      <c r="O285" s="39">
        <f t="shared" ca="1" si="518"/>
        <v>0</v>
      </c>
      <c r="P285" s="39">
        <f t="shared" ca="1" si="518"/>
        <v>0</v>
      </c>
      <c r="Q285" s="39">
        <f t="shared" ca="1" si="518"/>
        <v>0</v>
      </c>
      <c r="R285" s="39">
        <f t="shared" ca="1" si="518"/>
        <v>0</v>
      </c>
      <c r="S285" s="39">
        <f t="shared" ca="1" si="518"/>
        <v>0</v>
      </c>
      <c r="T285" s="39">
        <f t="shared" ca="1" si="518"/>
        <v>0</v>
      </c>
      <c r="U285" s="39">
        <f t="shared" ca="1" si="518"/>
        <v>0</v>
      </c>
      <c r="V285" s="39">
        <f t="shared" ca="1" si="518"/>
        <v>0</v>
      </c>
      <c r="W285" s="39">
        <f t="shared" ca="1" si="518"/>
        <v>0</v>
      </c>
      <c r="X285" s="39">
        <f t="shared" ca="1" si="518"/>
        <v>0</v>
      </c>
      <c r="Y285" s="39">
        <f t="shared" ca="1" si="518"/>
        <v>0</v>
      </c>
      <c r="Z285" s="39">
        <f t="shared" ca="1" si="518"/>
        <v>0</v>
      </c>
      <c r="AA285" s="39">
        <f t="shared" ca="1" si="518"/>
        <v>0</v>
      </c>
      <c r="AB285" s="39">
        <f t="shared" ca="1" si="518"/>
        <v>0</v>
      </c>
      <c r="AC285" s="39">
        <f t="shared" ca="1" si="518"/>
        <v>0</v>
      </c>
      <c r="AD285" s="39">
        <f t="shared" ca="1" si="518"/>
        <v>0</v>
      </c>
      <c r="AE285" s="39">
        <f t="shared" ca="1" si="518"/>
        <v>0</v>
      </c>
      <c r="AF285" s="39">
        <f t="shared" ca="1" si="518"/>
        <v>0</v>
      </c>
      <c r="AG285" s="39">
        <f t="shared" ca="1" si="518"/>
        <v>0</v>
      </c>
      <c r="AH285" s="39">
        <f t="shared" ca="1" si="518"/>
        <v>0</v>
      </c>
      <c r="AI285" s="39">
        <f t="shared" ca="1" si="518"/>
        <v>0</v>
      </c>
      <c r="AJ285" s="39">
        <f t="shared" ref="AJ285:BO285" ca="1" si="519">IF(AJ286=0,0,ROUND(AJ277/(AJ286/100)/100,0))</f>
        <v>0</v>
      </c>
      <c r="AK285" s="39">
        <f t="shared" si="519"/>
        <v>0</v>
      </c>
      <c r="AL285" s="39">
        <f t="shared" ca="1" si="519"/>
        <v>0</v>
      </c>
      <c r="AM285" s="39">
        <f t="shared" ca="1" si="519"/>
        <v>0</v>
      </c>
      <c r="AN285" s="39">
        <f t="shared" ca="1" si="519"/>
        <v>0</v>
      </c>
      <c r="AO285" s="39">
        <f t="shared" ca="1" si="519"/>
        <v>0</v>
      </c>
      <c r="AP285" s="39">
        <f t="shared" ca="1" si="519"/>
        <v>0</v>
      </c>
      <c r="AQ285" s="39">
        <f t="shared" ca="1" si="519"/>
        <v>0</v>
      </c>
      <c r="AR285" s="39">
        <f t="shared" ca="1" si="519"/>
        <v>0</v>
      </c>
      <c r="AS285" s="39">
        <f t="shared" ca="1" si="519"/>
        <v>0</v>
      </c>
      <c r="AT285" s="39">
        <f t="shared" ca="1" si="519"/>
        <v>0</v>
      </c>
      <c r="AU285" s="39">
        <f t="shared" ca="1" si="519"/>
        <v>0</v>
      </c>
      <c r="AV285" s="39">
        <f t="shared" ca="1" si="519"/>
        <v>0</v>
      </c>
      <c r="AW285" s="39">
        <f t="shared" ca="1" si="519"/>
        <v>0</v>
      </c>
      <c r="AX285" s="39">
        <f t="shared" ca="1" si="519"/>
        <v>0</v>
      </c>
      <c r="AY285" s="39">
        <f t="shared" ca="1" si="519"/>
        <v>0</v>
      </c>
      <c r="AZ285" s="39">
        <f t="shared" ca="1" si="519"/>
        <v>0</v>
      </c>
      <c r="BA285" s="39">
        <f t="shared" ca="1" si="519"/>
        <v>0</v>
      </c>
      <c r="BB285" s="39">
        <f t="shared" ca="1" si="519"/>
        <v>0</v>
      </c>
      <c r="BC285" s="39">
        <f t="shared" ca="1" si="519"/>
        <v>0</v>
      </c>
      <c r="BD285" s="39">
        <f t="shared" ca="1" si="519"/>
        <v>0</v>
      </c>
      <c r="BE285" s="39">
        <f t="shared" ca="1" si="519"/>
        <v>0</v>
      </c>
      <c r="BF285" s="39">
        <f t="shared" ca="1" si="519"/>
        <v>0</v>
      </c>
      <c r="BG285" s="39">
        <f t="shared" ca="1" si="519"/>
        <v>0</v>
      </c>
      <c r="BH285" s="39">
        <f t="shared" ca="1" si="519"/>
        <v>0</v>
      </c>
      <c r="BI285" s="39">
        <f t="shared" ca="1" si="519"/>
        <v>0</v>
      </c>
      <c r="BJ285" s="39">
        <f t="shared" ca="1" si="519"/>
        <v>0</v>
      </c>
      <c r="BK285" s="39">
        <f t="shared" ca="1" si="519"/>
        <v>0</v>
      </c>
      <c r="BL285" s="39">
        <f t="shared" ca="1" si="519"/>
        <v>0</v>
      </c>
      <c r="BM285" s="39">
        <f t="shared" ca="1" si="519"/>
        <v>0</v>
      </c>
      <c r="BN285" s="39">
        <f t="shared" ca="1" si="519"/>
        <v>0</v>
      </c>
      <c r="BO285" s="39">
        <f t="shared" ca="1" si="519"/>
        <v>0</v>
      </c>
      <c r="BP285" s="39">
        <f t="shared" ref="BP285:CC285" ca="1" si="520">IF(BP286=0,0,ROUND(BP277/(BP286/100)/100,0))</f>
        <v>0</v>
      </c>
      <c r="BQ285" s="39">
        <f t="shared" si="520"/>
        <v>0</v>
      </c>
      <c r="BR285" s="39">
        <f t="shared" si="520"/>
        <v>0</v>
      </c>
      <c r="BS285" s="39">
        <f t="shared" ca="1" si="520"/>
        <v>0</v>
      </c>
      <c r="BT285" s="39">
        <f t="shared" ca="1" si="520"/>
        <v>0</v>
      </c>
      <c r="BU285" s="39">
        <f t="shared" ca="1" si="520"/>
        <v>0</v>
      </c>
      <c r="BV285" s="39">
        <f t="shared" ca="1" si="520"/>
        <v>0</v>
      </c>
      <c r="BW285" s="39">
        <f t="shared" ca="1" si="520"/>
        <v>0</v>
      </c>
      <c r="BX285" s="39">
        <f t="shared" ca="1" si="520"/>
        <v>0</v>
      </c>
      <c r="BY285" s="39">
        <f t="shared" ca="1" si="520"/>
        <v>0</v>
      </c>
      <c r="BZ285" s="39">
        <f t="shared" ca="1" si="520"/>
        <v>0</v>
      </c>
      <c r="CA285" s="39">
        <f t="shared" ca="1" si="520"/>
        <v>0</v>
      </c>
      <c r="CB285" s="39">
        <f t="shared" ca="1" si="520"/>
        <v>0</v>
      </c>
      <c r="CC285" s="39">
        <f t="shared" ca="1" si="520"/>
        <v>0</v>
      </c>
    </row>
    <row r="286" spans="1:81" x14ac:dyDescent="0.2">
      <c r="A286" t="s">
        <v>271</v>
      </c>
      <c r="D286" s="54">
        <f t="array" ref="D286:CC286" ca="1">TRANSPOSE('T-JCI2 RH'!AI12:AI89)</f>
        <v>0.50014548872180453</v>
      </c>
      <c r="E286" s="54">
        <f ca="1"/>
        <v>0.60002606516290724</v>
      </c>
      <c r="F286" s="54">
        <f ca="1"/>
        <v>0.70027794486215544</v>
      </c>
      <c r="G286" s="54">
        <f ca="1"/>
        <v>0.76993443609022549</v>
      </c>
      <c r="H286" s="54">
        <f ca="1"/>
        <v>0.77008295739348376</v>
      </c>
      <c r="I286" s="54">
        <f ca="1"/>
        <v>0.77008295739348376</v>
      </c>
      <c r="J286" s="54">
        <f ca="1"/>
        <v>0.77008295739348376</v>
      </c>
      <c r="K286" s="54">
        <f ca="1"/>
        <v>0.76993443609022549</v>
      </c>
      <c r="L286" s="54">
        <f ca="1"/>
        <v>0.77008295739348376</v>
      </c>
      <c r="M286" s="54">
        <v>0</v>
      </c>
      <c r="N286" s="54">
        <v>0</v>
      </c>
      <c r="O286" s="54">
        <f ca="1"/>
        <v>0.76985089285714281</v>
      </c>
      <c r="P286" s="54">
        <f ca="1"/>
        <v>0.76985089285714281</v>
      </c>
      <c r="Q286" s="54">
        <f ca="1"/>
        <v>0.76985089285714281</v>
      </c>
      <c r="R286" s="54">
        <f ca="1"/>
        <v>0.76985089285714281</v>
      </c>
      <c r="S286" s="54">
        <f ca="1"/>
        <v>0.76985089285714292</v>
      </c>
      <c r="T286" s="54">
        <f ca="1"/>
        <v>0.76985089285714281</v>
      </c>
      <c r="U286" s="54">
        <f ca="1"/>
        <v>0.76997687074829935</v>
      </c>
      <c r="V286" s="54">
        <f ca="1"/>
        <v>0.76997687074829935</v>
      </c>
      <c r="W286" s="54">
        <f ca="1"/>
        <v>0.77022882653061231</v>
      </c>
      <c r="X286" s="54">
        <f ca="1"/>
        <v>0.76977530612244904</v>
      </c>
      <c r="Y286" s="54">
        <f ca="1"/>
        <v>0.76977530612244904</v>
      </c>
      <c r="Z286" s="54">
        <f ca="1"/>
        <v>0.76997687074829935</v>
      </c>
      <c r="AA286" s="54">
        <f ca="1"/>
        <v>0.76997687074829935</v>
      </c>
      <c r="AB286" s="54">
        <f ca="1"/>
        <v>0.76997687074829935</v>
      </c>
      <c r="AC286" s="54">
        <f ca="1"/>
        <v>0.76997687074829935</v>
      </c>
      <c r="AD286" s="54">
        <f ca="1"/>
        <v>0.76997687074829935</v>
      </c>
      <c r="AE286" s="54">
        <f ca="1"/>
        <v>0.76997687074829935</v>
      </c>
      <c r="AF286" s="54">
        <f ca="1"/>
        <v>0.76997687074829935</v>
      </c>
      <c r="AG286" s="54">
        <f ca="1"/>
        <v>0.76997687074829935</v>
      </c>
      <c r="AH286" s="54">
        <f ca="1"/>
        <v>0.76997687074829935</v>
      </c>
      <c r="AI286" s="54">
        <f ca="1"/>
        <v>0.76997687074829935</v>
      </c>
      <c r="AJ286" s="54">
        <f ca="1"/>
        <v>0.76997687074829935</v>
      </c>
      <c r="AK286" s="54">
        <v>0</v>
      </c>
      <c r="AL286" s="54">
        <f ca="1"/>
        <v>0.76997687074829935</v>
      </c>
      <c r="AM286" s="54">
        <f ca="1"/>
        <v>0.77022882653061231</v>
      </c>
      <c r="AN286" s="54">
        <f ca="1"/>
        <v>0.76997687074829935</v>
      </c>
      <c r="AO286" s="54">
        <f ca="1"/>
        <v>0.76997687074829935</v>
      </c>
      <c r="AP286" s="54">
        <f ca="1"/>
        <v>0.76977530612244904</v>
      </c>
      <c r="AQ286" s="54">
        <f ca="1"/>
        <v>0.76997687074829935</v>
      </c>
      <c r="AR286" s="54">
        <f ca="1"/>
        <v>0.77037999999999995</v>
      </c>
      <c r="AS286" s="54">
        <f ca="1"/>
        <v>0.76997687074829935</v>
      </c>
      <c r="AT286" s="54">
        <f ca="1"/>
        <v>0.76997687074829935</v>
      </c>
      <c r="AU286" s="54">
        <f ca="1"/>
        <v>0.76997687074829935</v>
      </c>
      <c r="AV286" s="54">
        <f ca="1"/>
        <v>0.76997687074829935</v>
      </c>
      <c r="AW286" s="54">
        <f ca="1"/>
        <v>0.77022882653061231</v>
      </c>
      <c r="AX286" s="54">
        <f ca="1"/>
        <v>0.76997687074829935</v>
      </c>
      <c r="AY286" s="54">
        <f ca="1"/>
        <v>0.77022882653061231</v>
      </c>
      <c r="AZ286" s="54">
        <f ca="1"/>
        <v>0.76997687074829935</v>
      </c>
      <c r="BA286" s="54">
        <f ca="1"/>
        <v>0.76997687074829935</v>
      </c>
      <c r="BB286" s="54">
        <f ca="1"/>
        <v>0.76997687074829935</v>
      </c>
      <c r="BC286" s="54">
        <f ca="1"/>
        <v>0.76997687074829935</v>
      </c>
      <c r="BD286" s="54">
        <f ca="1"/>
        <v>0.76997687074829935</v>
      </c>
      <c r="BE286" s="54">
        <f ca="1"/>
        <v>0.76997687074829935</v>
      </c>
      <c r="BF286" s="54">
        <f ca="1"/>
        <v>0.76997687074829935</v>
      </c>
      <c r="BG286" s="54">
        <f ca="1"/>
        <v>0.76997687074829935</v>
      </c>
      <c r="BH286" s="54">
        <f ca="1"/>
        <v>0.76997687074829935</v>
      </c>
      <c r="BI286" s="54">
        <f ca="1"/>
        <v>0.76977530612244904</v>
      </c>
      <c r="BJ286" s="54">
        <f ca="1"/>
        <v>0.76997687074829935</v>
      </c>
      <c r="BK286" s="54">
        <f ca="1"/>
        <v>0.77022882653061231</v>
      </c>
      <c r="BL286" s="54">
        <f ca="1"/>
        <v>0.77098469387755098</v>
      </c>
      <c r="BM286" s="54">
        <f ca="1"/>
        <v>0.76997687074829935</v>
      </c>
      <c r="BN286" s="54">
        <f ca="1"/>
        <v>0.76997687074829935</v>
      </c>
      <c r="BO286" s="54">
        <f ca="1"/>
        <v>0.76977530612244904</v>
      </c>
      <c r="BP286" s="54">
        <f ca="1"/>
        <v>0.76997687074829935</v>
      </c>
      <c r="BQ286" s="54">
        <v>0</v>
      </c>
      <c r="BR286" s="54">
        <v>0</v>
      </c>
      <c r="BS286" s="54">
        <f ca="1"/>
        <v>0.76977530612244904</v>
      </c>
      <c r="BT286" s="54">
        <f ca="1"/>
        <v>0.76997687074829935</v>
      </c>
      <c r="BU286" s="54">
        <f ca="1"/>
        <v>0.76997687074829935</v>
      </c>
      <c r="BV286" s="54">
        <f ca="1"/>
        <v>0.76997687074829935</v>
      </c>
      <c r="BW286" s="54">
        <f ca="1"/>
        <v>0.76997687074829935</v>
      </c>
      <c r="BX286" s="54">
        <f ca="1"/>
        <v>0.77022882653061231</v>
      </c>
      <c r="BY286" s="54">
        <f ca="1"/>
        <v>0.76997687074829935</v>
      </c>
      <c r="BZ286" s="54">
        <f ca="1"/>
        <v>0.76977530612244904</v>
      </c>
      <c r="CA286" s="54">
        <f ca="1"/>
        <v>0.76997687074829935</v>
      </c>
      <c r="CB286" s="54">
        <f ca="1"/>
        <v>0.76997687074829935</v>
      </c>
      <c r="CC286" s="54">
        <f ca="1"/>
        <v>0.76997687074829935</v>
      </c>
    </row>
    <row r="287" spans="1:81" x14ac:dyDescent="0.2">
      <c r="A287" t="s">
        <v>272</v>
      </c>
      <c r="D287" s="39">
        <f t="shared" ref="D287:AI287" si="521">ROUND(D19+D26+D33+D40+D47+D54+D61+D68+D75+D82+D89+D96+D103+D110+D117+D124+D131+D138+D145+D152+D159+D166+D173+D180+D187+D194+D201+D208+D215+D222+D229+D236+D243+D250+D257,0)</f>
        <v>2576</v>
      </c>
      <c r="E287" s="39">
        <f t="shared" si="521"/>
        <v>3544</v>
      </c>
      <c r="F287" s="39">
        <f t="shared" si="521"/>
        <v>1950</v>
      </c>
      <c r="G287" s="39">
        <f t="shared" si="521"/>
        <v>0</v>
      </c>
      <c r="H287" s="39">
        <f t="shared" si="521"/>
        <v>0</v>
      </c>
      <c r="I287" s="39">
        <f t="shared" si="521"/>
        <v>0</v>
      </c>
      <c r="J287" s="39">
        <f t="shared" si="521"/>
        <v>0</v>
      </c>
      <c r="K287" s="39">
        <f t="shared" si="521"/>
        <v>0</v>
      </c>
      <c r="L287" s="39">
        <f t="shared" si="521"/>
        <v>0</v>
      </c>
      <c r="M287" s="39">
        <f t="shared" si="521"/>
        <v>0</v>
      </c>
      <c r="N287" s="39">
        <f t="shared" si="521"/>
        <v>0</v>
      </c>
      <c r="O287" s="39">
        <f t="shared" si="521"/>
        <v>0</v>
      </c>
      <c r="P287" s="39">
        <f t="shared" si="521"/>
        <v>0</v>
      </c>
      <c r="Q287" s="39">
        <f t="shared" si="521"/>
        <v>0</v>
      </c>
      <c r="R287" s="39">
        <f t="shared" si="521"/>
        <v>0</v>
      </c>
      <c r="S287" s="39">
        <f t="shared" si="521"/>
        <v>0</v>
      </c>
      <c r="T287" s="39">
        <f t="shared" si="521"/>
        <v>0</v>
      </c>
      <c r="U287" s="39">
        <f t="shared" si="521"/>
        <v>0</v>
      </c>
      <c r="V287" s="39">
        <f t="shared" si="521"/>
        <v>0</v>
      </c>
      <c r="W287" s="39">
        <f t="shared" si="521"/>
        <v>0</v>
      </c>
      <c r="X287" s="39">
        <f t="shared" si="521"/>
        <v>0</v>
      </c>
      <c r="Y287" s="39">
        <f t="shared" si="521"/>
        <v>0</v>
      </c>
      <c r="Z287" s="39">
        <f t="shared" si="521"/>
        <v>0</v>
      </c>
      <c r="AA287" s="39">
        <f t="shared" si="521"/>
        <v>0</v>
      </c>
      <c r="AB287" s="39">
        <f t="shared" si="521"/>
        <v>0</v>
      </c>
      <c r="AC287" s="39">
        <f t="shared" si="521"/>
        <v>0</v>
      </c>
      <c r="AD287" s="39">
        <f t="shared" si="521"/>
        <v>0</v>
      </c>
      <c r="AE287" s="39">
        <f t="shared" si="521"/>
        <v>0</v>
      </c>
      <c r="AF287" s="39">
        <f t="shared" si="521"/>
        <v>0</v>
      </c>
      <c r="AG287" s="39">
        <f t="shared" si="521"/>
        <v>0</v>
      </c>
      <c r="AH287" s="39">
        <f t="shared" si="521"/>
        <v>0</v>
      </c>
      <c r="AI287" s="39">
        <f t="shared" si="521"/>
        <v>0</v>
      </c>
      <c r="AJ287" s="39">
        <f t="shared" ref="AJ287:BO287" si="522">ROUND(AJ19+AJ26+AJ33+AJ40+AJ47+AJ54+AJ61+AJ68+AJ75+AJ82+AJ89+AJ96+AJ103+AJ110+AJ117+AJ124+AJ131+AJ138+AJ145+AJ152+AJ159+AJ166+AJ173+AJ180+AJ187+AJ194+AJ201+AJ208+AJ215+AJ222+AJ229+AJ236+AJ243+AJ250+AJ257,0)</f>
        <v>0</v>
      </c>
      <c r="AK287" s="39">
        <f t="shared" si="522"/>
        <v>0</v>
      </c>
      <c r="AL287" s="39">
        <f t="shared" si="522"/>
        <v>0</v>
      </c>
      <c r="AM287" s="39">
        <f t="shared" si="522"/>
        <v>0</v>
      </c>
      <c r="AN287" s="39">
        <f t="shared" si="522"/>
        <v>0</v>
      </c>
      <c r="AO287" s="39">
        <f t="shared" si="522"/>
        <v>0</v>
      </c>
      <c r="AP287" s="39">
        <f t="shared" si="522"/>
        <v>0</v>
      </c>
      <c r="AQ287" s="39">
        <f t="shared" si="522"/>
        <v>0</v>
      </c>
      <c r="AR287" s="39">
        <f t="shared" si="522"/>
        <v>0</v>
      </c>
      <c r="AS287" s="39">
        <f t="shared" si="522"/>
        <v>0</v>
      </c>
      <c r="AT287" s="39">
        <f t="shared" si="522"/>
        <v>0</v>
      </c>
      <c r="AU287" s="39">
        <f t="shared" si="522"/>
        <v>0</v>
      </c>
      <c r="AV287" s="39">
        <f t="shared" si="522"/>
        <v>0</v>
      </c>
      <c r="AW287" s="39">
        <f t="shared" si="522"/>
        <v>0</v>
      </c>
      <c r="AX287" s="39">
        <f t="shared" si="522"/>
        <v>0</v>
      </c>
      <c r="AY287" s="39">
        <f t="shared" si="522"/>
        <v>0</v>
      </c>
      <c r="AZ287" s="39">
        <f t="shared" si="522"/>
        <v>0</v>
      </c>
      <c r="BA287" s="39">
        <f t="shared" si="522"/>
        <v>0</v>
      </c>
      <c r="BB287" s="39">
        <f t="shared" si="522"/>
        <v>0</v>
      </c>
      <c r="BC287" s="39">
        <f t="shared" si="522"/>
        <v>0</v>
      </c>
      <c r="BD287" s="39">
        <f t="shared" si="522"/>
        <v>0</v>
      </c>
      <c r="BE287" s="39">
        <f t="shared" si="522"/>
        <v>0</v>
      </c>
      <c r="BF287" s="39">
        <f t="shared" si="522"/>
        <v>0</v>
      </c>
      <c r="BG287" s="39">
        <f t="shared" si="522"/>
        <v>0</v>
      </c>
      <c r="BH287" s="39">
        <f t="shared" si="522"/>
        <v>0</v>
      </c>
      <c r="BI287" s="39">
        <f t="shared" si="522"/>
        <v>0</v>
      </c>
      <c r="BJ287" s="39">
        <f t="shared" si="522"/>
        <v>0</v>
      </c>
      <c r="BK287" s="39">
        <f t="shared" si="522"/>
        <v>0</v>
      </c>
      <c r="BL287" s="39">
        <f t="shared" si="522"/>
        <v>0</v>
      </c>
      <c r="BM287" s="39">
        <f t="shared" si="522"/>
        <v>0</v>
      </c>
      <c r="BN287" s="39">
        <f t="shared" si="522"/>
        <v>0</v>
      </c>
      <c r="BO287" s="39">
        <f t="shared" si="522"/>
        <v>0</v>
      </c>
      <c r="BP287" s="39">
        <f t="shared" ref="BP287:CC287" si="523">ROUND(BP19+BP26+BP33+BP40+BP47+BP54+BP61+BP68+BP75+BP82+BP89+BP96+BP103+BP110+BP117+BP124+BP131+BP138+BP145+BP152+BP159+BP166+BP173+BP180+BP187+BP194+BP201+BP208+BP215+BP222+BP229+BP236+BP243+BP250+BP257,0)</f>
        <v>0</v>
      </c>
      <c r="BQ287" s="39">
        <f t="shared" si="523"/>
        <v>0</v>
      </c>
      <c r="BR287" s="39">
        <f t="shared" si="523"/>
        <v>0</v>
      </c>
      <c r="BS287" s="39">
        <f t="shared" si="523"/>
        <v>0</v>
      </c>
      <c r="BT287" s="39">
        <f t="shared" si="523"/>
        <v>0</v>
      </c>
      <c r="BU287" s="39">
        <f t="shared" si="523"/>
        <v>0</v>
      </c>
      <c r="BV287" s="39">
        <f t="shared" si="523"/>
        <v>0</v>
      </c>
      <c r="BW287" s="39">
        <f t="shared" si="523"/>
        <v>0</v>
      </c>
      <c r="BX287" s="39">
        <f t="shared" si="523"/>
        <v>0</v>
      </c>
      <c r="BY287" s="39">
        <f t="shared" si="523"/>
        <v>0</v>
      </c>
      <c r="BZ287" s="39">
        <f t="shared" si="523"/>
        <v>0</v>
      </c>
      <c r="CA287" s="39">
        <f t="shared" si="523"/>
        <v>0</v>
      </c>
      <c r="CB287" s="39">
        <f t="shared" si="523"/>
        <v>0</v>
      </c>
      <c r="CC287" s="39">
        <f t="shared" si="523"/>
        <v>0</v>
      </c>
    </row>
    <row r="290" spans="1:81" x14ac:dyDescent="0.2">
      <c r="A290" t="s">
        <v>273</v>
      </c>
      <c r="D290">
        <f t="array" ref="D290:CC290">TRANSPOSE('T-JCI2 RH'!AE12:AE89)</f>
        <v>38</v>
      </c>
      <c r="E290">
        <v>38</v>
      </c>
      <c r="F290">
        <v>38</v>
      </c>
      <c r="G290">
        <v>38</v>
      </c>
      <c r="H290">
        <v>38</v>
      </c>
      <c r="I290">
        <v>38</v>
      </c>
      <c r="J290">
        <v>38</v>
      </c>
      <c r="K290">
        <v>38</v>
      </c>
      <c r="L290">
        <v>38</v>
      </c>
      <c r="M290">
        <v>38</v>
      </c>
      <c r="N290">
        <v>32</v>
      </c>
      <c r="O290">
        <v>32</v>
      </c>
      <c r="P290">
        <v>32</v>
      </c>
      <c r="Q290">
        <v>32</v>
      </c>
      <c r="R290">
        <v>32</v>
      </c>
      <c r="S290">
        <v>32</v>
      </c>
      <c r="T290">
        <v>32</v>
      </c>
      <c r="U290">
        <v>28</v>
      </c>
      <c r="V290">
        <v>28</v>
      </c>
      <c r="W290">
        <v>28</v>
      </c>
      <c r="X290">
        <v>28</v>
      </c>
      <c r="Y290">
        <v>28</v>
      </c>
      <c r="Z290">
        <v>28</v>
      </c>
      <c r="AA290">
        <v>28</v>
      </c>
      <c r="AB290">
        <v>28</v>
      </c>
      <c r="AC290">
        <v>28</v>
      </c>
      <c r="AD290">
        <v>28</v>
      </c>
      <c r="AE290">
        <v>28</v>
      </c>
      <c r="AF290">
        <v>28</v>
      </c>
      <c r="AG290">
        <v>28</v>
      </c>
      <c r="AH290">
        <v>28</v>
      </c>
      <c r="AI290">
        <v>28</v>
      </c>
      <c r="AJ290">
        <v>28</v>
      </c>
      <c r="AK290">
        <v>28</v>
      </c>
      <c r="AL290">
        <v>28</v>
      </c>
      <c r="AM290">
        <v>28</v>
      </c>
      <c r="AN290">
        <v>28</v>
      </c>
      <c r="AO290">
        <v>28</v>
      </c>
      <c r="AP290">
        <v>28</v>
      </c>
      <c r="AQ290">
        <v>28</v>
      </c>
      <c r="AR290">
        <v>28</v>
      </c>
      <c r="AS290">
        <v>28</v>
      </c>
      <c r="AT290">
        <v>28</v>
      </c>
      <c r="AU290">
        <v>28</v>
      </c>
      <c r="AV290">
        <v>28</v>
      </c>
      <c r="AW290">
        <v>28</v>
      </c>
      <c r="AX290">
        <v>28</v>
      </c>
      <c r="AY290">
        <v>28</v>
      </c>
      <c r="AZ290">
        <v>28</v>
      </c>
      <c r="BA290">
        <v>28</v>
      </c>
      <c r="BB290">
        <v>28</v>
      </c>
      <c r="BC290">
        <v>28</v>
      </c>
      <c r="BD290">
        <v>28</v>
      </c>
      <c r="BE290">
        <v>28</v>
      </c>
      <c r="BF290">
        <v>28</v>
      </c>
      <c r="BG290">
        <v>28</v>
      </c>
      <c r="BH290">
        <v>28</v>
      </c>
      <c r="BI290">
        <v>28</v>
      </c>
      <c r="BJ290">
        <v>28</v>
      </c>
      <c r="BK290">
        <v>14</v>
      </c>
      <c r="BL290">
        <v>14</v>
      </c>
      <c r="BM290">
        <v>14</v>
      </c>
      <c r="BN290">
        <v>14</v>
      </c>
      <c r="BO290">
        <v>14</v>
      </c>
      <c r="BP290">
        <v>14</v>
      </c>
      <c r="BQ290">
        <v>14</v>
      </c>
      <c r="BR290">
        <v>14</v>
      </c>
      <c r="BS290">
        <v>14</v>
      </c>
      <c r="BT290">
        <v>14</v>
      </c>
      <c r="BU290">
        <v>14</v>
      </c>
      <c r="BV290">
        <v>14</v>
      </c>
      <c r="BW290">
        <v>14</v>
      </c>
      <c r="BX290">
        <v>14</v>
      </c>
      <c r="BY290">
        <v>14</v>
      </c>
      <c r="BZ290">
        <v>14</v>
      </c>
      <c r="CA290">
        <v>14</v>
      </c>
      <c r="CB290">
        <v>14</v>
      </c>
      <c r="CC290">
        <v>14</v>
      </c>
    </row>
    <row r="291" spans="1:81" x14ac:dyDescent="0.2">
      <c r="A291" t="s">
        <v>56</v>
      </c>
      <c r="D291">
        <f t="array" ref="D291:CC291">TRANSPOSE('T-JCI2 RH'!AH12:AH89)</f>
        <v>1596</v>
      </c>
      <c r="E291">
        <v>1596</v>
      </c>
      <c r="F291">
        <v>798</v>
      </c>
      <c r="G291">
        <v>1330</v>
      </c>
      <c r="H291">
        <v>1596</v>
      </c>
      <c r="I291">
        <v>798</v>
      </c>
      <c r="J291">
        <v>1596</v>
      </c>
      <c r="K291">
        <v>1330</v>
      </c>
      <c r="L291">
        <v>1596</v>
      </c>
      <c r="M291">
        <v>0</v>
      </c>
      <c r="N291">
        <v>0</v>
      </c>
      <c r="O291">
        <v>1344</v>
      </c>
      <c r="P291">
        <v>1344</v>
      </c>
      <c r="Q291">
        <v>1344</v>
      </c>
      <c r="R291">
        <v>1344</v>
      </c>
      <c r="S291">
        <v>1120</v>
      </c>
      <c r="T291">
        <v>1344</v>
      </c>
      <c r="U291">
        <v>1176</v>
      </c>
      <c r="V291">
        <v>1176</v>
      </c>
      <c r="W291">
        <v>784</v>
      </c>
      <c r="X291">
        <v>980</v>
      </c>
      <c r="Y291">
        <v>980</v>
      </c>
      <c r="Z291">
        <v>1176</v>
      </c>
      <c r="AA291">
        <v>1176</v>
      </c>
      <c r="AB291">
        <v>1176</v>
      </c>
      <c r="AC291">
        <v>1176</v>
      </c>
      <c r="AD291">
        <v>1176</v>
      </c>
      <c r="AE291">
        <v>1176</v>
      </c>
      <c r="AF291">
        <v>1176</v>
      </c>
      <c r="AG291">
        <v>1176</v>
      </c>
      <c r="AH291">
        <v>1176</v>
      </c>
      <c r="AI291">
        <v>1176</v>
      </c>
      <c r="AJ291">
        <v>1176</v>
      </c>
      <c r="AK291">
        <v>0</v>
      </c>
      <c r="AL291">
        <v>1176</v>
      </c>
      <c r="AM291">
        <v>784</v>
      </c>
      <c r="AN291">
        <v>1176</v>
      </c>
      <c r="AO291">
        <v>1176</v>
      </c>
      <c r="AP291">
        <v>980</v>
      </c>
      <c r="AQ291">
        <v>1176</v>
      </c>
      <c r="AR291">
        <v>490</v>
      </c>
      <c r="AS291">
        <v>588</v>
      </c>
      <c r="AT291">
        <v>588</v>
      </c>
      <c r="AU291">
        <v>588</v>
      </c>
      <c r="AV291">
        <v>294</v>
      </c>
      <c r="AW291">
        <v>784</v>
      </c>
      <c r="AX291">
        <v>1176</v>
      </c>
      <c r="AY291">
        <v>784</v>
      </c>
      <c r="AZ291">
        <v>1176</v>
      </c>
      <c r="BA291">
        <v>1176</v>
      </c>
      <c r="BB291">
        <v>588</v>
      </c>
      <c r="BC291">
        <v>1176</v>
      </c>
      <c r="BD291">
        <v>588</v>
      </c>
      <c r="BE291">
        <v>1176</v>
      </c>
      <c r="BF291">
        <v>1176</v>
      </c>
      <c r="BG291">
        <v>1176</v>
      </c>
      <c r="BH291">
        <v>1176</v>
      </c>
      <c r="BI291">
        <v>980</v>
      </c>
      <c r="BJ291">
        <v>1176</v>
      </c>
      <c r="BK291">
        <v>392</v>
      </c>
      <c r="BL291">
        <v>98</v>
      </c>
      <c r="BM291">
        <v>588</v>
      </c>
      <c r="BN291">
        <v>588</v>
      </c>
      <c r="BO291">
        <v>490</v>
      </c>
      <c r="BP291">
        <v>588</v>
      </c>
      <c r="BQ291">
        <v>0</v>
      </c>
      <c r="BR291">
        <v>0</v>
      </c>
      <c r="BS291">
        <v>490</v>
      </c>
      <c r="BT291">
        <v>588</v>
      </c>
      <c r="BU291">
        <v>588</v>
      </c>
      <c r="BV291">
        <v>588</v>
      </c>
      <c r="BW291">
        <v>588</v>
      </c>
      <c r="BX291">
        <v>392</v>
      </c>
      <c r="BY291">
        <v>588</v>
      </c>
      <c r="BZ291">
        <v>490</v>
      </c>
      <c r="CA291">
        <v>588</v>
      </c>
      <c r="CB291">
        <v>588</v>
      </c>
      <c r="CC291">
        <v>588</v>
      </c>
    </row>
    <row r="292" spans="1:81" x14ac:dyDescent="0.2">
      <c r="A292" t="s">
        <v>274</v>
      </c>
      <c r="D292">
        <f t="shared" ref="D292:AI292" si="524">ROUND(D17*$C19+D24*$C26+D31*$C33+D38*$C40+D45*$C47+D52*$C54+D59*$C61+D66*$C68+D73*$C75+D80*$C82+D87*$C89+D94*$C96+D101*$C103+D108*$C110+D115*$C117+D122*$C124+D129*$C131+D136*$C138+D143*$C145+D150*$C152+D157*$C159+D164*$C166+D171*$C173+D178*$C180+D185*$C187+D192*$C194+D199*$C201+D206*$C208+D213*$C215+D220*$C222+D227*$C229+D234*$C236+D241*$C243+D248*$C250+D255*$C257,0)</f>
        <v>2253</v>
      </c>
      <c r="E292">
        <f t="shared" si="524"/>
        <v>44219</v>
      </c>
      <c r="F292">
        <f t="shared" si="524"/>
        <v>27619</v>
      </c>
      <c r="G292">
        <f t="shared" si="524"/>
        <v>33044</v>
      </c>
      <c r="H292">
        <f t="shared" si="524"/>
        <v>30919</v>
      </c>
      <c r="I292">
        <f t="shared" si="524"/>
        <v>29422</v>
      </c>
      <c r="J292">
        <f t="shared" si="524"/>
        <v>28662</v>
      </c>
      <c r="K292">
        <f t="shared" si="524"/>
        <v>31498</v>
      </c>
      <c r="L292">
        <f t="shared" si="524"/>
        <v>42120</v>
      </c>
      <c r="M292">
        <f t="shared" si="524"/>
        <v>49002</v>
      </c>
      <c r="N292">
        <f t="shared" si="524"/>
        <v>0</v>
      </c>
      <c r="O292">
        <f t="shared" si="524"/>
        <v>0</v>
      </c>
      <c r="P292">
        <f t="shared" si="524"/>
        <v>0</v>
      </c>
      <c r="Q292">
        <f t="shared" si="524"/>
        <v>0</v>
      </c>
      <c r="R292">
        <f t="shared" si="524"/>
        <v>29536</v>
      </c>
      <c r="S292">
        <f t="shared" si="524"/>
        <v>27229</v>
      </c>
      <c r="T292">
        <f t="shared" si="524"/>
        <v>25620</v>
      </c>
      <c r="U292">
        <f t="shared" si="524"/>
        <v>29026</v>
      </c>
      <c r="V292">
        <f t="shared" si="524"/>
        <v>29026</v>
      </c>
      <c r="W292">
        <f t="shared" si="524"/>
        <v>29026</v>
      </c>
      <c r="X292">
        <f t="shared" si="524"/>
        <v>28700</v>
      </c>
      <c r="Y292">
        <f t="shared" si="524"/>
        <v>19528</v>
      </c>
      <c r="Z292">
        <f t="shared" si="524"/>
        <v>19528</v>
      </c>
      <c r="AA292">
        <f t="shared" si="524"/>
        <v>19528</v>
      </c>
      <c r="AB292">
        <f t="shared" si="524"/>
        <v>19305</v>
      </c>
      <c r="AC292">
        <f t="shared" si="524"/>
        <v>29582</v>
      </c>
      <c r="AD292">
        <f t="shared" si="524"/>
        <v>29582</v>
      </c>
      <c r="AE292">
        <f t="shared" si="524"/>
        <v>29501</v>
      </c>
      <c r="AF292">
        <f t="shared" si="524"/>
        <v>29501</v>
      </c>
      <c r="AG292">
        <f t="shared" si="524"/>
        <v>27090</v>
      </c>
      <c r="AH292">
        <f t="shared" si="524"/>
        <v>30183</v>
      </c>
      <c r="AI292">
        <f t="shared" si="524"/>
        <v>30183</v>
      </c>
      <c r="AJ292">
        <f t="shared" ref="AJ292:BO292" si="525">ROUND(AJ17*$C19+AJ24*$C26+AJ31*$C33+AJ38*$C40+AJ45*$C47+AJ52*$C54+AJ59*$C61+AJ66*$C68+AJ73*$C75+AJ80*$C82+AJ87*$C89+AJ94*$C96+AJ101*$C103+AJ108*$C110+AJ115*$C117+AJ122*$C124+AJ129*$C131+AJ136*$C138+AJ143*$C145+AJ150*$C152+AJ157*$C159+AJ164*$C166+AJ171*$C173+AJ178*$C180+AJ185*$C187+AJ192*$C194+AJ199*$C201+AJ206*$C208+AJ213*$C215+AJ220*$C222+AJ227*$C229+AJ234*$C236+AJ241*$C243+AJ248*$C250+AJ255*$C257,0)</f>
        <v>0</v>
      </c>
      <c r="AK292">
        <f t="shared" si="525"/>
        <v>0</v>
      </c>
      <c r="AL292">
        <f t="shared" si="525"/>
        <v>0</v>
      </c>
      <c r="AM292">
        <f t="shared" si="525"/>
        <v>0</v>
      </c>
      <c r="AN292">
        <f t="shared" si="525"/>
        <v>21274</v>
      </c>
      <c r="AO292">
        <f t="shared" si="525"/>
        <v>21274</v>
      </c>
      <c r="AP292">
        <f t="shared" si="525"/>
        <v>21274</v>
      </c>
      <c r="AQ292">
        <f t="shared" si="525"/>
        <v>25668</v>
      </c>
      <c r="AR292">
        <f t="shared" si="525"/>
        <v>25668</v>
      </c>
      <c r="AS292">
        <f t="shared" si="525"/>
        <v>20575</v>
      </c>
      <c r="AT292">
        <f t="shared" si="525"/>
        <v>25668</v>
      </c>
      <c r="AU292">
        <f t="shared" si="525"/>
        <v>24404</v>
      </c>
      <c r="AV292">
        <f t="shared" si="525"/>
        <v>24404</v>
      </c>
      <c r="AW292">
        <f t="shared" si="525"/>
        <v>24404</v>
      </c>
      <c r="AX292">
        <f t="shared" si="525"/>
        <v>24404</v>
      </c>
      <c r="AY292">
        <f t="shared" si="525"/>
        <v>19528</v>
      </c>
      <c r="AZ292">
        <f t="shared" si="525"/>
        <v>17394</v>
      </c>
      <c r="BA292">
        <f t="shared" si="525"/>
        <v>17394</v>
      </c>
      <c r="BB292">
        <f t="shared" si="525"/>
        <v>17394</v>
      </c>
      <c r="BC292">
        <f t="shared" si="525"/>
        <v>19528</v>
      </c>
      <c r="BD292">
        <f t="shared" si="525"/>
        <v>19528</v>
      </c>
      <c r="BE292">
        <f t="shared" si="525"/>
        <v>19528</v>
      </c>
      <c r="BF292">
        <f t="shared" si="525"/>
        <v>19528</v>
      </c>
      <c r="BG292">
        <f t="shared" si="525"/>
        <v>19528</v>
      </c>
      <c r="BH292">
        <f t="shared" si="525"/>
        <v>19528</v>
      </c>
      <c r="BI292">
        <f t="shared" si="525"/>
        <v>19528</v>
      </c>
      <c r="BJ292">
        <f t="shared" si="525"/>
        <v>19528</v>
      </c>
      <c r="BK292">
        <f t="shared" si="525"/>
        <v>19528</v>
      </c>
      <c r="BL292">
        <f t="shared" si="525"/>
        <v>19415</v>
      </c>
      <c r="BM292">
        <f t="shared" si="525"/>
        <v>19415</v>
      </c>
      <c r="BN292">
        <f t="shared" si="525"/>
        <v>35365</v>
      </c>
      <c r="BO292">
        <f t="shared" si="525"/>
        <v>0</v>
      </c>
      <c r="BP292">
        <f t="shared" ref="BP292:CC292" si="526">ROUND(BP17*$C19+BP24*$C26+BP31*$C33+BP38*$C40+BP45*$C47+BP52*$C54+BP59*$C61+BP66*$C68+BP73*$C75+BP80*$C82+BP87*$C89+BP94*$C96+BP101*$C103+BP108*$C110+BP115*$C117+BP122*$C124+BP129*$C131+BP136*$C138+BP143*$C145+BP150*$C152+BP157*$C159+BP164*$C166+BP171*$C173+BP178*$C180+BP185*$C187+BP192*$C194+BP199*$C201+BP206*$C208+BP213*$C215+BP220*$C222+BP227*$C229+BP234*$C236+BP241*$C243+BP248*$C250+BP255*$C257,0)</f>
        <v>0</v>
      </c>
      <c r="BQ292">
        <f t="shared" si="526"/>
        <v>0</v>
      </c>
      <c r="BR292">
        <f t="shared" si="526"/>
        <v>0</v>
      </c>
      <c r="BS292">
        <f t="shared" si="526"/>
        <v>16027</v>
      </c>
      <c r="BT292">
        <f t="shared" si="526"/>
        <v>16027</v>
      </c>
      <c r="BU292">
        <f t="shared" si="526"/>
        <v>16027</v>
      </c>
      <c r="BV292">
        <f t="shared" si="526"/>
        <v>16027</v>
      </c>
      <c r="BW292">
        <f t="shared" si="526"/>
        <v>16027</v>
      </c>
      <c r="BX292">
        <f t="shared" si="526"/>
        <v>16027</v>
      </c>
      <c r="BY292">
        <f t="shared" si="526"/>
        <v>16027</v>
      </c>
      <c r="BZ292">
        <f t="shared" si="526"/>
        <v>16027</v>
      </c>
      <c r="CA292">
        <f t="shared" si="526"/>
        <v>16027</v>
      </c>
      <c r="CB292">
        <f t="shared" si="526"/>
        <v>16027</v>
      </c>
      <c r="CC292">
        <f t="shared" si="526"/>
        <v>16027</v>
      </c>
    </row>
    <row r="293" spans="1:81" x14ac:dyDescent="0.2">
      <c r="A293" t="s">
        <v>275</v>
      </c>
      <c r="D293">
        <f t="shared" ref="D293:AI293" si="527">ROUND(D17*$A19+D24*$A26+D31*$A33+D38*$A40+D45*$A47+D52*$A54+D59*$A61+D66*$A68+D73*$A75+D80*$A82+D87*$A89+D94*$A96+D101*$A103+D108*$A110+D115*$A117+D122*$A124+D129*$A131+D136*$A138+D143*$A145+D150*$A152+D157*$A159+D164*$A166+D171*$A173+D178*$A180+D185*$A187+D192*$A194+D199*$A201+D206*$A208+D213*$A215+D220*$A222+D227*$A229+D234*$A236+D241*$A243+D248*$A250+D255*$A257,0)</f>
        <v>9360</v>
      </c>
      <c r="E293">
        <f t="shared" si="527"/>
        <v>199020</v>
      </c>
      <c r="F293">
        <f t="shared" si="527"/>
        <v>126740</v>
      </c>
      <c r="G293">
        <f t="shared" si="527"/>
        <v>150220</v>
      </c>
      <c r="H293">
        <f t="shared" si="527"/>
        <v>140645</v>
      </c>
      <c r="I293">
        <f t="shared" si="527"/>
        <v>133200</v>
      </c>
      <c r="J293">
        <f t="shared" si="527"/>
        <v>134360</v>
      </c>
      <c r="K293">
        <f t="shared" si="527"/>
        <v>144720</v>
      </c>
      <c r="L293">
        <f t="shared" si="527"/>
        <v>191620</v>
      </c>
      <c r="M293">
        <f t="shared" si="527"/>
        <v>222600</v>
      </c>
      <c r="N293">
        <f t="shared" si="527"/>
        <v>0</v>
      </c>
      <c r="O293">
        <f t="shared" si="527"/>
        <v>0</v>
      </c>
      <c r="P293">
        <f t="shared" si="527"/>
        <v>0</v>
      </c>
      <c r="Q293">
        <f t="shared" si="527"/>
        <v>0</v>
      </c>
      <c r="R293">
        <f t="shared" si="527"/>
        <v>134840</v>
      </c>
      <c r="S293">
        <f t="shared" si="527"/>
        <v>124480</v>
      </c>
      <c r="T293">
        <f t="shared" si="527"/>
        <v>117240</v>
      </c>
      <c r="U293">
        <f t="shared" si="527"/>
        <v>132640</v>
      </c>
      <c r="V293">
        <f t="shared" si="527"/>
        <v>132640</v>
      </c>
      <c r="W293">
        <f t="shared" si="527"/>
        <v>132640</v>
      </c>
      <c r="X293">
        <f t="shared" si="527"/>
        <v>131520</v>
      </c>
      <c r="Y293">
        <f t="shared" si="527"/>
        <v>89080</v>
      </c>
      <c r="Z293">
        <f t="shared" si="527"/>
        <v>89080</v>
      </c>
      <c r="AA293">
        <f t="shared" si="527"/>
        <v>89080</v>
      </c>
      <c r="AB293">
        <f t="shared" si="527"/>
        <v>88520</v>
      </c>
      <c r="AC293">
        <f t="shared" si="527"/>
        <v>134650</v>
      </c>
      <c r="AD293">
        <f t="shared" si="527"/>
        <v>134650</v>
      </c>
      <c r="AE293">
        <f t="shared" si="527"/>
        <v>134230</v>
      </c>
      <c r="AF293">
        <f t="shared" si="527"/>
        <v>134230</v>
      </c>
      <c r="AG293">
        <f t="shared" si="527"/>
        <v>123620</v>
      </c>
      <c r="AH293">
        <f t="shared" si="527"/>
        <v>139760</v>
      </c>
      <c r="AI293">
        <f t="shared" si="527"/>
        <v>139760</v>
      </c>
      <c r="AJ293">
        <f t="shared" ref="AJ293:BO293" si="528">ROUND(AJ17*$A19+AJ24*$A26+AJ31*$A33+AJ38*$A40+AJ45*$A47+AJ52*$A54+AJ59*$A61+AJ66*$A68+AJ73*$A75+AJ80*$A82+AJ87*$A89+AJ94*$A96+AJ101*$A103+AJ108*$A110+AJ115*$A117+AJ122*$A124+AJ129*$A131+AJ136*$A138+AJ143*$A145+AJ150*$A152+AJ157*$A159+AJ164*$A166+AJ171*$A173+AJ178*$A180+AJ185*$A187+AJ192*$A194+AJ199*$A201+AJ206*$A208+AJ213*$A215+AJ220*$A222+AJ227*$A229+AJ234*$A236+AJ241*$A243+AJ248*$A250+AJ255*$A257,0)</f>
        <v>0</v>
      </c>
      <c r="AK293">
        <f t="shared" si="528"/>
        <v>0</v>
      </c>
      <c r="AL293">
        <f t="shared" si="528"/>
        <v>0</v>
      </c>
      <c r="AM293">
        <f t="shared" si="528"/>
        <v>0</v>
      </c>
      <c r="AN293">
        <f t="shared" si="528"/>
        <v>97087</v>
      </c>
      <c r="AO293">
        <f t="shared" si="528"/>
        <v>97087</v>
      </c>
      <c r="AP293">
        <f t="shared" si="528"/>
        <v>97087</v>
      </c>
      <c r="AQ293">
        <f t="shared" si="528"/>
        <v>117156</v>
      </c>
      <c r="AR293">
        <f t="shared" si="528"/>
        <v>117156</v>
      </c>
      <c r="AS293">
        <f t="shared" si="528"/>
        <v>93893</v>
      </c>
      <c r="AT293">
        <f t="shared" si="528"/>
        <v>117156</v>
      </c>
      <c r="AU293">
        <f t="shared" si="528"/>
        <v>111362</v>
      </c>
      <c r="AV293">
        <f t="shared" si="528"/>
        <v>111362</v>
      </c>
      <c r="AW293">
        <f t="shared" si="528"/>
        <v>111362</v>
      </c>
      <c r="AX293">
        <f t="shared" si="528"/>
        <v>111362</v>
      </c>
      <c r="AY293">
        <f t="shared" si="528"/>
        <v>89129</v>
      </c>
      <c r="AZ293">
        <f t="shared" si="528"/>
        <v>79385</v>
      </c>
      <c r="BA293">
        <f t="shared" si="528"/>
        <v>79385</v>
      </c>
      <c r="BB293">
        <f t="shared" si="528"/>
        <v>79385</v>
      </c>
      <c r="BC293">
        <f t="shared" si="528"/>
        <v>89129</v>
      </c>
      <c r="BD293">
        <f t="shared" si="528"/>
        <v>89129</v>
      </c>
      <c r="BE293">
        <f t="shared" si="528"/>
        <v>89129</v>
      </c>
      <c r="BF293">
        <f t="shared" si="528"/>
        <v>89129</v>
      </c>
      <c r="BG293">
        <f t="shared" si="528"/>
        <v>89129</v>
      </c>
      <c r="BH293">
        <f t="shared" si="528"/>
        <v>89129</v>
      </c>
      <c r="BI293">
        <f t="shared" si="528"/>
        <v>89129</v>
      </c>
      <c r="BJ293">
        <f t="shared" si="528"/>
        <v>89129</v>
      </c>
      <c r="BK293">
        <f t="shared" si="528"/>
        <v>89129</v>
      </c>
      <c r="BL293">
        <f t="shared" si="528"/>
        <v>88614</v>
      </c>
      <c r="BM293">
        <f t="shared" si="528"/>
        <v>88614</v>
      </c>
      <c r="BN293">
        <f t="shared" si="528"/>
        <v>161442</v>
      </c>
      <c r="BO293">
        <f t="shared" si="528"/>
        <v>0</v>
      </c>
      <c r="BP293">
        <f t="shared" ref="BP293:CC293" si="529">ROUND(BP17*$A19+BP24*$A26+BP31*$A33+BP38*$A40+BP45*$A47+BP52*$A54+BP59*$A61+BP66*$A68+BP73*$A75+BP80*$A82+BP87*$A89+BP94*$A96+BP101*$A103+BP108*$A110+BP115*$A117+BP122*$A124+BP129*$A131+BP136*$A138+BP143*$A145+BP150*$A152+BP157*$A159+BP164*$A166+BP171*$A173+BP178*$A180+BP185*$A187+BP192*$A194+BP199*$A201+BP206*$A208+BP213*$A215+BP220*$A222+BP227*$A229+BP234*$A236+BP241*$A243+BP248*$A250+BP255*$A257,0)</f>
        <v>0</v>
      </c>
      <c r="BQ293">
        <f t="shared" si="529"/>
        <v>0</v>
      </c>
      <c r="BR293">
        <f t="shared" si="529"/>
        <v>0</v>
      </c>
      <c r="BS293">
        <f t="shared" si="529"/>
        <v>73166</v>
      </c>
      <c r="BT293">
        <f t="shared" si="529"/>
        <v>73166</v>
      </c>
      <c r="BU293">
        <f t="shared" si="529"/>
        <v>73166</v>
      </c>
      <c r="BV293">
        <f t="shared" si="529"/>
        <v>73166</v>
      </c>
      <c r="BW293">
        <f t="shared" si="529"/>
        <v>73166</v>
      </c>
      <c r="BX293">
        <f t="shared" si="529"/>
        <v>73166</v>
      </c>
      <c r="BY293">
        <f t="shared" si="529"/>
        <v>73166</v>
      </c>
      <c r="BZ293">
        <f t="shared" si="529"/>
        <v>73166</v>
      </c>
      <c r="CA293">
        <f t="shared" si="529"/>
        <v>73166</v>
      </c>
      <c r="CB293">
        <f t="shared" si="529"/>
        <v>73166</v>
      </c>
      <c r="CC293">
        <f t="shared" si="529"/>
        <v>73166</v>
      </c>
    </row>
    <row r="295" spans="1:81" x14ac:dyDescent="0.2">
      <c r="A295" t="s">
        <v>276</v>
      </c>
      <c r="D295">
        <f ca="1">ROUND(SUM(D279:OFFSET(D279:D279,0,B301-1))/SUM(D263:OFFSET(D263:D263,0,B301-1)),4)</f>
        <v>0.29630000000000001</v>
      </c>
    </row>
    <row r="296" spans="1:81" x14ac:dyDescent="0.2">
      <c r="A296" t="s">
        <v>277</v>
      </c>
      <c r="D296">
        <f ca="1">ROUND(SUM(D277:OFFSET(D277:D277,0,B301-1))/SUM(D262:OFFSET(D262:D262,0,B301-1)),4)</f>
        <v>0.29320000000000002</v>
      </c>
    </row>
    <row r="297" spans="1:81" x14ac:dyDescent="0.2">
      <c r="A297" t="s">
        <v>278</v>
      </c>
      <c r="D297">
        <f ca="1">ROUND(SUM(D292:OFFSET(D292:D292,0,B301-1))/SUM(D263:OFFSET(D263:D263,0,B301-1)),4)</f>
        <v>7.7679999999999998</v>
      </c>
    </row>
    <row r="298" spans="1:81" x14ac:dyDescent="0.2">
      <c r="A298" t="s">
        <v>279</v>
      </c>
      <c r="D298">
        <f ca="1">ROUND(SUM(D276:OFFSET(D276:D276,0,B301-1))/SUM(D262:OFFSET(D262:D262,0,B301-1)),4)</f>
        <v>7.5869</v>
      </c>
    </row>
    <row r="299" spans="1:81" x14ac:dyDescent="0.2">
      <c r="A299" t="s">
        <v>280</v>
      </c>
      <c r="D299">
        <f ca="1">ROUND(SUM(D293:OFFSET(D293:D293,0,B301-1))/SUM(D263:OFFSET(D263:D263,0,B301-1)),0)</f>
        <v>35</v>
      </c>
    </row>
    <row r="300" spans="1:81" x14ac:dyDescent="0.2">
      <c r="A300" t="s">
        <v>281</v>
      </c>
      <c r="D300">
        <f ca="1">ROUND(SUM(D264:OFFSET(D264:D264,0,B301-1))/SUM(D262:OFFSET(D262:D262,0,B301-1)),0)</f>
        <v>35</v>
      </c>
    </row>
    <row r="301" spans="1:81" x14ac:dyDescent="0.2">
      <c r="A301" t="s">
        <v>282</v>
      </c>
      <c r="B301">
        <v>12</v>
      </c>
    </row>
  </sheetData>
  <mergeCells count="23">
    <mergeCell ref="F1:G1"/>
    <mergeCell ref="H1:J1"/>
    <mergeCell ref="B3:M3"/>
    <mergeCell ref="C5:F5"/>
    <mergeCell ref="G5:H5"/>
    <mergeCell ref="I5:J5"/>
    <mergeCell ref="K5:L5"/>
    <mergeCell ref="C6:F6"/>
    <mergeCell ref="G6:H6"/>
    <mergeCell ref="I6:J6"/>
    <mergeCell ref="K6:L6"/>
    <mergeCell ref="C7:F7"/>
    <mergeCell ref="G7:H7"/>
    <mergeCell ref="I7:J7"/>
    <mergeCell ref="K7:L7"/>
    <mergeCell ref="E8:F8"/>
    <mergeCell ref="G8:H8"/>
    <mergeCell ref="I8:J8"/>
    <mergeCell ref="K8:L8"/>
    <mergeCell ref="E9:F9"/>
    <mergeCell ref="G9:H9"/>
    <mergeCell ref="I9:J9"/>
    <mergeCell ref="K9:L9"/>
  </mergeCells>
  <conditionalFormatting sqref="D19:X19 D11:CC18 E23:F23 E30:F30 E37:F37 E44:F44 E51:F51 E58:F58 E65:F65 E72:F72 E79:F79 E86:F86 E93:F93 E100:F100 E107:F107 E114:F114 E121:F121 E128:F128 E135:F135 E142:F142 E149:F149 E156:F156 E163:F163 E170:F170 E177:F177 E184:F184 E191:F191 E198:F198 E205:F205 E212:F212 E219:F219 E226:F226 E233:F233 E240:F240 E247:F247 E254:F254">
    <cfRule type="expression" dxfId="183" priority="70" stopIfTrue="1">
      <formula>D$267=0</formula>
    </cfRule>
  </conditionalFormatting>
  <conditionalFormatting sqref="D14:CC14">
    <cfRule type="cellIs" dxfId="182" priority="73" stopIfTrue="1" operator="lessThan">
      <formula>0</formula>
    </cfRule>
  </conditionalFormatting>
  <conditionalFormatting sqref="D20:CC20 E21:X21 D26:X27 Y27:CC27 E28:X28 D33:X34 Y34:CC34 E35:X35 D40:X41 Y41:CC41 E42:X42 D47:X48 Y48:CC48 E49:X49 D54:X55 Y55:CC55 E56:X56 D61:X62 Y62:CC62 E63:X63 D68:X69 Y69:CC69 E70:X70 D75:X76 Y76:CC76 E77:X77 D82:X83 Y83:CC83 E84:X84 D89:X90 Y90:CC90 E91:X91 D96:X97 Y97:CC97 E98:X98 D103:X104 Y104:CC104 E105:X105 D110:X111 Y111:CC111 E112:X112 D117:X118 Y118:CC118 E119:X119 D124:X125 Y125:CC125 E126:X126 D131:X132 Y132:CC132 E133:X133 D138:X139 Y139:CC139 E140:X140 D145:X146 Y146:CC146 E147:X147 D152:X153 Y153:CC153 E154:X154 D159:X160 Y160:CC160 E161:X161 D166:X167 Y167:CC167 E168:X168 D173:X174 Y174:CC174 E175:X175 D180:X181 Y181:CC181 E182:X182 D187:X188 Y188:CC188 E189:X189 D194:X195 Y195:CC195 E196:X196 D201:X202 Y202:CC202 E203:X203 D208:X209 Y209:CC209 E210:X210 D215:X216 Y216:CC216 E217:X217 D222:X223 Y223:CC223 E224:X224 D229:X230 Y230:CC230 E231:X231 D236:X237 Y237:CC237 E238:X238 D243:X244 Y244:CC244 E245:X245 D250:X251 Y251:CC251 E252:X252 D257:X257">
    <cfRule type="expression" dxfId="181" priority="72" stopIfTrue="1">
      <formula>D$267=0</formula>
    </cfRule>
  </conditionalFormatting>
  <conditionalFormatting sqref="D21:CC21">
    <cfRule type="cellIs" dxfId="180" priority="69" stopIfTrue="1" operator="lessThan">
      <formula>0</formula>
    </cfRule>
  </conditionalFormatting>
  <conditionalFormatting sqref="D21:CC22 D24:CC25 D23 G23:CC23">
    <cfRule type="expression" dxfId="179" priority="68" stopIfTrue="1">
      <formula>D$267=0</formula>
    </cfRule>
  </conditionalFormatting>
  <conditionalFormatting sqref="D28:CC28">
    <cfRule type="cellIs" dxfId="178" priority="67" stopIfTrue="1" operator="lessThan">
      <formula>0</formula>
    </cfRule>
  </conditionalFormatting>
  <conditionalFormatting sqref="D28:CC29 D31:CC32 D30 G30:CC30">
    <cfRule type="expression" dxfId="177" priority="66" stopIfTrue="1">
      <formula>D$267=0</formula>
    </cfRule>
  </conditionalFormatting>
  <conditionalFormatting sqref="D35:CC35">
    <cfRule type="cellIs" dxfId="176" priority="65" stopIfTrue="1" operator="lessThan">
      <formula>0</formula>
    </cfRule>
  </conditionalFormatting>
  <conditionalFormatting sqref="D35:CC36 D38:CC39 D37 G37:CC37">
    <cfRule type="expression" dxfId="175" priority="64" stopIfTrue="1">
      <formula>D$267=0</formula>
    </cfRule>
  </conditionalFormatting>
  <conditionalFormatting sqref="D42:CC42">
    <cfRule type="cellIs" dxfId="174" priority="63" stopIfTrue="1" operator="lessThan">
      <formula>0</formula>
    </cfRule>
  </conditionalFormatting>
  <conditionalFormatting sqref="D42:CC43 D45:CC46 D44 G44:CC44">
    <cfRule type="expression" dxfId="173" priority="62" stopIfTrue="1">
      <formula>D$267=0</formula>
    </cfRule>
  </conditionalFormatting>
  <conditionalFormatting sqref="D49:CC49">
    <cfRule type="cellIs" dxfId="172" priority="61" stopIfTrue="1" operator="lessThan">
      <formula>0</formula>
    </cfRule>
  </conditionalFormatting>
  <conditionalFormatting sqref="D49:CC50 D52:CC53 D51 G51:CC51">
    <cfRule type="expression" dxfId="171" priority="60" stopIfTrue="1">
      <formula>D$267=0</formula>
    </cfRule>
  </conditionalFormatting>
  <conditionalFormatting sqref="D56:CC56">
    <cfRule type="cellIs" dxfId="170" priority="59" stopIfTrue="1" operator="lessThan">
      <formula>0</formula>
    </cfRule>
  </conditionalFormatting>
  <conditionalFormatting sqref="D56:CC57 D59:CC60 D58 G58:CC58">
    <cfRule type="expression" dxfId="169" priority="58" stopIfTrue="1">
      <formula>D$267=0</formula>
    </cfRule>
  </conditionalFormatting>
  <conditionalFormatting sqref="D63:CC63">
    <cfRule type="cellIs" dxfId="168" priority="57" stopIfTrue="1" operator="lessThan">
      <formula>0</formula>
    </cfRule>
  </conditionalFormatting>
  <conditionalFormatting sqref="D63:CC64 D66:CC67 D65 G65:CC65">
    <cfRule type="expression" dxfId="167" priority="56" stopIfTrue="1">
      <formula>D$267=0</formula>
    </cfRule>
  </conditionalFormatting>
  <conditionalFormatting sqref="D70:CC70">
    <cfRule type="cellIs" dxfId="166" priority="55" stopIfTrue="1" operator="lessThan">
      <formula>0</formula>
    </cfRule>
  </conditionalFormatting>
  <conditionalFormatting sqref="D70:CC71 D73:CC74 D72 G72:CC72">
    <cfRule type="expression" dxfId="165" priority="54" stopIfTrue="1">
      <formula>D$267=0</formula>
    </cfRule>
  </conditionalFormatting>
  <conditionalFormatting sqref="D77:CC77">
    <cfRule type="cellIs" dxfId="164" priority="53" stopIfTrue="1" operator="lessThan">
      <formula>0</formula>
    </cfRule>
  </conditionalFormatting>
  <conditionalFormatting sqref="D77:CC78 D80:CC81 D79 G79:CC79">
    <cfRule type="expression" dxfId="163" priority="52" stopIfTrue="1">
      <formula>D$267=0</formula>
    </cfRule>
  </conditionalFormatting>
  <conditionalFormatting sqref="D84:CC84">
    <cfRule type="cellIs" dxfId="162" priority="51" stopIfTrue="1" operator="lessThan">
      <formula>0</formula>
    </cfRule>
  </conditionalFormatting>
  <conditionalFormatting sqref="D84:CC85 D87:CC88 D86 G86:CC86">
    <cfRule type="expression" dxfId="161" priority="50" stopIfTrue="1">
      <formula>D$267=0</formula>
    </cfRule>
  </conditionalFormatting>
  <conditionalFormatting sqref="D91:CC91">
    <cfRule type="cellIs" dxfId="160" priority="49" stopIfTrue="1" operator="lessThan">
      <formula>0</formula>
    </cfRule>
  </conditionalFormatting>
  <conditionalFormatting sqref="D91:CC92 D94:CC95 D93 G93:CC93">
    <cfRule type="expression" dxfId="159" priority="48" stopIfTrue="1">
      <formula>D$267=0</formula>
    </cfRule>
  </conditionalFormatting>
  <conditionalFormatting sqref="D98:CC98">
    <cfRule type="cellIs" dxfId="158" priority="47" stopIfTrue="1" operator="lessThan">
      <formula>0</formula>
    </cfRule>
  </conditionalFormatting>
  <conditionalFormatting sqref="D98:CC99 D101:CC102 D100 G100:CC100">
    <cfRule type="expression" dxfId="157" priority="46" stopIfTrue="1">
      <formula>D$267=0</formula>
    </cfRule>
  </conditionalFormatting>
  <conditionalFormatting sqref="D105:CC105">
    <cfRule type="cellIs" dxfId="156" priority="45" stopIfTrue="1" operator="lessThan">
      <formula>0</formula>
    </cfRule>
  </conditionalFormatting>
  <conditionalFormatting sqref="D105:CC106 D108:CC109 D107 G107:CC107">
    <cfRule type="expression" dxfId="155" priority="44" stopIfTrue="1">
      <formula>D$267=0</formula>
    </cfRule>
  </conditionalFormatting>
  <conditionalFormatting sqref="D112:CC112">
    <cfRule type="cellIs" dxfId="154" priority="43" stopIfTrue="1" operator="lessThan">
      <formula>0</formula>
    </cfRule>
  </conditionalFormatting>
  <conditionalFormatting sqref="D112:CC113 D115:CC116 D114 G114:CC114">
    <cfRule type="expression" dxfId="153" priority="42" stopIfTrue="1">
      <formula>D$267=0</formula>
    </cfRule>
  </conditionalFormatting>
  <conditionalFormatting sqref="D119:CC119">
    <cfRule type="cellIs" dxfId="152" priority="41" stopIfTrue="1" operator="lessThan">
      <formula>0</formula>
    </cfRule>
  </conditionalFormatting>
  <conditionalFormatting sqref="D119:CC120 D122:CC123 D121 G121:CC121">
    <cfRule type="expression" dxfId="151" priority="40" stopIfTrue="1">
      <formula>D$267=0</formula>
    </cfRule>
  </conditionalFormatting>
  <conditionalFormatting sqref="D126:CC126">
    <cfRule type="cellIs" dxfId="150" priority="39" stopIfTrue="1" operator="lessThan">
      <formula>0</formula>
    </cfRule>
  </conditionalFormatting>
  <conditionalFormatting sqref="D126:CC127 D129:CC130 D128 G128:CC128">
    <cfRule type="expression" dxfId="149" priority="38" stopIfTrue="1">
      <formula>D$267=0</formula>
    </cfRule>
  </conditionalFormatting>
  <conditionalFormatting sqref="D133:CC133">
    <cfRule type="cellIs" dxfId="148" priority="37" stopIfTrue="1" operator="lessThan">
      <formula>0</formula>
    </cfRule>
  </conditionalFormatting>
  <conditionalFormatting sqref="D133:CC134 D136:CC137 D135 G135:CC135">
    <cfRule type="expression" dxfId="147" priority="36" stopIfTrue="1">
      <formula>D$267=0</formula>
    </cfRule>
  </conditionalFormatting>
  <conditionalFormatting sqref="D140:CC140">
    <cfRule type="cellIs" dxfId="146" priority="35" stopIfTrue="1" operator="lessThan">
      <formula>0</formula>
    </cfRule>
  </conditionalFormatting>
  <conditionalFormatting sqref="D140:CC141 D143:CC144 D142 G142:CC142">
    <cfRule type="expression" dxfId="145" priority="34" stopIfTrue="1">
      <formula>D$267=0</formula>
    </cfRule>
  </conditionalFormatting>
  <conditionalFormatting sqref="D147:CC147">
    <cfRule type="cellIs" dxfId="144" priority="33" stopIfTrue="1" operator="lessThan">
      <formula>0</formula>
    </cfRule>
  </conditionalFormatting>
  <conditionalFormatting sqref="D147:CC148 D150:CC151 D149 G149:CC149">
    <cfRule type="expression" dxfId="143" priority="32" stopIfTrue="1">
      <formula>D$267=0</formula>
    </cfRule>
  </conditionalFormatting>
  <conditionalFormatting sqref="D154:CC154">
    <cfRule type="cellIs" dxfId="142" priority="31" stopIfTrue="1" operator="lessThan">
      <formula>0</formula>
    </cfRule>
  </conditionalFormatting>
  <conditionalFormatting sqref="D154:CC155 D157:CC158 D156 G156:CC156">
    <cfRule type="expression" dxfId="141" priority="30" stopIfTrue="1">
      <formula>D$267=0</formula>
    </cfRule>
  </conditionalFormatting>
  <conditionalFormatting sqref="D161:CC161">
    <cfRule type="cellIs" dxfId="140" priority="29" stopIfTrue="1" operator="lessThan">
      <formula>0</formula>
    </cfRule>
  </conditionalFormatting>
  <conditionalFormatting sqref="D161:CC162 D164:CC165 D163 G163:CC163">
    <cfRule type="expression" dxfId="139" priority="28" stopIfTrue="1">
      <formula>D$267=0</formula>
    </cfRule>
  </conditionalFormatting>
  <conditionalFormatting sqref="D168:CC168">
    <cfRule type="cellIs" dxfId="138" priority="27" stopIfTrue="1" operator="lessThan">
      <formula>0</formula>
    </cfRule>
  </conditionalFormatting>
  <conditionalFormatting sqref="D168:CC169 D171:CC172 D170 G170:CC170">
    <cfRule type="expression" dxfId="137" priority="26" stopIfTrue="1">
      <formula>D$267=0</formula>
    </cfRule>
  </conditionalFormatting>
  <conditionalFormatting sqref="D175:CC175">
    <cfRule type="cellIs" dxfId="136" priority="25" stopIfTrue="1" operator="lessThan">
      <formula>0</formula>
    </cfRule>
  </conditionalFormatting>
  <conditionalFormatting sqref="D175:CC176 D178:CC179 D177 G177:CC177">
    <cfRule type="expression" dxfId="135" priority="24" stopIfTrue="1">
      <formula>D$267=0</formula>
    </cfRule>
  </conditionalFormatting>
  <conditionalFormatting sqref="D182:CC182">
    <cfRule type="cellIs" dxfId="134" priority="23" stopIfTrue="1" operator="lessThan">
      <formula>0</formula>
    </cfRule>
  </conditionalFormatting>
  <conditionalFormatting sqref="D182:CC183 D185:CC186 D184 G184:CC184">
    <cfRule type="expression" dxfId="133" priority="22" stopIfTrue="1">
      <formula>D$267=0</formula>
    </cfRule>
  </conditionalFormatting>
  <conditionalFormatting sqref="D189:CC189">
    <cfRule type="cellIs" dxfId="132" priority="21" stopIfTrue="1" operator="lessThan">
      <formula>0</formula>
    </cfRule>
  </conditionalFormatting>
  <conditionalFormatting sqref="D189:CC190 D192:CC193 D191 G191:CC191">
    <cfRule type="expression" dxfId="131" priority="20" stopIfTrue="1">
      <formula>D$267=0</formula>
    </cfRule>
  </conditionalFormatting>
  <conditionalFormatting sqref="D196:CC196">
    <cfRule type="cellIs" dxfId="130" priority="19" stopIfTrue="1" operator="lessThan">
      <formula>0</formula>
    </cfRule>
  </conditionalFormatting>
  <conditionalFormatting sqref="D196:CC197 D199:CC200 D198 G198:CC198">
    <cfRule type="expression" dxfId="129" priority="18" stopIfTrue="1">
      <formula>D$267=0</formula>
    </cfRule>
  </conditionalFormatting>
  <conditionalFormatting sqref="D203:CC203">
    <cfRule type="cellIs" dxfId="128" priority="17" stopIfTrue="1" operator="lessThan">
      <formula>0</formula>
    </cfRule>
  </conditionalFormatting>
  <conditionalFormatting sqref="D203:CC204 D206:CC207 D205 G205:CC205">
    <cfRule type="expression" dxfId="127" priority="16" stopIfTrue="1">
      <formula>D$267=0</formula>
    </cfRule>
  </conditionalFormatting>
  <conditionalFormatting sqref="D210:CC210">
    <cfRule type="cellIs" dxfId="126" priority="15" stopIfTrue="1" operator="lessThan">
      <formula>0</formula>
    </cfRule>
  </conditionalFormatting>
  <conditionalFormatting sqref="D210:CC211 D213:CC214 D212 G212:CC212">
    <cfRule type="expression" dxfId="125" priority="14" stopIfTrue="1">
      <formula>D$267=0</formula>
    </cfRule>
  </conditionalFormatting>
  <conditionalFormatting sqref="D217:CC217">
    <cfRule type="cellIs" dxfId="124" priority="13" stopIfTrue="1" operator="lessThan">
      <formula>0</formula>
    </cfRule>
  </conditionalFormatting>
  <conditionalFormatting sqref="D217:CC218 D220:CC221 D219 G219:CC219">
    <cfRule type="expression" dxfId="123" priority="12" stopIfTrue="1">
      <formula>D$267=0</formula>
    </cfRule>
  </conditionalFormatting>
  <conditionalFormatting sqref="D224:CC224">
    <cfRule type="cellIs" dxfId="122" priority="11" stopIfTrue="1" operator="lessThan">
      <formula>0</formula>
    </cfRule>
  </conditionalFormatting>
  <conditionalFormatting sqref="D224:CC225 D227:CC228 D226 G226:CC226">
    <cfRule type="expression" dxfId="121" priority="10" stopIfTrue="1">
      <formula>D$267=0</formula>
    </cfRule>
  </conditionalFormatting>
  <conditionalFormatting sqref="D231:CC231">
    <cfRule type="cellIs" dxfId="120" priority="9" stopIfTrue="1" operator="lessThan">
      <formula>0</formula>
    </cfRule>
  </conditionalFormatting>
  <conditionalFormatting sqref="D231:CC232 D234:CC235 D233 G233:CC233">
    <cfRule type="expression" dxfId="119" priority="8" stopIfTrue="1">
      <formula>D$267=0</formula>
    </cfRule>
  </conditionalFormatting>
  <conditionalFormatting sqref="D238:CC238">
    <cfRule type="cellIs" dxfId="118" priority="7" stopIfTrue="1" operator="lessThan">
      <formula>0</formula>
    </cfRule>
  </conditionalFormatting>
  <conditionalFormatting sqref="D238:CC239 D241:CC242 D240 G240:CC240">
    <cfRule type="expression" dxfId="117" priority="6" stopIfTrue="1">
      <formula>D$267=0</formula>
    </cfRule>
  </conditionalFormatting>
  <conditionalFormatting sqref="D245:CC245">
    <cfRule type="cellIs" dxfId="116" priority="5" stopIfTrue="1" operator="lessThan">
      <formula>0</formula>
    </cfRule>
  </conditionalFormatting>
  <conditionalFormatting sqref="D245:CC246 D248:CC249 D247 G247:CC247">
    <cfRule type="expression" dxfId="115" priority="4" stopIfTrue="1">
      <formula>D$267=0</formula>
    </cfRule>
  </conditionalFormatting>
  <conditionalFormatting sqref="D252:CC252">
    <cfRule type="cellIs" dxfId="114" priority="3" stopIfTrue="1" operator="lessThan">
      <formula>0</formula>
    </cfRule>
  </conditionalFormatting>
  <conditionalFormatting sqref="D258:CC259">
    <cfRule type="cellIs" dxfId="113" priority="1" stopIfTrue="1" operator="lessThan">
      <formula>0</formula>
    </cfRule>
  </conditionalFormatting>
  <conditionalFormatting sqref="D258:CC287 D252:CC253 D255:CC256 D254 G254:CC254">
    <cfRule type="expression" dxfId="112" priority="2" stopIfTrue="1">
      <formula>D$267=0</formula>
    </cfRule>
  </conditionalFormatting>
  <conditionalFormatting sqref="E21:X21 E28:X28 E35:X35 E42:X42 E49:X49 E56:X56 E63:X63 E70:X70 E77:X77 E84:X84 E91:X91 E98:X98 E105:X105 E112:X112 E119:X119 E126:X126 E133:X133 E140:X140 E147:X147 E154:X154 E161:X161 E168:X168 E175:X175 E182:X182 E189:X189 E196:X196 E203:X203 E210:X210 E217:X217 E224:X224 E231:X231 E238:X238 E245:X245 E252:X252 D20:CC20 D26:X27 Y27:CC27 D33:X34 Y34:CC34 D40:X41 Y41:CC41 D47:X48 Y48:CC48 D54:X55 Y55:CC55 D61:X62 Y62:CC62 D68:X69 Y69:CC69 D75:X76 Y76:CC76 D82:X83 Y83:CC83 D89:X90 Y90:CC90 D96:X97 Y97:CC97 D103:X104 Y104:CC104 D110:X111 Y111:CC111 D117:X118 Y118:CC118 D124:X125 Y125:CC125 D131:X132 Y132:CC132 D138:X139 Y139:CC139 D145:X146 Y146:CC146 D152:X153 Y153:CC153 D159:X160 Y160:CC160 D166:X167 Y167:CC167 D173:X174 Y174:CC174 D180:X181 Y181:CC181 D187:X188 Y188:CC188 D194:X195 Y195:CC195 D201:X202 Y202:CC202 D208:X209 Y209:CC209 D215:X216 Y216:CC216 D222:X223 Y223:CC223 D229:X230 Y230:CC230 D236:X237 Y237:CC237 D243:X244 Y244:CC244 D250:X251 Y251:CC251 D257:X257">
    <cfRule type="cellIs" dxfId="111" priority="71" stopIfTrue="1" operator="lessThan">
      <formula>0</formula>
    </cfRule>
  </conditionalFormatting>
  <pageMargins left="0.75" right="0.75" top="1" bottom="1" header="0.5" footer="0.5"/>
  <pageSetup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980F-5360-471C-938D-19A9C7428F37}">
  <sheetPr>
    <tabColor theme="8" tint="0.39997558519241921"/>
  </sheetPr>
  <dimension ref="B1:AI90"/>
  <sheetViews>
    <sheetView workbookViewId="0">
      <pane xSplit="13" ySplit="11" topLeftCell="N12" activePane="bottomRight" state="frozen"/>
      <selection pane="topRight" activeCell="N1" sqref="N1"/>
      <selection pane="bottomLeft" activeCell="A12" sqref="A12"/>
      <selection pane="bottomRight" activeCell="N12" sqref="N12"/>
    </sheetView>
  </sheetViews>
  <sheetFormatPr defaultRowHeight="12.75" x14ac:dyDescent="0.2"/>
  <cols>
    <col min="1" max="1" width="9.140625" customWidth="1"/>
    <col min="2" max="2" width="6" bestFit="1" customWidth="1"/>
    <col min="3" max="4" width="10.42578125" bestFit="1" customWidth="1"/>
    <col min="5" max="5" width="7.7109375" bestFit="1" customWidth="1"/>
    <col min="6" max="6" width="8" bestFit="1" customWidth="1"/>
    <col min="7" max="7" width="7.28515625" bestFit="1" customWidth="1"/>
    <col min="8" max="8" width="5" bestFit="1" customWidth="1"/>
    <col min="9" max="9" width="8.7109375" bestFit="1" customWidth="1"/>
    <col min="10" max="10" width="8.42578125" bestFit="1" customWidth="1"/>
    <col min="11" max="11" width="7.7109375" bestFit="1" customWidth="1"/>
    <col min="12" max="13" width="6.7109375" bestFit="1" customWidth="1"/>
    <col min="14" max="14" width="5.42578125" bestFit="1" customWidth="1"/>
    <col min="15" max="15" width="8.28515625" bestFit="1" customWidth="1"/>
    <col min="16" max="16" width="12.42578125" bestFit="1" customWidth="1"/>
    <col min="17" max="17" width="8.85546875" bestFit="1" customWidth="1"/>
    <col min="18" max="18" width="9.28515625" bestFit="1" customWidth="1"/>
    <col min="19" max="19" width="6" bestFit="1" customWidth="1"/>
    <col min="20" max="20" width="5.42578125" bestFit="1" customWidth="1"/>
    <col min="21" max="22" width="9" bestFit="1" customWidth="1"/>
    <col min="23" max="23" width="6" bestFit="1" customWidth="1"/>
    <col min="24" max="24" width="5.42578125" bestFit="1" customWidth="1"/>
    <col min="25" max="26" width="9" bestFit="1" customWidth="1"/>
    <col min="27" max="27" width="6" bestFit="1" customWidth="1"/>
    <col min="28" max="28" width="5.42578125" bestFit="1" customWidth="1"/>
    <col min="29" max="30" width="9" bestFit="1" customWidth="1"/>
    <col min="31" max="31" width="8.5703125" bestFit="1" customWidth="1"/>
    <col min="32" max="32" width="9.140625" customWidth="1"/>
    <col min="33" max="33" width="9.140625" bestFit="1" customWidth="1"/>
    <col min="34" max="34" width="10.5703125" bestFit="1" customWidth="1"/>
    <col min="35" max="35" width="5.42578125" bestFit="1" customWidth="1"/>
  </cols>
  <sheetData>
    <row r="1" spans="2:35" x14ac:dyDescent="0.2">
      <c r="B1" s="85" t="s">
        <v>0</v>
      </c>
      <c r="C1" s="86"/>
      <c r="D1" s="81" t="s">
        <v>1</v>
      </c>
      <c r="E1" s="81"/>
      <c r="F1" s="85" t="s">
        <v>2</v>
      </c>
      <c r="G1" s="86"/>
      <c r="H1" s="81" t="s">
        <v>3</v>
      </c>
      <c r="I1" s="81"/>
      <c r="J1" s="85" t="s">
        <v>4</v>
      </c>
      <c r="K1" s="86"/>
      <c r="L1" s="80" t="s">
        <v>5</v>
      </c>
      <c r="M1" s="81"/>
      <c r="N1" s="81"/>
    </row>
    <row r="3" spans="2:35" x14ac:dyDescent="0.2">
      <c r="B3" s="82" t="s">
        <v>6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</row>
    <row r="5" spans="2:35" x14ac:dyDescent="0.2">
      <c r="B5" s="77" t="s">
        <v>7</v>
      </c>
      <c r="C5" s="77"/>
      <c r="D5" s="78" t="s">
        <v>8</v>
      </c>
      <c r="E5" s="78"/>
      <c r="F5" s="78"/>
      <c r="G5" s="78"/>
      <c r="H5" s="78"/>
      <c r="I5" s="78"/>
      <c r="J5" s="77"/>
      <c r="K5" s="77"/>
      <c r="L5" s="77"/>
      <c r="M5" s="77"/>
      <c r="N5" s="77"/>
      <c r="O5" s="77"/>
      <c r="P5" s="77"/>
    </row>
    <row r="6" spans="2:35" x14ac:dyDescent="0.2">
      <c r="B6" s="77" t="s">
        <v>9</v>
      </c>
      <c r="C6" s="77"/>
      <c r="D6" s="78" t="s">
        <v>283</v>
      </c>
      <c r="E6" s="78"/>
      <c r="F6" s="78"/>
      <c r="G6" s="78"/>
      <c r="H6" s="78"/>
      <c r="I6" s="78"/>
      <c r="J6" s="77" t="s">
        <v>11</v>
      </c>
      <c r="K6" s="77"/>
      <c r="L6" s="78" t="s">
        <v>12</v>
      </c>
      <c r="M6" s="78"/>
      <c r="N6" s="77" t="s">
        <v>13</v>
      </c>
      <c r="O6" s="77"/>
      <c r="P6" s="16">
        <v>0.92</v>
      </c>
    </row>
    <row r="7" spans="2:35" x14ac:dyDescent="0.2">
      <c r="B7" s="77" t="s">
        <v>14</v>
      </c>
      <c r="C7" s="77"/>
      <c r="D7" s="78" t="s">
        <v>284</v>
      </c>
      <c r="E7" s="78"/>
      <c r="F7" s="78"/>
      <c r="G7" s="78"/>
      <c r="H7" s="78"/>
      <c r="I7" s="78"/>
      <c r="J7" s="77" t="s">
        <v>16</v>
      </c>
      <c r="K7" s="77"/>
      <c r="L7" s="78" t="s">
        <v>285</v>
      </c>
      <c r="M7" s="78"/>
      <c r="N7" s="77" t="s">
        <v>18</v>
      </c>
      <c r="O7" s="77"/>
      <c r="P7" s="15">
        <v>7</v>
      </c>
    </row>
    <row r="8" spans="2:35" x14ac:dyDescent="0.2">
      <c r="B8" s="77" t="s">
        <v>19</v>
      </c>
      <c r="C8" s="77"/>
      <c r="D8" s="17" t="s">
        <v>20</v>
      </c>
      <c r="E8" s="77" t="s">
        <v>21</v>
      </c>
      <c r="F8" s="77"/>
      <c r="G8" s="79" t="s">
        <v>22</v>
      </c>
      <c r="H8" s="78"/>
      <c r="I8" s="78"/>
      <c r="J8" s="77" t="s">
        <v>23</v>
      </c>
      <c r="K8" s="77"/>
      <c r="L8" s="78">
        <v>78</v>
      </c>
      <c r="M8" s="78"/>
      <c r="N8" s="77" t="s">
        <v>24</v>
      </c>
      <c r="O8" s="77"/>
      <c r="P8" s="5">
        <v>4</v>
      </c>
    </row>
    <row r="9" spans="2:35" x14ac:dyDescent="0.2">
      <c r="B9" s="77" t="s">
        <v>25</v>
      </c>
      <c r="C9" s="77"/>
      <c r="D9" s="15">
        <v>10</v>
      </c>
      <c r="E9" s="77" t="s">
        <v>26</v>
      </c>
      <c r="F9" s="77"/>
      <c r="G9" s="78" t="s">
        <v>27</v>
      </c>
      <c r="H9" s="78"/>
      <c r="I9" s="78"/>
      <c r="J9" s="77" t="s">
        <v>28</v>
      </c>
      <c r="K9" s="77"/>
      <c r="L9" s="78">
        <v>99</v>
      </c>
      <c r="M9" s="78"/>
      <c r="N9" s="77" t="s">
        <v>29</v>
      </c>
      <c r="O9" s="77"/>
      <c r="P9" s="15">
        <v>0.30520000000000003</v>
      </c>
    </row>
    <row r="10" spans="2:35" x14ac:dyDescent="0.2">
      <c r="S10" s="75" t="s">
        <v>286</v>
      </c>
      <c r="T10" s="75"/>
      <c r="U10" s="75"/>
      <c r="V10" s="76"/>
      <c r="W10" s="75" t="s">
        <v>287</v>
      </c>
      <c r="X10" s="75"/>
      <c r="Y10" s="75"/>
      <c r="Z10" s="76"/>
      <c r="AA10" s="75" t="s">
        <v>288</v>
      </c>
      <c r="AB10" s="75"/>
      <c r="AC10" s="75"/>
      <c r="AD10" s="75"/>
    </row>
    <row r="11" spans="2:35" ht="25.5" x14ac:dyDescent="0.2">
      <c r="B11" s="18" t="s">
        <v>33</v>
      </c>
      <c r="C11" s="18" t="s">
        <v>34</v>
      </c>
      <c r="D11" s="18" t="s">
        <v>35</v>
      </c>
      <c r="E11" s="18" t="s">
        <v>36</v>
      </c>
      <c r="F11" s="18" t="s">
        <v>37</v>
      </c>
      <c r="G11" s="18" t="s">
        <v>38</v>
      </c>
      <c r="H11" s="18" t="s">
        <v>39</v>
      </c>
      <c r="I11" s="18" t="s">
        <v>40</v>
      </c>
      <c r="J11" s="18" t="s">
        <v>41</v>
      </c>
      <c r="K11" s="18" t="s">
        <v>42</v>
      </c>
      <c r="L11" s="18" t="s">
        <v>43</v>
      </c>
      <c r="M11" s="18" t="s">
        <v>29</v>
      </c>
      <c r="N11" s="18" t="s">
        <v>44</v>
      </c>
      <c r="O11" s="18" t="s">
        <v>45</v>
      </c>
      <c r="P11" s="18" t="s">
        <v>46</v>
      </c>
      <c r="Q11" s="18" t="s">
        <v>47</v>
      </c>
      <c r="R11" s="18" t="s">
        <v>48</v>
      </c>
      <c r="S11" s="19" t="s">
        <v>49</v>
      </c>
      <c r="T11" s="19" t="s">
        <v>50</v>
      </c>
      <c r="U11" s="19" t="s">
        <v>51</v>
      </c>
      <c r="V11" s="19" t="s">
        <v>52</v>
      </c>
      <c r="W11" s="19" t="s">
        <v>49</v>
      </c>
      <c r="X11" s="19" t="s">
        <v>50</v>
      </c>
      <c r="Y11" s="19" t="s">
        <v>51</v>
      </c>
      <c r="Z11" s="19" t="s">
        <v>52</v>
      </c>
      <c r="AA11" s="19" t="s">
        <v>49</v>
      </c>
      <c r="AB11" s="19" t="s">
        <v>50</v>
      </c>
      <c r="AC11" s="19" t="s">
        <v>51</v>
      </c>
      <c r="AD11" s="19" t="s">
        <v>52</v>
      </c>
      <c r="AE11" s="20" t="s">
        <v>53</v>
      </c>
      <c r="AF11" s="20" t="s">
        <v>54</v>
      </c>
      <c r="AG11" s="20" t="s">
        <v>55</v>
      </c>
      <c r="AH11" s="20" t="s">
        <v>56</v>
      </c>
      <c r="AI11" s="20" t="s">
        <v>50</v>
      </c>
    </row>
    <row r="12" spans="2:35" x14ac:dyDescent="0.2">
      <c r="B12" s="5" t="s">
        <v>57</v>
      </c>
      <c r="C12" s="21">
        <v>46153</v>
      </c>
      <c r="D12" s="5">
        <v>20</v>
      </c>
      <c r="E12" s="5">
        <v>6</v>
      </c>
      <c r="F12" s="5">
        <v>5</v>
      </c>
      <c r="G12" s="7">
        <f>'B-JCI2 LH'!D260</f>
        <v>23160</v>
      </c>
      <c r="H12" s="5">
        <f>'B-JCI2 LH'!D261</f>
        <v>4541</v>
      </c>
      <c r="I12" s="5">
        <f>'B-JCI2 LH'!D263</f>
        <v>240</v>
      </c>
      <c r="J12" s="12">
        <f t="shared" ref="J12:J43" si="0">IF(I12=0,"N/S",ROUND( ( ((G12) * 1)/I12)*F12,1))</f>
        <v>482.5</v>
      </c>
      <c r="K12" s="5">
        <f t="shared" ref="K12:K43" ca="1" si="1">V12+Z12+AD12</f>
        <v>5800</v>
      </c>
      <c r="L12" s="5">
        <f t="array" ref="L12:L89">TRANSPOSE('B-JCI2 LH'!D262:CC262)</f>
        <v>5680</v>
      </c>
      <c r="M12" s="5">
        <f ca="1">'B-JCI2 LH'!$D$295</f>
        <v>0.29399999999999998</v>
      </c>
      <c r="N12" s="5">
        <v>0</v>
      </c>
      <c r="O12" s="5">
        <v>5</v>
      </c>
      <c r="P12" s="5"/>
      <c r="Q12" s="5">
        <v>0</v>
      </c>
      <c r="R12" s="5">
        <f t="shared" ref="R12:R43" si="2">IF(F12=0,0,ROUND(I12/F12,0))</f>
        <v>48</v>
      </c>
      <c r="S12" s="5">
        <v>29</v>
      </c>
      <c r="T12" s="6">
        <v>0.7</v>
      </c>
      <c r="U12" s="5">
        <f t="shared" ref="U12:U51" si="3">E12*7-N12</f>
        <v>42</v>
      </c>
      <c r="V12" s="5">
        <f t="shared" ref="V12:V43" ca="1" si="4">ROUND(((S12*T12*U12)/M12),0)</f>
        <v>2900</v>
      </c>
      <c r="W12" s="5">
        <f t="shared" ref="W12:W43" si="5">S12</f>
        <v>29</v>
      </c>
      <c r="X12" s="6">
        <v>0.7</v>
      </c>
      <c r="Y12" s="5">
        <f t="shared" ref="Y12:Y43" si="6">U12</f>
        <v>42</v>
      </c>
      <c r="Z12" s="5">
        <f t="shared" ref="Z12:Z43" ca="1" si="7">ROUND(((W12*X12*Y12)/M12),0)</f>
        <v>2900</v>
      </c>
      <c r="AA12" s="7">
        <v>0</v>
      </c>
      <c r="AB12" s="6">
        <v>0</v>
      </c>
      <c r="AC12" s="5">
        <f t="shared" ref="AC12:AC43" si="8">E12*7-N12</f>
        <v>42</v>
      </c>
      <c r="AD12" s="5">
        <f t="shared" ref="AD12:AD43" ca="1" si="9">ROUND(((AA12*AB12*AC12)/M12),0)</f>
        <v>0</v>
      </c>
      <c r="AE12" s="7">
        <f t="shared" ref="AE12:AE43" si="10">S12+W12+AA12</f>
        <v>58</v>
      </c>
      <c r="AF12" s="5"/>
      <c r="AG12" s="7">
        <f t="shared" ref="AG12:AG43" ca="1" si="11">K12*M12</f>
        <v>1705.1999999999998</v>
      </c>
      <c r="AH12" s="7">
        <f t="shared" ref="AH12:AH43" si="12">S12*U12+W12*Y12+AA12*AC12</f>
        <v>2436</v>
      </c>
      <c r="AI12" s="6">
        <f t="shared" ref="AI12:AI43" ca="1" si="13">IF(AH12=0,0,AG12/AH12)</f>
        <v>0.7</v>
      </c>
    </row>
    <row r="13" spans="2:35" x14ac:dyDescent="0.2">
      <c r="B13" s="5" t="s">
        <v>57</v>
      </c>
      <c r="C13" s="21">
        <v>46160</v>
      </c>
      <c r="D13" s="5">
        <v>21</v>
      </c>
      <c r="E13" s="5">
        <v>6</v>
      </c>
      <c r="F13" s="24">
        <v>10</v>
      </c>
      <c r="G13" s="7">
        <f>(G12+H12-I12)</f>
        <v>27461</v>
      </c>
      <c r="H13" s="5">
        <v>0</v>
      </c>
      <c r="I13" s="5">
        <f>'B-JCI2 LH'!E263</f>
        <v>5960</v>
      </c>
      <c r="J13" s="12">
        <f t="shared" si="0"/>
        <v>46.1</v>
      </c>
      <c r="K13" s="5">
        <f t="shared" ca="1" si="1"/>
        <v>3300</v>
      </c>
      <c r="L13" s="5">
        <v>3476</v>
      </c>
      <c r="M13" s="5">
        <f ca="1">'B-JCI2 LH'!$D$295</f>
        <v>0.29399999999999998</v>
      </c>
      <c r="N13" s="5">
        <v>0</v>
      </c>
      <c r="O13" s="5">
        <v>5</v>
      </c>
      <c r="P13" s="5"/>
      <c r="Q13" s="5">
        <v>0</v>
      </c>
      <c r="R13" s="5">
        <f t="shared" si="2"/>
        <v>596</v>
      </c>
      <c r="S13" s="22">
        <v>15</v>
      </c>
      <c r="T13" s="23">
        <v>0.77</v>
      </c>
      <c r="U13" s="22">
        <f t="shared" si="3"/>
        <v>42</v>
      </c>
      <c r="V13" s="22">
        <f t="shared" ca="1" si="4"/>
        <v>1650</v>
      </c>
      <c r="W13" s="22">
        <f t="shared" si="5"/>
        <v>15</v>
      </c>
      <c r="X13" s="23">
        <v>0.77</v>
      </c>
      <c r="Y13" s="22">
        <f t="shared" si="6"/>
        <v>42</v>
      </c>
      <c r="Z13" s="22">
        <f t="shared" ca="1" si="7"/>
        <v>1650</v>
      </c>
      <c r="AA13" s="7">
        <v>0</v>
      </c>
      <c r="AB13" s="6">
        <v>0</v>
      </c>
      <c r="AC13" s="5">
        <f t="shared" si="8"/>
        <v>42</v>
      </c>
      <c r="AD13" s="5">
        <f t="shared" ca="1" si="9"/>
        <v>0</v>
      </c>
      <c r="AE13" s="7">
        <f t="shared" si="10"/>
        <v>30</v>
      </c>
      <c r="AF13" s="5"/>
      <c r="AG13" s="5">
        <f t="shared" ca="1" si="11"/>
        <v>970.19999999999993</v>
      </c>
      <c r="AH13" s="5">
        <f t="shared" si="12"/>
        <v>1260</v>
      </c>
      <c r="AI13" s="6">
        <f t="shared" ca="1" si="13"/>
        <v>0.76999999999999991</v>
      </c>
    </row>
    <row r="14" spans="2:35" x14ac:dyDescent="0.2">
      <c r="B14" s="5" t="s">
        <v>57</v>
      </c>
      <c r="C14" s="21">
        <v>46167</v>
      </c>
      <c r="D14" s="5">
        <v>22</v>
      </c>
      <c r="E14" s="24">
        <v>3</v>
      </c>
      <c r="F14" s="5">
        <v>5</v>
      </c>
      <c r="G14" s="7">
        <f>(G13+H13-I13)</f>
        <v>21501</v>
      </c>
      <c r="H14" s="5">
        <v>0</v>
      </c>
      <c r="I14" s="5">
        <f>'B-JCI2 LH'!F263</f>
        <v>3400</v>
      </c>
      <c r="J14" s="12">
        <f t="shared" si="0"/>
        <v>31.6</v>
      </c>
      <c r="K14" s="5">
        <f t="shared" ca="1" si="1"/>
        <v>1650</v>
      </c>
      <c r="L14" s="5">
        <v>1720</v>
      </c>
      <c r="M14" s="5">
        <f ca="1">'B-JCI2 LH'!$D$295</f>
        <v>0.29399999999999998</v>
      </c>
      <c r="N14" s="5">
        <v>0</v>
      </c>
      <c r="O14" s="5">
        <v>5</v>
      </c>
      <c r="P14" s="5"/>
      <c r="Q14" s="5">
        <v>0</v>
      </c>
      <c r="R14" s="5">
        <f t="shared" si="2"/>
        <v>680</v>
      </c>
      <c r="S14" s="5">
        <v>15</v>
      </c>
      <c r="T14" s="6">
        <v>0.77</v>
      </c>
      <c r="U14" s="5">
        <f t="shared" si="3"/>
        <v>21</v>
      </c>
      <c r="V14" s="5">
        <f t="shared" ca="1" si="4"/>
        <v>825</v>
      </c>
      <c r="W14" s="5">
        <f t="shared" si="5"/>
        <v>15</v>
      </c>
      <c r="X14" s="6">
        <v>0.77</v>
      </c>
      <c r="Y14" s="5">
        <f t="shared" si="6"/>
        <v>21</v>
      </c>
      <c r="Z14" s="5">
        <f t="shared" ca="1" si="7"/>
        <v>825</v>
      </c>
      <c r="AA14" s="5">
        <v>0</v>
      </c>
      <c r="AB14" s="6">
        <v>0</v>
      </c>
      <c r="AC14" s="5">
        <f t="shared" si="8"/>
        <v>21</v>
      </c>
      <c r="AD14" s="5">
        <f t="shared" ca="1" si="9"/>
        <v>0</v>
      </c>
      <c r="AE14" s="7">
        <f t="shared" si="10"/>
        <v>30</v>
      </c>
      <c r="AF14" s="5"/>
      <c r="AG14" s="5">
        <f t="shared" ca="1" si="11"/>
        <v>485.09999999999997</v>
      </c>
      <c r="AH14" s="5">
        <f t="shared" si="12"/>
        <v>630</v>
      </c>
      <c r="AI14" s="6">
        <f t="shared" ca="1" si="13"/>
        <v>0.76999999999999991</v>
      </c>
    </row>
    <row r="15" spans="2:35" x14ac:dyDescent="0.2">
      <c r="B15" s="5" t="s">
        <v>58</v>
      </c>
      <c r="C15" s="21">
        <v>46174</v>
      </c>
      <c r="D15" s="5">
        <v>23</v>
      </c>
      <c r="E15" s="24">
        <v>5</v>
      </c>
      <c r="F15" s="5">
        <v>5</v>
      </c>
      <c r="G15" s="7">
        <f>(G14+H14-I14)</f>
        <v>18101</v>
      </c>
      <c r="H15" s="5">
        <v>0</v>
      </c>
      <c r="I15" s="5">
        <f>'B-JCI2 LH'!G263</f>
        <v>3900</v>
      </c>
      <c r="J15" s="12">
        <f t="shared" si="0"/>
        <v>23.2</v>
      </c>
      <c r="K15" s="5">
        <f t="shared" ca="1" si="1"/>
        <v>2750</v>
      </c>
      <c r="L15" s="5">
        <v>0</v>
      </c>
      <c r="M15" s="5">
        <f ca="1">'B-JCI2 LH'!$D$295</f>
        <v>0.29399999999999998</v>
      </c>
      <c r="N15" s="5">
        <v>0</v>
      </c>
      <c r="O15" s="5">
        <v>6</v>
      </c>
      <c r="P15" s="5"/>
      <c r="Q15" s="5">
        <v>0</v>
      </c>
      <c r="R15" s="5">
        <f t="shared" si="2"/>
        <v>780</v>
      </c>
      <c r="S15" s="5">
        <v>15</v>
      </c>
      <c r="T15" s="6">
        <v>0.77</v>
      </c>
      <c r="U15" s="5">
        <f t="shared" si="3"/>
        <v>35</v>
      </c>
      <c r="V15" s="5">
        <f t="shared" ca="1" si="4"/>
        <v>1375</v>
      </c>
      <c r="W15" s="5">
        <f t="shared" si="5"/>
        <v>15</v>
      </c>
      <c r="X15" s="6">
        <v>0.77</v>
      </c>
      <c r="Y15" s="5">
        <f t="shared" si="6"/>
        <v>35</v>
      </c>
      <c r="Z15" s="5">
        <f t="shared" ca="1" si="7"/>
        <v>1375</v>
      </c>
      <c r="AA15" s="5">
        <v>0</v>
      </c>
      <c r="AB15" s="6">
        <v>0</v>
      </c>
      <c r="AC15" s="5">
        <f t="shared" si="8"/>
        <v>35</v>
      </c>
      <c r="AD15" s="5">
        <f t="shared" ca="1" si="9"/>
        <v>0</v>
      </c>
      <c r="AE15" s="7">
        <f t="shared" si="10"/>
        <v>30</v>
      </c>
      <c r="AF15" s="5"/>
      <c r="AG15" s="5">
        <f t="shared" ca="1" si="11"/>
        <v>808.5</v>
      </c>
      <c r="AH15" s="5">
        <f t="shared" si="12"/>
        <v>1050</v>
      </c>
      <c r="AI15" s="6">
        <f t="shared" ca="1" si="13"/>
        <v>0.77</v>
      </c>
    </row>
    <row r="16" spans="2:35" x14ac:dyDescent="0.2">
      <c r="B16" s="5" t="s">
        <v>58</v>
      </c>
      <c r="C16" s="21">
        <v>46181</v>
      </c>
      <c r="D16" s="5">
        <v>24</v>
      </c>
      <c r="E16" s="5">
        <v>6</v>
      </c>
      <c r="F16" s="5">
        <v>5</v>
      </c>
      <c r="G16" s="7">
        <f>(G15+H15-I15)</f>
        <v>14201</v>
      </c>
      <c r="H16" s="5">
        <v>0</v>
      </c>
      <c r="I16" s="5">
        <f>'B-JCI2 LH'!H263</f>
        <v>4116</v>
      </c>
      <c r="J16" s="12">
        <f t="shared" si="0"/>
        <v>17.3</v>
      </c>
      <c r="K16" s="5">
        <f t="shared" ca="1" si="1"/>
        <v>3300</v>
      </c>
      <c r="L16" s="5">
        <v>0</v>
      </c>
      <c r="M16" s="5">
        <f ca="1">'B-JCI2 LH'!$D$295</f>
        <v>0.29399999999999998</v>
      </c>
      <c r="N16" s="5">
        <v>0</v>
      </c>
      <c r="O16" s="5">
        <v>6</v>
      </c>
      <c r="P16" s="5"/>
      <c r="Q16" s="5">
        <v>0</v>
      </c>
      <c r="R16" s="5">
        <f t="shared" si="2"/>
        <v>823</v>
      </c>
      <c r="S16" s="5">
        <v>15</v>
      </c>
      <c r="T16" s="6">
        <v>0.77</v>
      </c>
      <c r="U16" s="5">
        <f t="shared" si="3"/>
        <v>42</v>
      </c>
      <c r="V16" s="5">
        <f t="shared" ca="1" si="4"/>
        <v>1650</v>
      </c>
      <c r="W16" s="5">
        <f t="shared" si="5"/>
        <v>15</v>
      </c>
      <c r="X16" s="6">
        <v>0.77</v>
      </c>
      <c r="Y16" s="5">
        <f t="shared" si="6"/>
        <v>42</v>
      </c>
      <c r="Z16" s="5">
        <f t="shared" ca="1" si="7"/>
        <v>1650</v>
      </c>
      <c r="AA16" s="5">
        <v>0</v>
      </c>
      <c r="AB16" s="6">
        <v>0</v>
      </c>
      <c r="AC16" s="5">
        <f t="shared" si="8"/>
        <v>42</v>
      </c>
      <c r="AD16" s="5">
        <f t="shared" ca="1" si="9"/>
        <v>0</v>
      </c>
      <c r="AE16" s="7">
        <f t="shared" si="10"/>
        <v>30</v>
      </c>
      <c r="AF16" s="5"/>
      <c r="AG16" s="5">
        <f t="shared" ca="1" si="11"/>
        <v>970.19999999999993</v>
      </c>
      <c r="AH16" s="5">
        <f t="shared" si="12"/>
        <v>1260</v>
      </c>
      <c r="AI16" s="6">
        <f t="shared" ca="1" si="13"/>
        <v>0.76999999999999991</v>
      </c>
    </row>
    <row r="17" spans="2:35" x14ac:dyDescent="0.2">
      <c r="B17" s="5" t="s">
        <v>58</v>
      </c>
      <c r="C17" s="3">
        <v>46188</v>
      </c>
      <c r="D17" s="2">
        <v>25</v>
      </c>
      <c r="E17" s="24">
        <v>3</v>
      </c>
      <c r="F17" s="5">
        <v>5</v>
      </c>
      <c r="G17" s="7">
        <f t="shared" ref="G17:G48" ca="1" si="14">(G16+H16-I16+K12)</f>
        <v>15885</v>
      </c>
      <c r="H17" s="5">
        <v>0</v>
      </c>
      <c r="I17" s="5">
        <f>'B-JCI2 LH'!I263</f>
        <v>4260</v>
      </c>
      <c r="J17" s="12">
        <f t="shared" ca="1" si="0"/>
        <v>18.600000000000001</v>
      </c>
      <c r="K17" s="5">
        <f t="shared" ca="1" si="1"/>
        <v>1650</v>
      </c>
      <c r="L17" s="5">
        <v>0</v>
      </c>
      <c r="M17" s="5">
        <f ca="1">'B-JCI2 LH'!$D$295</f>
        <v>0.29399999999999998</v>
      </c>
      <c r="N17" s="5">
        <v>0</v>
      </c>
      <c r="O17" s="5">
        <v>6</v>
      </c>
      <c r="P17" s="4" t="s">
        <v>756</v>
      </c>
      <c r="Q17" s="5">
        <v>0</v>
      </c>
      <c r="R17" s="5">
        <f t="shared" si="2"/>
        <v>852</v>
      </c>
      <c r="S17" s="24">
        <v>15</v>
      </c>
      <c r="T17" s="25">
        <v>0.77</v>
      </c>
      <c r="U17" s="24">
        <f t="shared" si="3"/>
        <v>21</v>
      </c>
      <c r="V17" s="24">
        <f t="shared" ca="1" si="4"/>
        <v>825</v>
      </c>
      <c r="W17" s="24">
        <f t="shared" si="5"/>
        <v>15</v>
      </c>
      <c r="X17" s="25">
        <v>0.77</v>
      </c>
      <c r="Y17" s="24">
        <f t="shared" si="6"/>
        <v>21</v>
      </c>
      <c r="Z17" s="24">
        <f t="shared" ca="1" si="7"/>
        <v>825</v>
      </c>
      <c r="AA17" s="5">
        <v>0</v>
      </c>
      <c r="AB17" s="6">
        <v>0</v>
      </c>
      <c r="AC17" s="5">
        <f t="shared" si="8"/>
        <v>21</v>
      </c>
      <c r="AD17" s="5">
        <f t="shared" ca="1" si="9"/>
        <v>0</v>
      </c>
      <c r="AE17" s="7">
        <f t="shared" si="10"/>
        <v>30</v>
      </c>
      <c r="AF17" s="5"/>
      <c r="AG17" s="5">
        <f t="shared" ca="1" si="11"/>
        <v>485.09999999999997</v>
      </c>
      <c r="AH17" s="5">
        <f t="shared" si="12"/>
        <v>630</v>
      </c>
      <c r="AI17" s="6">
        <f t="shared" ca="1" si="13"/>
        <v>0.76999999999999991</v>
      </c>
    </row>
    <row r="18" spans="2:35" x14ac:dyDescent="0.2">
      <c r="B18" s="5" t="s">
        <v>58</v>
      </c>
      <c r="C18" s="21">
        <v>46195</v>
      </c>
      <c r="D18" s="5">
        <v>26</v>
      </c>
      <c r="E18" s="28">
        <v>6</v>
      </c>
      <c r="F18" s="5">
        <v>5</v>
      </c>
      <c r="G18" s="7">
        <f t="shared" ca="1" si="14"/>
        <v>14925</v>
      </c>
      <c r="H18" s="5">
        <v>0</v>
      </c>
      <c r="I18" s="5">
        <f>'B-JCI2 LH'!J263</f>
        <v>3560</v>
      </c>
      <c r="J18" s="12">
        <f t="shared" ca="1" si="0"/>
        <v>21</v>
      </c>
      <c r="K18" s="5">
        <f t="shared" ca="1" si="1"/>
        <v>3300</v>
      </c>
      <c r="L18" s="5">
        <v>0</v>
      </c>
      <c r="M18" s="5">
        <f ca="1">'B-JCI2 LH'!$D$295</f>
        <v>0.29399999999999998</v>
      </c>
      <c r="N18" s="5">
        <v>0</v>
      </c>
      <c r="O18" s="5">
        <v>6</v>
      </c>
      <c r="P18" s="5"/>
      <c r="Q18" s="5">
        <v>0</v>
      </c>
      <c r="R18" s="5">
        <f t="shared" si="2"/>
        <v>712</v>
      </c>
      <c r="S18" s="5">
        <v>15</v>
      </c>
      <c r="T18" s="6">
        <v>0.77</v>
      </c>
      <c r="U18" s="5">
        <f t="shared" si="3"/>
        <v>42</v>
      </c>
      <c r="V18" s="5">
        <f t="shared" ca="1" si="4"/>
        <v>1650</v>
      </c>
      <c r="W18" s="5">
        <f t="shared" si="5"/>
        <v>15</v>
      </c>
      <c r="X18" s="6">
        <v>0.77</v>
      </c>
      <c r="Y18" s="5">
        <f t="shared" si="6"/>
        <v>42</v>
      </c>
      <c r="Z18" s="5">
        <f t="shared" ca="1" si="7"/>
        <v>1650</v>
      </c>
      <c r="AA18" s="5">
        <v>0</v>
      </c>
      <c r="AB18" s="6">
        <v>0</v>
      </c>
      <c r="AC18" s="5">
        <f t="shared" si="8"/>
        <v>42</v>
      </c>
      <c r="AD18" s="5">
        <f t="shared" ca="1" si="9"/>
        <v>0</v>
      </c>
      <c r="AE18" s="7">
        <f t="shared" si="10"/>
        <v>30</v>
      </c>
      <c r="AF18" s="5"/>
      <c r="AG18" s="5">
        <f t="shared" ca="1" si="11"/>
        <v>970.19999999999993</v>
      </c>
      <c r="AH18" s="5">
        <f t="shared" si="12"/>
        <v>1260</v>
      </c>
      <c r="AI18" s="6">
        <f t="shared" ca="1" si="13"/>
        <v>0.76999999999999991</v>
      </c>
    </row>
    <row r="19" spans="2:35" x14ac:dyDescent="0.2">
      <c r="B19" s="5" t="s">
        <v>58</v>
      </c>
      <c r="C19" s="21">
        <v>46202</v>
      </c>
      <c r="D19" s="5">
        <v>27</v>
      </c>
      <c r="E19" s="5">
        <v>5</v>
      </c>
      <c r="F19" s="5">
        <v>5</v>
      </c>
      <c r="G19" s="7">
        <f t="shared" ca="1" si="14"/>
        <v>13015</v>
      </c>
      <c r="H19" s="5">
        <v>0</v>
      </c>
      <c r="I19" s="5">
        <f>'B-JCI2 LH'!K263</f>
        <v>3720</v>
      </c>
      <c r="J19" s="12">
        <f t="shared" ca="1" si="0"/>
        <v>17.5</v>
      </c>
      <c r="K19" s="5">
        <f t="shared" ca="1" si="1"/>
        <v>2750</v>
      </c>
      <c r="L19" s="5">
        <v>0</v>
      </c>
      <c r="M19" s="5">
        <f ca="1">'B-JCI2 LH'!$D$295</f>
        <v>0.29399999999999998</v>
      </c>
      <c r="N19" s="5">
        <v>0</v>
      </c>
      <c r="O19" s="5">
        <v>6</v>
      </c>
      <c r="P19" s="5"/>
      <c r="Q19" s="5">
        <v>0</v>
      </c>
      <c r="R19" s="5">
        <f t="shared" si="2"/>
        <v>744</v>
      </c>
      <c r="S19" s="5">
        <v>15</v>
      </c>
      <c r="T19" s="6">
        <v>0.77</v>
      </c>
      <c r="U19" s="5">
        <f t="shared" si="3"/>
        <v>35</v>
      </c>
      <c r="V19" s="5">
        <f t="shared" ca="1" si="4"/>
        <v>1375</v>
      </c>
      <c r="W19" s="5">
        <f t="shared" si="5"/>
        <v>15</v>
      </c>
      <c r="X19" s="6">
        <v>0.77</v>
      </c>
      <c r="Y19" s="5">
        <f t="shared" si="6"/>
        <v>35</v>
      </c>
      <c r="Z19" s="5">
        <f t="shared" ca="1" si="7"/>
        <v>1375</v>
      </c>
      <c r="AA19" s="5">
        <v>0</v>
      </c>
      <c r="AB19" s="6">
        <v>0</v>
      </c>
      <c r="AC19" s="5">
        <f t="shared" si="8"/>
        <v>35</v>
      </c>
      <c r="AD19" s="5">
        <f t="shared" ca="1" si="9"/>
        <v>0</v>
      </c>
      <c r="AE19" s="7">
        <f t="shared" si="10"/>
        <v>30</v>
      </c>
      <c r="AF19" s="5"/>
      <c r="AG19" s="5">
        <f t="shared" ca="1" si="11"/>
        <v>808.5</v>
      </c>
      <c r="AH19" s="5">
        <f t="shared" si="12"/>
        <v>1050</v>
      </c>
      <c r="AI19" s="6">
        <f t="shared" ca="1" si="13"/>
        <v>0.77</v>
      </c>
    </row>
    <row r="20" spans="2:35" x14ac:dyDescent="0.2">
      <c r="B20" s="5" t="s">
        <v>59</v>
      </c>
      <c r="C20" s="21">
        <v>46209</v>
      </c>
      <c r="D20" s="5">
        <v>28</v>
      </c>
      <c r="E20" s="5">
        <v>6</v>
      </c>
      <c r="F20" s="5">
        <v>5</v>
      </c>
      <c r="G20" s="7">
        <f t="shared" ca="1" si="14"/>
        <v>12045</v>
      </c>
      <c r="H20" s="5">
        <v>0</v>
      </c>
      <c r="I20" s="5">
        <f>'B-JCI2 LH'!L263</f>
        <v>5120</v>
      </c>
      <c r="J20" s="12">
        <f t="shared" ca="1" si="0"/>
        <v>11.8</v>
      </c>
      <c r="K20" s="5">
        <f t="shared" ca="1" si="1"/>
        <v>3300</v>
      </c>
      <c r="L20" s="5">
        <v>0</v>
      </c>
      <c r="M20" s="5">
        <f ca="1">'B-JCI2 LH'!$D$295</f>
        <v>0.29399999999999998</v>
      </c>
      <c r="N20" s="5">
        <v>0</v>
      </c>
      <c r="O20" s="5">
        <v>7</v>
      </c>
      <c r="P20" s="5"/>
      <c r="Q20" s="5">
        <v>0</v>
      </c>
      <c r="R20" s="5">
        <f t="shared" si="2"/>
        <v>1024</v>
      </c>
      <c r="S20" s="5">
        <v>15</v>
      </c>
      <c r="T20" s="6">
        <v>0.77</v>
      </c>
      <c r="U20" s="5">
        <f t="shared" si="3"/>
        <v>42</v>
      </c>
      <c r="V20" s="5">
        <f t="shared" ca="1" si="4"/>
        <v>1650</v>
      </c>
      <c r="W20" s="5">
        <f t="shared" si="5"/>
        <v>15</v>
      </c>
      <c r="X20" s="6">
        <v>0.77</v>
      </c>
      <c r="Y20" s="5">
        <f t="shared" si="6"/>
        <v>42</v>
      </c>
      <c r="Z20" s="5">
        <f t="shared" ca="1" si="7"/>
        <v>1650</v>
      </c>
      <c r="AA20" s="5">
        <v>0</v>
      </c>
      <c r="AB20" s="6">
        <v>0</v>
      </c>
      <c r="AC20" s="5">
        <f t="shared" si="8"/>
        <v>42</v>
      </c>
      <c r="AD20" s="5">
        <f t="shared" ca="1" si="9"/>
        <v>0</v>
      </c>
      <c r="AE20" s="7">
        <f t="shared" si="10"/>
        <v>30</v>
      </c>
      <c r="AF20" s="5"/>
      <c r="AG20" s="5">
        <f t="shared" ca="1" si="11"/>
        <v>970.19999999999993</v>
      </c>
      <c r="AH20" s="5">
        <f t="shared" si="12"/>
        <v>1260</v>
      </c>
      <c r="AI20" s="6">
        <f t="shared" ca="1" si="13"/>
        <v>0.76999999999999991</v>
      </c>
    </row>
    <row r="21" spans="2:35" x14ac:dyDescent="0.2">
      <c r="B21" s="5" t="s">
        <v>59</v>
      </c>
      <c r="C21" s="21">
        <v>46216</v>
      </c>
      <c r="D21" s="5">
        <v>29</v>
      </c>
      <c r="E21" s="22">
        <v>0</v>
      </c>
      <c r="F21" s="24">
        <v>10</v>
      </c>
      <c r="G21" s="7">
        <f t="shared" ca="1" si="14"/>
        <v>10225</v>
      </c>
      <c r="H21" s="5">
        <v>0</v>
      </c>
      <c r="I21" s="5">
        <f>'B-JCI2 LH'!M263</f>
        <v>6500</v>
      </c>
      <c r="J21" s="12">
        <f t="shared" ca="1" si="0"/>
        <v>15.7</v>
      </c>
      <c r="K21" s="5">
        <f t="shared" ca="1" si="1"/>
        <v>0</v>
      </c>
      <c r="L21" s="5">
        <v>0</v>
      </c>
      <c r="M21" s="5">
        <f ca="1">'B-JCI2 LH'!$D$295</f>
        <v>0.29399999999999998</v>
      </c>
      <c r="N21" s="5">
        <v>0</v>
      </c>
      <c r="O21" s="5">
        <v>7</v>
      </c>
      <c r="P21" s="5"/>
      <c r="Q21" s="5">
        <v>0</v>
      </c>
      <c r="R21" s="5">
        <f t="shared" si="2"/>
        <v>650</v>
      </c>
      <c r="S21" s="5">
        <v>15</v>
      </c>
      <c r="T21" s="6">
        <v>0.77</v>
      </c>
      <c r="U21" s="5">
        <f t="shared" si="3"/>
        <v>0</v>
      </c>
      <c r="V21" s="5">
        <f t="shared" ca="1" si="4"/>
        <v>0</v>
      </c>
      <c r="W21" s="5">
        <f t="shared" si="5"/>
        <v>15</v>
      </c>
      <c r="X21" s="6">
        <v>0.77</v>
      </c>
      <c r="Y21" s="5">
        <f t="shared" si="6"/>
        <v>0</v>
      </c>
      <c r="Z21" s="5">
        <f t="shared" ca="1" si="7"/>
        <v>0</v>
      </c>
      <c r="AA21" s="5">
        <v>0</v>
      </c>
      <c r="AB21" s="6">
        <v>0</v>
      </c>
      <c r="AC21" s="5">
        <f t="shared" si="8"/>
        <v>0</v>
      </c>
      <c r="AD21" s="5">
        <f t="shared" ca="1" si="9"/>
        <v>0</v>
      </c>
      <c r="AE21" s="7">
        <f t="shared" si="10"/>
        <v>30</v>
      </c>
      <c r="AF21" s="5"/>
      <c r="AG21" s="5">
        <f t="shared" ca="1" si="11"/>
        <v>0</v>
      </c>
      <c r="AH21" s="5">
        <f t="shared" si="12"/>
        <v>0</v>
      </c>
      <c r="AI21" s="6">
        <f t="shared" si="13"/>
        <v>0</v>
      </c>
    </row>
    <row r="22" spans="2:35" x14ac:dyDescent="0.2">
      <c r="B22" s="5" t="s">
        <v>59</v>
      </c>
      <c r="C22" s="21">
        <v>46223</v>
      </c>
      <c r="D22" s="5">
        <v>30</v>
      </c>
      <c r="E22" s="22">
        <v>0</v>
      </c>
      <c r="F22" s="29">
        <v>5</v>
      </c>
      <c r="G22" s="7">
        <f t="shared" ca="1" si="14"/>
        <v>5375</v>
      </c>
      <c r="H22" s="5">
        <v>0</v>
      </c>
      <c r="I22" s="5">
        <f>'B-JCI2 LH'!N263</f>
        <v>0</v>
      </c>
      <c r="J22" s="12" t="str">
        <f t="shared" si="0"/>
        <v>N/S</v>
      </c>
      <c r="K22" s="5">
        <f t="shared" ca="1" si="1"/>
        <v>0</v>
      </c>
      <c r="L22" s="5">
        <v>0</v>
      </c>
      <c r="M22" s="5">
        <f ca="1">'B-JCI2 LH'!$D$295</f>
        <v>0.29399999999999998</v>
      </c>
      <c r="N22" s="5">
        <v>0</v>
      </c>
      <c r="O22" s="5">
        <v>7</v>
      </c>
      <c r="P22" s="5"/>
      <c r="Q22" s="5">
        <v>0</v>
      </c>
      <c r="R22" s="5">
        <f t="shared" si="2"/>
        <v>0</v>
      </c>
      <c r="S22" s="5">
        <v>15</v>
      </c>
      <c r="T22" s="6">
        <v>0.77</v>
      </c>
      <c r="U22" s="5">
        <f t="shared" si="3"/>
        <v>0</v>
      </c>
      <c r="V22" s="5">
        <f t="shared" ca="1" si="4"/>
        <v>0</v>
      </c>
      <c r="W22" s="5">
        <f t="shared" si="5"/>
        <v>15</v>
      </c>
      <c r="X22" s="6">
        <v>0.77</v>
      </c>
      <c r="Y22" s="5">
        <f t="shared" si="6"/>
        <v>0</v>
      </c>
      <c r="Z22" s="5">
        <f t="shared" ca="1" si="7"/>
        <v>0</v>
      </c>
      <c r="AA22" s="5">
        <v>0</v>
      </c>
      <c r="AB22" s="6">
        <v>0</v>
      </c>
      <c r="AC22" s="5">
        <f t="shared" si="8"/>
        <v>0</v>
      </c>
      <c r="AD22" s="5">
        <f t="shared" ca="1" si="9"/>
        <v>0</v>
      </c>
      <c r="AE22" s="7">
        <f t="shared" si="10"/>
        <v>30</v>
      </c>
      <c r="AF22" s="5"/>
      <c r="AG22" s="5">
        <f t="shared" ca="1" si="11"/>
        <v>0</v>
      </c>
      <c r="AH22" s="5">
        <f t="shared" si="12"/>
        <v>0</v>
      </c>
      <c r="AI22" s="6">
        <f t="shared" si="13"/>
        <v>0</v>
      </c>
    </row>
    <row r="23" spans="2:35" x14ac:dyDescent="0.2">
      <c r="B23" s="5" t="s">
        <v>59</v>
      </c>
      <c r="C23" s="21">
        <v>46230</v>
      </c>
      <c r="D23" s="5">
        <v>31</v>
      </c>
      <c r="E23" s="5">
        <v>6</v>
      </c>
      <c r="F23" s="29">
        <v>5</v>
      </c>
      <c r="G23" s="7">
        <f t="shared" ca="1" si="14"/>
        <v>8675</v>
      </c>
      <c r="H23" s="5">
        <v>0</v>
      </c>
      <c r="I23" s="5">
        <f>'B-JCI2 LH'!O263</f>
        <v>0</v>
      </c>
      <c r="J23" s="12" t="str">
        <f t="shared" si="0"/>
        <v>N/S</v>
      </c>
      <c r="K23" s="5">
        <f t="shared" ca="1" si="1"/>
        <v>3300</v>
      </c>
      <c r="L23" s="5">
        <v>0</v>
      </c>
      <c r="M23" s="5">
        <f ca="1">'B-JCI2 LH'!$D$295</f>
        <v>0.29399999999999998</v>
      </c>
      <c r="N23" s="5">
        <v>0</v>
      </c>
      <c r="O23" s="5">
        <v>7</v>
      </c>
      <c r="P23" s="5"/>
      <c r="Q23" s="5">
        <v>0</v>
      </c>
      <c r="R23" s="5">
        <f t="shared" si="2"/>
        <v>0</v>
      </c>
      <c r="S23" s="5">
        <v>15</v>
      </c>
      <c r="T23" s="6">
        <v>0.77</v>
      </c>
      <c r="U23" s="5">
        <f t="shared" si="3"/>
        <v>42</v>
      </c>
      <c r="V23" s="5">
        <f t="shared" ca="1" si="4"/>
        <v>1650</v>
      </c>
      <c r="W23" s="5">
        <f t="shared" si="5"/>
        <v>15</v>
      </c>
      <c r="X23" s="6">
        <v>0.77</v>
      </c>
      <c r="Y23" s="5">
        <f t="shared" si="6"/>
        <v>42</v>
      </c>
      <c r="Z23" s="5">
        <f t="shared" ca="1" si="7"/>
        <v>1650</v>
      </c>
      <c r="AA23" s="5">
        <v>0</v>
      </c>
      <c r="AB23" s="6">
        <v>0</v>
      </c>
      <c r="AC23" s="5">
        <f t="shared" si="8"/>
        <v>42</v>
      </c>
      <c r="AD23" s="5">
        <f t="shared" ca="1" si="9"/>
        <v>0</v>
      </c>
      <c r="AE23" s="7">
        <f t="shared" si="10"/>
        <v>30</v>
      </c>
      <c r="AF23" s="5" t="e">
        <f t="shared" ref="AF23:AF54" si="15">ROUND( ((SUM(I22:I23)*1)/SUM(Q22:Q23)*100),1)</f>
        <v>#DIV/0!</v>
      </c>
      <c r="AG23" s="5">
        <f t="shared" ca="1" si="11"/>
        <v>970.19999999999993</v>
      </c>
      <c r="AH23" s="5">
        <f t="shared" si="12"/>
        <v>1260</v>
      </c>
      <c r="AI23" s="6">
        <f t="shared" ca="1" si="13"/>
        <v>0.76999999999999991</v>
      </c>
    </row>
    <row r="24" spans="2:35" x14ac:dyDescent="0.2">
      <c r="B24" s="5" t="s">
        <v>60</v>
      </c>
      <c r="C24" s="21">
        <v>46237</v>
      </c>
      <c r="D24" s="5">
        <v>32</v>
      </c>
      <c r="E24" s="30">
        <v>6</v>
      </c>
      <c r="F24" s="29">
        <v>5</v>
      </c>
      <c r="G24" s="7">
        <f t="shared" ca="1" si="14"/>
        <v>11425</v>
      </c>
      <c r="H24" s="5">
        <v>0</v>
      </c>
      <c r="I24" s="5">
        <f>'B-JCI2 LH'!P263</f>
        <v>0</v>
      </c>
      <c r="J24" s="12" t="str">
        <f t="shared" si="0"/>
        <v>N/S</v>
      </c>
      <c r="K24" s="5">
        <f t="shared" ca="1" si="1"/>
        <v>3300</v>
      </c>
      <c r="L24" s="5">
        <v>0</v>
      </c>
      <c r="M24" s="5">
        <f ca="1">'B-JCI2 LH'!$D$295</f>
        <v>0.29399999999999998</v>
      </c>
      <c r="N24" s="5">
        <v>0</v>
      </c>
      <c r="O24" s="5">
        <v>8</v>
      </c>
      <c r="P24" s="5"/>
      <c r="Q24" s="5">
        <v>0</v>
      </c>
      <c r="R24" s="5">
        <f t="shared" si="2"/>
        <v>0</v>
      </c>
      <c r="S24" s="5">
        <v>15</v>
      </c>
      <c r="T24" s="6">
        <v>0.77</v>
      </c>
      <c r="U24" s="5">
        <f t="shared" si="3"/>
        <v>42</v>
      </c>
      <c r="V24" s="5">
        <f t="shared" ca="1" si="4"/>
        <v>1650</v>
      </c>
      <c r="W24" s="5">
        <f t="shared" si="5"/>
        <v>15</v>
      </c>
      <c r="X24" s="6">
        <v>0.77</v>
      </c>
      <c r="Y24" s="5">
        <f t="shared" si="6"/>
        <v>42</v>
      </c>
      <c r="Z24" s="5">
        <f t="shared" ca="1" si="7"/>
        <v>1650</v>
      </c>
      <c r="AA24" s="5">
        <v>0</v>
      </c>
      <c r="AB24" s="6">
        <v>0</v>
      </c>
      <c r="AC24" s="5">
        <f t="shared" si="8"/>
        <v>42</v>
      </c>
      <c r="AD24" s="5">
        <f t="shared" ca="1" si="9"/>
        <v>0</v>
      </c>
      <c r="AE24" s="7">
        <f t="shared" si="10"/>
        <v>30</v>
      </c>
      <c r="AF24" s="5" t="e">
        <f t="shared" si="15"/>
        <v>#DIV/0!</v>
      </c>
      <c r="AG24" s="5">
        <f t="shared" ca="1" si="11"/>
        <v>970.19999999999993</v>
      </c>
      <c r="AH24" s="5">
        <f t="shared" si="12"/>
        <v>1260</v>
      </c>
      <c r="AI24" s="6">
        <f t="shared" ca="1" si="13"/>
        <v>0.76999999999999991</v>
      </c>
    </row>
    <row r="25" spans="2:35" x14ac:dyDescent="0.2">
      <c r="B25" s="5" t="s">
        <v>60</v>
      </c>
      <c r="C25" s="21">
        <v>46244</v>
      </c>
      <c r="D25" s="5">
        <v>33</v>
      </c>
      <c r="E25" s="30">
        <v>6</v>
      </c>
      <c r="F25" s="31">
        <v>4</v>
      </c>
      <c r="G25" s="7">
        <f t="shared" ca="1" si="14"/>
        <v>14725</v>
      </c>
      <c r="H25" s="5">
        <v>0</v>
      </c>
      <c r="I25" s="5">
        <f>'B-JCI2 LH'!Q263</f>
        <v>0</v>
      </c>
      <c r="J25" s="12" t="str">
        <f t="shared" si="0"/>
        <v>N/S</v>
      </c>
      <c r="K25" s="5">
        <f t="shared" ca="1" si="1"/>
        <v>3300</v>
      </c>
      <c r="L25" s="5">
        <v>0</v>
      </c>
      <c r="M25" s="5">
        <f ca="1">'B-JCI2 LH'!$D$295</f>
        <v>0.29399999999999998</v>
      </c>
      <c r="N25" s="5">
        <v>0</v>
      </c>
      <c r="O25" s="5">
        <v>8</v>
      </c>
      <c r="P25" s="5"/>
      <c r="Q25" s="5">
        <v>0</v>
      </c>
      <c r="R25" s="5">
        <f t="shared" si="2"/>
        <v>0</v>
      </c>
      <c r="S25" s="5">
        <v>15</v>
      </c>
      <c r="T25" s="6">
        <v>0.77</v>
      </c>
      <c r="U25" s="5">
        <f t="shared" si="3"/>
        <v>42</v>
      </c>
      <c r="V25" s="5">
        <f t="shared" ca="1" si="4"/>
        <v>1650</v>
      </c>
      <c r="W25" s="5">
        <f t="shared" si="5"/>
        <v>15</v>
      </c>
      <c r="X25" s="6">
        <v>0.77</v>
      </c>
      <c r="Y25" s="5">
        <f t="shared" si="6"/>
        <v>42</v>
      </c>
      <c r="Z25" s="5">
        <f t="shared" ca="1" si="7"/>
        <v>1650</v>
      </c>
      <c r="AA25" s="5">
        <v>0</v>
      </c>
      <c r="AB25" s="6">
        <v>0</v>
      </c>
      <c r="AC25" s="5">
        <f t="shared" si="8"/>
        <v>42</v>
      </c>
      <c r="AD25" s="5">
        <f t="shared" ca="1" si="9"/>
        <v>0</v>
      </c>
      <c r="AE25" s="7">
        <f t="shared" si="10"/>
        <v>30</v>
      </c>
      <c r="AF25" s="5" t="e">
        <f t="shared" si="15"/>
        <v>#DIV/0!</v>
      </c>
      <c r="AG25" s="5">
        <f t="shared" ca="1" si="11"/>
        <v>970.19999999999993</v>
      </c>
      <c r="AH25" s="5">
        <f t="shared" si="12"/>
        <v>1260</v>
      </c>
      <c r="AI25" s="6">
        <f t="shared" ca="1" si="13"/>
        <v>0.76999999999999991</v>
      </c>
    </row>
    <row r="26" spans="2:35" x14ac:dyDescent="0.2">
      <c r="B26" s="5" t="s">
        <v>60</v>
      </c>
      <c r="C26" s="21">
        <v>46251</v>
      </c>
      <c r="D26" s="5">
        <v>34</v>
      </c>
      <c r="E26" s="5">
        <v>6</v>
      </c>
      <c r="F26" s="5">
        <v>5</v>
      </c>
      <c r="G26" s="7">
        <f t="shared" ca="1" si="14"/>
        <v>14725</v>
      </c>
      <c r="H26" s="5">
        <v>0</v>
      </c>
      <c r="I26" s="5">
        <f>'B-JCI2 LH'!R263</f>
        <v>3840</v>
      </c>
      <c r="J26" s="12">
        <f t="shared" ca="1" si="0"/>
        <v>19.2</v>
      </c>
      <c r="K26" s="5">
        <f t="shared" ca="1" si="1"/>
        <v>3300</v>
      </c>
      <c r="L26" s="5">
        <v>0</v>
      </c>
      <c r="M26" s="5">
        <f ca="1">'B-JCI2 LH'!$D$295</f>
        <v>0.29399999999999998</v>
      </c>
      <c r="N26" s="5">
        <v>0</v>
      </c>
      <c r="O26" s="5">
        <v>8</v>
      </c>
      <c r="P26" s="5"/>
      <c r="Q26" s="5">
        <v>0</v>
      </c>
      <c r="R26" s="5">
        <f t="shared" si="2"/>
        <v>768</v>
      </c>
      <c r="S26" s="5">
        <v>15</v>
      </c>
      <c r="T26" s="6">
        <v>0.77</v>
      </c>
      <c r="U26" s="5">
        <f t="shared" si="3"/>
        <v>42</v>
      </c>
      <c r="V26" s="5">
        <f t="shared" ca="1" si="4"/>
        <v>1650</v>
      </c>
      <c r="W26" s="5">
        <f t="shared" si="5"/>
        <v>15</v>
      </c>
      <c r="X26" s="6">
        <v>0.77</v>
      </c>
      <c r="Y26" s="5">
        <f t="shared" si="6"/>
        <v>42</v>
      </c>
      <c r="Z26" s="5">
        <f t="shared" ca="1" si="7"/>
        <v>1650</v>
      </c>
      <c r="AA26" s="5">
        <v>0</v>
      </c>
      <c r="AB26" s="6">
        <v>0</v>
      </c>
      <c r="AC26" s="5">
        <f t="shared" si="8"/>
        <v>42</v>
      </c>
      <c r="AD26" s="5">
        <f t="shared" ca="1" si="9"/>
        <v>0</v>
      </c>
      <c r="AE26" s="7">
        <f t="shared" si="10"/>
        <v>30</v>
      </c>
      <c r="AF26" s="5" t="e">
        <f t="shared" si="15"/>
        <v>#DIV/0!</v>
      </c>
      <c r="AG26" s="5">
        <f t="shared" ca="1" si="11"/>
        <v>970.19999999999993</v>
      </c>
      <c r="AH26" s="5">
        <f t="shared" si="12"/>
        <v>1260</v>
      </c>
      <c r="AI26" s="6">
        <f t="shared" ca="1" si="13"/>
        <v>0.76999999999999991</v>
      </c>
    </row>
    <row r="27" spans="2:35" x14ac:dyDescent="0.2">
      <c r="B27" s="5" t="s">
        <v>60</v>
      </c>
      <c r="C27" s="21">
        <v>46258</v>
      </c>
      <c r="D27" s="5">
        <v>35</v>
      </c>
      <c r="E27" s="5">
        <v>5</v>
      </c>
      <c r="F27" s="5">
        <v>5</v>
      </c>
      <c r="G27" s="7">
        <f t="shared" ca="1" si="14"/>
        <v>10885</v>
      </c>
      <c r="H27" s="5">
        <v>0</v>
      </c>
      <c r="I27" s="5">
        <f>'B-JCI2 LH'!S263</f>
        <v>3080</v>
      </c>
      <c r="J27" s="12">
        <f t="shared" ca="1" si="0"/>
        <v>17.7</v>
      </c>
      <c r="K27" s="5">
        <f t="shared" ca="1" si="1"/>
        <v>2750</v>
      </c>
      <c r="L27" s="5">
        <v>0</v>
      </c>
      <c r="M27" s="5">
        <f ca="1">'B-JCI2 LH'!$D$295</f>
        <v>0.29399999999999998</v>
      </c>
      <c r="N27" s="5">
        <v>0</v>
      </c>
      <c r="O27" s="5">
        <v>8</v>
      </c>
      <c r="P27" s="5"/>
      <c r="Q27" s="5">
        <v>0</v>
      </c>
      <c r="R27" s="5">
        <f t="shared" si="2"/>
        <v>616</v>
      </c>
      <c r="S27" s="5">
        <v>15</v>
      </c>
      <c r="T27" s="6">
        <v>0.77</v>
      </c>
      <c r="U27" s="5">
        <f t="shared" si="3"/>
        <v>35</v>
      </c>
      <c r="V27" s="5">
        <f t="shared" ca="1" si="4"/>
        <v>1375</v>
      </c>
      <c r="W27" s="5">
        <f t="shared" si="5"/>
        <v>15</v>
      </c>
      <c r="X27" s="6">
        <v>0.77</v>
      </c>
      <c r="Y27" s="5">
        <f t="shared" si="6"/>
        <v>35</v>
      </c>
      <c r="Z27" s="5">
        <f t="shared" ca="1" si="7"/>
        <v>1375</v>
      </c>
      <c r="AA27" s="5">
        <v>0</v>
      </c>
      <c r="AB27" s="6">
        <v>0</v>
      </c>
      <c r="AC27" s="5">
        <f t="shared" si="8"/>
        <v>35</v>
      </c>
      <c r="AD27" s="5">
        <f t="shared" ca="1" si="9"/>
        <v>0</v>
      </c>
      <c r="AE27" s="7">
        <f t="shared" si="10"/>
        <v>30</v>
      </c>
      <c r="AF27" s="5" t="e">
        <f t="shared" si="15"/>
        <v>#DIV/0!</v>
      </c>
      <c r="AG27" s="5">
        <f t="shared" ca="1" si="11"/>
        <v>808.5</v>
      </c>
      <c r="AH27" s="5">
        <f t="shared" si="12"/>
        <v>1050</v>
      </c>
      <c r="AI27" s="6">
        <f t="shared" ca="1" si="13"/>
        <v>0.77</v>
      </c>
    </row>
    <row r="28" spans="2:35" x14ac:dyDescent="0.2">
      <c r="B28" s="5" t="s">
        <v>60</v>
      </c>
      <c r="C28" s="21">
        <v>46265</v>
      </c>
      <c r="D28" s="5">
        <v>36</v>
      </c>
      <c r="E28" s="5">
        <v>6</v>
      </c>
      <c r="F28" s="5">
        <v>5</v>
      </c>
      <c r="G28" s="7">
        <f t="shared" ca="1" si="14"/>
        <v>11105</v>
      </c>
      <c r="H28" s="5">
        <v>0</v>
      </c>
      <c r="I28" s="5">
        <f>'B-JCI2 LH'!T263</f>
        <v>3660</v>
      </c>
      <c r="J28" s="12">
        <f t="shared" ca="1" si="0"/>
        <v>15.2</v>
      </c>
      <c r="K28" s="5">
        <f t="shared" ca="1" si="1"/>
        <v>3080</v>
      </c>
      <c r="L28" s="5">
        <v>0</v>
      </c>
      <c r="M28" s="5">
        <f ca="1">'B-JCI2 LH'!$D$295</f>
        <v>0.29399999999999998</v>
      </c>
      <c r="N28" s="5">
        <v>0</v>
      </c>
      <c r="O28" s="5">
        <v>8</v>
      </c>
      <c r="P28" s="5"/>
      <c r="Q28" s="5">
        <v>0</v>
      </c>
      <c r="R28" s="5">
        <f t="shared" si="2"/>
        <v>732</v>
      </c>
      <c r="S28" s="22">
        <v>14</v>
      </c>
      <c r="T28" s="23">
        <v>0.77</v>
      </c>
      <c r="U28" s="22">
        <f t="shared" si="3"/>
        <v>42</v>
      </c>
      <c r="V28" s="22">
        <f t="shared" ca="1" si="4"/>
        <v>1540</v>
      </c>
      <c r="W28" s="22">
        <f t="shared" si="5"/>
        <v>14</v>
      </c>
      <c r="X28" s="23">
        <v>0.77</v>
      </c>
      <c r="Y28" s="22">
        <f t="shared" si="6"/>
        <v>42</v>
      </c>
      <c r="Z28" s="22">
        <f t="shared" ca="1" si="7"/>
        <v>1540</v>
      </c>
      <c r="AA28" s="5">
        <v>0</v>
      </c>
      <c r="AB28" s="6">
        <v>0</v>
      </c>
      <c r="AC28" s="5">
        <f t="shared" si="8"/>
        <v>42</v>
      </c>
      <c r="AD28" s="5">
        <f t="shared" ca="1" si="9"/>
        <v>0</v>
      </c>
      <c r="AE28" s="7">
        <f t="shared" si="10"/>
        <v>28</v>
      </c>
      <c r="AF28" s="5" t="e">
        <f t="shared" si="15"/>
        <v>#DIV/0!</v>
      </c>
      <c r="AG28" s="5">
        <f t="shared" ca="1" si="11"/>
        <v>905.52</v>
      </c>
      <c r="AH28" s="5">
        <f t="shared" si="12"/>
        <v>1176</v>
      </c>
      <c r="AI28" s="6">
        <f t="shared" ca="1" si="13"/>
        <v>0.77</v>
      </c>
    </row>
    <row r="29" spans="2:35" x14ac:dyDescent="0.2">
      <c r="B29" s="5" t="s">
        <v>61</v>
      </c>
      <c r="C29" s="21">
        <v>46272</v>
      </c>
      <c r="D29" s="5">
        <v>37</v>
      </c>
      <c r="E29" s="5">
        <v>6</v>
      </c>
      <c r="F29" s="5">
        <v>5</v>
      </c>
      <c r="G29" s="7">
        <f t="shared" ca="1" si="14"/>
        <v>10745</v>
      </c>
      <c r="H29" s="5">
        <v>0</v>
      </c>
      <c r="I29" s="5">
        <f>'B-JCI2 LH'!U263</f>
        <v>3640</v>
      </c>
      <c r="J29" s="12">
        <f t="shared" ca="1" si="0"/>
        <v>14.8</v>
      </c>
      <c r="K29" s="5">
        <f t="shared" ca="1" si="1"/>
        <v>3080</v>
      </c>
      <c r="L29" s="5">
        <v>0</v>
      </c>
      <c r="M29" s="5">
        <f ca="1">'B-JCI2 LH'!$D$295</f>
        <v>0.29399999999999998</v>
      </c>
      <c r="N29" s="5">
        <v>0</v>
      </c>
      <c r="O29" s="5">
        <v>9</v>
      </c>
      <c r="P29" s="5"/>
      <c r="Q29" s="5">
        <v>0</v>
      </c>
      <c r="R29" s="5">
        <f t="shared" si="2"/>
        <v>728</v>
      </c>
      <c r="S29" s="5">
        <v>14</v>
      </c>
      <c r="T29" s="6">
        <v>0.77</v>
      </c>
      <c r="U29" s="5">
        <f t="shared" si="3"/>
        <v>42</v>
      </c>
      <c r="V29" s="5">
        <f t="shared" ca="1" si="4"/>
        <v>1540</v>
      </c>
      <c r="W29" s="5">
        <f t="shared" si="5"/>
        <v>14</v>
      </c>
      <c r="X29" s="6">
        <v>0.77</v>
      </c>
      <c r="Y29" s="5">
        <f t="shared" si="6"/>
        <v>42</v>
      </c>
      <c r="Z29" s="5">
        <f t="shared" ca="1" si="7"/>
        <v>1540</v>
      </c>
      <c r="AA29" s="5">
        <v>0</v>
      </c>
      <c r="AB29" s="6">
        <v>0</v>
      </c>
      <c r="AC29" s="5">
        <f t="shared" si="8"/>
        <v>42</v>
      </c>
      <c r="AD29" s="5">
        <f t="shared" ca="1" si="9"/>
        <v>0</v>
      </c>
      <c r="AE29" s="7">
        <f t="shared" si="10"/>
        <v>28</v>
      </c>
      <c r="AF29" s="5" t="e">
        <f t="shared" si="15"/>
        <v>#DIV/0!</v>
      </c>
      <c r="AG29" s="5">
        <f t="shared" ca="1" si="11"/>
        <v>905.52</v>
      </c>
      <c r="AH29" s="5">
        <f t="shared" si="12"/>
        <v>1176</v>
      </c>
      <c r="AI29" s="6">
        <f t="shared" ca="1" si="13"/>
        <v>0.77</v>
      </c>
    </row>
    <row r="30" spans="2:35" x14ac:dyDescent="0.2">
      <c r="B30" s="5" t="s">
        <v>61</v>
      </c>
      <c r="C30" s="21">
        <v>46279</v>
      </c>
      <c r="D30" s="5">
        <v>38</v>
      </c>
      <c r="E30" s="5">
        <v>6</v>
      </c>
      <c r="F30" s="5">
        <v>5</v>
      </c>
      <c r="G30" s="7">
        <f t="shared" ca="1" si="14"/>
        <v>10405</v>
      </c>
      <c r="H30" s="5">
        <v>0</v>
      </c>
      <c r="I30" s="5">
        <f>'B-JCI2 LH'!V263</f>
        <v>3640</v>
      </c>
      <c r="J30" s="12">
        <f t="shared" ca="1" si="0"/>
        <v>14.3</v>
      </c>
      <c r="K30" s="5">
        <f t="shared" ca="1" si="1"/>
        <v>3080</v>
      </c>
      <c r="L30" s="5">
        <v>0</v>
      </c>
      <c r="M30" s="5">
        <f ca="1">'B-JCI2 LH'!$D$295</f>
        <v>0.29399999999999998</v>
      </c>
      <c r="N30" s="5">
        <v>0</v>
      </c>
      <c r="O30" s="5">
        <v>9</v>
      </c>
      <c r="P30" s="5"/>
      <c r="Q30" s="5">
        <v>0</v>
      </c>
      <c r="R30" s="5">
        <f t="shared" si="2"/>
        <v>728</v>
      </c>
      <c r="S30" s="5">
        <v>14</v>
      </c>
      <c r="T30" s="6">
        <v>0.77</v>
      </c>
      <c r="U30" s="5">
        <f t="shared" si="3"/>
        <v>42</v>
      </c>
      <c r="V30" s="5">
        <f t="shared" ca="1" si="4"/>
        <v>1540</v>
      </c>
      <c r="W30" s="5">
        <f t="shared" si="5"/>
        <v>14</v>
      </c>
      <c r="X30" s="6">
        <v>0.77</v>
      </c>
      <c r="Y30" s="5">
        <f t="shared" si="6"/>
        <v>42</v>
      </c>
      <c r="Z30" s="5">
        <f t="shared" ca="1" si="7"/>
        <v>1540</v>
      </c>
      <c r="AA30" s="5">
        <v>0</v>
      </c>
      <c r="AB30" s="6">
        <v>0</v>
      </c>
      <c r="AC30" s="5">
        <f t="shared" si="8"/>
        <v>42</v>
      </c>
      <c r="AD30" s="5">
        <f t="shared" ca="1" si="9"/>
        <v>0</v>
      </c>
      <c r="AE30" s="7">
        <f t="shared" si="10"/>
        <v>28</v>
      </c>
      <c r="AF30" s="5" t="e">
        <f t="shared" si="15"/>
        <v>#DIV/0!</v>
      </c>
      <c r="AG30" s="5">
        <f t="shared" ca="1" si="11"/>
        <v>905.52</v>
      </c>
      <c r="AH30" s="5">
        <f t="shared" si="12"/>
        <v>1176</v>
      </c>
      <c r="AI30" s="6">
        <f t="shared" ca="1" si="13"/>
        <v>0.77</v>
      </c>
    </row>
    <row r="31" spans="2:35" x14ac:dyDescent="0.2">
      <c r="B31" s="5" t="s">
        <v>61</v>
      </c>
      <c r="C31" s="21">
        <v>46286</v>
      </c>
      <c r="D31" s="5">
        <v>39</v>
      </c>
      <c r="E31" s="5">
        <v>4</v>
      </c>
      <c r="F31" s="5">
        <v>5</v>
      </c>
      <c r="G31" s="7">
        <f t="shared" ca="1" si="14"/>
        <v>10065</v>
      </c>
      <c r="H31" s="5">
        <v>0</v>
      </c>
      <c r="I31" s="5">
        <f>'B-JCI2 LH'!W263</f>
        <v>3640</v>
      </c>
      <c r="J31" s="12">
        <f t="shared" ca="1" si="0"/>
        <v>13.8</v>
      </c>
      <c r="K31" s="5">
        <f t="shared" ca="1" si="1"/>
        <v>2054</v>
      </c>
      <c r="L31" s="5">
        <v>0</v>
      </c>
      <c r="M31" s="5">
        <f ca="1">'B-JCI2 LH'!$D$295</f>
        <v>0.29399999999999998</v>
      </c>
      <c r="N31" s="5">
        <v>0</v>
      </c>
      <c r="O31" s="5">
        <v>9</v>
      </c>
      <c r="P31" s="5"/>
      <c r="Q31" s="5">
        <v>0</v>
      </c>
      <c r="R31" s="5">
        <f t="shared" si="2"/>
        <v>728</v>
      </c>
      <c r="S31" s="5">
        <v>14</v>
      </c>
      <c r="T31" s="6">
        <v>0.77</v>
      </c>
      <c r="U31" s="5">
        <f t="shared" si="3"/>
        <v>28</v>
      </c>
      <c r="V31" s="5">
        <f t="shared" ca="1" si="4"/>
        <v>1027</v>
      </c>
      <c r="W31" s="5">
        <f t="shared" si="5"/>
        <v>14</v>
      </c>
      <c r="X31" s="6">
        <v>0.77</v>
      </c>
      <c r="Y31" s="5">
        <f t="shared" si="6"/>
        <v>28</v>
      </c>
      <c r="Z31" s="5">
        <f t="shared" ca="1" si="7"/>
        <v>1027</v>
      </c>
      <c r="AA31" s="5">
        <v>0</v>
      </c>
      <c r="AB31" s="6">
        <v>0</v>
      </c>
      <c r="AC31" s="5">
        <f t="shared" si="8"/>
        <v>28</v>
      </c>
      <c r="AD31" s="5">
        <f t="shared" ca="1" si="9"/>
        <v>0</v>
      </c>
      <c r="AE31" s="7">
        <f t="shared" si="10"/>
        <v>28</v>
      </c>
      <c r="AF31" s="5" t="e">
        <f t="shared" si="15"/>
        <v>#DIV/0!</v>
      </c>
      <c r="AG31" s="5">
        <f t="shared" ca="1" si="11"/>
        <v>603.87599999999998</v>
      </c>
      <c r="AH31" s="5">
        <f t="shared" si="12"/>
        <v>784</v>
      </c>
      <c r="AI31" s="6">
        <f t="shared" ca="1" si="13"/>
        <v>0.77024999999999999</v>
      </c>
    </row>
    <row r="32" spans="2:35" x14ac:dyDescent="0.2">
      <c r="B32" s="5" t="s">
        <v>61</v>
      </c>
      <c r="C32" s="21">
        <v>46293</v>
      </c>
      <c r="D32" s="5">
        <v>40</v>
      </c>
      <c r="E32" s="5">
        <v>5</v>
      </c>
      <c r="F32" s="5">
        <v>5</v>
      </c>
      <c r="G32" s="7">
        <f t="shared" ca="1" si="14"/>
        <v>9175</v>
      </c>
      <c r="H32" s="5">
        <v>0</v>
      </c>
      <c r="I32" s="5">
        <f>'B-JCI2 LH'!X263</f>
        <v>3600</v>
      </c>
      <c r="J32" s="12">
        <f t="shared" ca="1" si="0"/>
        <v>12.7</v>
      </c>
      <c r="K32" s="5">
        <f t="shared" ca="1" si="1"/>
        <v>2566</v>
      </c>
      <c r="L32" s="5">
        <v>0</v>
      </c>
      <c r="M32" s="5">
        <f ca="1">'B-JCI2 LH'!$D$295</f>
        <v>0.29399999999999998</v>
      </c>
      <c r="N32" s="5">
        <v>0</v>
      </c>
      <c r="O32" s="5">
        <v>9</v>
      </c>
      <c r="P32" s="5"/>
      <c r="Q32" s="5">
        <v>0</v>
      </c>
      <c r="R32" s="5">
        <f t="shared" si="2"/>
        <v>720</v>
      </c>
      <c r="S32" s="5">
        <v>14</v>
      </c>
      <c r="T32" s="6">
        <v>0.77</v>
      </c>
      <c r="U32" s="5">
        <f t="shared" si="3"/>
        <v>35</v>
      </c>
      <c r="V32" s="5">
        <f t="shared" ca="1" si="4"/>
        <v>1283</v>
      </c>
      <c r="W32" s="5">
        <f t="shared" si="5"/>
        <v>14</v>
      </c>
      <c r="X32" s="6">
        <v>0.77</v>
      </c>
      <c r="Y32" s="5">
        <f t="shared" si="6"/>
        <v>35</v>
      </c>
      <c r="Z32" s="5">
        <f t="shared" ca="1" si="7"/>
        <v>1283</v>
      </c>
      <c r="AA32" s="5">
        <v>0</v>
      </c>
      <c r="AB32" s="6">
        <v>0</v>
      </c>
      <c r="AC32" s="5">
        <f t="shared" si="8"/>
        <v>35</v>
      </c>
      <c r="AD32" s="5">
        <f t="shared" ca="1" si="9"/>
        <v>0</v>
      </c>
      <c r="AE32" s="7">
        <f t="shared" si="10"/>
        <v>28</v>
      </c>
      <c r="AF32" s="5" t="e">
        <f t="shared" si="15"/>
        <v>#DIV/0!</v>
      </c>
      <c r="AG32" s="5">
        <f t="shared" ca="1" si="11"/>
        <v>754.404</v>
      </c>
      <c r="AH32" s="5">
        <f t="shared" si="12"/>
        <v>980</v>
      </c>
      <c r="AI32" s="6">
        <f t="shared" ca="1" si="13"/>
        <v>0.76980000000000004</v>
      </c>
    </row>
    <row r="33" spans="2:35" x14ac:dyDescent="0.2">
      <c r="B33" s="5" t="s">
        <v>62</v>
      </c>
      <c r="C33" s="21">
        <v>46300</v>
      </c>
      <c r="D33" s="5">
        <v>41</v>
      </c>
      <c r="E33" s="5">
        <v>5</v>
      </c>
      <c r="F33" s="5">
        <v>5</v>
      </c>
      <c r="G33" s="7">
        <f t="shared" ca="1" si="14"/>
        <v>8655</v>
      </c>
      <c r="H33" s="5">
        <v>0</v>
      </c>
      <c r="I33" s="5">
        <f>'B-JCI2 LH'!Y263</f>
        <v>2570</v>
      </c>
      <c r="J33" s="12">
        <f t="shared" ca="1" si="0"/>
        <v>16.8</v>
      </c>
      <c r="K33" s="5">
        <f t="shared" ca="1" si="1"/>
        <v>2566</v>
      </c>
      <c r="L33" s="5">
        <v>0</v>
      </c>
      <c r="M33" s="5">
        <f ca="1">'B-JCI2 LH'!$D$295</f>
        <v>0.29399999999999998</v>
      </c>
      <c r="N33" s="5">
        <v>0</v>
      </c>
      <c r="O33" s="5">
        <v>10</v>
      </c>
      <c r="P33" s="5"/>
      <c r="Q33" s="5">
        <v>0</v>
      </c>
      <c r="R33" s="5">
        <f t="shared" si="2"/>
        <v>514</v>
      </c>
      <c r="S33" s="5">
        <v>14</v>
      </c>
      <c r="T33" s="6">
        <v>0.77</v>
      </c>
      <c r="U33" s="5">
        <f t="shared" si="3"/>
        <v>35</v>
      </c>
      <c r="V33" s="5">
        <f t="shared" ca="1" si="4"/>
        <v>1283</v>
      </c>
      <c r="W33" s="5">
        <f t="shared" si="5"/>
        <v>14</v>
      </c>
      <c r="X33" s="6">
        <v>0.77</v>
      </c>
      <c r="Y33" s="5">
        <f t="shared" si="6"/>
        <v>35</v>
      </c>
      <c r="Z33" s="5">
        <f t="shared" ca="1" si="7"/>
        <v>1283</v>
      </c>
      <c r="AA33" s="5">
        <v>0</v>
      </c>
      <c r="AB33" s="6">
        <v>0</v>
      </c>
      <c r="AC33" s="5">
        <f t="shared" si="8"/>
        <v>35</v>
      </c>
      <c r="AD33" s="5">
        <f t="shared" ca="1" si="9"/>
        <v>0</v>
      </c>
      <c r="AE33" s="7">
        <f t="shared" si="10"/>
        <v>28</v>
      </c>
      <c r="AF33" s="5" t="e">
        <f t="shared" si="15"/>
        <v>#DIV/0!</v>
      </c>
      <c r="AG33" s="5">
        <f t="shared" ca="1" si="11"/>
        <v>754.404</v>
      </c>
      <c r="AH33" s="5">
        <f t="shared" si="12"/>
        <v>980</v>
      </c>
      <c r="AI33" s="6">
        <f t="shared" ca="1" si="13"/>
        <v>0.76980000000000004</v>
      </c>
    </row>
    <row r="34" spans="2:35" x14ac:dyDescent="0.2">
      <c r="B34" s="5" t="s">
        <v>62</v>
      </c>
      <c r="C34" s="21">
        <v>46307</v>
      </c>
      <c r="D34" s="5">
        <v>42</v>
      </c>
      <c r="E34" s="5">
        <v>6</v>
      </c>
      <c r="F34" s="5">
        <v>5</v>
      </c>
      <c r="G34" s="7">
        <f t="shared" ca="1" si="14"/>
        <v>9165</v>
      </c>
      <c r="H34" s="5">
        <v>0</v>
      </c>
      <c r="I34" s="5">
        <f>'B-JCI2 LH'!Z263</f>
        <v>2570</v>
      </c>
      <c r="J34" s="12">
        <f t="shared" ca="1" si="0"/>
        <v>17.8</v>
      </c>
      <c r="K34" s="5">
        <f t="shared" ca="1" si="1"/>
        <v>3080</v>
      </c>
      <c r="L34" s="5">
        <v>0</v>
      </c>
      <c r="M34" s="5">
        <f ca="1">'B-JCI2 LH'!$D$295</f>
        <v>0.29399999999999998</v>
      </c>
      <c r="N34" s="5">
        <v>0</v>
      </c>
      <c r="O34" s="5">
        <v>10</v>
      </c>
      <c r="P34" s="5"/>
      <c r="Q34" s="5">
        <v>0</v>
      </c>
      <c r="R34" s="5">
        <f t="shared" si="2"/>
        <v>514</v>
      </c>
      <c r="S34" s="5">
        <v>14</v>
      </c>
      <c r="T34" s="6">
        <v>0.77</v>
      </c>
      <c r="U34" s="5">
        <f t="shared" si="3"/>
        <v>42</v>
      </c>
      <c r="V34" s="5">
        <f t="shared" ca="1" si="4"/>
        <v>1540</v>
      </c>
      <c r="W34" s="5">
        <f t="shared" si="5"/>
        <v>14</v>
      </c>
      <c r="X34" s="6">
        <v>0.77</v>
      </c>
      <c r="Y34" s="5">
        <f t="shared" si="6"/>
        <v>42</v>
      </c>
      <c r="Z34" s="5">
        <f t="shared" ca="1" si="7"/>
        <v>1540</v>
      </c>
      <c r="AA34" s="5">
        <v>0</v>
      </c>
      <c r="AB34" s="6">
        <v>0</v>
      </c>
      <c r="AC34" s="5">
        <f t="shared" si="8"/>
        <v>42</v>
      </c>
      <c r="AD34" s="5">
        <f t="shared" ca="1" si="9"/>
        <v>0</v>
      </c>
      <c r="AE34" s="7">
        <f t="shared" si="10"/>
        <v>28</v>
      </c>
      <c r="AF34" s="5" t="e">
        <f t="shared" si="15"/>
        <v>#DIV/0!</v>
      </c>
      <c r="AG34" s="5">
        <f t="shared" ca="1" si="11"/>
        <v>905.52</v>
      </c>
      <c r="AH34" s="5">
        <f t="shared" si="12"/>
        <v>1176</v>
      </c>
      <c r="AI34" s="6">
        <f t="shared" ca="1" si="13"/>
        <v>0.77</v>
      </c>
    </row>
    <row r="35" spans="2:35" x14ac:dyDescent="0.2">
      <c r="B35" s="5" t="s">
        <v>62</v>
      </c>
      <c r="C35" s="21">
        <v>46314</v>
      </c>
      <c r="D35" s="5">
        <v>43</v>
      </c>
      <c r="E35" s="5">
        <v>6</v>
      </c>
      <c r="F35" s="5">
        <v>5</v>
      </c>
      <c r="G35" s="7">
        <f t="shared" ca="1" si="14"/>
        <v>9675</v>
      </c>
      <c r="H35" s="5">
        <v>0</v>
      </c>
      <c r="I35" s="5">
        <f>'B-JCI2 LH'!AA263</f>
        <v>2570</v>
      </c>
      <c r="J35" s="12">
        <f t="shared" ca="1" si="0"/>
        <v>18.8</v>
      </c>
      <c r="K35" s="5">
        <f t="shared" ca="1" si="1"/>
        <v>3080</v>
      </c>
      <c r="L35" s="5">
        <v>0</v>
      </c>
      <c r="M35" s="5">
        <f ca="1">'B-JCI2 LH'!$D$295</f>
        <v>0.29399999999999998</v>
      </c>
      <c r="N35" s="5">
        <v>0</v>
      </c>
      <c r="O35" s="5">
        <v>10</v>
      </c>
      <c r="P35" s="5"/>
      <c r="Q35" s="5">
        <v>0</v>
      </c>
      <c r="R35" s="5">
        <f t="shared" si="2"/>
        <v>514</v>
      </c>
      <c r="S35" s="5">
        <v>14</v>
      </c>
      <c r="T35" s="6">
        <v>0.77</v>
      </c>
      <c r="U35" s="5">
        <f t="shared" si="3"/>
        <v>42</v>
      </c>
      <c r="V35" s="5">
        <f t="shared" ca="1" si="4"/>
        <v>1540</v>
      </c>
      <c r="W35" s="5">
        <f t="shared" si="5"/>
        <v>14</v>
      </c>
      <c r="X35" s="6">
        <v>0.77</v>
      </c>
      <c r="Y35" s="5">
        <f t="shared" si="6"/>
        <v>42</v>
      </c>
      <c r="Z35" s="5">
        <f t="shared" ca="1" si="7"/>
        <v>1540</v>
      </c>
      <c r="AA35" s="5">
        <v>0</v>
      </c>
      <c r="AB35" s="6">
        <v>0</v>
      </c>
      <c r="AC35" s="5">
        <f t="shared" si="8"/>
        <v>42</v>
      </c>
      <c r="AD35" s="5">
        <f t="shared" ca="1" si="9"/>
        <v>0</v>
      </c>
      <c r="AE35" s="7">
        <f t="shared" si="10"/>
        <v>28</v>
      </c>
      <c r="AF35" s="5" t="e">
        <f t="shared" si="15"/>
        <v>#DIV/0!</v>
      </c>
      <c r="AG35" s="5">
        <f t="shared" ca="1" si="11"/>
        <v>905.52</v>
      </c>
      <c r="AH35" s="5">
        <f t="shared" si="12"/>
        <v>1176</v>
      </c>
      <c r="AI35" s="6">
        <f t="shared" ca="1" si="13"/>
        <v>0.77</v>
      </c>
    </row>
    <row r="36" spans="2:35" x14ac:dyDescent="0.2">
      <c r="B36" s="5" t="s">
        <v>62</v>
      </c>
      <c r="C36" s="21">
        <v>46321</v>
      </c>
      <c r="D36" s="5">
        <v>44</v>
      </c>
      <c r="E36" s="5">
        <v>6</v>
      </c>
      <c r="F36" s="5">
        <v>5</v>
      </c>
      <c r="G36" s="7">
        <f t="shared" ca="1" si="14"/>
        <v>9159</v>
      </c>
      <c r="H36" s="5">
        <v>0</v>
      </c>
      <c r="I36" s="5">
        <f>'B-JCI2 LH'!AB263</f>
        <v>2550</v>
      </c>
      <c r="J36" s="12">
        <f t="shared" ca="1" si="0"/>
        <v>18</v>
      </c>
      <c r="K36" s="5">
        <f t="shared" ca="1" si="1"/>
        <v>3080</v>
      </c>
      <c r="L36" s="5">
        <v>0</v>
      </c>
      <c r="M36" s="5">
        <f ca="1">'B-JCI2 LH'!$D$295</f>
        <v>0.29399999999999998</v>
      </c>
      <c r="N36" s="5">
        <v>0</v>
      </c>
      <c r="O36" s="5">
        <v>10</v>
      </c>
      <c r="P36" s="5"/>
      <c r="Q36" s="5">
        <v>0</v>
      </c>
      <c r="R36" s="5">
        <f t="shared" si="2"/>
        <v>510</v>
      </c>
      <c r="S36" s="5">
        <v>14</v>
      </c>
      <c r="T36" s="6">
        <v>0.77</v>
      </c>
      <c r="U36" s="5">
        <f t="shared" si="3"/>
        <v>42</v>
      </c>
      <c r="V36" s="5">
        <f t="shared" ca="1" si="4"/>
        <v>1540</v>
      </c>
      <c r="W36" s="5">
        <f t="shared" si="5"/>
        <v>14</v>
      </c>
      <c r="X36" s="6">
        <v>0.77</v>
      </c>
      <c r="Y36" s="5">
        <f t="shared" si="6"/>
        <v>42</v>
      </c>
      <c r="Z36" s="5">
        <f t="shared" ca="1" si="7"/>
        <v>1540</v>
      </c>
      <c r="AA36" s="5">
        <v>0</v>
      </c>
      <c r="AB36" s="6">
        <v>0</v>
      </c>
      <c r="AC36" s="5">
        <f t="shared" si="8"/>
        <v>42</v>
      </c>
      <c r="AD36" s="5">
        <f t="shared" ca="1" si="9"/>
        <v>0</v>
      </c>
      <c r="AE36" s="7">
        <f t="shared" si="10"/>
        <v>28</v>
      </c>
      <c r="AF36" s="5" t="e">
        <f t="shared" si="15"/>
        <v>#DIV/0!</v>
      </c>
      <c r="AG36" s="5">
        <f t="shared" ca="1" si="11"/>
        <v>905.52</v>
      </c>
      <c r="AH36" s="5">
        <f t="shared" si="12"/>
        <v>1176</v>
      </c>
      <c r="AI36" s="6">
        <f t="shared" ca="1" si="13"/>
        <v>0.77</v>
      </c>
    </row>
    <row r="37" spans="2:35" x14ac:dyDescent="0.2">
      <c r="B37" s="5" t="s">
        <v>63</v>
      </c>
      <c r="C37" s="21">
        <v>46328</v>
      </c>
      <c r="D37" s="5">
        <v>45</v>
      </c>
      <c r="E37" s="5">
        <v>6</v>
      </c>
      <c r="F37" s="5">
        <v>5</v>
      </c>
      <c r="G37" s="7">
        <f t="shared" ca="1" si="14"/>
        <v>9175</v>
      </c>
      <c r="H37" s="5">
        <v>0</v>
      </c>
      <c r="I37" s="5">
        <f>'B-JCI2 LH'!AC263</f>
        <v>3740</v>
      </c>
      <c r="J37" s="12">
        <f t="shared" ca="1" si="0"/>
        <v>12.3</v>
      </c>
      <c r="K37" s="5">
        <f t="shared" ca="1" si="1"/>
        <v>3080</v>
      </c>
      <c r="L37" s="5">
        <v>0</v>
      </c>
      <c r="M37" s="5">
        <f ca="1">'B-JCI2 LH'!$D$295</f>
        <v>0.29399999999999998</v>
      </c>
      <c r="N37" s="5">
        <v>0</v>
      </c>
      <c r="O37" s="5">
        <v>11</v>
      </c>
      <c r="P37" s="5"/>
      <c r="Q37" s="5">
        <v>0</v>
      </c>
      <c r="R37" s="5">
        <f t="shared" si="2"/>
        <v>748</v>
      </c>
      <c r="S37" s="5">
        <v>14</v>
      </c>
      <c r="T37" s="6">
        <v>0.77</v>
      </c>
      <c r="U37" s="5">
        <f t="shared" si="3"/>
        <v>42</v>
      </c>
      <c r="V37" s="5">
        <f t="shared" ca="1" si="4"/>
        <v>1540</v>
      </c>
      <c r="W37" s="5">
        <f t="shared" si="5"/>
        <v>14</v>
      </c>
      <c r="X37" s="6">
        <v>0.77</v>
      </c>
      <c r="Y37" s="5">
        <f t="shared" si="6"/>
        <v>42</v>
      </c>
      <c r="Z37" s="5">
        <f t="shared" ca="1" si="7"/>
        <v>1540</v>
      </c>
      <c r="AA37" s="5">
        <v>0</v>
      </c>
      <c r="AB37" s="6">
        <v>0</v>
      </c>
      <c r="AC37" s="5">
        <f t="shared" si="8"/>
        <v>42</v>
      </c>
      <c r="AD37" s="5">
        <f t="shared" ca="1" si="9"/>
        <v>0</v>
      </c>
      <c r="AE37" s="7">
        <f t="shared" si="10"/>
        <v>28</v>
      </c>
      <c r="AF37" s="5" t="e">
        <f t="shared" si="15"/>
        <v>#DIV/0!</v>
      </c>
      <c r="AG37" s="5">
        <f t="shared" ca="1" si="11"/>
        <v>905.52</v>
      </c>
      <c r="AH37" s="5">
        <f t="shared" si="12"/>
        <v>1176</v>
      </c>
      <c r="AI37" s="6">
        <f t="shared" ca="1" si="13"/>
        <v>0.77</v>
      </c>
    </row>
    <row r="38" spans="2:35" x14ac:dyDescent="0.2">
      <c r="B38" s="5" t="s">
        <v>63</v>
      </c>
      <c r="C38" s="21">
        <v>46335</v>
      </c>
      <c r="D38" s="5">
        <v>46</v>
      </c>
      <c r="E38" s="5">
        <v>6</v>
      </c>
      <c r="F38" s="31">
        <v>4</v>
      </c>
      <c r="G38" s="7">
        <f t="shared" ca="1" si="14"/>
        <v>8001</v>
      </c>
      <c r="H38" s="5">
        <v>0</v>
      </c>
      <c r="I38" s="5">
        <f>'B-JCI2 LH'!AD263</f>
        <v>3740</v>
      </c>
      <c r="J38" s="12">
        <f t="shared" ca="1" si="0"/>
        <v>8.6</v>
      </c>
      <c r="K38" s="5">
        <f t="shared" ca="1" si="1"/>
        <v>3080</v>
      </c>
      <c r="L38" s="5">
        <v>0</v>
      </c>
      <c r="M38" s="5">
        <f ca="1">'B-JCI2 LH'!$D$295</f>
        <v>0.29399999999999998</v>
      </c>
      <c r="N38" s="5">
        <v>0</v>
      </c>
      <c r="O38" s="5">
        <v>11</v>
      </c>
      <c r="P38" s="5"/>
      <c r="Q38" s="5">
        <v>0</v>
      </c>
      <c r="R38" s="5">
        <f t="shared" si="2"/>
        <v>935</v>
      </c>
      <c r="S38" s="5">
        <v>14</v>
      </c>
      <c r="T38" s="6">
        <v>0.77</v>
      </c>
      <c r="U38" s="5">
        <f t="shared" si="3"/>
        <v>42</v>
      </c>
      <c r="V38" s="5">
        <f t="shared" ca="1" si="4"/>
        <v>1540</v>
      </c>
      <c r="W38" s="5">
        <f t="shared" si="5"/>
        <v>14</v>
      </c>
      <c r="X38" s="6">
        <v>0.77</v>
      </c>
      <c r="Y38" s="5">
        <f t="shared" si="6"/>
        <v>42</v>
      </c>
      <c r="Z38" s="5">
        <f t="shared" ca="1" si="7"/>
        <v>1540</v>
      </c>
      <c r="AA38" s="5">
        <v>0</v>
      </c>
      <c r="AB38" s="6">
        <v>0</v>
      </c>
      <c r="AC38" s="5">
        <f t="shared" si="8"/>
        <v>42</v>
      </c>
      <c r="AD38" s="5">
        <f t="shared" ca="1" si="9"/>
        <v>0</v>
      </c>
      <c r="AE38" s="7">
        <f t="shared" si="10"/>
        <v>28</v>
      </c>
      <c r="AF38" s="5" t="e">
        <f t="shared" si="15"/>
        <v>#DIV/0!</v>
      </c>
      <c r="AG38" s="5">
        <f t="shared" ca="1" si="11"/>
        <v>905.52</v>
      </c>
      <c r="AH38" s="5">
        <f t="shared" si="12"/>
        <v>1176</v>
      </c>
      <c r="AI38" s="6">
        <f t="shared" ca="1" si="13"/>
        <v>0.77</v>
      </c>
    </row>
    <row r="39" spans="2:35" x14ac:dyDescent="0.2">
      <c r="B39" s="5" t="s">
        <v>63</v>
      </c>
      <c r="C39" s="21">
        <v>46342</v>
      </c>
      <c r="D39" s="5">
        <v>47</v>
      </c>
      <c r="E39" s="5">
        <v>6</v>
      </c>
      <c r="F39" s="5">
        <v>5</v>
      </c>
      <c r="G39" s="7">
        <f t="shared" ca="1" si="14"/>
        <v>7341</v>
      </c>
      <c r="H39" s="5">
        <v>0</v>
      </c>
      <c r="I39" s="5">
        <f>'B-JCI2 LH'!AE263</f>
        <v>3740</v>
      </c>
      <c r="J39" s="12">
        <f t="shared" ca="1" si="0"/>
        <v>9.8000000000000007</v>
      </c>
      <c r="K39" s="5">
        <f t="shared" ca="1" si="1"/>
        <v>3080</v>
      </c>
      <c r="L39" s="5">
        <v>0</v>
      </c>
      <c r="M39" s="5">
        <f ca="1">'B-JCI2 LH'!$D$295</f>
        <v>0.29399999999999998</v>
      </c>
      <c r="N39" s="5">
        <v>0</v>
      </c>
      <c r="O39" s="5">
        <v>11</v>
      </c>
      <c r="P39" s="5"/>
      <c r="Q39" s="5">
        <v>0</v>
      </c>
      <c r="R39" s="5">
        <f t="shared" si="2"/>
        <v>748</v>
      </c>
      <c r="S39" s="5">
        <v>14</v>
      </c>
      <c r="T39" s="6">
        <v>0.77</v>
      </c>
      <c r="U39" s="5">
        <f t="shared" si="3"/>
        <v>42</v>
      </c>
      <c r="V39" s="5">
        <f t="shared" ca="1" si="4"/>
        <v>1540</v>
      </c>
      <c r="W39" s="5">
        <f t="shared" si="5"/>
        <v>14</v>
      </c>
      <c r="X39" s="6">
        <v>0.77</v>
      </c>
      <c r="Y39" s="5">
        <f t="shared" si="6"/>
        <v>42</v>
      </c>
      <c r="Z39" s="5">
        <f t="shared" ca="1" si="7"/>
        <v>1540</v>
      </c>
      <c r="AA39" s="5">
        <v>0</v>
      </c>
      <c r="AB39" s="6">
        <v>0</v>
      </c>
      <c r="AC39" s="5">
        <f t="shared" si="8"/>
        <v>42</v>
      </c>
      <c r="AD39" s="5">
        <f t="shared" ca="1" si="9"/>
        <v>0</v>
      </c>
      <c r="AE39" s="7">
        <f t="shared" si="10"/>
        <v>28</v>
      </c>
      <c r="AF39" s="5" t="e">
        <f t="shared" si="15"/>
        <v>#DIV/0!</v>
      </c>
      <c r="AG39" s="5">
        <f t="shared" ca="1" si="11"/>
        <v>905.52</v>
      </c>
      <c r="AH39" s="5">
        <f t="shared" si="12"/>
        <v>1176</v>
      </c>
      <c r="AI39" s="6">
        <f t="shared" ca="1" si="13"/>
        <v>0.77</v>
      </c>
    </row>
    <row r="40" spans="2:35" x14ac:dyDescent="0.2">
      <c r="B40" s="5" t="s">
        <v>63</v>
      </c>
      <c r="C40" s="21">
        <v>46349</v>
      </c>
      <c r="D40" s="5">
        <v>48</v>
      </c>
      <c r="E40" s="5">
        <v>6</v>
      </c>
      <c r="F40" s="5">
        <v>5</v>
      </c>
      <c r="G40" s="7">
        <f t="shared" ca="1" si="14"/>
        <v>6681</v>
      </c>
      <c r="H40" s="5">
        <v>0</v>
      </c>
      <c r="I40" s="5">
        <f>'B-JCI2 LH'!AF263</f>
        <v>3740</v>
      </c>
      <c r="J40" s="12">
        <f t="shared" ca="1" si="0"/>
        <v>8.9</v>
      </c>
      <c r="K40" s="5">
        <f t="shared" ca="1" si="1"/>
        <v>3080</v>
      </c>
      <c r="L40" s="5">
        <v>0</v>
      </c>
      <c r="M40" s="5">
        <f ca="1">'B-JCI2 LH'!$D$295</f>
        <v>0.29399999999999998</v>
      </c>
      <c r="N40" s="5">
        <v>0</v>
      </c>
      <c r="O40" s="5">
        <v>11</v>
      </c>
      <c r="P40" s="5"/>
      <c r="Q40" s="5">
        <v>0</v>
      </c>
      <c r="R40" s="5">
        <f t="shared" si="2"/>
        <v>748</v>
      </c>
      <c r="S40" s="5">
        <v>14</v>
      </c>
      <c r="T40" s="6">
        <v>0.77</v>
      </c>
      <c r="U40" s="5">
        <f t="shared" si="3"/>
        <v>42</v>
      </c>
      <c r="V40" s="5">
        <f t="shared" ca="1" si="4"/>
        <v>1540</v>
      </c>
      <c r="W40" s="5">
        <f t="shared" si="5"/>
        <v>14</v>
      </c>
      <c r="X40" s="6">
        <v>0.77</v>
      </c>
      <c r="Y40" s="5">
        <f t="shared" si="6"/>
        <v>42</v>
      </c>
      <c r="Z40" s="5">
        <f t="shared" ca="1" si="7"/>
        <v>1540</v>
      </c>
      <c r="AA40" s="5">
        <v>0</v>
      </c>
      <c r="AB40" s="6">
        <v>0</v>
      </c>
      <c r="AC40" s="5">
        <f t="shared" si="8"/>
        <v>42</v>
      </c>
      <c r="AD40" s="5">
        <f t="shared" ca="1" si="9"/>
        <v>0</v>
      </c>
      <c r="AE40" s="7">
        <f t="shared" si="10"/>
        <v>28</v>
      </c>
      <c r="AF40" s="5" t="e">
        <f t="shared" si="15"/>
        <v>#DIV/0!</v>
      </c>
      <c r="AG40" s="5">
        <f t="shared" ca="1" si="11"/>
        <v>905.52</v>
      </c>
      <c r="AH40" s="5">
        <f t="shared" si="12"/>
        <v>1176</v>
      </c>
      <c r="AI40" s="6">
        <f t="shared" ca="1" si="13"/>
        <v>0.77</v>
      </c>
    </row>
    <row r="41" spans="2:35" x14ac:dyDescent="0.2">
      <c r="B41" s="5" t="s">
        <v>63</v>
      </c>
      <c r="C41" s="21">
        <v>46356</v>
      </c>
      <c r="D41" s="5">
        <v>49</v>
      </c>
      <c r="E41" s="5">
        <v>6</v>
      </c>
      <c r="F41" s="5">
        <v>5</v>
      </c>
      <c r="G41" s="7">
        <f t="shared" ca="1" si="14"/>
        <v>6021</v>
      </c>
      <c r="H41" s="5">
        <v>0</v>
      </c>
      <c r="I41" s="5">
        <f>'B-JCI2 LH'!AG263</f>
        <v>3380</v>
      </c>
      <c r="J41" s="12">
        <f t="shared" ca="1" si="0"/>
        <v>8.9</v>
      </c>
      <c r="K41" s="5">
        <f t="shared" ca="1" si="1"/>
        <v>3080</v>
      </c>
      <c r="L41" s="5">
        <v>0</v>
      </c>
      <c r="M41" s="5">
        <f ca="1">'B-JCI2 LH'!$D$295</f>
        <v>0.29399999999999998</v>
      </c>
      <c r="N41" s="5">
        <v>0</v>
      </c>
      <c r="O41" s="5">
        <v>11</v>
      </c>
      <c r="P41" s="5"/>
      <c r="Q41" s="5">
        <v>0</v>
      </c>
      <c r="R41" s="5">
        <f t="shared" si="2"/>
        <v>676</v>
      </c>
      <c r="S41" s="5">
        <v>14</v>
      </c>
      <c r="T41" s="6">
        <v>0.77</v>
      </c>
      <c r="U41" s="5">
        <f t="shared" si="3"/>
        <v>42</v>
      </c>
      <c r="V41" s="5">
        <f t="shared" ca="1" si="4"/>
        <v>1540</v>
      </c>
      <c r="W41" s="5">
        <f t="shared" si="5"/>
        <v>14</v>
      </c>
      <c r="X41" s="6">
        <v>0.77</v>
      </c>
      <c r="Y41" s="5">
        <f t="shared" si="6"/>
        <v>42</v>
      </c>
      <c r="Z41" s="5">
        <f t="shared" ca="1" si="7"/>
        <v>1540</v>
      </c>
      <c r="AA41" s="5">
        <v>0</v>
      </c>
      <c r="AB41" s="6">
        <v>0</v>
      </c>
      <c r="AC41" s="5">
        <f t="shared" si="8"/>
        <v>42</v>
      </c>
      <c r="AD41" s="5">
        <f t="shared" ca="1" si="9"/>
        <v>0</v>
      </c>
      <c r="AE41" s="7">
        <f t="shared" si="10"/>
        <v>28</v>
      </c>
      <c r="AF41" s="5" t="e">
        <f t="shared" si="15"/>
        <v>#DIV/0!</v>
      </c>
      <c r="AG41" s="5">
        <f t="shared" ca="1" si="11"/>
        <v>905.52</v>
      </c>
      <c r="AH41" s="5">
        <f t="shared" si="12"/>
        <v>1176</v>
      </c>
      <c r="AI41" s="6">
        <f t="shared" ca="1" si="13"/>
        <v>0.77</v>
      </c>
    </row>
    <row r="42" spans="2:35" x14ac:dyDescent="0.2">
      <c r="B42" s="5" t="s">
        <v>64</v>
      </c>
      <c r="C42" s="21">
        <v>46363</v>
      </c>
      <c r="D42" s="5">
        <v>50</v>
      </c>
      <c r="E42" s="5">
        <v>6</v>
      </c>
      <c r="F42" s="5">
        <v>5</v>
      </c>
      <c r="G42" s="7">
        <f t="shared" ca="1" si="14"/>
        <v>5721</v>
      </c>
      <c r="H42" s="5">
        <v>0</v>
      </c>
      <c r="I42" s="5">
        <f>'B-JCI2 LH'!AH263</f>
        <v>3870</v>
      </c>
      <c r="J42" s="12">
        <f t="shared" ca="1" si="0"/>
        <v>7.4</v>
      </c>
      <c r="K42" s="5">
        <f t="shared" ca="1" si="1"/>
        <v>3080</v>
      </c>
      <c r="L42" s="5">
        <v>0</v>
      </c>
      <c r="M42" s="5">
        <f ca="1">'B-JCI2 LH'!$D$295</f>
        <v>0.29399999999999998</v>
      </c>
      <c r="N42" s="5">
        <v>0</v>
      </c>
      <c r="O42" s="5">
        <v>12</v>
      </c>
      <c r="P42" s="5"/>
      <c r="Q42" s="5">
        <v>0</v>
      </c>
      <c r="R42" s="5">
        <f t="shared" si="2"/>
        <v>774</v>
      </c>
      <c r="S42" s="5">
        <v>14</v>
      </c>
      <c r="T42" s="6">
        <v>0.77</v>
      </c>
      <c r="U42" s="5">
        <f t="shared" si="3"/>
        <v>42</v>
      </c>
      <c r="V42" s="5">
        <f t="shared" ca="1" si="4"/>
        <v>1540</v>
      </c>
      <c r="W42" s="5">
        <f t="shared" si="5"/>
        <v>14</v>
      </c>
      <c r="X42" s="6">
        <v>0.77</v>
      </c>
      <c r="Y42" s="5">
        <f t="shared" si="6"/>
        <v>42</v>
      </c>
      <c r="Z42" s="5">
        <f t="shared" ca="1" si="7"/>
        <v>1540</v>
      </c>
      <c r="AA42" s="5">
        <v>0</v>
      </c>
      <c r="AB42" s="6">
        <v>0</v>
      </c>
      <c r="AC42" s="5">
        <f t="shared" si="8"/>
        <v>42</v>
      </c>
      <c r="AD42" s="5">
        <f t="shared" ca="1" si="9"/>
        <v>0</v>
      </c>
      <c r="AE42" s="7">
        <f t="shared" si="10"/>
        <v>28</v>
      </c>
      <c r="AF42" s="5" t="e">
        <f t="shared" si="15"/>
        <v>#DIV/0!</v>
      </c>
      <c r="AG42" s="5">
        <f t="shared" ca="1" si="11"/>
        <v>905.52</v>
      </c>
      <c r="AH42" s="5">
        <f t="shared" si="12"/>
        <v>1176</v>
      </c>
      <c r="AI42" s="6">
        <f t="shared" ca="1" si="13"/>
        <v>0.77</v>
      </c>
    </row>
    <row r="43" spans="2:35" x14ac:dyDescent="0.2">
      <c r="B43" s="5" t="s">
        <v>64</v>
      </c>
      <c r="C43" s="21">
        <v>46370</v>
      </c>
      <c r="D43" s="5">
        <v>51</v>
      </c>
      <c r="E43" s="5">
        <v>6</v>
      </c>
      <c r="F43" s="24">
        <v>10</v>
      </c>
      <c r="G43" s="7">
        <f t="shared" ca="1" si="14"/>
        <v>4931</v>
      </c>
      <c r="H43" s="5">
        <v>0</v>
      </c>
      <c r="I43" s="5">
        <f>'B-JCI2 LH'!AI263</f>
        <v>3870</v>
      </c>
      <c r="J43" s="12">
        <f t="shared" ca="1" si="0"/>
        <v>12.7</v>
      </c>
      <c r="K43" s="5">
        <f t="shared" ca="1" si="1"/>
        <v>3080</v>
      </c>
      <c r="L43" s="5">
        <v>0</v>
      </c>
      <c r="M43" s="5">
        <f ca="1">'B-JCI2 LH'!$D$295</f>
        <v>0.29399999999999998</v>
      </c>
      <c r="N43" s="5">
        <v>0</v>
      </c>
      <c r="O43" s="5">
        <v>12</v>
      </c>
      <c r="P43" s="5"/>
      <c r="Q43" s="5">
        <v>0</v>
      </c>
      <c r="R43" s="5">
        <f t="shared" si="2"/>
        <v>387</v>
      </c>
      <c r="S43" s="5">
        <v>14</v>
      </c>
      <c r="T43" s="6">
        <v>0.77</v>
      </c>
      <c r="U43" s="5">
        <f t="shared" si="3"/>
        <v>42</v>
      </c>
      <c r="V43" s="5">
        <f t="shared" ca="1" si="4"/>
        <v>1540</v>
      </c>
      <c r="W43" s="5">
        <f t="shared" si="5"/>
        <v>14</v>
      </c>
      <c r="X43" s="6">
        <v>0.77</v>
      </c>
      <c r="Y43" s="5">
        <f t="shared" si="6"/>
        <v>42</v>
      </c>
      <c r="Z43" s="5">
        <f t="shared" ca="1" si="7"/>
        <v>1540</v>
      </c>
      <c r="AA43" s="5">
        <v>0</v>
      </c>
      <c r="AB43" s="6">
        <v>0</v>
      </c>
      <c r="AC43" s="5">
        <f t="shared" si="8"/>
        <v>42</v>
      </c>
      <c r="AD43" s="5">
        <f t="shared" ca="1" si="9"/>
        <v>0</v>
      </c>
      <c r="AE43" s="7">
        <f t="shared" si="10"/>
        <v>28</v>
      </c>
      <c r="AF43" s="5" t="e">
        <f t="shared" si="15"/>
        <v>#DIV/0!</v>
      </c>
      <c r="AG43" s="5">
        <f t="shared" ca="1" si="11"/>
        <v>905.52</v>
      </c>
      <c r="AH43" s="5">
        <f t="shared" si="12"/>
        <v>1176</v>
      </c>
      <c r="AI43" s="6">
        <f t="shared" ca="1" si="13"/>
        <v>0.77</v>
      </c>
    </row>
    <row r="44" spans="2:35" x14ac:dyDescent="0.2">
      <c r="B44" s="5" t="s">
        <v>64</v>
      </c>
      <c r="C44" s="21">
        <v>46377</v>
      </c>
      <c r="D44" s="5">
        <v>52</v>
      </c>
      <c r="E44" s="5">
        <v>6</v>
      </c>
      <c r="F44" s="32">
        <v>0</v>
      </c>
      <c r="G44" s="7">
        <f t="shared" ca="1" si="14"/>
        <v>4141</v>
      </c>
      <c r="H44" s="5">
        <v>0</v>
      </c>
      <c r="I44" s="5">
        <f>'B-JCI2 LH'!AJ263</f>
        <v>0</v>
      </c>
      <c r="J44" s="12" t="str">
        <f t="shared" ref="J44:J75" si="16">IF(I44=0,"N/S",ROUND( ( ((G44) * 1)/I44)*F44,1))</f>
        <v>N/S</v>
      </c>
      <c r="K44" s="5">
        <f t="shared" ref="K44:K75" ca="1" si="17">V44+Z44+AD44</f>
        <v>3080</v>
      </c>
      <c r="L44" s="5">
        <v>0</v>
      </c>
      <c r="M44" s="5">
        <f ca="1">'B-JCI2 LH'!$D$295</f>
        <v>0.29399999999999998</v>
      </c>
      <c r="N44" s="5">
        <v>0</v>
      </c>
      <c r="O44" s="5">
        <v>12</v>
      </c>
      <c r="P44" s="5"/>
      <c r="Q44" s="5">
        <v>0</v>
      </c>
      <c r="R44" s="5">
        <f t="shared" ref="R44:R75" si="18">IF(F44=0,0,ROUND(I44/F44,0))</f>
        <v>0</v>
      </c>
      <c r="S44" s="5">
        <v>14</v>
      </c>
      <c r="T44" s="6">
        <v>0.77</v>
      </c>
      <c r="U44" s="5">
        <f t="shared" si="3"/>
        <v>42</v>
      </c>
      <c r="V44" s="5">
        <f t="shared" ref="V44:V75" ca="1" si="19">ROUND(((S44*T44*U44)/M44),0)</f>
        <v>1540</v>
      </c>
      <c r="W44" s="5">
        <f t="shared" ref="W44:W64" si="20">S44</f>
        <v>14</v>
      </c>
      <c r="X44" s="6">
        <v>0.77</v>
      </c>
      <c r="Y44" s="5">
        <f t="shared" ref="Y44:Y75" si="21">U44</f>
        <v>42</v>
      </c>
      <c r="Z44" s="5">
        <f t="shared" ref="Z44:Z75" ca="1" si="22">ROUND(((W44*X44*Y44)/M44),0)</f>
        <v>1540</v>
      </c>
      <c r="AA44" s="5">
        <v>0</v>
      </c>
      <c r="AB44" s="6">
        <v>0</v>
      </c>
      <c r="AC44" s="5">
        <f t="shared" ref="AC44:AC75" si="23">E44*7-N44</f>
        <v>42</v>
      </c>
      <c r="AD44" s="5">
        <f t="shared" ref="AD44:AD75" ca="1" si="24">ROUND(((AA44*AB44*AC44)/M44),0)</f>
        <v>0</v>
      </c>
      <c r="AE44" s="7">
        <f t="shared" ref="AE44:AE75" si="25">S44+W44+AA44</f>
        <v>28</v>
      </c>
      <c r="AF44" s="5" t="e">
        <f t="shared" si="15"/>
        <v>#DIV/0!</v>
      </c>
      <c r="AG44" s="5">
        <f t="shared" ref="AG44:AG75" ca="1" si="26">K44*M44</f>
        <v>905.52</v>
      </c>
      <c r="AH44" s="5">
        <f t="shared" ref="AH44:AH75" si="27">S44*U44+W44*Y44+AA44*AC44</f>
        <v>1176</v>
      </c>
      <c r="AI44" s="6">
        <f t="shared" ref="AI44:AI75" ca="1" si="28">IF(AH44=0,0,AG44/AH44)</f>
        <v>0.77</v>
      </c>
    </row>
    <row r="45" spans="2:35" x14ac:dyDescent="0.2">
      <c r="B45" s="5" t="s">
        <v>64</v>
      </c>
      <c r="C45" s="21">
        <v>46384</v>
      </c>
      <c r="D45" s="5">
        <v>53</v>
      </c>
      <c r="E45" s="5">
        <v>0</v>
      </c>
      <c r="F45" s="32">
        <v>0</v>
      </c>
      <c r="G45" s="7">
        <f t="shared" ca="1" si="14"/>
        <v>7221</v>
      </c>
      <c r="H45" s="5">
        <v>0</v>
      </c>
      <c r="I45" s="5">
        <f>'B-JCI2 LH'!AK263</f>
        <v>0</v>
      </c>
      <c r="J45" s="12" t="str">
        <f t="shared" si="16"/>
        <v>N/S</v>
      </c>
      <c r="K45" s="5">
        <f t="shared" ca="1" si="17"/>
        <v>0</v>
      </c>
      <c r="L45" s="5">
        <v>0</v>
      </c>
      <c r="M45" s="5">
        <f ca="1">'B-JCI2 LH'!$D$295</f>
        <v>0.29399999999999998</v>
      </c>
      <c r="N45" s="5">
        <v>0</v>
      </c>
      <c r="O45" s="5">
        <v>12</v>
      </c>
      <c r="P45" s="5"/>
      <c r="Q45" s="5">
        <v>0</v>
      </c>
      <c r="R45" s="5">
        <f t="shared" si="18"/>
        <v>0</v>
      </c>
      <c r="S45" s="5">
        <v>14</v>
      </c>
      <c r="T45" s="6">
        <v>0.77</v>
      </c>
      <c r="U45" s="5">
        <f t="shared" si="3"/>
        <v>0</v>
      </c>
      <c r="V45" s="5">
        <f t="shared" ca="1" si="19"/>
        <v>0</v>
      </c>
      <c r="W45" s="5">
        <f t="shared" si="20"/>
        <v>14</v>
      </c>
      <c r="X45" s="6">
        <v>0.77</v>
      </c>
      <c r="Y45" s="5">
        <f t="shared" si="21"/>
        <v>0</v>
      </c>
      <c r="Z45" s="5">
        <f t="shared" ca="1" si="22"/>
        <v>0</v>
      </c>
      <c r="AA45" s="5">
        <v>0</v>
      </c>
      <c r="AB45" s="6">
        <v>0</v>
      </c>
      <c r="AC45" s="5">
        <f t="shared" si="23"/>
        <v>0</v>
      </c>
      <c r="AD45" s="5">
        <f t="shared" ca="1" si="24"/>
        <v>0</v>
      </c>
      <c r="AE45" s="7">
        <f t="shared" si="25"/>
        <v>28</v>
      </c>
      <c r="AF45" s="5" t="e">
        <f t="shared" si="15"/>
        <v>#DIV/0!</v>
      </c>
      <c r="AG45" s="5">
        <f t="shared" ca="1" si="26"/>
        <v>0</v>
      </c>
      <c r="AH45" s="5">
        <f t="shared" si="27"/>
        <v>0</v>
      </c>
      <c r="AI45" s="6">
        <f t="shared" si="28"/>
        <v>0</v>
      </c>
    </row>
    <row r="46" spans="2:35" x14ac:dyDescent="0.2">
      <c r="B46" s="5" t="s">
        <v>65</v>
      </c>
      <c r="C46" s="21">
        <v>46391</v>
      </c>
      <c r="D46" s="5">
        <v>1</v>
      </c>
      <c r="E46" s="5">
        <v>6</v>
      </c>
      <c r="F46" s="29">
        <v>0</v>
      </c>
      <c r="G46" s="7">
        <f t="shared" ca="1" si="14"/>
        <v>10301</v>
      </c>
      <c r="H46" s="5">
        <v>0</v>
      </c>
      <c r="I46" s="5">
        <f>'B-JCI2 LH'!AL263</f>
        <v>0</v>
      </c>
      <c r="J46" s="12" t="str">
        <f t="shared" si="16"/>
        <v>N/S</v>
      </c>
      <c r="K46" s="5">
        <f t="shared" ca="1" si="17"/>
        <v>3080</v>
      </c>
      <c r="L46" s="5">
        <v>0</v>
      </c>
      <c r="M46" s="5">
        <f ca="1">'B-JCI2 LH'!$D$295</f>
        <v>0.29399999999999998</v>
      </c>
      <c r="N46" s="5">
        <v>0</v>
      </c>
      <c r="O46" s="5">
        <v>1</v>
      </c>
      <c r="P46" s="5"/>
      <c r="Q46" s="5">
        <v>0</v>
      </c>
      <c r="R46" s="5">
        <f t="shared" si="18"/>
        <v>0</v>
      </c>
      <c r="S46" s="5">
        <v>14</v>
      </c>
      <c r="T46" s="6">
        <v>0.77</v>
      </c>
      <c r="U46" s="5">
        <f t="shared" si="3"/>
        <v>42</v>
      </c>
      <c r="V46" s="5">
        <f t="shared" ca="1" si="19"/>
        <v>1540</v>
      </c>
      <c r="W46" s="5">
        <f t="shared" si="20"/>
        <v>14</v>
      </c>
      <c r="X46" s="6">
        <v>0.77</v>
      </c>
      <c r="Y46" s="5">
        <f t="shared" si="21"/>
        <v>42</v>
      </c>
      <c r="Z46" s="5">
        <f t="shared" ca="1" si="22"/>
        <v>1540</v>
      </c>
      <c r="AA46" s="5">
        <v>0</v>
      </c>
      <c r="AB46" s="6">
        <v>0</v>
      </c>
      <c r="AC46" s="5">
        <f t="shared" si="23"/>
        <v>42</v>
      </c>
      <c r="AD46" s="5">
        <f t="shared" ca="1" si="24"/>
        <v>0</v>
      </c>
      <c r="AE46" s="7">
        <f t="shared" si="25"/>
        <v>28</v>
      </c>
      <c r="AF46" s="5" t="e">
        <f t="shared" si="15"/>
        <v>#DIV/0!</v>
      </c>
      <c r="AG46" s="5">
        <f t="shared" ca="1" si="26"/>
        <v>905.52</v>
      </c>
      <c r="AH46" s="5">
        <f t="shared" si="27"/>
        <v>1176</v>
      </c>
      <c r="AI46" s="6">
        <f t="shared" ca="1" si="28"/>
        <v>0.77</v>
      </c>
    </row>
    <row r="47" spans="2:35" x14ac:dyDescent="0.2">
      <c r="B47" s="5" t="s">
        <v>65</v>
      </c>
      <c r="C47" s="21">
        <v>46398</v>
      </c>
      <c r="D47" s="5">
        <v>2</v>
      </c>
      <c r="E47" s="5">
        <v>4</v>
      </c>
      <c r="F47" s="5">
        <v>0</v>
      </c>
      <c r="G47" s="7">
        <f t="shared" ca="1" si="14"/>
        <v>13381</v>
      </c>
      <c r="H47" s="5">
        <v>0</v>
      </c>
      <c r="I47" s="5">
        <f>'B-JCI2 LH'!AM263</f>
        <v>0</v>
      </c>
      <c r="J47" s="12" t="str">
        <f t="shared" si="16"/>
        <v>N/S</v>
      </c>
      <c r="K47" s="5">
        <f t="shared" ca="1" si="17"/>
        <v>2054</v>
      </c>
      <c r="L47" s="5">
        <v>0</v>
      </c>
      <c r="M47" s="5">
        <f ca="1">'B-JCI2 LH'!$D$295</f>
        <v>0.29399999999999998</v>
      </c>
      <c r="N47" s="5">
        <v>0</v>
      </c>
      <c r="O47" s="5">
        <v>1</v>
      </c>
      <c r="P47" s="5"/>
      <c r="Q47" s="5">
        <v>0</v>
      </c>
      <c r="R47" s="5">
        <f t="shared" si="18"/>
        <v>0</v>
      </c>
      <c r="S47" s="5">
        <v>14</v>
      </c>
      <c r="T47" s="6">
        <v>0.77</v>
      </c>
      <c r="U47" s="5">
        <f t="shared" si="3"/>
        <v>28</v>
      </c>
      <c r="V47" s="5">
        <f t="shared" ca="1" si="19"/>
        <v>1027</v>
      </c>
      <c r="W47" s="5">
        <f t="shared" si="20"/>
        <v>14</v>
      </c>
      <c r="X47" s="6">
        <v>0.77</v>
      </c>
      <c r="Y47" s="5">
        <f t="shared" si="21"/>
        <v>28</v>
      </c>
      <c r="Z47" s="5">
        <f t="shared" ca="1" si="22"/>
        <v>1027</v>
      </c>
      <c r="AA47" s="5">
        <v>0</v>
      </c>
      <c r="AB47" s="6">
        <v>0</v>
      </c>
      <c r="AC47" s="5">
        <f t="shared" si="23"/>
        <v>28</v>
      </c>
      <c r="AD47" s="5">
        <f t="shared" ca="1" si="24"/>
        <v>0</v>
      </c>
      <c r="AE47" s="7">
        <f t="shared" si="25"/>
        <v>28</v>
      </c>
      <c r="AF47" s="5" t="e">
        <f t="shared" si="15"/>
        <v>#DIV/0!</v>
      </c>
      <c r="AG47" s="5">
        <f t="shared" ca="1" si="26"/>
        <v>603.87599999999998</v>
      </c>
      <c r="AH47" s="5">
        <f t="shared" si="27"/>
        <v>784</v>
      </c>
      <c r="AI47" s="6">
        <f t="shared" ca="1" si="28"/>
        <v>0.77024999999999999</v>
      </c>
    </row>
    <row r="48" spans="2:35" x14ac:dyDescent="0.2">
      <c r="B48" s="5" t="s">
        <v>65</v>
      </c>
      <c r="C48" s="21">
        <v>46405</v>
      </c>
      <c r="D48" s="5">
        <v>3</v>
      </c>
      <c r="E48" s="5">
        <v>6</v>
      </c>
      <c r="F48" s="5">
        <v>5</v>
      </c>
      <c r="G48" s="7">
        <f t="shared" ca="1" si="14"/>
        <v>16461</v>
      </c>
      <c r="H48" s="5">
        <v>0</v>
      </c>
      <c r="I48" s="5">
        <f>'B-JCI2 LH'!AN263</f>
        <v>2724</v>
      </c>
      <c r="J48" s="12">
        <f t="shared" ca="1" si="16"/>
        <v>30.2</v>
      </c>
      <c r="K48" s="5">
        <f t="shared" ca="1" si="17"/>
        <v>3080</v>
      </c>
      <c r="L48" s="5">
        <v>0</v>
      </c>
      <c r="M48" s="5">
        <f ca="1">'B-JCI2 LH'!$D$295</f>
        <v>0.29399999999999998</v>
      </c>
      <c r="N48" s="5">
        <v>0</v>
      </c>
      <c r="O48" s="5">
        <v>1</v>
      </c>
      <c r="P48" s="5"/>
      <c r="Q48" s="5">
        <v>0</v>
      </c>
      <c r="R48" s="5">
        <f t="shared" si="18"/>
        <v>545</v>
      </c>
      <c r="S48" s="5">
        <v>14</v>
      </c>
      <c r="T48" s="6">
        <v>0.77</v>
      </c>
      <c r="U48" s="5">
        <f t="shared" si="3"/>
        <v>42</v>
      </c>
      <c r="V48" s="5">
        <f t="shared" ca="1" si="19"/>
        <v>1540</v>
      </c>
      <c r="W48" s="5">
        <f t="shared" si="20"/>
        <v>14</v>
      </c>
      <c r="X48" s="6">
        <v>0.77</v>
      </c>
      <c r="Y48" s="5">
        <f t="shared" si="21"/>
        <v>42</v>
      </c>
      <c r="Z48" s="5">
        <f t="shared" ca="1" si="22"/>
        <v>1540</v>
      </c>
      <c r="AA48" s="5">
        <v>0</v>
      </c>
      <c r="AB48" s="6">
        <v>0</v>
      </c>
      <c r="AC48" s="5">
        <f t="shared" si="23"/>
        <v>42</v>
      </c>
      <c r="AD48" s="5">
        <f t="shared" ca="1" si="24"/>
        <v>0</v>
      </c>
      <c r="AE48" s="7">
        <f t="shared" si="25"/>
        <v>28</v>
      </c>
      <c r="AF48" s="5" t="e">
        <f t="shared" si="15"/>
        <v>#DIV/0!</v>
      </c>
      <c r="AG48" s="5">
        <f t="shared" ca="1" si="26"/>
        <v>905.52</v>
      </c>
      <c r="AH48" s="5">
        <f t="shared" si="27"/>
        <v>1176</v>
      </c>
      <c r="AI48" s="6">
        <f t="shared" ca="1" si="28"/>
        <v>0.77</v>
      </c>
    </row>
    <row r="49" spans="2:35" x14ac:dyDescent="0.2">
      <c r="B49" s="5" t="s">
        <v>65</v>
      </c>
      <c r="C49" s="21">
        <v>46412</v>
      </c>
      <c r="D49" s="5">
        <v>4</v>
      </c>
      <c r="E49" s="5">
        <v>6</v>
      </c>
      <c r="F49" s="5">
        <v>5</v>
      </c>
      <c r="G49" s="7">
        <f t="shared" ref="G49:G80" ca="1" si="29">(G48+H48-I48+K44)</f>
        <v>16817</v>
      </c>
      <c r="H49" s="5">
        <v>0</v>
      </c>
      <c r="I49" s="5">
        <f>'B-JCI2 LH'!AO263</f>
        <v>2724</v>
      </c>
      <c r="J49" s="12">
        <f t="shared" ca="1" si="16"/>
        <v>30.9</v>
      </c>
      <c r="K49" s="5">
        <f t="shared" ca="1" si="17"/>
        <v>3080</v>
      </c>
      <c r="L49" s="5">
        <v>0</v>
      </c>
      <c r="M49" s="5">
        <f ca="1">'B-JCI2 LH'!$D$295</f>
        <v>0.29399999999999998</v>
      </c>
      <c r="N49" s="5">
        <v>0</v>
      </c>
      <c r="O49" s="5">
        <v>1</v>
      </c>
      <c r="P49" s="5"/>
      <c r="Q49" s="5">
        <v>0</v>
      </c>
      <c r="R49" s="5">
        <f t="shared" si="18"/>
        <v>545</v>
      </c>
      <c r="S49" s="5">
        <v>14</v>
      </c>
      <c r="T49" s="6">
        <v>0.77</v>
      </c>
      <c r="U49" s="5">
        <f t="shared" si="3"/>
        <v>42</v>
      </c>
      <c r="V49" s="5">
        <f t="shared" ca="1" si="19"/>
        <v>1540</v>
      </c>
      <c r="W49" s="5">
        <f t="shared" si="20"/>
        <v>14</v>
      </c>
      <c r="X49" s="6">
        <v>0.77</v>
      </c>
      <c r="Y49" s="5">
        <f t="shared" si="21"/>
        <v>42</v>
      </c>
      <c r="Z49" s="5">
        <f t="shared" ca="1" si="22"/>
        <v>1540</v>
      </c>
      <c r="AA49" s="5">
        <v>0</v>
      </c>
      <c r="AB49" s="6">
        <v>0</v>
      </c>
      <c r="AC49" s="5">
        <f t="shared" si="23"/>
        <v>42</v>
      </c>
      <c r="AD49" s="5">
        <f t="shared" ca="1" si="24"/>
        <v>0</v>
      </c>
      <c r="AE49" s="7">
        <f t="shared" si="25"/>
        <v>28</v>
      </c>
      <c r="AF49" s="5" t="e">
        <f t="shared" si="15"/>
        <v>#DIV/0!</v>
      </c>
      <c r="AG49" s="5">
        <f t="shared" ca="1" si="26"/>
        <v>905.52</v>
      </c>
      <c r="AH49" s="5">
        <f t="shared" si="27"/>
        <v>1176</v>
      </c>
      <c r="AI49" s="6">
        <f t="shared" ca="1" si="28"/>
        <v>0.77</v>
      </c>
    </row>
    <row r="50" spans="2:35" x14ac:dyDescent="0.2">
      <c r="B50" s="5" t="s">
        <v>66</v>
      </c>
      <c r="C50" s="21">
        <v>46419</v>
      </c>
      <c r="D50" s="5">
        <v>5</v>
      </c>
      <c r="E50" s="5">
        <v>5</v>
      </c>
      <c r="F50" s="5">
        <v>5</v>
      </c>
      <c r="G50" s="7">
        <f t="shared" ca="1" si="29"/>
        <v>14093</v>
      </c>
      <c r="H50" s="5">
        <v>0</v>
      </c>
      <c r="I50" s="5">
        <f>'B-JCI2 LH'!AP263</f>
        <v>2724</v>
      </c>
      <c r="J50" s="12">
        <f t="shared" ca="1" si="16"/>
        <v>25.9</v>
      </c>
      <c r="K50" s="5">
        <f t="shared" ca="1" si="17"/>
        <v>2566</v>
      </c>
      <c r="L50" s="5">
        <v>0</v>
      </c>
      <c r="M50" s="5">
        <f ca="1">'B-JCI2 LH'!$D$295</f>
        <v>0.29399999999999998</v>
      </c>
      <c r="N50" s="5">
        <v>0</v>
      </c>
      <c r="O50" s="5">
        <v>2</v>
      </c>
      <c r="P50" s="5"/>
      <c r="Q50" s="5">
        <v>0</v>
      </c>
      <c r="R50" s="5">
        <f t="shared" si="18"/>
        <v>545</v>
      </c>
      <c r="S50" s="5">
        <v>14</v>
      </c>
      <c r="T50" s="6">
        <v>0.77</v>
      </c>
      <c r="U50" s="5">
        <f t="shared" si="3"/>
        <v>35</v>
      </c>
      <c r="V50" s="5">
        <f t="shared" ca="1" si="19"/>
        <v>1283</v>
      </c>
      <c r="W50" s="5">
        <f t="shared" si="20"/>
        <v>14</v>
      </c>
      <c r="X50" s="6">
        <v>0.77</v>
      </c>
      <c r="Y50" s="5">
        <f t="shared" si="21"/>
        <v>35</v>
      </c>
      <c r="Z50" s="5">
        <f t="shared" ca="1" si="22"/>
        <v>1283</v>
      </c>
      <c r="AA50" s="5">
        <v>0</v>
      </c>
      <c r="AB50" s="6">
        <v>0</v>
      </c>
      <c r="AC50" s="5">
        <f t="shared" si="23"/>
        <v>35</v>
      </c>
      <c r="AD50" s="5">
        <f t="shared" ca="1" si="24"/>
        <v>0</v>
      </c>
      <c r="AE50" s="7">
        <f t="shared" si="25"/>
        <v>28</v>
      </c>
      <c r="AF50" s="5" t="e">
        <f t="shared" si="15"/>
        <v>#DIV/0!</v>
      </c>
      <c r="AG50" s="5">
        <f t="shared" ca="1" si="26"/>
        <v>754.404</v>
      </c>
      <c r="AH50" s="5">
        <f t="shared" si="27"/>
        <v>980</v>
      </c>
      <c r="AI50" s="6">
        <f t="shared" ca="1" si="28"/>
        <v>0.76980000000000004</v>
      </c>
    </row>
    <row r="51" spans="2:35" x14ac:dyDescent="0.2">
      <c r="B51" s="5" t="s">
        <v>66</v>
      </c>
      <c r="C51" s="21">
        <v>46426</v>
      </c>
      <c r="D51" s="5">
        <v>6</v>
      </c>
      <c r="E51" s="5">
        <v>6</v>
      </c>
      <c r="F51" s="5">
        <v>5</v>
      </c>
      <c r="G51" s="7">
        <f t="shared" ca="1" si="29"/>
        <v>14449</v>
      </c>
      <c r="H51" s="5">
        <v>0</v>
      </c>
      <c r="I51" s="5">
        <f>'B-JCI2 LH'!AQ263</f>
        <v>3286</v>
      </c>
      <c r="J51" s="12">
        <f t="shared" ca="1" si="16"/>
        <v>22</v>
      </c>
      <c r="K51" s="5">
        <f t="shared" ca="1" si="17"/>
        <v>3080</v>
      </c>
      <c r="L51" s="5">
        <v>0</v>
      </c>
      <c r="M51" s="5">
        <f ca="1">'B-JCI2 LH'!$D$295</f>
        <v>0.29399999999999998</v>
      </c>
      <c r="N51" s="5">
        <v>0</v>
      </c>
      <c r="O51" s="5">
        <v>2</v>
      </c>
      <c r="P51" s="5"/>
      <c r="Q51" s="5">
        <v>0</v>
      </c>
      <c r="R51" s="5">
        <f t="shared" si="18"/>
        <v>657</v>
      </c>
      <c r="S51" s="5">
        <v>14</v>
      </c>
      <c r="T51" s="6">
        <v>0.77</v>
      </c>
      <c r="U51" s="5">
        <f t="shared" si="3"/>
        <v>42</v>
      </c>
      <c r="V51" s="5">
        <f t="shared" ca="1" si="19"/>
        <v>1540</v>
      </c>
      <c r="W51" s="5">
        <f t="shared" si="20"/>
        <v>14</v>
      </c>
      <c r="X51" s="6">
        <v>0.77</v>
      </c>
      <c r="Y51" s="5">
        <f t="shared" si="21"/>
        <v>42</v>
      </c>
      <c r="Z51" s="5">
        <f t="shared" ca="1" si="22"/>
        <v>1540</v>
      </c>
      <c r="AA51" s="5">
        <v>0</v>
      </c>
      <c r="AB51" s="6">
        <v>0</v>
      </c>
      <c r="AC51" s="5">
        <f t="shared" si="23"/>
        <v>42</v>
      </c>
      <c r="AD51" s="5">
        <f t="shared" ca="1" si="24"/>
        <v>0</v>
      </c>
      <c r="AE51" s="7">
        <f t="shared" si="25"/>
        <v>28</v>
      </c>
      <c r="AF51" s="5" t="e">
        <f t="shared" si="15"/>
        <v>#DIV/0!</v>
      </c>
      <c r="AG51" s="5">
        <f t="shared" ca="1" si="26"/>
        <v>905.52</v>
      </c>
      <c r="AH51" s="5">
        <f t="shared" si="27"/>
        <v>1176</v>
      </c>
      <c r="AI51" s="6">
        <f t="shared" ca="1" si="28"/>
        <v>0.77</v>
      </c>
    </row>
    <row r="52" spans="2:35" x14ac:dyDescent="0.2">
      <c r="B52" s="5" t="s">
        <v>66</v>
      </c>
      <c r="C52" s="21">
        <v>46433</v>
      </c>
      <c r="D52" s="5">
        <v>7</v>
      </c>
      <c r="E52" s="33">
        <v>5</v>
      </c>
      <c r="F52" s="5">
        <v>5</v>
      </c>
      <c r="G52" s="7">
        <f t="shared" ca="1" si="29"/>
        <v>13217</v>
      </c>
      <c r="H52" s="5">
        <v>0</v>
      </c>
      <c r="I52" s="5">
        <f>'B-JCI2 LH'!AR263</f>
        <v>3286</v>
      </c>
      <c r="J52" s="12">
        <f t="shared" ca="1" si="16"/>
        <v>20.100000000000001</v>
      </c>
      <c r="K52" s="5">
        <f t="shared" ca="1" si="17"/>
        <v>1284</v>
      </c>
      <c r="L52" s="5">
        <v>0</v>
      </c>
      <c r="M52" s="5">
        <f ca="1">'B-JCI2 LH'!$D$295</f>
        <v>0.29399999999999998</v>
      </c>
      <c r="N52" s="5">
        <v>0</v>
      </c>
      <c r="O52" s="5">
        <v>2</v>
      </c>
      <c r="P52" s="5"/>
      <c r="Q52" s="5">
        <v>0</v>
      </c>
      <c r="R52" s="5">
        <f t="shared" si="18"/>
        <v>657</v>
      </c>
      <c r="S52" s="33">
        <v>14</v>
      </c>
      <c r="T52" s="34">
        <v>0.77</v>
      </c>
      <c r="U52" s="33">
        <f>E52*3.5-N52</f>
        <v>17.5</v>
      </c>
      <c r="V52" s="33">
        <f t="shared" ca="1" si="19"/>
        <v>642</v>
      </c>
      <c r="W52" s="33">
        <f t="shared" si="20"/>
        <v>14</v>
      </c>
      <c r="X52" s="34">
        <v>0.77</v>
      </c>
      <c r="Y52" s="33">
        <f t="shared" si="21"/>
        <v>17.5</v>
      </c>
      <c r="Z52" s="33">
        <f t="shared" ca="1" si="22"/>
        <v>642</v>
      </c>
      <c r="AA52" s="5">
        <v>0</v>
      </c>
      <c r="AB52" s="6">
        <v>0</v>
      </c>
      <c r="AC52" s="5">
        <f t="shared" si="23"/>
        <v>35</v>
      </c>
      <c r="AD52" s="5">
        <f t="shared" ca="1" si="24"/>
        <v>0</v>
      </c>
      <c r="AE52" s="7">
        <f t="shared" si="25"/>
        <v>28</v>
      </c>
      <c r="AF52" s="5" t="e">
        <f t="shared" si="15"/>
        <v>#DIV/0!</v>
      </c>
      <c r="AG52" s="5">
        <f t="shared" ca="1" si="26"/>
        <v>377.49599999999998</v>
      </c>
      <c r="AH52" s="5">
        <f t="shared" si="27"/>
        <v>490</v>
      </c>
      <c r="AI52" s="6">
        <f t="shared" ca="1" si="28"/>
        <v>0.77039999999999997</v>
      </c>
    </row>
    <row r="53" spans="2:35" x14ac:dyDescent="0.2">
      <c r="B53" s="5" t="s">
        <v>66</v>
      </c>
      <c r="C53" s="21">
        <v>46440</v>
      </c>
      <c r="D53" s="5">
        <v>8</v>
      </c>
      <c r="E53" s="33">
        <v>6</v>
      </c>
      <c r="F53" s="31">
        <v>4</v>
      </c>
      <c r="G53" s="7">
        <f t="shared" ca="1" si="29"/>
        <v>13011</v>
      </c>
      <c r="H53" s="5">
        <v>0</v>
      </c>
      <c r="I53" s="5">
        <f>'B-JCI2 LH'!AS263</f>
        <v>2631</v>
      </c>
      <c r="J53" s="12">
        <f t="shared" ca="1" si="16"/>
        <v>19.8</v>
      </c>
      <c r="K53" s="5">
        <f t="shared" ca="1" si="17"/>
        <v>1540</v>
      </c>
      <c r="L53" s="5">
        <v>0</v>
      </c>
      <c r="M53" s="5">
        <f ca="1">'B-JCI2 LH'!$D$295</f>
        <v>0.29399999999999998</v>
      </c>
      <c r="N53" s="5">
        <v>0</v>
      </c>
      <c r="O53" s="5">
        <v>2</v>
      </c>
      <c r="P53" s="5"/>
      <c r="Q53" s="5">
        <v>0</v>
      </c>
      <c r="R53" s="5">
        <f t="shared" si="18"/>
        <v>658</v>
      </c>
      <c r="S53" s="33">
        <v>14</v>
      </c>
      <c r="T53" s="34">
        <v>0.77</v>
      </c>
      <c r="U53" s="33">
        <f>E53*3.5-N53</f>
        <v>21</v>
      </c>
      <c r="V53" s="33">
        <f t="shared" ca="1" si="19"/>
        <v>770</v>
      </c>
      <c r="W53" s="33">
        <f t="shared" si="20"/>
        <v>14</v>
      </c>
      <c r="X53" s="34">
        <v>0.77</v>
      </c>
      <c r="Y53" s="33">
        <f t="shared" si="21"/>
        <v>21</v>
      </c>
      <c r="Z53" s="33">
        <f t="shared" ca="1" si="22"/>
        <v>770</v>
      </c>
      <c r="AA53" s="5">
        <v>0</v>
      </c>
      <c r="AB53" s="6">
        <v>0</v>
      </c>
      <c r="AC53" s="5">
        <f t="shared" si="23"/>
        <v>42</v>
      </c>
      <c r="AD53" s="5">
        <f t="shared" ca="1" si="24"/>
        <v>0</v>
      </c>
      <c r="AE53" s="7">
        <f t="shared" si="25"/>
        <v>28</v>
      </c>
      <c r="AF53" s="5" t="e">
        <f t="shared" si="15"/>
        <v>#DIV/0!</v>
      </c>
      <c r="AG53" s="5">
        <f t="shared" ca="1" si="26"/>
        <v>452.76</v>
      </c>
      <c r="AH53" s="5">
        <f t="shared" si="27"/>
        <v>588</v>
      </c>
      <c r="AI53" s="6">
        <f t="shared" ca="1" si="28"/>
        <v>0.77</v>
      </c>
    </row>
    <row r="54" spans="2:35" x14ac:dyDescent="0.2">
      <c r="B54" s="5" t="s">
        <v>67</v>
      </c>
      <c r="C54" s="21">
        <v>46447</v>
      </c>
      <c r="D54" s="5">
        <v>9</v>
      </c>
      <c r="E54" s="33">
        <v>6</v>
      </c>
      <c r="F54" s="5">
        <v>5</v>
      </c>
      <c r="G54" s="7">
        <f t="shared" ca="1" si="29"/>
        <v>13460</v>
      </c>
      <c r="H54" s="5">
        <v>0</v>
      </c>
      <c r="I54" s="5">
        <f>'B-JCI2 LH'!AT263</f>
        <v>3286</v>
      </c>
      <c r="J54" s="12">
        <f t="shared" ca="1" si="16"/>
        <v>20.5</v>
      </c>
      <c r="K54" s="5">
        <f t="shared" ca="1" si="17"/>
        <v>1540</v>
      </c>
      <c r="L54" s="5">
        <v>0</v>
      </c>
      <c r="M54" s="5">
        <f ca="1">'B-JCI2 LH'!$D$295</f>
        <v>0.29399999999999998</v>
      </c>
      <c r="N54" s="5">
        <v>0</v>
      </c>
      <c r="O54" s="5">
        <v>3</v>
      </c>
      <c r="P54" s="5"/>
      <c r="Q54" s="5">
        <v>0</v>
      </c>
      <c r="R54" s="5">
        <f t="shared" si="18"/>
        <v>657</v>
      </c>
      <c r="S54" s="33">
        <v>14</v>
      </c>
      <c r="T54" s="34">
        <v>0.77</v>
      </c>
      <c r="U54" s="33">
        <f>E54*3.5-N54</f>
        <v>21</v>
      </c>
      <c r="V54" s="33">
        <f t="shared" ca="1" si="19"/>
        <v>770</v>
      </c>
      <c r="W54" s="33">
        <f t="shared" si="20"/>
        <v>14</v>
      </c>
      <c r="X54" s="34">
        <v>0.77</v>
      </c>
      <c r="Y54" s="33">
        <f t="shared" si="21"/>
        <v>21</v>
      </c>
      <c r="Z54" s="33">
        <f t="shared" ca="1" si="22"/>
        <v>770</v>
      </c>
      <c r="AA54" s="5">
        <v>0</v>
      </c>
      <c r="AB54" s="6">
        <v>0</v>
      </c>
      <c r="AC54" s="5">
        <f t="shared" si="23"/>
        <v>42</v>
      </c>
      <c r="AD54" s="5">
        <f t="shared" ca="1" si="24"/>
        <v>0</v>
      </c>
      <c r="AE54" s="7">
        <f t="shared" si="25"/>
        <v>28</v>
      </c>
      <c r="AF54" s="5" t="e">
        <f t="shared" si="15"/>
        <v>#DIV/0!</v>
      </c>
      <c r="AG54" s="5">
        <f t="shared" ca="1" si="26"/>
        <v>452.76</v>
      </c>
      <c r="AH54" s="5">
        <f t="shared" si="27"/>
        <v>588</v>
      </c>
      <c r="AI54" s="6">
        <f t="shared" ca="1" si="28"/>
        <v>0.77</v>
      </c>
    </row>
    <row r="55" spans="2:35" x14ac:dyDescent="0.2">
      <c r="B55" s="5" t="s">
        <v>67</v>
      </c>
      <c r="C55" s="21">
        <v>46454</v>
      </c>
      <c r="D55" s="5">
        <v>10</v>
      </c>
      <c r="E55" s="33">
        <v>6</v>
      </c>
      <c r="F55" s="5">
        <v>5</v>
      </c>
      <c r="G55" s="7">
        <f t="shared" ca="1" si="29"/>
        <v>12740</v>
      </c>
      <c r="H55" s="5">
        <v>0</v>
      </c>
      <c r="I55" s="5">
        <f>'B-JCI2 LH'!AU263</f>
        <v>3120</v>
      </c>
      <c r="J55" s="12">
        <f t="shared" ca="1" si="16"/>
        <v>20.399999999999999</v>
      </c>
      <c r="K55" s="5">
        <f t="shared" ca="1" si="17"/>
        <v>1540</v>
      </c>
      <c r="L55" s="5">
        <v>0</v>
      </c>
      <c r="M55" s="5">
        <f ca="1">'B-JCI2 LH'!$D$295</f>
        <v>0.29399999999999998</v>
      </c>
      <c r="N55" s="5">
        <v>0</v>
      </c>
      <c r="O55" s="5">
        <v>3</v>
      </c>
      <c r="P55" s="5"/>
      <c r="Q55" s="5">
        <v>0</v>
      </c>
      <c r="R55" s="5">
        <f t="shared" si="18"/>
        <v>624</v>
      </c>
      <c r="S55" s="33">
        <v>14</v>
      </c>
      <c r="T55" s="34">
        <v>0.77</v>
      </c>
      <c r="U55" s="33">
        <f>E55*3.5-N55</f>
        <v>21</v>
      </c>
      <c r="V55" s="33">
        <f t="shared" ca="1" si="19"/>
        <v>770</v>
      </c>
      <c r="W55" s="33">
        <f t="shared" si="20"/>
        <v>14</v>
      </c>
      <c r="X55" s="34">
        <v>0.77</v>
      </c>
      <c r="Y55" s="33">
        <f t="shared" si="21"/>
        <v>21</v>
      </c>
      <c r="Z55" s="33">
        <f t="shared" ca="1" si="22"/>
        <v>770</v>
      </c>
      <c r="AA55" s="5">
        <v>0</v>
      </c>
      <c r="AB55" s="6">
        <v>0</v>
      </c>
      <c r="AC55" s="5">
        <f t="shared" si="23"/>
        <v>42</v>
      </c>
      <c r="AD55" s="5">
        <f t="shared" ca="1" si="24"/>
        <v>0</v>
      </c>
      <c r="AE55" s="7">
        <f t="shared" si="25"/>
        <v>28</v>
      </c>
      <c r="AF55" s="5" t="e">
        <f t="shared" ref="AF55:AF89" si="30">ROUND( ((SUM(I54:I55)*1)/SUM(Q54:Q55)*100),1)</f>
        <v>#DIV/0!</v>
      </c>
      <c r="AG55" s="5">
        <f t="shared" ca="1" si="26"/>
        <v>452.76</v>
      </c>
      <c r="AH55" s="5">
        <f t="shared" si="27"/>
        <v>588</v>
      </c>
      <c r="AI55" s="6">
        <f t="shared" ca="1" si="28"/>
        <v>0.77</v>
      </c>
    </row>
    <row r="56" spans="2:35" x14ac:dyDescent="0.2">
      <c r="B56" s="5" t="s">
        <v>67</v>
      </c>
      <c r="C56" s="21">
        <v>46461</v>
      </c>
      <c r="D56" s="5">
        <v>11</v>
      </c>
      <c r="E56" s="33">
        <v>3</v>
      </c>
      <c r="F56" s="5">
        <v>5</v>
      </c>
      <c r="G56" s="7">
        <f t="shared" ca="1" si="29"/>
        <v>12700</v>
      </c>
      <c r="H56" s="5">
        <v>0</v>
      </c>
      <c r="I56" s="5">
        <f>'B-JCI2 LH'!AV263</f>
        <v>3120</v>
      </c>
      <c r="J56" s="12">
        <f t="shared" ca="1" si="16"/>
        <v>20.399999999999999</v>
      </c>
      <c r="K56" s="5">
        <f t="shared" ca="1" si="17"/>
        <v>770</v>
      </c>
      <c r="L56" s="5">
        <v>0</v>
      </c>
      <c r="M56" s="5">
        <f ca="1">'B-JCI2 LH'!$D$295</f>
        <v>0.29399999999999998</v>
      </c>
      <c r="N56" s="5">
        <v>0</v>
      </c>
      <c r="O56" s="5">
        <v>3</v>
      </c>
      <c r="P56" s="5"/>
      <c r="Q56" s="5">
        <v>0</v>
      </c>
      <c r="R56" s="5">
        <f t="shared" si="18"/>
        <v>624</v>
      </c>
      <c r="S56" s="33">
        <v>14</v>
      </c>
      <c r="T56" s="34">
        <v>0.77</v>
      </c>
      <c r="U56" s="33">
        <f>E56*3.5-N56</f>
        <v>10.5</v>
      </c>
      <c r="V56" s="33">
        <f t="shared" ca="1" si="19"/>
        <v>385</v>
      </c>
      <c r="W56" s="33">
        <f t="shared" si="20"/>
        <v>14</v>
      </c>
      <c r="X56" s="34">
        <v>0.77</v>
      </c>
      <c r="Y56" s="33">
        <f t="shared" si="21"/>
        <v>10.5</v>
      </c>
      <c r="Z56" s="33">
        <f t="shared" ca="1" si="22"/>
        <v>385</v>
      </c>
      <c r="AA56" s="5">
        <v>0</v>
      </c>
      <c r="AB56" s="6">
        <v>0</v>
      </c>
      <c r="AC56" s="5">
        <f t="shared" si="23"/>
        <v>21</v>
      </c>
      <c r="AD56" s="5">
        <f t="shared" ca="1" si="24"/>
        <v>0</v>
      </c>
      <c r="AE56" s="7">
        <f t="shared" si="25"/>
        <v>28</v>
      </c>
      <c r="AF56" s="5" t="e">
        <f t="shared" si="30"/>
        <v>#DIV/0!</v>
      </c>
      <c r="AG56" s="5">
        <f t="shared" ca="1" si="26"/>
        <v>226.38</v>
      </c>
      <c r="AH56" s="5">
        <f t="shared" si="27"/>
        <v>294</v>
      </c>
      <c r="AI56" s="6">
        <f t="shared" ca="1" si="28"/>
        <v>0.77</v>
      </c>
    </row>
    <row r="57" spans="2:35" x14ac:dyDescent="0.2">
      <c r="B57" s="5" t="s">
        <v>67</v>
      </c>
      <c r="C57" s="21">
        <v>46468</v>
      </c>
      <c r="D57" s="5">
        <v>12</v>
      </c>
      <c r="E57" s="5">
        <v>4</v>
      </c>
      <c r="F57" s="5">
        <v>5</v>
      </c>
      <c r="G57" s="7">
        <f t="shared" ca="1" si="29"/>
        <v>10864</v>
      </c>
      <c r="H57" s="5">
        <v>0</v>
      </c>
      <c r="I57" s="5">
        <f>'B-JCI2 LH'!AW263</f>
        <v>3120</v>
      </c>
      <c r="J57" s="12">
        <f t="shared" ca="1" si="16"/>
        <v>17.399999999999999</v>
      </c>
      <c r="K57" s="5">
        <f t="shared" ca="1" si="17"/>
        <v>2054</v>
      </c>
      <c r="L57" s="5">
        <v>0</v>
      </c>
      <c r="M57" s="5">
        <f ca="1">'B-JCI2 LH'!$D$295</f>
        <v>0.29399999999999998</v>
      </c>
      <c r="N57" s="5">
        <v>0</v>
      </c>
      <c r="O57" s="5">
        <v>3</v>
      </c>
      <c r="P57" s="5"/>
      <c r="Q57" s="5">
        <v>0</v>
      </c>
      <c r="R57" s="5">
        <f t="shared" si="18"/>
        <v>624</v>
      </c>
      <c r="S57" s="5">
        <v>14</v>
      </c>
      <c r="T57" s="6">
        <v>0.77</v>
      </c>
      <c r="U57" s="5">
        <f t="shared" ref="U57:U89" si="31">E57*7-N57</f>
        <v>28</v>
      </c>
      <c r="V57" s="5">
        <f t="shared" ca="1" si="19"/>
        <v>1027</v>
      </c>
      <c r="W57" s="5">
        <f t="shared" si="20"/>
        <v>14</v>
      </c>
      <c r="X57" s="6">
        <v>0.77</v>
      </c>
      <c r="Y57" s="5">
        <f t="shared" si="21"/>
        <v>28</v>
      </c>
      <c r="Z57" s="5">
        <f t="shared" ca="1" si="22"/>
        <v>1027</v>
      </c>
      <c r="AA57" s="5">
        <v>0</v>
      </c>
      <c r="AB57" s="6">
        <v>0</v>
      </c>
      <c r="AC57" s="5">
        <f t="shared" si="23"/>
        <v>28</v>
      </c>
      <c r="AD57" s="5">
        <f t="shared" ca="1" si="24"/>
        <v>0</v>
      </c>
      <c r="AE57" s="7">
        <f t="shared" si="25"/>
        <v>28</v>
      </c>
      <c r="AF57" s="5" t="e">
        <f t="shared" si="30"/>
        <v>#DIV/0!</v>
      </c>
      <c r="AG57" s="5">
        <f t="shared" ca="1" si="26"/>
        <v>603.87599999999998</v>
      </c>
      <c r="AH57" s="5">
        <f t="shared" si="27"/>
        <v>784</v>
      </c>
      <c r="AI57" s="6">
        <f t="shared" ca="1" si="28"/>
        <v>0.77024999999999999</v>
      </c>
    </row>
    <row r="58" spans="2:35" x14ac:dyDescent="0.2">
      <c r="B58" s="5" t="s">
        <v>67</v>
      </c>
      <c r="C58" s="21">
        <v>46475</v>
      </c>
      <c r="D58" s="5">
        <v>13</v>
      </c>
      <c r="E58" s="5">
        <v>6</v>
      </c>
      <c r="F58" s="5">
        <v>5</v>
      </c>
      <c r="G58" s="7">
        <f t="shared" ca="1" si="29"/>
        <v>9284</v>
      </c>
      <c r="H58" s="5">
        <v>0</v>
      </c>
      <c r="I58" s="5">
        <f>'B-JCI2 LH'!AX263</f>
        <v>3120</v>
      </c>
      <c r="J58" s="12">
        <f t="shared" ca="1" si="16"/>
        <v>14.9</v>
      </c>
      <c r="K58" s="5">
        <f t="shared" ca="1" si="17"/>
        <v>3080</v>
      </c>
      <c r="L58" s="5">
        <v>0</v>
      </c>
      <c r="M58" s="5">
        <f ca="1">'B-JCI2 LH'!$D$295</f>
        <v>0.29399999999999998</v>
      </c>
      <c r="N58" s="5">
        <v>0</v>
      </c>
      <c r="O58" s="5">
        <v>3</v>
      </c>
      <c r="P58" s="5"/>
      <c r="Q58" s="5">
        <v>0</v>
      </c>
      <c r="R58" s="5">
        <f t="shared" si="18"/>
        <v>624</v>
      </c>
      <c r="S58" s="5">
        <v>14</v>
      </c>
      <c r="T58" s="6">
        <v>0.77</v>
      </c>
      <c r="U58" s="5">
        <f t="shared" si="31"/>
        <v>42</v>
      </c>
      <c r="V58" s="5">
        <f t="shared" ca="1" si="19"/>
        <v>1540</v>
      </c>
      <c r="W58" s="5">
        <f t="shared" si="20"/>
        <v>14</v>
      </c>
      <c r="X58" s="6">
        <v>0.77</v>
      </c>
      <c r="Y58" s="5">
        <f t="shared" si="21"/>
        <v>42</v>
      </c>
      <c r="Z58" s="5">
        <f t="shared" ca="1" si="22"/>
        <v>1540</v>
      </c>
      <c r="AA58" s="5">
        <v>0</v>
      </c>
      <c r="AB58" s="6">
        <v>0</v>
      </c>
      <c r="AC58" s="5">
        <f t="shared" si="23"/>
        <v>42</v>
      </c>
      <c r="AD58" s="5">
        <f t="shared" ca="1" si="24"/>
        <v>0</v>
      </c>
      <c r="AE58" s="7">
        <f t="shared" si="25"/>
        <v>28</v>
      </c>
      <c r="AF58" s="5" t="e">
        <f t="shared" si="30"/>
        <v>#DIV/0!</v>
      </c>
      <c r="AG58" s="5">
        <f t="shared" ca="1" si="26"/>
        <v>905.52</v>
      </c>
      <c r="AH58" s="5">
        <f t="shared" si="27"/>
        <v>1176</v>
      </c>
      <c r="AI58" s="6">
        <f t="shared" ca="1" si="28"/>
        <v>0.77</v>
      </c>
    </row>
    <row r="59" spans="2:35" x14ac:dyDescent="0.2">
      <c r="B59" s="5" t="s">
        <v>68</v>
      </c>
      <c r="C59" s="21">
        <v>46482</v>
      </c>
      <c r="D59" s="5">
        <v>14</v>
      </c>
      <c r="E59" s="5">
        <v>4</v>
      </c>
      <c r="F59" s="31">
        <v>4</v>
      </c>
      <c r="G59" s="7">
        <f t="shared" ca="1" si="29"/>
        <v>7704</v>
      </c>
      <c r="H59" s="5">
        <v>0</v>
      </c>
      <c r="I59" s="5">
        <f>'B-JCI2 LH'!AY263</f>
        <v>2495</v>
      </c>
      <c r="J59" s="12">
        <f t="shared" ca="1" si="16"/>
        <v>12.4</v>
      </c>
      <c r="K59" s="5">
        <f t="shared" ca="1" si="17"/>
        <v>2054</v>
      </c>
      <c r="L59" s="5">
        <v>0</v>
      </c>
      <c r="M59" s="5">
        <f ca="1">'B-JCI2 LH'!$D$295</f>
        <v>0.29399999999999998</v>
      </c>
      <c r="N59" s="5">
        <v>0</v>
      </c>
      <c r="O59" s="5">
        <v>4</v>
      </c>
      <c r="P59" s="5"/>
      <c r="Q59" s="5">
        <v>0</v>
      </c>
      <c r="R59" s="5">
        <f t="shared" si="18"/>
        <v>624</v>
      </c>
      <c r="S59" s="5">
        <v>14</v>
      </c>
      <c r="T59" s="6">
        <v>0.77</v>
      </c>
      <c r="U59" s="5">
        <f t="shared" si="31"/>
        <v>28</v>
      </c>
      <c r="V59" s="5">
        <f t="shared" ca="1" si="19"/>
        <v>1027</v>
      </c>
      <c r="W59" s="5">
        <f t="shared" si="20"/>
        <v>14</v>
      </c>
      <c r="X59" s="6">
        <v>0.77</v>
      </c>
      <c r="Y59" s="5">
        <f t="shared" si="21"/>
        <v>28</v>
      </c>
      <c r="Z59" s="5">
        <f t="shared" ca="1" si="22"/>
        <v>1027</v>
      </c>
      <c r="AA59" s="5">
        <v>0</v>
      </c>
      <c r="AB59" s="6">
        <v>0</v>
      </c>
      <c r="AC59" s="5">
        <f t="shared" si="23"/>
        <v>28</v>
      </c>
      <c r="AD59" s="5">
        <f t="shared" ca="1" si="24"/>
        <v>0</v>
      </c>
      <c r="AE59" s="7">
        <f t="shared" si="25"/>
        <v>28</v>
      </c>
      <c r="AF59" s="5" t="e">
        <f t="shared" si="30"/>
        <v>#DIV/0!</v>
      </c>
      <c r="AG59" s="5">
        <f t="shared" ca="1" si="26"/>
        <v>603.87599999999998</v>
      </c>
      <c r="AH59" s="5">
        <f t="shared" si="27"/>
        <v>784</v>
      </c>
      <c r="AI59" s="6">
        <f t="shared" ca="1" si="28"/>
        <v>0.77024999999999999</v>
      </c>
    </row>
    <row r="60" spans="2:35" x14ac:dyDescent="0.2">
      <c r="B60" s="5" t="s">
        <v>68</v>
      </c>
      <c r="C60" s="21">
        <v>46489</v>
      </c>
      <c r="D60" s="5">
        <v>15</v>
      </c>
      <c r="E60" s="5">
        <v>6</v>
      </c>
      <c r="F60" s="5">
        <v>5</v>
      </c>
      <c r="G60" s="7">
        <f t="shared" ca="1" si="29"/>
        <v>6749</v>
      </c>
      <c r="H60" s="5">
        <v>0</v>
      </c>
      <c r="I60" s="5">
        <f>'B-JCI2 LH'!AZ263</f>
        <v>2224</v>
      </c>
      <c r="J60" s="12">
        <f t="shared" ca="1" si="16"/>
        <v>15.2</v>
      </c>
      <c r="K60" s="5">
        <f t="shared" ca="1" si="17"/>
        <v>3080</v>
      </c>
      <c r="L60" s="5">
        <v>0</v>
      </c>
      <c r="M60" s="5">
        <f ca="1">'B-JCI2 LH'!$D$295</f>
        <v>0.29399999999999998</v>
      </c>
      <c r="N60" s="5">
        <v>0</v>
      </c>
      <c r="O60" s="5">
        <v>4</v>
      </c>
      <c r="P60" s="5"/>
      <c r="Q60" s="5">
        <v>0</v>
      </c>
      <c r="R60" s="5">
        <f t="shared" si="18"/>
        <v>445</v>
      </c>
      <c r="S60" s="5">
        <v>14</v>
      </c>
      <c r="T60" s="6">
        <v>0.77</v>
      </c>
      <c r="U60" s="5">
        <f t="shared" si="31"/>
        <v>42</v>
      </c>
      <c r="V60" s="5">
        <f t="shared" ca="1" si="19"/>
        <v>1540</v>
      </c>
      <c r="W60" s="5">
        <f t="shared" si="20"/>
        <v>14</v>
      </c>
      <c r="X60" s="6">
        <v>0.77</v>
      </c>
      <c r="Y60" s="5">
        <f t="shared" si="21"/>
        <v>42</v>
      </c>
      <c r="Z60" s="5">
        <f t="shared" ca="1" si="22"/>
        <v>1540</v>
      </c>
      <c r="AA60" s="5">
        <v>0</v>
      </c>
      <c r="AB60" s="6">
        <v>0</v>
      </c>
      <c r="AC60" s="5">
        <f t="shared" si="23"/>
        <v>42</v>
      </c>
      <c r="AD60" s="5">
        <f t="shared" ca="1" si="24"/>
        <v>0</v>
      </c>
      <c r="AE60" s="7">
        <f t="shared" si="25"/>
        <v>28</v>
      </c>
      <c r="AF60" s="5" t="e">
        <f t="shared" si="30"/>
        <v>#DIV/0!</v>
      </c>
      <c r="AG60" s="5">
        <f t="shared" ca="1" si="26"/>
        <v>905.52</v>
      </c>
      <c r="AH60" s="5">
        <f t="shared" si="27"/>
        <v>1176</v>
      </c>
      <c r="AI60" s="6">
        <f t="shared" ca="1" si="28"/>
        <v>0.77</v>
      </c>
    </row>
    <row r="61" spans="2:35" x14ac:dyDescent="0.2">
      <c r="B61" s="5" t="s">
        <v>68</v>
      </c>
      <c r="C61" s="21">
        <v>46496</v>
      </c>
      <c r="D61" s="5">
        <v>16</v>
      </c>
      <c r="E61" s="5">
        <v>6</v>
      </c>
      <c r="F61" s="5">
        <v>5</v>
      </c>
      <c r="G61" s="7">
        <f t="shared" ca="1" si="29"/>
        <v>5295</v>
      </c>
      <c r="H61" s="5">
        <v>0</v>
      </c>
      <c r="I61" s="5">
        <f>'B-JCI2 LH'!BA263</f>
        <v>2224</v>
      </c>
      <c r="J61" s="12">
        <f t="shared" ca="1" si="16"/>
        <v>11.9</v>
      </c>
      <c r="K61" s="5">
        <f t="shared" ca="1" si="17"/>
        <v>3080</v>
      </c>
      <c r="L61" s="5">
        <v>0</v>
      </c>
      <c r="M61" s="5">
        <f ca="1">'B-JCI2 LH'!$D$295</f>
        <v>0.29399999999999998</v>
      </c>
      <c r="N61" s="5">
        <v>0</v>
      </c>
      <c r="O61" s="5">
        <v>4</v>
      </c>
      <c r="P61" s="5"/>
      <c r="Q61" s="5">
        <v>0</v>
      </c>
      <c r="R61" s="5">
        <f t="shared" si="18"/>
        <v>445</v>
      </c>
      <c r="S61" s="5">
        <v>14</v>
      </c>
      <c r="T61" s="6">
        <v>0.77</v>
      </c>
      <c r="U61" s="5">
        <f t="shared" si="31"/>
        <v>42</v>
      </c>
      <c r="V61" s="5">
        <f t="shared" ca="1" si="19"/>
        <v>1540</v>
      </c>
      <c r="W61" s="5">
        <f t="shared" si="20"/>
        <v>14</v>
      </c>
      <c r="X61" s="6">
        <v>0.77</v>
      </c>
      <c r="Y61" s="5">
        <f t="shared" si="21"/>
        <v>42</v>
      </c>
      <c r="Z61" s="5">
        <f t="shared" ca="1" si="22"/>
        <v>1540</v>
      </c>
      <c r="AA61" s="5">
        <v>0</v>
      </c>
      <c r="AB61" s="6">
        <v>0</v>
      </c>
      <c r="AC61" s="5">
        <f t="shared" si="23"/>
        <v>42</v>
      </c>
      <c r="AD61" s="5">
        <f t="shared" ca="1" si="24"/>
        <v>0</v>
      </c>
      <c r="AE61" s="7">
        <f t="shared" si="25"/>
        <v>28</v>
      </c>
      <c r="AF61" s="5" t="e">
        <f t="shared" si="30"/>
        <v>#DIV/0!</v>
      </c>
      <c r="AG61" s="5">
        <f t="shared" ca="1" si="26"/>
        <v>905.52</v>
      </c>
      <c r="AH61" s="5">
        <f t="shared" si="27"/>
        <v>1176</v>
      </c>
      <c r="AI61" s="6">
        <f t="shared" ca="1" si="28"/>
        <v>0.77</v>
      </c>
    </row>
    <row r="62" spans="2:35" x14ac:dyDescent="0.2">
      <c r="B62" s="5" t="s">
        <v>68</v>
      </c>
      <c r="C62" s="21">
        <v>46503</v>
      </c>
      <c r="D62" s="5">
        <v>17</v>
      </c>
      <c r="E62" s="5">
        <v>3</v>
      </c>
      <c r="F62" s="5">
        <v>5</v>
      </c>
      <c r="G62" s="7">
        <f t="shared" ca="1" si="29"/>
        <v>5125</v>
      </c>
      <c r="H62" s="5">
        <v>0</v>
      </c>
      <c r="I62" s="5">
        <f>'B-JCI2 LH'!BB263</f>
        <v>2224</v>
      </c>
      <c r="J62" s="12">
        <f t="shared" ca="1" si="16"/>
        <v>11.5</v>
      </c>
      <c r="K62" s="5">
        <f t="shared" ca="1" si="17"/>
        <v>1540</v>
      </c>
      <c r="L62" s="5">
        <v>0</v>
      </c>
      <c r="M62" s="5">
        <f ca="1">'B-JCI2 LH'!$D$295</f>
        <v>0.29399999999999998</v>
      </c>
      <c r="N62" s="5">
        <v>0</v>
      </c>
      <c r="O62" s="5">
        <v>4</v>
      </c>
      <c r="P62" s="5"/>
      <c r="Q62" s="5">
        <v>0</v>
      </c>
      <c r="R62" s="5">
        <f t="shared" si="18"/>
        <v>445</v>
      </c>
      <c r="S62" s="5">
        <v>14</v>
      </c>
      <c r="T62" s="6">
        <v>0.77</v>
      </c>
      <c r="U62" s="5">
        <f t="shared" si="31"/>
        <v>21</v>
      </c>
      <c r="V62" s="5">
        <f t="shared" ca="1" si="19"/>
        <v>770</v>
      </c>
      <c r="W62" s="5">
        <f t="shared" si="20"/>
        <v>14</v>
      </c>
      <c r="X62" s="6">
        <v>0.77</v>
      </c>
      <c r="Y62" s="5">
        <f t="shared" si="21"/>
        <v>21</v>
      </c>
      <c r="Z62" s="5">
        <f t="shared" ca="1" si="22"/>
        <v>770</v>
      </c>
      <c r="AA62" s="5">
        <v>0</v>
      </c>
      <c r="AB62" s="6">
        <v>0</v>
      </c>
      <c r="AC62" s="5">
        <f t="shared" si="23"/>
        <v>21</v>
      </c>
      <c r="AD62" s="5">
        <f t="shared" ca="1" si="24"/>
        <v>0</v>
      </c>
      <c r="AE62" s="7">
        <f t="shared" si="25"/>
        <v>28</v>
      </c>
      <c r="AF62" s="5" t="e">
        <f t="shared" si="30"/>
        <v>#DIV/0!</v>
      </c>
      <c r="AG62" s="5">
        <f t="shared" ca="1" si="26"/>
        <v>452.76</v>
      </c>
      <c r="AH62" s="5">
        <f t="shared" si="27"/>
        <v>588</v>
      </c>
      <c r="AI62" s="6">
        <f t="shared" ca="1" si="28"/>
        <v>0.77</v>
      </c>
    </row>
    <row r="63" spans="2:35" x14ac:dyDescent="0.2">
      <c r="B63" s="5" t="s">
        <v>57</v>
      </c>
      <c r="C63" s="21">
        <v>46510</v>
      </c>
      <c r="D63" s="5">
        <v>18</v>
      </c>
      <c r="E63" s="5">
        <v>6</v>
      </c>
      <c r="F63" s="31">
        <v>4</v>
      </c>
      <c r="G63" s="7">
        <f t="shared" ca="1" si="29"/>
        <v>5981</v>
      </c>
      <c r="H63" s="5">
        <v>0</v>
      </c>
      <c r="I63" s="5">
        <f>'B-JCI2 LH'!BC263</f>
        <v>2495</v>
      </c>
      <c r="J63" s="12">
        <f t="shared" ca="1" si="16"/>
        <v>9.6</v>
      </c>
      <c r="K63" s="5">
        <f t="shared" ca="1" si="17"/>
        <v>3080</v>
      </c>
      <c r="L63" s="5">
        <v>0</v>
      </c>
      <c r="M63" s="5">
        <f ca="1">'B-JCI2 LH'!$D$295</f>
        <v>0.29399999999999998</v>
      </c>
      <c r="N63" s="5">
        <v>0</v>
      </c>
      <c r="O63" s="5">
        <v>5</v>
      </c>
      <c r="P63" s="5"/>
      <c r="Q63" s="5">
        <v>0</v>
      </c>
      <c r="R63" s="5">
        <f t="shared" si="18"/>
        <v>624</v>
      </c>
      <c r="S63" s="5">
        <v>14</v>
      </c>
      <c r="T63" s="6">
        <v>0.77</v>
      </c>
      <c r="U63" s="5">
        <f t="shared" si="31"/>
        <v>42</v>
      </c>
      <c r="V63" s="5">
        <f t="shared" ca="1" si="19"/>
        <v>1540</v>
      </c>
      <c r="W63" s="5">
        <f t="shared" si="20"/>
        <v>14</v>
      </c>
      <c r="X63" s="6">
        <v>0.77</v>
      </c>
      <c r="Y63" s="5">
        <f t="shared" si="21"/>
        <v>42</v>
      </c>
      <c r="Z63" s="5">
        <f t="shared" ca="1" si="22"/>
        <v>1540</v>
      </c>
      <c r="AA63" s="5">
        <v>0</v>
      </c>
      <c r="AB63" s="6">
        <v>0</v>
      </c>
      <c r="AC63" s="5">
        <f t="shared" si="23"/>
        <v>42</v>
      </c>
      <c r="AD63" s="5">
        <f t="shared" ca="1" si="24"/>
        <v>0</v>
      </c>
      <c r="AE63" s="7">
        <f t="shared" si="25"/>
        <v>28</v>
      </c>
      <c r="AF63" s="5" t="e">
        <f t="shared" si="30"/>
        <v>#DIV/0!</v>
      </c>
      <c r="AG63" s="5">
        <f t="shared" ca="1" si="26"/>
        <v>905.52</v>
      </c>
      <c r="AH63" s="5">
        <f t="shared" si="27"/>
        <v>1176</v>
      </c>
      <c r="AI63" s="6">
        <f t="shared" ca="1" si="28"/>
        <v>0.77</v>
      </c>
    </row>
    <row r="64" spans="2:35" x14ac:dyDescent="0.2">
      <c r="B64" s="5" t="s">
        <v>57</v>
      </c>
      <c r="C64" s="21">
        <v>46517</v>
      </c>
      <c r="D64" s="5">
        <v>19</v>
      </c>
      <c r="E64" s="5">
        <v>3</v>
      </c>
      <c r="F64" s="5">
        <v>5</v>
      </c>
      <c r="G64" s="7">
        <f t="shared" ca="1" si="29"/>
        <v>5540</v>
      </c>
      <c r="H64" s="5">
        <v>0</v>
      </c>
      <c r="I64" s="5">
        <f>'B-JCI2 LH'!BD263</f>
        <v>2495</v>
      </c>
      <c r="J64" s="12">
        <f t="shared" ca="1" si="16"/>
        <v>11.1</v>
      </c>
      <c r="K64" s="5">
        <f t="shared" ca="1" si="17"/>
        <v>1540</v>
      </c>
      <c r="L64" s="5">
        <v>0</v>
      </c>
      <c r="M64" s="5">
        <f ca="1">'B-JCI2 LH'!$D$295</f>
        <v>0.29399999999999998</v>
      </c>
      <c r="N64" s="5">
        <v>0</v>
      </c>
      <c r="O64" s="5">
        <v>5</v>
      </c>
      <c r="P64" s="5"/>
      <c r="Q64" s="5">
        <v>0</v>
      </c>
      <c r="R64" s="5">
        <f t="shared" si="18"/>
        <v>499</v>
      </c>
      <c r="S64" s="5">
        <v>14</v>
      </c>
      <c r="T64" s="6">
        <v>0.77</v>
      </c>
      <c r="U64" s="5">
        <f t="shared" si="31"/>
        <v>21</v>
      </c>
      <c r="V64" s="5">
        <f t="shared" ca="1" si="19"/>
        <v>770</v>
      </c>
      <c r="W64" s="5">
        <f t="shared" si="20"/>
        <v>14</v>
      </c>
      <c r="X64" s="6">
        <v>0.77</v>
      </c>
      <c r="Y64" s="5">
        <f t="shared" si="21"/>
        <v>21</v>
      </c>
      <c r="Z64" s="5">
        <f t="shared" ca="1" si="22"/>
        <v>770</v>
      </c>
      <c r="AA64" s="5">
        <v>0</v>
      </c>
      <c r="AB64" s="6">
        <v>0</v>
      </c>
      <c r="AC64" s="5">
        <f t="shared" si="23"/>
        <v>21</v>
      </c>
      <c r="AD64" s="5">
        <f t="shared" ca="1" si="24"/>
        <v>0</v>
      </c>
      <c r="AE64" s="7">
        <f t="shared" si="25"/>
        <v>28</v>
      </c>
      <c r="AF64" s="5" t="e">
        <f t="shared" si="30"/>
        <v>#DIV/0!</v>
      </c>
      <c r="AG64" s="5">
        <f t="shared" ca="1" si="26"/>
        <v>452.76</v>
      </c>
      <c r="AH64" s="5">
        <f t="shared" si="27"/>
        <v>588</v>
      </c>
      <c r="AI64" s="6">
        <f t="shared" ca="1" si="28"/>
        <v>0.77</v>
      </c>
    </row>
    <row r="65" spans="2:35" x14ac:dyDescent="0.2">
      <c r="B65" s="5" t="s">
        <v>57</v>
      </c>
      <c r="C65" s="21">
        <v>46524</v>
      </c>
      <c r="D65" s="5">
        <v>20</v>
      </c>
      <c r="E65" s="5">
        <v>6</v>
      </c>
      <c r="F65" s="31">
        <v>3</v>
      </c>
      <c r="G65" s="7">
        <f t="shared" ca="1" si="29"/>
        <v>6125</v>
      </c>
      <c r="H65" s="5">
        <v>0</v>
      </c>
      <c r="I65" s="5">
        <f>'B-JCI2 LH'!BE263</f>
        <v>2495</v>
      </c>
      <c r="J65" s="12">
        <f t="shared" ca="1" si="16"/>
        <v>7.4</v>
      </c>
      <c r="K65" s="5">
        <f t="shared" ca="1" si="17"/>
        <v>3080</v>
      </c>
      <c r="L65" s="5">
        <v>0</v>
      </c>
      <c r="M65" s="5">
        <f ca="1">'B-JCI2 LH'!$D$295</f>
        <v>0.29399999999999998</v>
      </c>
      <c r="N65" s="5">
        <v>0</v>
      </c>
      <c r="O65" s="5">
        <v>5</v>
      </c>
      <c r="P65" s="5"/>
      <c r="Q65" s="5">
        <v>0</v>
      </c>
      <c r="R65" s="5">
        <f t="shared" si="18"/>
        <v>832</v>
      </c>
      <c r="S65" s="5">
        <v>14</v>
      </c>
      <c r="T65" s="6">
        <v>0.77</v>
      </c>
      <c r="U65" s="5">
        <f t="shared" si="31"/>
        <v>42</v>
      </c>
      <c r="V65" s="5">
        <f t="shared" ca="1" si="19"/>
        <v>1540</v>
      </c>
      <c r="W65" s="5">
        <v>14</v>
      </c>
      <c r="X65" s="6">
        <v>0.77</v>
      </c>
      <c r="Y65" s="5">
        <f t="shared" si="21"/>
        <v>42</v>
      </c>
      <c r="Z65" s="5">
        <f t="shared" ca="1" si="22"/>
        <v>1540</v>
      </c>
      <c r="AA65" s="5">
        <v>0</v>
      </c>
      <c r="AB65" s="6">
        <v>0</v>
      </c>
      <c r="AC65" s="5">
        <f t="shared" si="23"/>
        <v>42</v>
      </c>
      <c r="AD65" s="5">
        <f t="shared" ca="1" si="24"/>
        <v>0</v>
      </c>
      <c r="AE65" s="7">
        <f t="shared" si="25"/>
        <v>28</v>
      </c>
      <c r="AF65" s="5" t="e">
        <f t="shared" si="30"/>
        <v>#DIV/0!</v>
      </c>
      <c r="AG65" s="5">
        <f t="shared" ca="1" si="26"/>
        <v>905.52</v>
      </c>
      <c r="AH65" s="5">
        <f t="shared" si="27"/>
        <v>1176</v>
      </c>
      <c r="AI65" s="6">
        <f t="shared" ca="1" si="28"/>
        <v>0.77</v>
      </c>
    </row>
    <row r="66" spans="2:35" x14ac:dyDescent="0.2">
      <c r="B66" s="5" t="s">
        <v>57</v>
      </c>
      <c r="C66" s="21">
        <v>46531</v>
      </c>
      <c r="D66" s="5">
        <v>21</v>
      </c>
      <c r="E66" s="5">
        <v>6</v>
      </c>
      <c r="F66" s="5">
        <v>5</v>
      </c>
      <c r="G66" s="7">
        <f t="shared" ca="1" si="29"/>
        <v>6710</v>
      </c>
      <c r="H66" s="5">
        <v>0</v>
      </c>
      <c r="I66" s="5">
        <f>'B-JCI2 LH'!BF263</f>
        <v>2495</v>
      </c>
      <c r="J66" s="12">
        <f t="shared" ca="1" si="16"/>
        <v>13.4</v>
      </c>
      <c r="K66" s="5">
        <f t="shared" ca="1" si="17"/>
        <v>3080</v>
      </c>
      <c r="L66" s="5">
        <v>0</v>
      </c>
      <c r="M66" s="5">
        <f ca="1">'B-JCI2 LH'!$D$295</f>
        <v>0.29399999999999998</v>
      </c>
      <c r="N66" s="5">
        <v>0</v>
      </c>
      <c r="O66" s="5">
        <v>5</v>
      </c>
      <c r="P66" s="5"/>
      <c r="Q66" s="5">
        <v>0</v>
      </c>
      <c r="R66" s="5">
        <f t="shared" si="18"/>
        <v>499</v>
      </c>
      <c r="S66" s="5">
        <v>14</v>
      </c>
      <c r="T66" s="6">
        <v>0.77</v>
      </c>
      <c r="U66" s="5">
        <f t="shared" si="31"/>
        <v>42</v>
      </c>
      <c r="V66" s="5">
        <f t="shared" ca="1" si="19"/>
        <v>1540</v>
      </c>
      <c r="W66" s="5">
        <v>14</v>
      </c>
      <c r="X66" s="6">
        <v>0.77</v>
      </c>
      <c r="Y66" s="5">
        <f t="shared" si="21"/>
        <v>42</v>
      </c>
      <c r="Z66" s="5">
        <f t="shared" ca="1" si="22"/>
        <v>1540</v>
      </c>
      <c r="AA66" s="5">
        <v>0</v>
      </c>
      <c r="AB66" s="6">
        <v>0</v>
      </c>
      <c r="AC66" s="5">
        <f t="shared" si="23"/>
        <v>42</v>
      </c>
      <c r="AD66" s="5">
        <f t="shared" ca="1" si="24"/>
        <v>0</v>
      </c>
      <c r="AE66" s="7">
        <f t="shared" si="25"/>
        <v>28</v>
      </c>
      <c r="AF66" s="5" t="e">
        <f t="shared" si="30"/>
        <v>#DIV/0!</v>
      </c>
      <c r="AG66" s="5">
        <f t="shared" ca="1" si="26"/>
        <v>905.52</v>
      </c>
      <c r="AH66" s="5">
        <f t="shared" si="27"/>
        <v>1176</v>
      </c>
      <c r="AI66" s="6">
        <f t="shared" ca="1" si="28"/>
        <v>0.77</v>
      </c>
    </row>
    <row r="67" spans="2:35" x14ac:dyDescent="0.2">
      <c r="B67" s="5" t="s">
        <v>57</v>
      </c>
      <c r="C67" s="21">
        <v>46538</v>
      </c>
      <c r="D67" s="5">
        <v>22</v>
      </c>
      <c r="E67" s="5">
        <v>6</v>
      </c>
      <c r="F67" s="31">
        <v>4</v>
      </c>
      <c r="G67" s="7">
        <f t="shared" ca="1" si="29"/>
        <v>5755</v>
      </c>
      <c r="H67" s="5">
        <v>0</v>
      </c>
      <c r="I67" s="5">
        <f>'B-JCI2 LH'!BG263</f>
        <v>2495</v>
      </c>
      <c r="J67" s="12">
        <f t="shared" ca="1" si="16"/>
        <v>9.1999999999999993</v>
      </c>
      <c r="K67" s="5">
        <f t="shared" ca="1" si="17"/>
        <v>3080</v>
      </c>
      <c r="L67" s="5">
        <v>0</v>
      </c>
      <c r="M67" s="5">
        <f ca="1">'B-JCI2 LH'!$D$295</f>
        <v>0.29399999999999998</v>
      </c>
      <c r="N67" s="5">
        <v>0</v>
      </c>
      <c r="O67" s="5">
        <v>5</v>
      </c>
      <c r="P67" s="5"/>
      <c r="Q67" s="5">
        <v>0</v>
      </c>
      <c r="R67" s="5">
        <f t="shared" si="18"/>
        <v>624</v>
      </c>
      <c r="S67" s="5">
        <v>14</v>
      </c>
      <c r="T67" s="6">
        <v>0.77</v>
      </c>
      <c r="U67" s="5">
        <f t="shared" si="31"/>
        <v>42</v>
      </c>
      <c r="V67" s="5">
        <f t="shared" ca="1" si="19"/>
        <v>1540</v>
      </c>
      <c r="W67" s="5">
        <v>14</v>
      </c>
      <c r="X67" s="6">
        <v>0.77</v>
      </c>
      <c r="Y67" s="5">
        <f t="shared" si="21"/>
        <v>42</v>
      </c>
      <c r="Z67" s="5">
        <f t="shared" ca="1" si="22"/>
        <v>1540</v>
      </c>
      <c r="AA67" s="5">
        <v>0</v>
      </c>
      <c r="AB67" s="6">
        <v>0</v>
      </c>
      <c r="AC67" s="5">
        <f t="shared" si="23"/>
        <v>42</v>
      </c>
      <c r="AD67" s="5">
        <f t="shared" ca="1" si="24"/>
        <v>0</v>
      </c>
      <c r="AE67" s="7">
        <f t="shared" si="25"/>
        <v>28</v>
      </c>
      <c r="AF67" s="5" t="e">
        <f t="shared" si="30"/>
        <v>#DIV/0!</v>
      </c>
      <c r="AG67" s="5">
        <f t="shared" ca="1" si="26"/>
        <v>905.52</v>
      </c>
      <c r="AH67" s="5">
        <f t="shared" si="27"/>
        <v>1176</v>
      </c>
      <c r="AI67" s="6">
        <f t="shared" ca="1" si="28"/>
        <v>0.77</v>
      </c>
    </row>
    <row r="68" spans="2:35" x14ac:dyDescent="0.2">
      <c r="B68" s="5" t="s">
        <v>58</v>
      </c>
      <c r="C68" s="21">
        <v>46545</v>
      </c>
      <c r="D68" s="5">
        <v>23</v>
      </c>
      <c r="E68" s="5">
        <v>6</v>
      </c>
      <c r="F68" s="5">
        <v>5</v>
      </c>
      <c r="G68" s="7">
        <f t="shared" ca="1" si="29"/>
        <v>6340</v>
      </c>
      <c r="H68" s="5">
        <v>0</v>
      </c>
      <c r="I68" s="5">
        <f>'B-JCI2 LH'!BH263</f>
        <v>2495</v>
      </c>
      <c r="J68" s="12">
        <f t="shared" ca="1" si="16"/>
        <v>12.7</v>
      </c>
      <c r="K68" s="5">
        <f t="shared" ca="1" si="17"/>
        <v>3080</v>
      </c>
      <c r="L68" s="5">
        <v>0</v>
      </c>
      <c r="M68" s="5">
        <f ca="1">'B-JCI2 LH'!$D$295</f>
        <v>0.29399999999999998</v>
      </c>
      <c r="N68" s="5">
        <v>0</v>
      </c>
      <c r="O68" s="5">
        <v>6</v>
      </c>
      <c r="P68" s="5"/>
      <c r="Q68" s="5">
        <v>0</v>
      </c>
      <c r="R68" s="5">
        <f t="shared" si="18"/>
        <v>499</v>
      </c>
      <c r="S68" s="5">
        <v>14</v>
      </c>
      <c r="T68" s="6">
        <v>0.77</v>
      </c>
      <c r="U68" s="5">
        <f t="shared" si="31"/>
        <v>42</v>
      </c>
      <c r="V68" s="5">
        <f t="shared" ca="1" si="19"/>
        <v>1540</v>
      </c>
      <c r="W68" s="5">
        <v>14</v>
      </c>
      <c r="X68" s="6">
        <v>0.77</v>
      </c>
      <c r="Y68" s="5">
        <f t="shared" si="21"/>
        <v>42</v>
      </c>
      <c r="Z68" s="5">
        <f t="shared" ca="1" si="22"/>
        <v>1540</v>
      </c>
      <c r="AA68" s="5">
        <v>0</v>
      </c>
      <c r="AB68" s="6">
        <v>0</v>
      </c>
      <c r="AC68" s="5">
        <f t="shared" si="23"/>
        <v>42</v>
      </c>
      <c r="AD68" s="5">
        <f t="shared" ca="1" si="24"/>
        <v>0</v>
      </c>
      <c r="AE68" s="7">
        <f t="shared" si="25"/>
        <v>28</v>
      </c>
      <c r="AF68" s="5" t="e">
        <f t="shared" si="30"/>
        <v>#DIV/0!</v>
      </c>
      <c r="AG68" s="5">
        <f t="shared" ca="1" si="26"/>
        <v>905.52</v>
      </c>
      <c r="AH68" s="5">
        <f t="shared" si="27"/>
        <v>1176</v>
      </c>
      <c r="AI68" s="6">
        <f t="shared" ca="1" si="28"/>
        <v>0.77</v>
      </c>
    </row>
    <row r="69" spans="2:35" x14ac:dyDescent="0.2">
      <c r="B69" s="5" t="s">
        <v>58</v>
      </c>
      <c r="C69" s="21">
        <v>46552</v>
      </c>
      <c r="D69" s="5">
        <v>24</v>
      </c>
      <c r="E69" s="5">
        <v>5</v>
      </c>
      <c r="F69" s="5">
        <v>5</v>
      </c>
      <c r="G69" s="7">
        <f t="shared" ca="1" si="29"/>
        <v>5385</v>
      </c>
      <c r="H69" s="5">
        <v>0</v>
      </c>
      <c r="I69" s="5">
        <f>'B-JCI2 LH'!BI263</f>
        <v>2495</v>
      </c>
      <c r="J69" s="12">
        <f t="shared" ca="1" si="16"/>
        <v>10.8</v>
      </c>
      <c r="K69" s="5">
        <f t="shared" ca="1" si="17"/>
        <v>2566</v>
      </c>
      <c r="L69" s="5">
        <v>0</v>
      </c>
      <c r="M69" s="5">
        <f ca="1">'B-JCI2 LH'!$D$295</f>
        <v>0.29399999999999998</v>
      </c>
      <c r="N69" s="5">
        <v>0</v>
      </c>
      <c r="O69" s="5">
        <v>6</v>
      </c>
      <c r="P69" s="5"/>
      <c r="Q69" s="5">
        <v>0</v>
      </c>
      <c r="R69" s="5">
        <f t="shared" si="18"/>
        <v>499</v>
      </c>
      <c r="S69" s="5">
        <v>14</v>
      </c>
      <c r="T69" s="6">
        <v>0.77</v>
      </c>
      <c r="U69" s="5">
        <f t="shared" si="31"/>
        <v>35</v>
      </c>
      <c r="V69" s="5">
        <f t="shared" ca="1" si="19"/>
        <v>1283</v>
      </c>
      <c r="W69" s="5">
        <v>14</v>
      </c>
      <c r="X69" s="6">
        <v>0.77</v>
      </c>
      <c r="Y69" s="5">
        <f t="shared" si="21"/>
        <v>35</v>
      </c>
      <c r="Z69" s="5">
        <f t="shared" ca="1" si="22"/>
        <v>1283</v>
      </c>
      <c r="AA69" s="5">
        <v>0</v>
      </c>
      <c r="AB69" s="6">
        <v>0</v>
      </c>
      <c r="AC69" s="5">
        <f t="shared" si="23"/>
        <v>35</v>
      </c>
      <c r="AD69" s="5">
        <f t="shared" ca="1" si="24"/>
        <v>0</v>
      </c>
      <c r="AE69" s="7">
        <f t="shared" si="25"/>
        <v>28</v>
      </c>
      <c r="AF69" s="5" t="e">
        <f t="shared" si="30"/>
        <v>#DIV/0!</v>
      </c>
      <c r="AG69" s="5">
        <f t="shared" ca="1" si="26"/>
        <v>754.404</v>
      </c>
      <c r="AH69" s="5">
        <f t="shared" si="27"/>
        <v>980</v>
      </c>
      <c r="AI69" s="6">
        <f t="shared" ca="1" si="28"/>
        <v>0.76980000000000004</v>
      </c>
    </row>
    <row r="70" spans="2:35" x14ac:dyDescent="0.2">
      <c r="B70" s="5" t="s">
        <v>58</v>
      </c>
      <c r="C70" s="21">
        <v>46559</v>
      </c>
      <c r="D70" s="5">
        <v>25</v>
      </c>
      <c r="E70" s="5">
        <v>6</v>
      </c>
      <c r="F70" s="5">
        <v>5</v>
      </c>
      <c r="G70" s="7">
        <f t="shared" ca="1" si="29"/>
        <v>5970</v>
      </c>
      <c r="H70" s="5">
        <v>0</v>
      </c>
      <c r="I70" s="5">
        <f>'B-JCI2 LH'!BJ263</f>
        <v>2495</v>
      </c>
      <c r="J70" s="12">
        <f t="shared" ca="1" si="16"/>
        <v>12</v>
      </c>
      <c r="K70" s="5">
        <f t="shared" ca="1" si="17"/>
        <v>3080</v>
      </c>
      <c r="L70" s="5">
        <v>0</v>
      </c>
      <c r="M70" s="5">
        <f ca="1">'B-JCI2 LH'!$D$295</f>
        <v>0.29399999999999998</v>
      </c>
      <c r="N70" s="5">
        <v>0</v>
      </c>
      <c r="O70" s="5">
        <v>6</v>
      </c>
      <c r="P70" s="5"/>
      <c r="Q70" s="5">
        <v>0</v>
      </c>
      <c r="R70" s="5">
        <f t="shared" si="18"/>
        <v>499</v>
      </c>
      <c r="S70" s="5">
        <v>14</v>
      </c>
      <c r="T70" s="6">
        <v>0.77</v>
      </c>
      <c r="U70" s="5">
        <f t="shared" si="31"/>
        <v>42</v>
      </c>
      <c r="V70" s="5">
        <f t="shared" ca="1" si="19"/>
        <v>1540</v>
      </c>
      <c r="W70" s="5">
        <v>14</v>
      </c>
      <c r="X70" s="6">
        <v>0.77</v>
      </c>
      <c r="Y70" s="5">
        <f t="shared" si="21"/>
        <v>42</v>
      </c>
      <c r="Z70" s="5">
        <f t="shared" ca="1" si="22"/>
        <v>1540</v>
      </c>
      <c r="AA70" s="5">
        <v>0</v>
      </c>
      <c r="AB70" s="6">
        <v>0</v>
      </c>
      <c r="AC70" s="5">
        <f t="shared" si="23"/>
        <v>42</v>
      </c>
      <c r="AD70" s="5">
        <f t="shared" ca="1" si="24"/>
        <v>0</v>
      </c>
      <c r="AE70" s="7">
        <f t="shared" si="25"/>
        <v>28</v>
      </c>
      <c r="AF70" s="5" t="e">
        <f t="shared" si="30"/>
        <v>#DIV/0!</v>
      </c>
      <c r="AG70" s="5">
        <f t="shared" ca="1" si="26"/>
        <v>905.52</v>
      </c>
      <c r="AH70" s="5">
        <f t="shared" si="27"/>
        <v>1176</v>
      </c>
      <c r="AI70" s="6">
        <f t="shared" ca="1" si="28"/>
        <v>0.77</v>
      </c>
    </row>
    <row r="71" spans="2:35" x14ac:dyDescent="0.2">
      <c r="B71" s="5" t="s">
        <v>58</v>
      </c>
      <c r="C71" s="21">
        <v>46566</v>
      </c>
      <c r="D71" s="5">
        <v>26</v>
      </c>
      <c r="E71" s="5">
        <v>4</v>
      </c>
      <c r="F71" s="5">
        <v>5</v>
      </c>
      <c r="G71" s="7">
        <f t="shared" ca="1" si="29"/>
        <v>6555</v>
      </c>
      <c r="H71" s="5">
        <v>0</v>
      </c>
      <c r="I71" s="5">
        <f>'B-JCI2 LH'!BK263</f>
        <v>2495</v>
      </c>
      <c r="J71" s="12">
        <f t="shared" ca="1" si="16"/>
        <v>13.1</v>
      </c>
      <c r="K71" s="5">
        <f t="shared" ca="1" si="17"/>
        <v>2054</v>
      </c>
      <c r="L71" s="5">
        <v>0</v>
      </c>
      <c r="M71" s="5">
        <f ca="1">'B-JCI2 LH'!$D$295</f>
        <v>0.29399999999999998</v>
      </c>
      <c r="N71" s="5">
        <v>0</v>
      </c>
      <c r="O71" s="5">
        <v>6</v>
      </c>
      <c r="P71" s="5"/>
      <c r="Q71" s="5">
        <v>0</v>
      </c>
      <c r="R71" s="5">
        <f t="shared" si="18"/>
        <v>499</v>
      </c>
      <c r="S71" s="5">
        <v>14</v>
      </c>
      <c r="T71" s="6">
        <v>0.77</v>
      </c>
      <c r="U71" s="5">
        <f t="shared" si="31"/>
        <v>28</v>
      </c>
      <c r="V71" s="5">
        <f t="shared" ca="1" si="19"/>
        <v>1027</v>
      </c>
      <c r="W71" s="35">
        <v>14</v>
      </c>
      <c r="X71" s="36">
        <v>0.77</v>
      </c>
      <c r="Y71" s="35">
        <f t="shared" si="21"/>
        <v>28</v>
      </c>
      <c r="Z71" s="35">
        <f t="shared" ca="1" si="22"/>
        <v>1027</v>
      </c>
      <c r="AA71" s="5">
        <v>0</v>
      </c>
      <c r="AB71" s="6">
        <v>0</v>
      </c>
      <c r="AC71" s="5">
        <f t="shared" si="23"/>
        <v>28</v>
      </c>
      <c r="AD71" s="5">
        <f t="shared" ca="1" si="24"/>
        <v>0</v>
      </c>
      <c r="AE71" s="7">
        <f t="shared" si="25"/>
        <v>28</v>
      </c>
      <c r="AF71" s="5" t="e">
        <f t="shared" si="30"/>
        <v>#DIV/0!</v>
      </c>
      <c r="AG71" s="5">
        <f t="shared" ca="1" si="26"/>
        <v>603.87599999999998</v>
      </c>
      <c r="AH71" s="5">
        <f t="shared" si="27"/>
        <v>784</v>
      </c>
      <c r="AI71" s="6">
        <f t="shared" ca="1" si="28"/>
        <v>0.77024999999999999</v>
      </c>
    </row>
    <row r="72" spans="2:35" x14ac:dyDescent="0.2">
      <c r="B72" s="5" t="s">
        <v>59</v>
      </c>
      <c r="C72" s="21">
        <v>46573</v>
      </c>
      <c r="D72" s="5">
        <v>27</v>
      </c>
      <c r="E72" s="5">
        <v>1</v>
      </c>
      <c r="F72" s="5">
        <v>5</v>
      </c>
      <c r="G72" s="7">
        <f t="shared" ca="1" si="29"/>
        <v>7140</v>
      </c>
      <c r="H72" s="5">
        <v>0</v>
      </c>
      <c r="I72" s="5">
        <f>'B-JCI2 LH'!BL263</f>
        <v>2485</v>
      </c>
      <c r="J72" s="12">
        <f t="shared" ca="1" si="16"/>
        <v>14.4</v>
      </c>
      <c r="K72" s="5">
        <f t="shared" ca="1" si="17"/>
        <v>257</v>
      </c>
      <c r="L72" s="5">
        <v>0</v>
      </c>
      <c r="M72" s="5">
        <f ca="1">'B-JCI2 LH'!$D$295</f>
        <v>0.29399999999999998</v>
      </c>
      <c r="N72" s="5">
        <v>0</v>
      </c>
      <c r="O72" s="5">
        <v>7</v>
      </c>
      <c r="P72" s="5"/>
      <c r="Q72" s="5">
        <v>0</v>
      </c>
      <c r="R72" s="5">
        <f t="shared" si="18"/>
        <v>497</v>
      </c>
      <c r="S72" s="5">
        <v>14</v>
      </c>
      <c r="T72" s="6">
        <v>0.77</v>
      </c>
      <c r="U72" s="5">
        <f t="shared" si="31"/>
        <v>7</v>
      </c>
      <c r="V72" s="5">
        <f t="shared" ca="1" si="19"/>
        <v>257</v>
      </c>
      <c r="W72" s="5">
        <v>0</v>
      </c>
      <c r="X72" s="6">
        <v>0.77</v>
      </c>
      <c r="Y72" s="5">
        <f t="shared" si="21"/>
        <v>7</v>
      </c>
      <c r="Z72" s="5">
        <f t="shared" ca="1" si="22"/>
        <v>0</v>
      </c>
      <c r="AA72" s="5">
        <v>0</v>
      </c>
      <c r="AB72" s="6">
        <v>0</v>
      </c>
      <c r="AC72" s="5">
        <f t="shared" si="23"/>
        <v>7</v>
      </c>
      <c r="AD72" s="5">
        <f t="shared" ca="1" si="24"/>
        <v>0</v>
      </c>
      <c r="AE72" s="7">
        <f t="shared" si="25"/>
        <v>14</v>
      </c>
      <c r="AF72" s="5" t="e">
        <f t="shared" si="30"/>
        <v>#DIV/0!</v>
      </c>
      <c r="AG72" s="5">
        <f t="shared" ca="1" si="26"/>
        <v>75.557999999999993</v>
      </c>
      <c r="AH72" s="5">
        <f t="shared" si="27"/>
        <v>98</v>
      </c>
      <c r="AI72" s="6">
        <f t="shared" ca="1" si="28"/>
        <v>0.77099999999999991</v>
      </c>
    </row>
    <row r="73" spans="2:35" x14ac:dyDescent="0.2">
      <c r="B73" s="5" t="s">
        <v>59</v>
      </c>
      <c r="C73" s="21">
        <v>46580</v>
      </c>
      <c r="D73" s="5">
        <v>28</v>
      </c>
      <c r="E73" s="5">
        <v>6</v>
      </c>
      <c r="F73" s="5">
        <v>5</v>
      </c>
      <c r="G73" s="7">
        <f t="shared" ca="1" si="29"/>
        <v>7735</v>
      </c>
      <c r="H73" s="5">
        <v>0</v>
      </c>
      <c r="I73" s="5">
        <f>'B-JCI2 LH'!BM263</f>
        <v>2485</v>
      </c>
      <c r="J73" s="12">
        <f t="shared" ca="1" si="16"/>
        <v>15.6</v>
      </c>
      <c r="K73" s="5">
        <f t="shared" ca="1" si="17"/>
        <v>1540</v>
      </c>
      <c r="L73" s="5">
        <v>0</v>
      </c>
      <c r="M73" s="5">
        <f ca="1">'B-JCI2 LH'!$D$295</f>
        <v>0.29399999999999998</v>
      </c>
      <c r="N73" s="5">
        <v>0</v>
      </c>
      <c r="O73" s="5">
        <v>7</v>
      </c>
      <c r="P73" s="5"/>
      <c r="Q73" s="5">
        <v>0</v>
      </c>
      <c r="R73" s="5">
        <f t="shared" si="18"/>
        <v>497</v>
      </c>
      <c r="S73" s="5">
        <v>14</v>
      </c>
      <c r="T73" s="6">
        <v>0.77</v>
      </c>
      <c r="U73" s="5">
        <f t="shared" si="31"/>
        <v>42</v>
      </c>
      <c r="V73" s="5">
        <f t="shared" ca="1" si="19"/>
        <v>1540</v>
      </c>
      <c r="W73" s="5">
        <v>0</v>
      </c>
      <c r="X73" s="6">
        <v>0.77</v>
      </c>
      <c r="Y73" s="5">
        <f t="shared" si="21"/>
        <v>42</v>
      </c>
      <c r="Z73" s="5">
        <f t="shared" ca="1" si="22"/>
        <v>0</v>
      </c>
      <c r="AA73" s="5">
        <v>0</v>
      </c>
      <c r="AB73" s="6">
        <v>0</v>
      </c>
      <c r="AC73" s="5">
        <f t="shared" si="23"/>
        <v>42</v>
      </c>
      <c r="AD73" s="5">
        <f t="shared" ca="1" si="24"/>
        <v>0</v>
      </c>
      <c r="AE73" s="7">
        <f t="shared" si="25"/>
        <v>14</v>
      </c>
      <c r="AF73" s="5" t="e">
        <f t="shared" si="30"/>
        <v>#DIV/0!</v>
      </c>
      <c r="AG73" s="5">
        <f t="shared" ca="1" si="26"/>
        <v>452.76</v>
      </c>
      <c r="AH73" s="5">
        <f t="shared" si="27"/>
        <v>588</v>
      </c>
      <c r="AI73" s="6">
        <f t="shared" ca="1" si="28"/>
        <v>0.77</v>
      </c>
    </row>
    <row r="74" spans="2:35" x14ac:dyDescent="0.2">
      <c r="B74" s="5" t="s">
        <v>59</v>
      </c>
      <c r="C74" s="21">
        <v>46587</v>
      </c>
      <c r="D74" s="5">
        <v>29</v>
      </c>
      <c r="E74" s="5">
        <v>6</v>
      </c>
      <c r="F74" s="24">
        <v>9</v>
      </c>
      <c r="G74" s="7">
        <f t="shared" ca="1" si="29"/>
        <v>7816</v>
      </c>
      <c r="H74" s="5">
        <v>0</v>
      </c>
      <c r="I74" s="5">
        <f>'B-JCI2 LH'!BN263</f>
        <v>4527</v>
      </c>
      <c r="J74" s="12">
        <f t="shared" ca="1" si="16"/>
        <v>15.5</v>
      </c>
      <c r="K74" s="5">
        <f t="shared" ca="1" si="17"/>
        <v>1540</v>
      </c>
      <c r="L74" s="5">
        <v>0</v>
      </c>
      <c r="M74" s="5">
        <f ca="1">'B-JCI2 LH'!$D$295</f>
        <v>0.29399999999999998</v>
      </c>
      <c r="N74" s="5">
        <v>0</v>
      </c>
      <c r="O74" s="5">
        <v>7</v>
      </c>
      <c r="P74" s="5"/>
      <c r="Q74" s="5">
        <v>0</v>
      </c>
      <c r="R74" s="5">
        <f t="shared" si="18"/>
        <v>503</v>
      </c>
      <c r="S74" s="5">
        <v>14</v>
      </c>
      <c r="T74" s="6">
        <v>0.77</v>
      </c>
      <c r="U74" s="5">
        <f t="shared" si="31"/>
        <v>42</v>
      </c>
      <c r="V74" s="5">
        <f t="shared" ca="1" si="19"/>
        <v>1540</v>
      </c>
      <c r="W74" s="5">
        <v>0</v>
      </c>
      <c r="X74" s="6">
        <v>0.77</v>
      </c>
      <c r="Y74" s="5">
        <f t="shared" si="21"/>
        <v>42</v>
      </c>
      <c r="Z74" s="5">
        <f t="shared" ca="1" si="22"/>
        <v>0</v>
      </c>
      <c r="AA74" s="5">
        <v>0</v>
      </c>
      <c r="AB74" s="6">
        <v>0</v>
      </c>
      <c r="AC74" s="5">
        <f t="shared" si="23"/>
        <v>42</v>
      </c>
      <c r="AD74" s="5">
        <f t="shared" ca="1" si="24"/>
        <v>0</v>
      </c>
      <c r="AE74" s="7">
        <f t="shared" si="25"/>
        <v>14</v>
      </c>
      <c r="AF74" s="5" t="e">
        <f t="shared" si="30"/>
        <v>#DIV/0!</v>
      </c>
      <c r="AG74" s="5">
        <f t="shared" ca="1" si="26"/>
        <v>452.76</v>
      </c>
      <c r="AH74" s="5">
        <f t="shared" si="27"/>
        <v>588</v>
      </c>
      <c r="AI74" s="6">
        <f t="shared" ca="1" si="28"/>
        <v>0.77</v>
      </c>
    </row>
    <row r="75" spans="2:35" x14ac:dyDescent="0.2">
      <c r="B75" s="5" t="s">
        <v>59</v>
      </c>
      <c r="C75" s="21">
        <v>46594</v>
      </c>
      <c r="D75" s="5">
        <v>30</v>
      </c>
      <c r="E75" s="5">
        <v>5</v>
      </c>
      <c r="F75" s="29">
        <v>0</v>
      </c>
      <c r="G75" s="7">
        <f t="shared" ca="1" si="29"/>
        <v>6369</v>
      </c>
      <c r="H75" s="5">
        <v>0</v>
      </c>
      <c r="I75" s="5">
        <f>'B-JCI2 LH'!BO263</f>
        <v>0</v>
      </c>
      <c r="J75" s="12" t="str">
        <f t="shared" si="16"/>
        <v>N/S</v>
      </c>
      <c r="K75" s="5">
        <f t="shared" ca="1" si="17"/>
        <v>1283</v>
      </c>
      <c r="L75" s="5">
        <v>0</v>
      </c>
      <c r="M75" s="5">
        <f ca="1">'B-JCI2 LH'!$D$295</f>
        <v>0.29399999999999998</v>
      </c>
      <c r="N75" s="5">
        <v>0</v>
      </c>
      <c r="O75" s="5">
        <v>7</v>
      </c>
      <c r="P75" s="5"/>
      <c r="Q75" s="5">
        <v>0</v>
      </c>
      <c r="R75" s="5">
        <f t="shared" si="18"/>
        <v>0</v>
      </c>
      <c r="S75" s="5">
        <v>14</v>
      </c>
      <c r="T75" s="6">
        <v>0.77</v>
      </c>
      <c r="U75" s="5">
        <f t="shared" si="31"/>
        <v>35</v>
      </c>
      <c r="V75" s="5">
        <f t="shared" ca="1" si="19"/>
        <v>1283</v>
      </c>
      <c r="W75" s="5">
        <v>0</v>
      </c>
      <c r="X75" s="6">
        <v>0.77</v>
      </c>
      <c r="Y75" s="5">
        <f t="shared" si="21"/>
        <v>35</v>
      </c>
      <c r="Z75" s="5">
        <f t="shared" ca="1" si="22"/>
        <v>0</v>
      </c>
      <c r="AA75" s="5">
        <v>0</v>
      </c>
      <c r="AB75" s="6">
        <v>0</v>
      </c>
      <c r="AC75" s="5">
        <f t="shared" si="23"/>
        <v>35</v>
      </c>
      <c r="AD75" s="5">
        <f t="shared" ca="1" si="24"/>
        <v>0</v>
      </c>
      <c r="AE75" s="7">
        <f t="shared" si="25"/>
        <v>14</v>
      </c>
      <c r="AF75" s="5" t="e">
        <f t="shared" si="30"/>
        <v>#DIV/0!</v>
      </c>
      <c r="AG75" s="5">
        <f t="shared" ca="1" si="26"/>
        <v>377.202</v>
      </c>
      <c r="AH75" s="5">
        <f t="shared" si="27"/>
        <v>490</v>
      </c>
      <c r="AI75" s="6">
        <f t="shared" ca="1" si="28"/>
        <v>0.76980000000000004</v>
      </c>
    </row>
    <row r="76" spans="2:35" x14ac:dyDescent="0.2">
      <c r="B76" s="5" t="s">
        <v>60</v>
      </c>
      <c r="C76" s="21">
        <v>46601</v>
      </c>
      <c r="D76" s="5">
        <v>31</v>
      </c>
      <c r="E76" s="5">
        <v>6</v>
      </c>
      <c r="F76" s="29">
        <v>0</v>
      </c>
      <c r="G76" s="7">
        <f t="shared" ca="1" si="29"/>
        <v>8423</v>
      </c>
      <c r="H76" s="5">
        <v>0</v>
      </c>
      <c r="I76" s="5">
        <f>'B-JCI2 LH'!BP263</f>
        <v>0</v>
      </c>
      <c r="J76" s="12" t="str">
        <f t="shared" ref="J76:J89" si="32">IF(I76=0,"N/S",ROUND( ( ((G76) * 1)/I76)*F76,1))</f>
        <v>N/S</v>
      </c>
      <c r="K76" s="5">
        <f t="shared" ref="K76:K89" ca="1" si="33">V76+Z76+AD76</f>
        <v>1540</v>
      </c>
      <c r="L76" s="5">
        <v>0</v>
      </c>
      <c r="M76" s="5">
        <f ca="1">'B-JCI2 LH'!$D$295</f>
        <v>0.29399999999999998</v>
      </c>
      <c r="N76" s="5">
        <v>0</v>
      </c>
      <c r="O76" s="5">
        <v>8</v>
      </c>
      <c r="P76" s="5"/>
      <c r="Q76" s="5">
        <v>0</v>
      </c>
      <c r="R76" s="5">
        <f t="shared" ref="R76:R89" si="34">IF(F76=0,0,ROUND(I76/F76,0))</f>
        <v>0</v>
      </c>
      <c r="S76" s="5">
        <v>14</v>
      </c>
      <c r="T76" s="6">
        <v>0.77</v>
      </c>
      <c r="U76" s="5">
        <f t="shared" si="31"/>
        <v>42</v>
      </c>
      <c r="V76" s="5">
        <f t="shared" ref="V76:V89" ca="1" si="35">ROUND(((S76*T76*U76)/M76),0)</f>
        <v>1540</v>
      </c>
      <c r="W76" s="5">
        <v>0</v>
      </c>
      <c r="X76" s="6">
        <v>0.77</v>
      </c>
      <c r="Y76" s="5">
        <f t="shared" ref="Y76:Y89" si="36">U76</f>
        <v>42</v>
      </c>
      <c r="Z76" s="5">
        <f t="shared" ref="Z76:Z89" ca="1" si="37">ROUND(((W76*X76*Y76)/M76),0)</f>
        <v>0</v>
      </c>
      <c r="AA76" s="5">
        <v>0</v>
      </c>
      <c r="AB76" s="6">
        <v>0</v>
      </c>
      <c r="AC76" s="5">
        <f t="shared" ref="AC76:AC89" si="38">E76*7-N76</f>
        <v>42</v>
      </c>
      <c r="AD76" s="5">
        <f t="shared" ref="AD76:AD89" ca="1" si="39">ROUND(((AA76*AB76*AC76)/M76),0)</f>
        <v>0</v>
      </c>
      <c r="AE76" s="7">
        <f t="shared" ref="AE76:AE89" si="40">S76+W76+AA76</f>
        <v>14</v>
      </c>
      <c r="AF76" s="5" t="e">
        <f t="shared" si="30"/>
        <v>#DIV/0!</v>
      </c>
      <c r="AG76" s="5">
        <f t="shared" ref="AG76:AG89" ca="1" si="41">K76*M76</f>
        <v>452.76</v>
      </c>
      <c r="AH76" s="5">
        <f t="shared" ref="AH76:AH89" si="42">S76*U76+W76*Y76+AA76*AC76</f>
        <v>588</v>
      </c>
      <c r="AI76" s="6">
        <f t="shared" ref="AI76:AI89" ca="1" si="43">IF(AH76=0,0,AG76/AH76)</f>
        <v>0.77</v>
      </c>
    </row>
    <row r="77" spans="2:35" x14ac:dyDescent="0.2">
      <c r="B77" s="5" t="s">
        <v>60</v>
      </c>
      <c r="C77" s="21">
        <v>46608</v>
      </c>
      <c r="D77" s="5">
        <v>32</v>
      </c>
      <c r="E77" s="5">
        <v>0</v>
      </c>
      <c r="F77" s="29">
        <v>0</v>
      </c>
      <c r="G77" s="7">
        <f t="shared" ca="1" si="29"/>
        <v>8680</v>
      </c>
      <c r="H77" s="5">
        <v>0</v>
      </c>
      <c r="I77" s="5">
        <f>'B-JCI2 LH'!BQ263</f>
        <v>0</v>
      </c>
      <c r="J77" s="12" t="str">
        <f t="shared" si="32"/>
        <v>N/S</v>
      </c>
      <c r="K77" s="5">
        <f t="shared" ca="1" si="33"/>
        <v>0</v>
      </c>
      <c r="L77" s="5">
        <v>0</v>
      </c>
      <c r="M77" s="5">
        <f ca="1">'B-JCI2 LH'!$D$295</f>
        <v>0.29399999999999998</v>
      </c>
      <c r="N77" s="5">
        <v>0</v>
      </c>
      <c r="O77" s="5">
        <v>8</v>
      </c>
      <c r="P77" s="5"/>
      <c r="Q77" s="5">
        <v>0</v>
      </c>
      <c r="R77" s="5">
        <f t="shared" si="34"/>
        <v>0</v>
      </c>
      <c r="S77" s="5">
        <v>14</v>
      </c>
      <c r="T77" s="6">
        <v>0.77</v>
      </c>
      <c r="U77" s="5">
        <f t="shared" si="31"/>
        <v>0</v>
      </c>
      <c r="V77" s="5">
        <f t="shared" ca="1" si="35"/>
        <v>0</v>
      </c>
      <c r="W77" s="5">
        <v>0</v>
      </c>
      <c r="X77" s="6">
        <v>0.77</v>
      </c>
      <c r="Y77" s="5">
        <f t="shared" si="36"/>
        <v>0</v>
      </c>
      <c r="Z77" s="5">
        <f t="shared" ca="1" si="37"/>
        <v>0</v>
      </c>
      <c r="AA77" s="5">
        <v>0</v>
      </c>
      <c r="AB77" s="6">
        <v>0</v>
      </c>
      <c r="AC77" s="5">
        <f t="shared" si="38"/>
        <v>0</v>
      </c>
      <c r="AD77" s="5">
        <f t="shared" ca="1" si="39"/>
        <v>0</v>
      </c>
      <c r="AE77" s="7">
        <f t="shared" si="40"/>
        <v>14</v>
      </c>
      <c r="AF77" s="5" t="e">
        <f t="shared" si="30"/>
        <v>#DIV/0!</v>
      </c>
      <c r="AG77" s="5">
        <f t="shared" ca="1" si="41"/>
        <v>0</v>
      </c>
      <c r="AH77" s="5">
        <f t="shared" si="42"/>
        <v>0</v>
      </c>
      <c r="AI77" s="6">
        <f t="shared" si="43"/>
        <v>0</v>
      </c>
    </row>
    <row r="78" spans="2:35" x14ac:dyDescent="0.2">
      <c r="B78" s="5" t="s">
        <v>60</v>
      </c>
      <c r="C78" s="21">
        <v>46615</v>
      </c>
      <c r="D78" s="5">
        <v>33</v>
      </c>
      <c r="E78" s="5">
        <v>0</v>
      </c>
      <c r="F78" s="31">
        <v>0</v>
      </c>
      <c r="G78" s="7">
        <f t="shared" ca="1" si="29"/>
        <v>10220</v>
      </c>
      <c r="H78" s="5">
        <v>0</v>
      </c>
      <c r="I78" s="5">
        <f>'B-JCI2 LH'!BR263</f>
        <v>0</v>
      </c>
      <c r="J78" s="12" t="str">
        <f t="shared" si="32"/>
        <v>N/S</v>
      </c>
      <c r="K78" s="5">
        <f t="shared" ca="1" si="33"/>
        <v>0</v>
      </c>
      <c r="L78" s="5">
        <v>0</v>
      </c>
      <c r="M78" s="5">
        <f ca="1">'B-JCI2 LH'!$D$295</f>
        <v>0.29399999999999998</v>
      </c>
      <c r="N78" s="5">
        <v>0</v>
      </c>
      <c r="O78" s="5">
        <v>8</v>
      </c>
      <c r="P78" s="5"/>
      <c r="Q78" s="5">
        <v>0</v>
      </c>
      <c r="R78" s="5">
        <f t="shared" si="34"/>
        <v>0</v>
      </c>
      <c r="S78" s="5">
        <v>14</v>
      </c>
      <c r="T78" s="6">
        <v>0.77</v>
      </c>
      <c r="U78" s="5">
        <f t="shared" si="31"/>
        <v>0</v>
      </c>
      <c r="V78" s="5">
        <f t="shared" ca="1" si="35"/>
        <v>0</v>
      </c>
      <c r="W78" s="5">
        <v>0</v>
      </c>
      <c r="X78" s="6">
        <v>0.77</v>
      </c>
      <c r="Y78" s="5">
        <f t="shared" si="36"/>
        <v>0</v>
      </c>
      <c r="Z78" s="5">
        <f t="shared" ca="1" si="37"/>
        <v>0</v>
      </c>
      <c r="AA78" s="5">
        <v>0</v>
      </c>
      <c r="AB78" s="6">
        <v>0</v>
      </c>
      <c r="AC78" s="5">
        <f t="shared" si="38"/>
        <v>0</v>
      </c>
      <c r="AD78" s="5">
        <f t="shared" ca="1" si="39"/>
        <v>0</v>
      </c>
      <c r="AE78" s="7">
        <f t="shared" si="40"/>
        <v>14</v>
      </c>
      <c r="AF78" s="5" t="e">
        <f t="shared" si="30"/>
        <v>#DIV/0!</v>
      </c>
      <c r="AG78" s="5">
        <f t="shared" ca="1" si="41"/>
        <v>0</v>
      </c>
      <c r="AH78" s="5">
        <f t="shared" si="42"/>
        <v>0</v>
      </c>
      <c r="AI78" s="6">
        <f t="shared" si="43"/>
        <v>0</v>
      </c>
    </row>
    <row r="79" spans="2:35" x14ac:dyDescent="0.2">
      <c r="B79" s="5" t="s">
        <v>60</v>
      </c>
      <c r="C79" s="21">
        <v>46622</v>
      </c>
      <c r="D79" s="5">
        <v>34</v>
      </c>
      <c r="E79" s="5">
        <v>5</v>
      </c>
      <c r="F79" s="5">
        <v>5</v>
      </c>
      <c r="G79" s="7">
        <f t="shared" ca="1" si="29"/>
        <v>11760</v>
      </c>
      <c r="H79" s="5">
        <v>0</v>
      </c>
      <c r="I79" s="5">
        <f>'B-JCI2 LH'!BS263</f>
        <v>2052</v>
      </c>
      <c r="J79" s="12">
        <f t="shared" ca="1" si="32"/>
        <v>28.7</v>
      </c>
      <c r="K79" s="5">
        <f t="shared" ca="1" si="33"/>
        <v>1283</v>
      </c>
      <c r="L79" s="5">
        <v>0</v>
      </c>
      <c r="M79" s="5">
        <f ca="1">'B-JCI2 LH'!$D$295</f>
        <v>0.29399999999999998</v>
      </c>
      <c r="N79" s="5">
        <v>0</v>
      </c>
      <c r="O79" s="5">
        <v>8</v>
      </c>
      <c r="P79" s="5"/>
      <c r="Q79" s="5">
        <v>0</v>
      </c>
      <c r="R79" s="5">
        <f t="shared" si="34"/>
        <v>410</v>
      </c>
      <c r="S79" s="5">
        <v>14</v>
      </c>
      <c r="T79" s="6">
        <v>0.77</v>
      </c>
      <c r="U79" s="5">
        <f t="shared" si="31"/>
        <v>35</v>
      </c>
      <c r="V79" s="5">
        <f t="shared" ca="1" si="35"/>
        <v>1283</v>
      </c>
      <c r="W79" s="5">
        <v>0</v>
      </c>
      <c r="X79" s="6">
        <v>0.77</v>
      </c>
      <c r="Y79" s="5">
        <f t="shared" si="36"/>
        <v>35</v>
      </c>
      <c r="Z79" s="5">
        <f t="shared" ca="1" si="37"/>
        <v>0</v>
      </c>
      <c r="AA79" s="5">
        <v>0</v>
      </c>
      <c r="AB79" s="6">
        <v>0</v>
      </c>
      <c r="AC79" s="5">
        <f t="shared" si="38"/>
        <v>35</v>
      </c>
      <c r="AD79" s="5">
        <f t="shared" ca="1" si="39"/>
        <v>0</v>
      </c>
      <c r="AE79" s="7">
        <f t="shared" si="40"/>
        <v>14</v>
      </c>
      <c r="AF79" s="5" t="e">
        <f t="shared" si="30"/>
        <v>#DIV/0!</v>
      </c>
      <c r="AG79" s="5">
        <f t="shared" ca="1" si="41"/>
        <v>377.202</v>
      </c>
      <c r="AH79" s="5">
        <f t="shared" si="42"/>
        <v>490</v>
      </c>
      <c r="AI79" s="6">
        <f t="shared" ca="1" si="43"/>
        <v>0.76980000000000004</v>
      </c>
    </row>
    <row r="80" spans="2:35" x14ac:dyDescent="0.2">
      <c r="B80" s="5" t="s">
        <v>60</v>
      </c>
      <c r="C80" s="21">
        <v>46629</v>
      </c>
      <c r="D80" s="5">
        <v>35</v>
      </c>
      <c r="E80" s="5">
        <v>6</v>
      </c>
      <c r="F80" s="5">
        <v>5</v>
      </c>
      <c r="G80" s="7">
        <f t="shared" ca="1" si="29"/>
        <v>10991</v>
      </c>
      <c r="H80" s="5">
        <v>0</v>
      </c>
      <c r="I80" s="5">
        <f>'B-JCI2 LH'!BT263</f>
        <v>2052</v>
      </c>
      <c r="J80" s="12">
        <f t="shared" ca="1" si="32"/>
        <v>26.8</v>
      </c>
      <c r="K80" s="5">
        <f t="shared" ca="1" si="33"/>
        <v>1540</v>
      </c>
      <c r="L80" s="5">
        <v>0</v>
      </c>
      <c r="M80" s="5">
        <f ca="1">'B-JCI2 LH'!$D$295</f>
        <v>0.29399999999999998</v>
      </c>
      <c r="N80" s="5">
        <v>0</v>
      </c>
      <c r="O80" s="5">
        <v>8</v>
      </c>
      <c r="P80" s="5"/>
      <c r="Q80" s="5">
        <v>0</v>
      </c>
      <c r="R80" s="5">
        <f t="shared" si="34"/>
        <v>410</v>
      </c>
      <c r="S80" s="5">
        <v>14</v>
      </c>
      <c r="T80" s="6">
        <v>0.77</v>
      </c>
      <c r="U80" s="5">
        <f t="shared" si="31"/>
        <v>42</v>
      </c>
      <c r="V80" s="5">
        <f t="shared" ca="1" si="35"/>
        <v>1540</v>
      </c>
      <c r="W80" s="5">
        <v>0</v>
      </c>
      <c r="X80" s="6">
        <v>0.77</v>
      </c>
      <c r="Y80" s="5">
        <f t="shared" si="36"/>
        <v>42</v>
      </c>
      <c r="Z80" s="5">
        <f t="shared" ca="1" si="37"/>
        <v>0</v>
      </c>
      <c r="AA80" s="5">
        <v>0</v>
      </c>
      <c r="AB80" s="6">
        <v>0</v>
      </c>
      <c r="AC80" s="5">
        <f t="shared" si="38"/>
        <v>42</v>
      </c>
      <c r="AD80" s="5">
        <f t="shared" ca="1" si="39"/>
        <v>0</v>
      </c>
      <c r="AE80" s="7">
        <f t="shared" si="40"/>
        <v>14</v>
      </c>
      <c r="AF80" s="5" t="e">
        <f t="shared" si="30"/>
        <v>#DIV/0!</v>
      </c>
      <c r="AG80" s="5">
        <f t="shared" ca="1" si="41"/>
        <v>452.76</v>
      </c>
      <c r="AH80" s="5">
        <f t="shared" si="42"/>
        <v>588</v>
      </c>
      <c r="AI80" s="6">
        <f t="shared" ca="1" si="43"/>
        <v>0.77</v>
      </c>
    </row>
    <row r="81" spans="2:35" x14ac:dyDescent="0.2">
      <c r="B81" s="5" t="s">
        <v>61</v>
      </c>
      <c r="C81" s="21">
        <v>46636</v>
      </c>
      <c r="D81" s="5">
        <v>36</v>
      </c>
      <c r="E81" s="5">
        <v>6</v>
      </c>
      <c r="F81" s="5">
        <v>5</v>
      </c>
      <c r="G81" s="7">
        <f t="shared" ref="G81:G89" ca="1" si="44">(G80+H80-I80+K76)</f>
        <v>10479</v>
      </c>
      <c r="H81" s="5">
        <v>0</v>
      </c>
      <c r="I81" s="5">
        <f>'B-JCI2 LH'!BU263</f>
        <v>2052</v>
      </c>
      <c r="J81" s="12">
        <f t="shared" ca="1" si="32"/>
        <v>25.5</v>
      </c>
      <c r="K81" s="5">
        <f t="shared" ca="1" si="33"/>
        <v>1540</v>
      </c>
      <c r="L81" s="5">
        <v>0</v>
      </c>
      <c r="M81" s="5">
        <f ca="1">'B-JCI2 LH'!$D$295</f>
        <v>0.29399999999999998</v>
      </c>
      <c r="N81" s="5">
        <v>0</v>
      </c>
      <c r="O81" s="5">
        <v>9</v>
      </c>
      <c r="P81" s="5"/>
      <c r="Q81" s="5">
        <v>0</v>
      </c>
      <c r="R81" s="5">
        <f t="shared" si="34"/>
        <v>410</v>
      </c>
      <c r="S81" s="5">
        <v>14</v>
      </c>
      <c r="T81" s="6">
        <v>0.77</v>
      </c>
      <c r="U81" s="5">
        <f t="shared" si="31"/>
        <v>42</v>
      </c>
      <c r="V81" s="5">
        <f t="shared" ca="1" si="35"/>
        <v>1540</v>
      </c>
      <c r="W81" s="5">
        <v>0</v>
      </c>
      <c r="X81" s="6">
        <v>0.77</v>
      </c>
      <c r="Y81" s="5">
        <f t="shared" si="36"/>
        <v>42</v>
      </c>
      <c r="Z81" s="5">
        <f t="shared" ca="1" si="37"/>
        <v>0</v>
      </c>
      <c r="AA81" s="5">
        <v>0</v>
      </c>
      <c r="AB81" s="6">
        <v>0</v>
      </c>
      <c r="AC81" s="5">
        <f t="shared" si="38"/>
        <v>42</v>
      </c>
      <c r="AD81" s="5">
        <f t="shared" ca="1" si="39"/>
        <v>0</v>
      </c>
      <c r="AE81" s="7">
        <f t="shared" si="40"/>
        <v>14</v>
      </c>
      <c r="AF81" s="5" t="e">
        <f t="shared" si="30"/>
        <v>#DIV/0!</v>
      </c>
      <c r="AG81" s="5">
        <f t="shared" ca="1" si="41"/>
        <v>452.76</v>
      </c>
      <c r="AH81" s="5">
        <f t="shared" si="42"/>
        <v>588</v>
      </c>
      <c r="AI81" s="6">
        <f t="shared" ca="1" si="43"/>
        <v>0.77</v>
      </c>
    </row>
    <row r="82" spans="2:35" x14ac:dyDescent="0.2">
      <c r="B82" s="5" t="s">
        <v>61</v>
      </c>
      <c r="C82" s="21">
        <v>46643</v>
      </c>
      <c r="D82" s="5">
        <v>37</v>
      </c>
      <c r="E82" s="5">
        <v>6</v>
      </c>
      <c r="F82" s="5">
        <v>5</v>
      </c>
      <c r="G82" s="7">
        <f t="shared" ca="1" si="44"/>
        <v>8427</v>
      </c>
      <c r="H82" s="5">
        <v>0</v>
      </c>
      <c r="I82" s="5">
        <f>'B-JCI2 LH'!BV263</f>
        <v>2052</v>
      </c>
      <c r="J82" s="12">
        <f t="shared" ca="1" si="32"/>
        <v>20.5</v>
      </c>
      <c r="K82" s="5">
        <f t="shared" ca="1" si="33"/>
        <v>1540</v>
      </c>
      <c r="L82" s="5">
        <v>0</v>
      </c>
      <c r="M82" s="5">
        <f ca="1">'B-JCI2 LH'!$D$295</f>
        <v>0.29399999999999998</v>
      </c>
      <c r="N82" s="5">
        <v>0</v>
      </c>
      <c r="O82" s="5">
        <v>9</v>
      </c>
      <c r="P82" s="5"/>
      <c r="Q82" s="5">
        <v>0</v>
      </c>
      <c r="R82" s="5">
        <f t="shared" si="34"/>
        <v>410</v>
      </c>
      <c r="S82" s="5">
        <v>14</v>
      </c>
      <c r="T82" s="6">
        <v>0.77</v>
      </c>
      <c r="U82" s="5">
        <f t="shared" si="31"/>
        <v>42</v>
      </c>
      <c r="V82" s="5">
        <f t="shared" ca="1" si="35"/>
        <v>1540</v>
      </c>
      <c r="W82" s="5">
        <v>0</v>
      </c>
      <c r="X82" s="6">
        <v>0.77</v>
      </c>
      <c r="Y82" s="5">
        <f t="shared" si="36"/>
        <v>42</v>
      </c>
      <c r="Z82" s="5">
        <f t="shared" ca="1" si="37"/>
        <v>0</v>
      </c>
      <c r="AA82" s="5">
        <v>0</v>
      </c>
      <c r="AB82" s="6">
        <v>0</v>
      </c>
      <c r="AC82" s="5">
        <f t="shared" si="38"/>
        <v>42</v>
      </c>
      <c r="AD82" s="5">
        <f t="shared" ca="1" si="39"/>
        <v>0</v>
      </c>
      <c r="AE82" s="7">
        <f t="shared" si="40"/>
        <v>14</v>
      </c>
      <c r="AF82" s="5" t="e">
        <f t="shared" si="30"/>
        <v>#DIV/0!</v>
      </c>
      <c r="AG82" s="5">
        <f t="shared" ca="1" si="41"/>
        <v>452.76</v>
      </c>
      <c r="AH82" s="5">
        <f t="shared" si="42"/>
        <v>588</v>
      </c>
      <c r="AI82" s="6">
        <f t="shared" ca="1" si="43"/>
        <v>0.77</v>
      </c>
    </row>
    <row r="83" spans="2:35" x14ac:dyDescent="0.2">
      <c r="B83" s="5" t="s">
        <v>61</v>
      </c>
      <c r="C83" s="21">
        <v>46650</v>
      </c>
      <c r="D83" s="5">
        <v>38</v>
      </c>
      <c r="E83" s="5">
        <v>6</v>
      </c>
      <c r="F83" s="5">
        <v>5</v>
      </c>
      <c r="G83" s="7">
        <f t="shared" ca="1" si="44"/>
        <v>6375</v>
      </c>
      <c r="H83" s="5">
        <v>0</v>
      </c>
      <c r="I83" s="5">
        <f>'B-JCI2 LH'!BW263</f>
        <v>2052</v>
      </c>
      <c r="J83" s="12">
        <f t="shared" ca="1" si="32"/>
        <v>15.5</v>
      </c>
      <c r="K83" s="5">
        <f t="shared" ca="1" si="33"/>
        <v>1540</v>
      </c>
      <c r="L83" s="5">
        <v>0</v>
      </c>
      <c r="M83" s="5">
        <f ca="1">'B-JCI2 LH'!$D$295</f>
        <v>0.29399999999999998</v>
      </c>
      <c r="N83" s="5">
        <v>0</v>
      </c>
      <c r="O83" s="5">
        <v>9</v>
      </c>
      <c r="P83" s="5"/>
      <c r="Q83" s="5">
        <v>0</v>
      </c>
      <c r="R83" s="5">
        <f t="shared" si="34"/>
        <v>410</v>
      </c>
      <c r="S83" s="5">
        <v>14</v>
      </c>
      <c r="T83" s="6">
        <v>0.77</v>
      </c>
      <c r="U83" s="5">
        <f t="shared" si="31"/>
        <v>42</v>
      </c>
      <c r="V83" s="5">
        <f t="shared" ca="1" si="35"/>
        <v>1540</v>
      </c>
      <c r="W83" s="5">
        <v>0</v>
      </c>
      <c r="X83" s="6">
        <v>0.77</v>
      </c>
      <c r="Y83" s="5">
        <f t="shared" si="36"/>
        <v>42</v>
      </c>
      <c r="Z83" s="5">
        <f t="shared" ca="1" si="37"/>
        <v>0</v>
      </c>
      <c r="AA83" s="5">
        <v>0</v>
      </c>
      <c r="AB83" s="6">
        <v>0</v>
      </c>
      <c r="AC83" s="5">
        <f t="shared" si="38"/>
        <v>42</v>
      </c>
      <c r="AD83" s="5">
        <f t="shared" ca="1" si="39"/>
        <v>0</v>
      </c>
      <c r="AE83" s="7">
        <f t="shared" si="40"/>
        <v>14</v>
      </c>
      <c r="AF83" s="5" t="e">
        <f t="shared" si="30"/>
        <v>#DIV/0!</v>
      </c>
      <c r="AG83" s="5">
        <f t="shared" ca="1" si="41"/>
        <v>452.76</v>
      </c>
      <c r="AH83" s="5">
        <f t="shared" si="42"/>
        <v>588</v>
      </c>
      <c r="AI83" s="6">
        <f t="shared" ca="1" si="43"/>
        <v>0.77</v>
      </c>
    </row>
    <row r="84" spans="2:35" x14ac:dyDescent="0.2">
      <c r="B84" s="5" t="s">
        <v>61</v>
      </c>
      <c r="C84" s="21">
        <v>46657</v>
      </c>
      <c r="D84" s="5">
        <v>39</v>
      </c>
      <c r="E84" s="5">
        <v>4</v>
      </c>
      <c r="F84" s="5">
        <v>5</v>
      </c>
      <c r="G84" s="7">
        <f t="shared" ca="1" si="44"/>
        <v>5606</v>
      </c>
      <c r="H84" s="5">
        <v>0</v>
      </c>
      <c r="I84" s="5">
        <f>'B-JCI2 LH'!BX263</f>
        <v>2052</v>
      </c>
      <c r="J84" s="12">
        <f t="shared" ca="1" si="32"/>
        <v>13.7</v>
      </c>
      <c r="K84" s="5">
        <f t="shared" ca="1" si="33"/>
        <v>1027</v>
      </c>
      <c r="L84" s="5">
        <v>0</v>
      </c>
      <c r="M84" s="5">
        <f ca="1">'B-JCI2 LH'!$D$295</f>
        <v>0.29399999999999998</v>
      </c>
      <c r="N84" s="5">
        <v>0</v>
      </c>
      <c r="O84" s="5">
        <v>9</v>
      </c>
      <c r="P84" s="5"/>
      <c r="Q84" s="5">
        <v>0</v>
      </c>
      <c r="R84" s="5">
        <f t="shared" si="34"/>
        <v>410</v>
      </c>
      <c r="S84" s="5">
        <v>14</v>
      </c>
      <c r="T84" s="6">
        <v>0.77</v>
      </c>
      <c r="U84" s="5">
        <f t="shared" si="31"/>
        <v>28</v>
      </c>
      <c r="V84" s="5">
        <f t="shared" ca="1" si="35"/>
        <v>1027</v>
      </c>
      <c r="W84" s="5">
        <v>0</v>
      </c>
      <c r="X84" s="6">
        <v>0.77</v>
      </c>
      <c r="Y84" s="5">
        <f t="shared" si="36"/>
        <v>28</v>
      </c>
      <c r="Z84" s="5">
        <f t="shared" ca="1" si="37"/>
        <v>0</v>
      </c>
      <c r="AA84" s="5">
        <v>0</v>
      </c>
      <c r="AB84" s="6">
        <v>0</v>
      </c>
      <c r="AC84" s="5">
        <f t="shared" si="38"/>
        <v>28</v>
      </c>
      <c r="AD84" s="5">
        <f t="shared" ca="1" si="39"/>
        <v>0</v>
      </c>
      <c r="AE84" s="7">
        <f t="shared" si="40"/>
        <v>14</v>
      </c>
      <c r="AF84" s="5" t="e">
        <f t="shared" si="30"/>
        <v>#DIV/0!</v>
      </c>
      <c r="AG84" s="5">
        <f t="shared" ca="1" si="41"/>
        <v>301.93799999999999</v>
      </c>
      <c r="AH84" s="5">
        <f t="shared" si="42"/>
        <v>392</v>
      </c>
      <c r="AI84" s="6">
        <f t="shared" ca="1" si="43"/>
        <v>0.77024999999999999</v>
      </c>
    </row>
    <row r="85" spans="2:35" x14ac:dyDescent="0.2">
      <c r="B85" s="5" t="s">
        <v>62</v>
      </c>
      <c r="C85" s="21">
        <v>46664</v>
      </c>
      <c r="D85" s="5">
        <v>40</v>
      </c>
      <c r="E85" s="5">
        <v>6</v>
      </c>
      <c r="F85" s="5">
        <v>5</v>
      </c>
      <c r="G85" s="7">
        <f t="shared" ca="1" si="44"/>
        <v>5094</v>
      </c>
      <c r="H85" s="5">
        <v>0</v>
      </c>
      <c r="I85" s="5">
        <f>'B-JCI2 LH'!BY263</f>
        <v>2052</v>
      </c>
      <c r="J85" s="12">
        <f t="shared" ca="1" si="32"/>
        <v>12.4</v>
      </c>
      <c r="K85" s="5">
        <f t="shared" ca="1" si="33"/>
        <v>1540</v>
      </c>
      <c r="L85" s="5">
        <v>0</v>
      </c>
      <c r="M85" s="5">
        <f ca="1">'B-JCI2 LH'!$D$295</f>
        <v>0.29399999999999998</v>
      </c>
      <c r="N85" s="5">
        <v>0</v>
      </c>
      <c r="O85" s="5">
        <v>10</v>
      </c>
      <c r="P85" s="5"/>
      <c r="Q85" s="5">
        <v>0</v>
      </c>
      <c r="R85" s="5">
        <f t="shared" si="34"/>
        <v>410</v>
      </c>
      <c r="S85" s="5">
        <v>14</v>
      </c>
      <c r="T85" s="6">
        <v>0.77</v>
      </c>
      <c r="U85" s="5">
        <f t="shared" si="31"/>
        <v>42</v>
      </c>
      <c r="V85" s="5">
        <f t="shared" ca="1" si="35"/>
        <v>1540</v>
      </c>
      <c r="W85" s="5">
        <v>0</v>
      </c>
      <c r="X85" s="6">
        <v>0.77</v>
      </c>
      <c r="Y85" s="5">
        <f t="shared" si="36"/>
        <v>42</v>
      </c>
      <c r="Z85" s="5">
        <f t="shared" ca="1" si="37"/>
        <v>0</v>
      </c>
      <c r="AA85" s="5">
        <v>0</v>
      </c>
      <c r="AB85" s="6">
        <v>0</v>
      </c>
      <c r="AC85" s="5">
        <f t="shared" si="38"/>
        <v>42</v>
      </c>
      <c r="AD85" s="5">
        <f t="shared" ca="1" si="39"/>
        <v>0</v>
      </c>
      <c r="AE85" s="7">
        <f t="shared" si="40"/>
        <v>14</v>
      </c>
      <c r="AF85" s="5" t="e">
        <f t="shared" si="30"/>
        <v>#DIV/0!</v>
      </c>
      <c r="AG85" s="5">
        <f t="shared" ca="1" si="41"/>
        <v>452.76</v>
      </c>
      <c r="AH85" s="5">
        <f t="shared" si="42"/>
        <v>588</v>
      </c>
      <c r="AI85" s="6">
        <f t="shared" ca="1" si="43"/>
        <v>0.77</v>
      </c>
    </row>
    <row r="86" spans="2:35" x14ac:dyDescent="0.2">
      <c r="B86" s="5" t="s">
        <v>62</v>
      </c>
      <c r="C86" s="21">
        <v>46671</v>
      </c>
      <c r="D86" s="5">
        <v>41</v>
      </c>
      <c r="E86" s="5">
        <v>5</v>
      </c>
      <c r="F86" s="5">
        <v>5</v>
      </c>
      <c r="G86" s="7">
        <f t="shared" ca="1" si="44"/>
        <v>4582</v>
      </c>
      <c r="H86" s="5">
        <v>0</v>
      </c>
      <c r="I86" s="5">
        <f>'B-JCI2 LH'!BZ263</f>
        <v>2052</v>
      </c>
      <c r="J86" s="12">
        <f t="shared" ca="1" si="32"/>
        <v>11.2</v>
      </c>
      <c r="K86" s="5">
        <f t="shared" ca="1" si="33"/>
        <v>1283</v>
      </c>
      <c r="L86" s="5">
        <v>0</v>
      </c>
      <c r="M86" s="5">
        <f ca="1">'B-JCI2 LH'!$D$295</f>
        <v>0.29399999999999998</v>
      </c>
      <c r="N86" s="5">
        <v>0</v>
      </c>
      <c r="O86" s="5">
        <v>10</v>
      </c>
      <c r="P86" s="5"/>
      <c r="Q86" s="5">
        <v>0</v>
      </c>
      <c r="R86" s="5">
        <f t="shared" si="34"/>
        <v>410</v>
      </c>
      <c r="S86" s="5">
        <v>14</v>
      </c>
      <c r="T86" s="6">
        <v>0.77</v>
      </c>
      <c r="U86" s="5">
        <f t="shared" si="31"/>
        <v>35</v>
      </c>
      <c r="V86" s="5">
        <f t="shared" ca="1" si="35"/>
        <v>1283</v>
      </c>
      <c r="W86" s="5">
        <v>0</v>
      </c>
      <c r="X86" s="6">
        <v>0.77</v>
      </c>
      <c r="Y86" s="5">
        <f t="shared" si="36"/>
        <v>35</v>
      </c>
      <c r="Z86" s="5">
        <f t="shared" ca="1" si="37"/>
        <v>0</v>
      </c>
      <c r="AA86" s="5">
        <v>0</v>
      </c>
      <c r="AB86" s="6">
        <v>0</v>
      </c>
      <c r="AC86" s="5">
        <f t="shared" si="38"/>
        <v>35</v>
      </c>
      <c r="AD86" s="5">
        <f t="shared" ca="1" si="39"/>
        <v>0</v>
      </c>
      <c r="AE86" s="7">
        <f t="shared" si="40"/>
        <v>14</v>
      </c>
      <c r="AF86" s="5" t="e">
        <f t="shared" si="30"/>
        <v>#DIV/0!</v>
      </c>
      <c r="AG86" s="5">
        <f t="shared" ca="1" si="41"/>
        <v>377.202</v>
      </c>
      <c r="AH86" s="5">
        <f t="shared" si="42"/>
        <v>490</v>
      </c>
      <c r="AI86" s="6">
        <f t="shared" ca="1" si="43"/>
        <v>0.76980000000000004</v>
      </c>
    </row>
    <row r="87" spans="2:35" x14ac:dyDescent="0.2">
      <c r="B87" s="5" t="s">
        <v>62</v>
      </c>
      <c r="C87" s="21">
        <v>46678</v>
      </c>
      <c r="D87" s="5">
        <v>42</v>
      </c>
      <c r="E87" s="5">
        <v>6</v>
      </c>
      <c r="F87" s="5">
        <v>5</v>
      </c>
      <c r="G87" s="7">
        <f t="shared" ca="1" si="44"/>
        <v>4070</v>
      </c>
      <c r="H87" s="5">
        <v>0</v>
      </c>
      <c r="I87" s="5">
        <f>'B-JCI2 LH'!CA263</f>
        <v>2052</v>
      </c>
      <c r="J87" s="12">
        <f t="shared" ca="1" si="32"/>
        <v>9.9</v>
      </c>
      <c r="K87" s="5">
        <f t="shared" ca="1" si="33"/>
        <v>1540</v>
      </c>
      <c r="L87" s="5">
        <v>0</v>
      </c>
      <c r="M87" s="5">
        <f ca="1">'B-JCI2 LH'!$D$295</f>
        <v>0.29399999999999998</v>
      </c>
      <c r="N87" s="5">
        <v>0</v>
      </c>
      <c r="O87" s="5">
        <v>10</v>
      </c>
      <c r="P87" s="5"/>
      <c r="Q87" s="5">
        <v>0</v>
      </c>
      <c r="R87" s="5">
        <f t="shared" si="34"/>
        <v>410</v>
      </c>
      <c r="S87" s="5">
        <v>14</v>
      </c>
      <c r="T87" s="6">
        <v>0.77</v>
      </c>
      <c r="U87" s="5">
        <f t="shared" si="31"/>
        <v>42</v>
      </c>
      <c r="V87" s="5">
        <f t="shared" ca="1" si="35"/>
        <v>1540</v>
      </c>
      <c r="W87" s="5">
        <v>0</v>
      </c>
      <c r="X87" s="6">
        <v>0.77</v>
      </c>
      <c r="Y87" s="5">
        <f t="shared" si="36"/>
        <v>42</v>
      </c>
      <c r="Z87" s="5">
        <f t="shared" ca="1" si="37"/>
        <v>0</v>
      </c>
      <c r="AA87" s="5">
        <v>0</v>
      </c>
      <c r="AB87" s="6">
        <v>0</v>
      </c>
      <c r="AC87" s="5">
        <f t="shared" si="38"/>
        <v>42</v>
      </c>
      <c r="AD87" s="5">
        <f t="shared" ca="1" si="39"/>
        <v>0</v>
      </c>
      <c r="AE87" s="7">
        <f t="shared" si="40"/>
        <v>14</v>
      </c>
      <c r="AF87" s="5" t="e">
        <f t="shared" si="30"/>
        <v>#DIV/0!</v>
      </c>
      <c r="AG87" s="5">
        <f t="shared" ca="1" si="41"/>
        <v>452.76</v>
      </c>
      <c r="AH87" s="5">
        <f t="shared" si="42"/>
        <v>588</v>
      </c>
      <c r="AI87" s="6">
        <f t="shared" ca="1" si="43"/>
        <v>0.77</v>
      </c>
    </row>
    <row r="88" spans="2:35" x14ac:dyDescent="0.2">
      <c r="B88" s="5" t="s">
        <v>62</v>
      </c>
      <c r="C88" s="21">
        <v>46685</v>
      </c>
      <c r="D88" s="5">
        <v>43</v>
      </c>
      <c r="E88" s="5">
        <v>6</v>
      </c>
      <c r="F88" s="5">
        <v>5</v>
      </c>
      <c r="G88" s="7">
        <f t="shared" ca="1" si="44"/>
        <v>3558</v>
      </c>
      <c r="H88" s="5">
        <v>0</v>
      </c>
      <c r="I88" s="5">
        <f>'B-JCI2 LH'!CB263</f>
        <v>2052</v>
      </c>
      <c r="J88" s="12">
        <f t="shared" ca="1" si="32"/>
        <v>8.6999999999999993</v>
      </c>
      <c r="K88" s="5">
        <f t="shared" ca="1" si="33"/>
        <v>1540</v>
      </c>
      <c r="L88" s="5">
        <v>0</v>
      </c>
      <c r="M88" s="5">
        <f ca="1">'B-JCI2 LH'!$D$295</f>
        <v>0.29399999999999998</v>
      </c>
      <c r="N88" s="5">
        <v>0</v>
      </c>
      <c r="O88" s="5">
        <v>10</v>
      </c>
      <c r="P88" s="5"/>
      <c r="Q88" s="5">
        <v>0</v>
      </c>
      <c r="R88" s="5">
        <f t="shared" si="34"/>
        <v>410</v>
      </c>
      <c r="S88" s="5">
        <v>14</v>
      </c>
      <c r="T88" s="6">
        <v>0.77</v>
      </c>
      <c r="U88" s="5">
        <f t="shared" si="31"/>
        <v>42</v>
      </c>
      <c r="V88" s="5">
        <f t="shared" ca="1" si="35"/>
        <v>1540</v>
      </c>
      <c r="W88" s="5">
        <v>0</v>
      </c>
      <c r="X88" s="6">
        <v>0.77</v>
      </c>
      <c r="Y88" s="5">
        <f t="shared" si="36"/>
        <v>42</v>
      </c>
      <c r="Z88" s="5">
        <f t="shared" ca="1" si="37"/>
        <v>0</v>
      </c>
      <c r="AA88" s="5">
        <v>0</v>
      </c>
      <c r="AB88" s="6">
        <v>0</v>
      </c>
      <c r="AC88" s="5">
        <f t="shared" si="38"/>
        <v>42</v>
      </c>
      <c r="AD88" s="5">
        <f t="shared" ca="1" si="39"/>
        <v>0</v>
      </c>
      <c r="AE88" s="7">
        <f t="shared" si="40"/>
        <v>14</v>
      </c>
      <c r="AF88" s="5" t="e">
        <f t="shared" si="30"/>
        <v>#DIV/0!</v>
      </c>
      <c r="AG88" s="5">
        <f t="shared" ca="1" si="41"/>
        <v>452.76</v>
      </c>
      <c r="AH88" s="5">
        <f t="shared" si="42"/>
        <v>588</v>
      </c>
      <c r="AI88" s="6">
        <f t="shared" ca="1" si="43"/>
        <v>0.77</v>
      </c>
    </row>
    <row r="89" spans="2:35" x14ac:dyDescent="0.2">
      <c r="B89" s="5" t="s">
        <v>63</v>
      </c>
      <c r="C89" s="21">
        <v>46692</v>
      </c>
      <c r="D89" s="5">
        <v>44</v>
      </c>
      <c r="E89" s="5">
        <v>6</v>
      </c>
      <c r="F89" s="5">
        <v>5</v>
      </c>
      <c r="G89" s="7">
        <f t="shared" ca="1" si="44"/>
        <v>2533</v>
      </c>
      <c r="H89" s="5">
        <v>0</v>
      </c>
      <c r="I89" s="5">
        <f>'B-JCI2 LH'!CC263</f>
        <v>2052</v>
      </c>
      <c r="J89" s="12">
        <f t="shared" ca="1" si="32"/>
        <v>6.2</v>
      </c>
      <c r="K89" s="5">
        <f t="shared" ca="1" si="33"/>
        <v>1540</v>
      </c>
      <c r="L89" s="5">
        <v>0</v>
      </c>
      <c r="M89" s="5">
        <f ca="1">'B-JCI2 LH'!$D$295</f>
        <v>0.29399999999999998</v>
      </c>
      <c r="N89" s="5">
        <v>0</v>
      </c>
      <c r="O89" s="5">
        <v>11</v>
      </c>
      <c r="P89" s="5"/>
      <c r="Q89" s="5">
        <v>0</v>
      </c>
      <c r="R89" s="5">
        <f t="shared" si="34"/>
        <v>410</v>
      </c>
      <c r="S89" s="5">
        <v>14</v>
      </c>
      <c r="T89" s="6">
        <v>0.77</v>
      </c>
      <c r="U89" s="5">
        <f t="shared" si="31"/>
        <v>42</v>
      </c>
      <c r="V89" s="5">
        <f t="shared" ca="1" si="35"/>
        <v>1540</v>
      </c>
      <c r="W89" s="5">
        <v>0</v>
      </c>
      <c r="X89" s="6">
        <v>0.77</v>
      </c>
      <c r="Y89" s="5">
        <f t="shared" si="36"/>
        <v>42</v>
      </c>
      <c r="Z89" s="5">
        <f t="shared" ca="1" si="37"/>
        <v>0</v>
      </c>
      <c r="AA89" s="5">
        <v>0</v>
      </c>
      <c r="AB89" s="6">
        <v>0</v>
      </c>
      <c r="AC89" s="5">
        <f t="shared" si="38"/>
        <v>42</v>
      </c>
      <c r="AD89" s="5">
        <f t="shared" ca="1" si="39"/>
        <v>0</v>
      </c>
      <c r="AE89" s="7">
        <f t="shared" si="40"/>
        <v>14</v>
      </c>
      <c r="AF89" s="5" t="e">
        <f t="shared" si="30"/>
        <v>#DIV/0!</v>
      </c>
      <c r="AG89" s="5">
        <f t="shared" ca="1" si="41"/>
        <v>452.76</v>
      </c>
      <c r="AH89" s="5">
        <f t="shared" si="42"/>
        <v>588</v>
      </c>
      <c r="AI89" s="6">
        <f t="shared" ca="1" si="43"/>
        <v>0.77</v>
      </c>
    </row>
    <row r="90" spans="2:35" x14ac:dyDescent="0.2">
      <c r="T90" s="13"/>
      <c r="X90" s="13"/>
      <c r="AB90" s="13"/>
    </row>
  </sheetData>
  <mergeCells count="35">
    <mergeCell ref="L1:N1"/>
    <mergeCell ref="B3:P3"/>
    <mergeCell ref="B5:C5"/>
    <mergeCell ref="D5:I5"/>
    <mergeCell ref="J5:P5"/>
    <mergeCell ref="B1:C1"/>
    <mergeCell ref="D1:E1"/>
    <mergeCell ref="F1:G1"/>
    <mergeCell ref="H1:I1"/>
    <mergeCell ref="J1:K1"/>
    <mergeCell ref="B6:C6"/>
    <mergeCell ref="D6:I6"/>
    <mergeCell ref="J6:K6"/>
    <mergeCell ref="L6:M6"/>
    <mergeCell ref="N6:O6"/>
    <mergeCell ref="B7:C7"/>
    <mergeCell ref="D7:I7"/>
    <mergeCell ref="J7:K7"/>
    <mergeCell ref="L7:M7"/>
    <mergeCell ref="N7:O7"/>
    <mergeCell ref="S10:V10"/>
    <mergeCell ref="W10:Z10"/>
    <mergeCell ref="AA10:AD10"/>
    <mergeCell ref="N8:O8"/>
    <mergeCell ref="B9:C9"/>
    <mergeCell ref="E9:F9"/>
    <mergeCell ref="G9:I9"/>
    <mergeCell ref="J9:K9"/>
    <mergeCell ref="L9:M9"/>
    <mergeCell ref="N9:O9"/>
    <mergeCell ref="B8:C8"/>
    <mergeCell ref="E8:F8"/>
    <mergeCell ref="G8:I8"/>
    <mergeCell ref="J8:K8"/>
    <mergeCell ref="L8:M8"/>
  </mergeCells>
  <conditionalFormatting sqref="J12:J89">
    <cfRule type="cellIs" dxfId="110" priority="1" stopIfTrue="1" operator="equal">
      <formula>"N/S"</formula>
    </cfRule>
    <cfRule type="cellIs" dxfId="109" priority="2" stopIfTrue="1" operator="greaterThanOrEqual">
      <formula>$D$9</formula>
    </cfRule>
    <cfRule type="cellIs" dxfId="108" priority="3" stopIfTrue="1" operator="lessThan">
      <formula>$D$9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A71F-ECD3-408E-B407-2B59376E5978}">
  <dimension ref="A1:CC301"/>
  <sheetViews>
    <sheetView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E93" sqref="E93"/>
    </sheetView>
  </sheetViews>
  <sheetFormatPr defaultRowHeight="12.75" x14ac:dyDescent="0.2"/>
  <cols>
    <col min="1" max="1" width="26.85546875" bestFit="1" customWidth="1"/>
    <col min="2" max="2" width="12.140625" bestFit="1" customWidth="1"/>
    <col min="3" max="3" width="16" bestFit="1" customWidth="1"/>
    <col min="4" max="4" width="16.5703125" bestFit="1" customWidth="1"/>
    <col min="5" max="5" width="10.42578125" bestFit="1" customWidth="1"/>
    <col min="6" max="11" width="7.85546875" bestFit="1" customWidth="1"/>
    <col min="12" max="13" width="7" bestFit="1" customWidth="1"/>
    <col min="14" max="19" width="7.5703125" bestFit="1" customWidth="1"/>
    <col min="20" max="81" width="8.7109375" bestFit="1" customWidth="1"/>
  </cols>
  <sheetData>
    <row r="1" spans="1:81" x14ac:dyDescent="0.2">
      <c r="B1" s="5" t="s">
        <v>0</v>
      </c>
      <c r="C1" s="14" t="s">
        <v>1</v>
      </c>
      <c r="D1" s="5" t="s">
        <v>2</v>
      </c>
      <c r="E1" s="14" t="s">
        <v>3</v>
      </c>
      <c r="F1" s="85" t="s">
        <v>4</v>
      </c>
      <c r="G1" s="86"/>
      <c r="H1" s="87" t="s">
        <v>5</v>
      </c>
      <c r="I1" s="87"/>
      <c r="J1" s="87"/>
    </row>
    <row r="2" spans="1:81" x14ac:dyDescent="0.2"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</row>
    <row r="3" spans="1:81" ht="38.25" x14ac:dyDescent="0.2">
      <c r="B3" s="82" t="s">
        <v>69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" t="s">
        <v>757</v>
      </c>
      <c r="O3" s="62">
        <v>50</v>
      </c>
    </row>
    <row r="4" spans="1:81" x14ac:dyDescent="0.2">
      <c r="D4">
        <v>2</v>
      </c>
      <c r="E4">
        <v>3</v>
      </c>
      <c r="F4">
        <v>4</v>
      </c>
      <c r="N4" s="63" t="s">
        <v>758</v>
      </c>
      <c r="O4" s="62">
        <v>10</v>
      </c>
    </row>
    <row r="5" spans="1:81" ht="38.25" x14ac:dyDescent="0.2">
      <c r="B5" s="5" t="s">
        <v>7</v>
      </c>
      <c r="C5" s="78" t="s">
        <v>8</v>
      </c>
      <c r="D5" s="78"/>
      <c r="E5" s="78"/>
      <c r="F5" s="78"/>
      <c r="G5" s="77" t="s">
        <v>70</v>
      </c>
      <c r="H5" s="77"/>
      <c r="I5" s="78">
        <v>0</v>
      </c>
      <c r="J5" s="78"/>
      <c r="K5" s="77" t="s">
        <v>71</v>
      </c>
      <c r="L5" s="77"/>
      <c r="M5" s="15">
        <v>4</v>
      </c>
      <c r="N5" s="1" t="s">
        <v>759</v>
      </c>
      <c r="O5" s="62">
        <v>291</v>
      </c>
      <c r="AK5">
        <v>0</v>
      </c>
      <c r="AL5">
        <v>0</v>
      </c>
      <c r="AM5">
        <v>0</v>
      </c>
      <c r="AN5">
        <v>2709</v>
      </c>
      <c r="AO5">
        <v>2709</v>
      </c>
      <c r="AP5">
        <v>2709</v>
      </c>
      <c r="AQ5">
        <v>3271</v>
      </c>
      <c r="AR5">
        <v>3271</v>
      </c>
      <c r="AS5">
        <v>2617</v>
      </c>
      <c r="AT5">
        <v>3271</v>
      </c>
      <c r="AU5">
        <v>3108</v>
      </c>
      <c r="AV5">
        <v>3108</v>
      </c>
      <c r="AW5">
        <v>3108</v>
      </c>
      <c r="AX5">
        <v>3108</v>
      </c>
      <c r="AY5">
        <v>2487</v>
      </c>
      <c r="AZ5">
        <v>2214</v>
      </c>
      <c r="BA5">
        <v>2214</v>
      </c>
      <c r="BB5">
        <v>2214</v>
      </c>
      <c r="BC5">
        <v>2487</v>
      </c>
      <c r="BD5">
        <v>2487</v>
      </c>
      <c r="BE5">
        <v>2487</v>
      </c>
      <c r="BF5">
        <v>2487</v>
      </c>
      <c r="BG5">
        <v>2487</v>
      </c>
      <c r="BH5">
        <v>2487</v>
      </c>
      <c r="BI5">
        <v>2487</v>
      </c>
      <c r="BJ5">
        <v>2487</v>
      </c>
      <c r="BK5">
        <v>2487</v>
      </c>
      <c r="BL5">
        <v>2473</v>
      </c>
      <c r="BM5">
        <v>2473</v>
      </c>
      <c r="BN5">
        <v>4514</v>
      </c>
      <c r="BO5">
        <v>0</v>
      </c>
      <c r="BP5">
        <v>0</v>
      </c>
      <c r="BQ5">
        <v>0</v>
      </c>
      <c r="BR5">
        <v>0</v>
      </c>
      <c r="BS5">
        <v>2041</v>
      </c>
      <c r="BT5">
        <v>2041</v>
      </c>
      <c r="BU5">
        <v>2041</v>
      </c>
      <c r="BV5">
        <v>2041</v>
      </c>
      <c r="BW5">
        <v>2041</v>
      </c>
      <c r="BX5">
        <v>2041</v>
      </c>
      <c r="BY5">
        <v>2041</v>
      </c>
      <c r="BZ5">
        <v>2041</v>
      </c>
      <c r="CA5">
        <v>2041</v>
      </c>
      <c r="CB5">
        <v>2041</v>
      </c>
      <c r="CC5">
        <v>2041</v>
      </c>
    </row>
    <row r="6" spans="1:81" x14ac:dyDescent="0.2">
      <c r="B6" s="5" t="s">
        <v>9</v>
      </c>
      <c r="C6" s="78" t="s">
        <v>283</v>
      </c>
      <c r="D6" s="78"/>
      <c r="E6" s="78"/>
      <c r="F6" s="78"/>
      <c r="G6" s="77" t="s">
        <v>11</v>
      </c>
      <c r="H6" s="77"/>
      <c r="I6" s="78" t="s">
        <v>12</v>
      </c>
      <c r="J6" s="78"/>
      <c r="K6" s="77" t="s">
        <v>13</v>
      </c>
      <c r="L6" s="77"/>
      <c r="M6" s="16">
        <v>0.92</v>
      </c>
      <c r="N6" s="63" t="s">
        <v>760</v>
      </c>
      <c r="O6" s="62">
        <v>14</v>
      </c>
    </row>
    <row r="7" spans="1:81" x14ac:dyDescent="0.2">
      <c r="B7" s="5" t="s">
        <v>14</v>
      </c>
      <c r="C7" s="78" t="s">
        <v>284</v>
      </c>
      <c r="D7" s="78"/>
      <c r="E7" s="78"/>
      <c r="F7" s="78"/>
      <c r="G7" s="77" t="s">
        <v>16</v>
      </c>
      <c r="H7" s="77"/>
      <c r="I7" s="78" t="s">
        <v>285</v>
      </c>
      <c r="J7" s="78"/>
      <c r="K7" s="77" t="s">
        <v>18</v>
      </c>
      <c r="L7" s="77"/>
      <c r="M7" s="15">
        <v>7</v>
      </c>
      <c r="N7" s="63" t="s">
        <v>761</v>
      </c>
      <c r="O7" s="62">
        <v>16</v>
      </c>
    </row>
    <row r="8" spans="1:81" ht="38.25" x14ac:dyDescent="0.2">
      <c r="B8" s="5" t="s">
        <v>19</v>
      </c>
      <c r="C8" s="17" t="s">
        <v>20</v>
      </c>
      <c r="D8" s="5" t="s">
        <v>21</v>
      </c>
      <c r="E8" s="79" t="s">
        <v>22</v>
      </c>
      <c r="F8" s="78"/>
      <c r="G8" s="77" t="s">
        <v>23</v>
      </c>
      <c r="H8" s="77"/>
      <c r="I8" s="78">
        <v>78</v>
      </c>
      <c r="J8" s="78"/>
      <c r="K8" s="77" t="s">
        <v>24</v>
      </c>
      <c r="L8" s="77"/>
      <c r="M8" s="5">
        <v>4</v>
      </c>
      <c r="N8" s="64" t="s">
        <v>762</v>
      </c>
      <c r="O8" s="65">
        <v>5</v>
      </c>
    </row>
    <row r="9" spans="1:81" ht="25.5" x14ac:dyDescent="0.2">
      <c r="B9" s="5" t="s">
        <v>25</v>
      </c>
      <c r="C9" s="15">
        <v>10</v>
      </c>
      <c r="D9" s="5" t="s">
        <v>26</v>
      </c>
      <c r="E9" s="78" t="s">
        <v>27</v>
      </c>
      <c r="F9" s="78"/>
      <c r="G9" s="77" t="s">
        <v>28</v>
      </c>
      <c r="H9" s="77"/>
      <c r="I9" s="78">
        <v>99</v>
      </c>
      <c r="J9" s="78"/>
      <c r="K9" s="77" t="s">
        <v>29</v>
      </c>
      <c r="L9" s="77"/>
      <c r="M9" s="15">
        <v>0.30520000000000003</v>
      </c>
      <c r="N9" s="64" t="s">
        <v>763</v>
      </c>
      <c r="O9" s="66">
        <v>-0.01</v>
      </c>
    </row>
    <row r="10" spans="1:81" x14ac:dyDescent="0.2">
      <c r="C10" s="37" t="s">
        <v>72</v>
      </c>
      <c r="D10" s="38">
        <f t="shared" ref="D10:AI10" ca="1" si="0">D286-D265</f>
        <v>-4.0000000000001146E-3</v>
      </c>
      <c r="E10" s="38">
        <f t="shared" ca="1" si="0"/>
        <v>-3.0000000000001137E-3</v>
      </c>
      <c r="F10" s="38">
        <f t="shared" ca="1" si="0"/>
        <v>0</v>
      </c>
      <c r="G10" s="38">
        <f t="shared" ca="1" si="0"/>
        <v>0.77</v>
      </c>
      <c r="H10" s="38">
        <f t="shared" ca="1" si="0"/>
        <v>0.76999999999999991</v>
      </c>
      <c r="I10" s="38">
        <f t="shared" ca="1" si="0"/>
        <v>0.76999999999999991</v>
      </c>
      <c r="J10" s="38">
        <f t="shared" ca="1" si="0"/>
        <v>0.76999999999999991</v>
      </c>
      <c r="K10" s="38">
        <f t="shared" ca="1" si="0"/>
        <v>0.77</v>
      </c>
      <c r="L10" s="38">
        <f t="shared" ca="1" si="0"/>
        <v>0.76999999999999991</v>
      </c>
      <c r="M10" s="38">
        <f t="shared" si="0"/>
        <v>0</v>
      </c>
      <c r="N10" s="38">
        <f t="shared" si="0"/>
        <v>0</v>
      </c>
      <c r="O10" s="38">
        <f t="shared" ca="1" si="0"/>
        <v>0.76999999999999991</v>
      </c>
      <c r="P10" s="38">
        <f t="shared" ca="1" si="0"/>
        <v>0.76999999999999991</v>
      </c>
      <c r="Q10" s="38">
        <f t="shared" ca="1" si="0"/>
        <v>0.76999999999999991</v>
      </c>
      <c r="R10" s="38">
        <f t="shared" ca="1" si="0"/>
        <v>0.76999999999999991</v>
      </c>
      <c r="S10" s="38">
        <f t="shared" ca="1" si="0"/>
        <v>0.77</v>
      </c>
      <c r="T10" s="38">
        <f t="shared" ca="1" si="0"/>
        <v>0.77</v>
      </c>
      <c r="U10" s="38">
        <f t="shared" ca="1" si="0"/>
        <v>0.77</v>
      </c>
      <c r="V10" s="38">
        <f t="shared" ca="1" si="0"/>
        <v>0.77</v>
      </c>
      <c r="W10" s="38">
        <f t="shared" ca="1" si="0"/>
        <v>0.77024999999999999</v>
      </c>
      <c r="X10" s="38">
        <f t="shared" ca="1" si="0"/>
        <v>0.76980000000000004</v>
      </c>
      <c r="Y10" s="38">
        <f t="shared" ca="1" si="0"/>
        <v>0.76980000000000004</v>
      </c>
      <c r="Z10" s="38">
        <f t="shared" ca="1" si="0"/>
        <v>0.77</v>
      </c>
      <c r="AA10" s="38">
        <f t="shared" ca="1" si="0"/>
        <v>0.77</v>
      </c>
      <c r="AB10" s="38">
        <f t="shared" ca="1" si="0"/>
        <v>0.77</v>
      </c>
      <c r="AC10" s="38">
        <f t="shared" ca="1" si="0"/>
        <v>0.77</v>
      </c>
      <c r="AD10" s="38">
        <f t="shared" ca="1" si="0"/>
        <v>0.77</v>
      </c>
      <c r="AE10" s="38">
        <f t="shared" ca="1" si="0"/>
        <v>0.77</v>
      </c>
      <c r="AF10" s="38">
        <f t="shared" ca="1" si="0"/>
        <v>0.77</v>
      </c>
      <c r="AG10" s="38">
        <f t="shared" ca="1" si="0"/>
        <v>0.77</v>
      </c>
      <c r="AH10" s="38">
        <f t="shared" ca="1" si="0"/>
        <v>0.77</v>
      </c>
      <c r="AI10" s="38">
        <f t="shared" ca="1" si="0"/>
        <v>0.77</v>
      </c>
      <c r="AJ10" s="38">
        <f t="shared" ref="AJ10:BO10" ca="1" si="1">AJ286-AJ265</f>
        <v>0.77</v>
      </c>
      <c r="AK10" s="38">
        <f t="shared" si="1"/>
        <v>0</v>
      </c>
      <c r="AL10" s="38">
        <f t="shared" ca="1" si="1"/>
        <v>0.77</v>
      </c>
      <c r="AM10" s="38">
        <f t="shared" ca="1" si="1"/>
        <v>0.77024999999999999</v>
      </c>
      <c r="AN10" s="38">
        <f t="shared" ca="1" si="1"/>
        <v>0.77</v>
      </c>
      <c r="AO10" s="38">
        <f t="shared" ca="1" si="1"/>
        <v>0.77</v>
      </c>
      <c r="AP10" s="38">
        <f t="shared" ca="1" si="1"/>
        <v>0.76980000000000004</v>
      </c>
      <c r="AQ10" s="38">
        <f t="shared" ca="1" si="1"/>
        <v>0.77</v>
      </c>
      <c r="AR10" s="38">
        <f t="shared" ca="1" si="1"/>
        <v>0.77039999999999997</v>
      </c>
      <c r="AS10" s="38">
        <f t="shared" ca="1" si="1"/>
        <v>0.77</v>
      </c>
      <c r="AT10" s="38">
        <f t="shared" ca="1" si="1"/>
        <v>0.77</v>
      </c>
      <c r="AU10" s="38">
        <f t="shared" ca="1" si="1"/>
        <v>0.77</v>
      </c>
      <c r="AV10" s="38">
        <f t="shared" ca="1" si="1"/>
        <v>0.77</v>
      </c>
      <c r="AW10" s="38">
        <f t="shared" ca="1" si="1"/>
        <v>0.77024999999999999</v>
      </c>
      <c r="AX10" s="38">
        <f t="shared" ca="1" si="1"/>
        <v>0.77</v>
      </c>
      <c r="AY10" s="38">
        <f t="shared" ca="1" si="1"/>
        <v>0.77024999999999999</v>
      </c>
      <c r="AZ10" s="38">
        <f t="shared" ca="1" si="1"/>
        <v>0.77</v>
      </c>
      <c r="BA10" s="38">
        <f t="shared" ca="1" si="1"/>
        <v>0.77</v>
      </c>
      <c r="BB10" s="38">
        <f t="shared" ca="1" si="1"/>
        <v>0.77</v>
      </c>
      <c r="BC10" s="38">
        <f t="shared" ca="1" si="1"/>
        <v>0.77</v>
      </c>
      <c r="BD10" s="38">
        <f t="shared" ca="1" si="1"/>
        <v>0.77</v>
      </c>
      <c r="BE10" s="38">
        <f t="shared" ca="1" si="1"/>
        <v>0.77</v>
      </c>
      <c r="BF10" s="38">
        <f t="shared" ca="1" si="1"/>
        <v>0.77</v>
      </c>
      <c r="BG10" s="38">
        <f t="shared" ca="1" si="1"/>
        <v>0.77</v>
      </c>
      <c r="BH10" s="38">
        <f t="shared" ca="1" si="1"/>
        <v>0.77</v>
      </c>
      <c r="BI10" s="38">
        <f t="shared" ca="1" si="1"/>
        <v>0.76980000000000004</v>
      </c>
      <c r="BJ10" s="38">
        <f t="shared" ca="1" si="1"/>
        <v>0.77</v>
      </c>
      <c r="BK10" s="38">
        <f t="shared" ca="1" si="1"/>
        <v>0.77024999999999999</v>
      </c>
      <c r="BL10" s="38">
        <f t="shared" ca="1" si="1"/>
        <v>0.77099999999999991</v>
      </c>
      <c r="BM10" s="38">
        <f t="shared" ca="1" si="1"/>
        <v>0.77</v>
      </c>
      <c r="BN10" s="38">
        <f t="shared" ca="1" si="1"/>
        <v>0.77</v>
      </c>
      <c r="BO10" s="38">
        <f t="shared" ca="1" si="1"/>
        <v>0.76980000000000004</v>
      </c>
      <c r="BP10" s="38">
        <f t="shared" ref="BP10:CC10" ca="1" si="2">BP286-BP265</f>
        <v>0.77</v>
      </c>
      <c r="BQ10" s="38">
        <f t="shared" si="2"/>
        <v>0</v>
      </c>
      <c r="BR10" s="38">
        <f t="shared" si="2"/>
        <v>0</v>
      </c>
      <c r="BS10" s="38">
        <f t="shared" ca="1" si="2"/>
        <v>0.76980000000000004</v>
      </c>
      <c r="BT10" s="38">
        <f t="shared" ca="1" si="2"/>
        <v>0.77</v>
      </c>
      <c r="BU10" s="38">
        <f t="shared" ca="1" si="2"/>
        <v>0.77</v>
      </c>
      <c r="BV10" s="38">
        <f t="shared" ca="1" si="2"/>
        <v>0.77</v>
      </c>
      <c r="BW10" s="38">
        <f t="shared" ca="1" si="2"/>
        <v>0.77</v>
      </c>
      <c r="BX10" s="38">
        <f t="shared" ca="1" si="2"/>
        <v>0.77024999999999999</v>
      </c>
      <c r="BY10" s="38">
        <f t="shared" ca="1" si="2"/>
        <v>0.77</v>
      </c>
      <c r="BZ10" s="38">
        <f t="shared" ca="1" si="2"/>
        <v>0.76980000000000004</v>
      </c>
      <c r="CA10" s="38">
        <f t="shared" ca="1" si="2"/>
        <v>0.77</v>
      </c>
      <c r="CB10" s="38">
        <f t="shared" ca="1" si="2"/>
        <v>0.77</v>
      </c>
      <c r="CC10" s="38">
        <f t="shared" ca="1" si="2"/>
        <v>0.77</v>
      </c>
    </row>
    <row r="11" spans="1:81" x14ac:dyDescent="0.2">
      <c r="A11" s="39" t="s">
        <v>73</v>
      </c>
      <c r="B11" s="39" t="s">
        <v>74</v>
      </c>
      <c r="C11" s="39" t="s">
        <v>34</v>
      </c>
      <c r="D11" s="40" t="s">
        <v>75</v>
      </c>
      <c r="E11" s="40" t="s">
        <v>76</v>
      </c>
      <c r="F11" s="40" t="s">
        <v>77</v>
      </c>
      <c r="G11" s="40" t="s">
        <v>78</v>
      </c>
      <c r="H11" s="40" t="s">
        <v>79</v>
      </c>
      <c r="I11" s="40" t="s">
        <v>80</v>
      </c>
      <c r="J11" s="40" t="s">
        <v>81</v>
      </c>
      <c r="K11" s="40" t="s">
        <v>82</v>
      </c>
      <c r="L11" s="40" t="s">
        <v>83</v>
      </c>
      <c r="M11" s="40" t="s">
        <v>84</v>
      </c>
      <c r="N11" s="40" t="s">
        <v>85</v>
      </c>
      <c r="O11" s="40" t="s">
        <v>86</v>
      </c>
      <c r="P11" s="40" t="s">
        <v>87</v>
      </c>
      <c r="Q11" s="40" t="s">
        <v>88</v>
      </c>
      <c r="R11" s="40" t="s">
        <v>89</v>
      </c>
      <c r="S11" s="40" t="s">
        <v>90</v>
      </c>
      <c r="T11" s="40" t="s">
        <v>91</v>
      </c>
      <c r="U11" s="40" t="s">
        <v>92</v>
      </c>
      <c r="V11" s="40" t="s">
        <v>93</v>
      </c>
      <c r="W11" s="40" t="s">
        <v>94</v>
      </c>
      <c r="X11" s="40" t="s">
        <v>95</v>
      </c>
      <c r="Y11" s="40" t="s">
        <v>96</v>
      </c>
      <c r="Z11" s="40" t="s">
        <v>97</v>
      </c>
      <c r="AA11" s="40" t="s">
        <v>98</v>
      </c>
      <c r="AB11" s="40" t="s">
        <v>99</v>
      </c>
      <c r="AC11" s="40" t="s">
        <v>100</v>
      </c>
      <c r="AD11" s="40" t="s">
        <v>101</v>
      </c>
      <c r="AE11" s="40" t="s">
        <v>102</v>
      </c>
      <c r="AF11" s="40" t="s">
        <v>103</v>
      </c>
      <c r="AG11" s="40" t="s">
        <v>104</v>
      </c>
      <c r="AH11" s="40" t="s">
        <v>105</v>
      </c>
      <c r="AI11" s="40" t="s">
        <v>106</v>
      </c>
      <c r="AJ11" s="40" t="s">
        <v>107</v>
      </c>
      <c r="AK11" s="40" t="s">
        <v>108</v>
      </c>
      <c r="AL11" s="40" t="s">
        <v>109</v>
      </c>
      <c r="AM11" s="40" t="s">
        <v>110</v>
      </c>
      <c r="AN11" s="40" t="s">
        <v>111</v>
      </c>
      <c r="AO11" s="40" t="s">
        <v>112</v>
      </c>
      <c r="AP11" s="40" t="s">
        <v>113</v>
      </c>
      <c r="AQ11" s="40" t="s">
        <v>114</v>
      </c>
      <c r="AR11" s="40" t="s">
        <v>115</v>
      </c>
      <c r="AS11" s="40" t="s">
        <v>116</v>
      </c>
      <c r="AT11" s="40" t="s">
        <v>117</v>
      </c>
      <c r="AU11" s="40" t="s">
        <v>118</v>
      </c>
      <c r="AV11" s="40" t="s">
        <v>119</v>
      </c>
      <c r="AW11" s="40" t="s">
        <v>120</v>
      </c>
      <c r="AX11" s="40" t="s">
        <v>121</v>
      </c>
      <c r="AY11" s="40" t="s">
        <v>122</v>
      </c>
      <c r="AZ11" s="40" t="s">
        <v>123</v>
      </c>
      <c r="BA11" s="40" t="s">
        <v>124</v>
      </c>
      <c r="BB11" s="40" t="s">
        <v>125</v>
      </c>
      <c r="BC11" s="40" t="s">
        <v>126</v>
      </c>
      <c r="BD11" s="40" t="s">
        <v>127</v>
      </c>
      <c r="BE11" s="40" t="s">
        <v>128</v>
      </c>
      <c r="BF11" s="40" t="s">
        <v>129</v>
      </c>
      <c r="BG11" s="40" t="s">
        <v>130</v>
      </c>
      <c r="BH11" s="40" t="s">
        <v>131</v>
      </c>
      <c r="BI11" s="40" t="s">
        <v>132</v>
      </c>
      <c r="BJ11" s="40" t="s">
        <v>133</v>
      </c>
      <c r="BK11" s="40" t="s">
        <v>134</v>
      </c>
      <c r="BL11" s="40" t="s">
        <v>135</v>
      </c>
      <c r="BM11" s="40" t="s">
        <v>136</v>
      </c>
      <c r="BN11" s="40" t="s">
        <v>137</v>
      </c>
      <c r="BO11" s="40" t="s">
        <v>138</v>
      </c>
      <c r="BP11" s="40" t="s">
        <v>139</v>
      </c>
      <c r="BQ11" s="40" t="s">
        <v>140</v>
      </c>
      <c r="BR11" s="40" t="s">
        <v>141</v>
      </c>
      <c r="BS11" s="40" t="s">
        <v>142</v>
      </c>
      <c r="BT11" s="40" t="s">
        <v>143</v>
      </c>
      <c r="BU11" s="40" t="s">
        <v>144</v>
      </c>
      <c r="BV11" s="40" t="s">
        <v>145</v>
      </c>
      <c r="BW11" s="40" t="s">
        <v>146</v>
      </c>
      <c r="BX11" s="40" t="s">
        <v>147</v>
      </c>
      <c r="BY11" s="40" t="s">
        <v>148</v>
      </c>
      <c r="BZ11" s="40" t="s">
        <v>149</v>
      </c>
      <c r="CA11" s="40" t="s">
        <v>150</v>
      </c>
      <c r="CB11" s="40" t="s">
        <v>151</v>
      </c>
      <c r="CC11" s="40" t="s">
        <v>152</v>
      </c>
    </row>
    <row r="12" spans="1:81" x14ac:dyDescent="0.2">
      <c r="C12" s="41" t="s">
        <v>35</v>
      </c>
      <c r="D12" s="42" t="s">
        <v>153</v>
      </c>
      <c r="E12" s="42" t="s">
        <v>154</v>
      </c>
      <c r="F12" s="42" t="s">
        <v>155</v>
      </c>
      <c r="G12" s="42" t="s">
        <v>156</v>
      </c>
      <c r="H12" s="42" t="s">
        <v>157</v>
      </c>
      <c r="I12" s="42" t="s">
        <v>158</v>
      </c>
      <c r="J12" s="42" t="s">
        <v>159</v>
      </c>
      <c r="K12" s="42" t="s">
        <v>160</v>
      </c>
      <c r="L12" s="42" t="s">
        <v>161</v>
      </c>
      <c r="M12" s="42" t="s">
        <v>162</v>
      </c>
      <c r="N12" s="42" t="s">
        <v>163</v>
      </c>
      <c r="O12" s="42" t="s">
        <v>164</v>
      </c>
      <c r="P12" s="42" t="s">
        <v>165</v>
      </c>
      <c r="Q12" s="42" t="s">
        <v>166</v>
      </c>
      <c r="R12" s="42" t="s">
        <v>167</v>
      </c>
      <c r="S12" s="42" t="s">
        <v>168</v>
      </c>
      <c r="T12" s="42" t="s">
        <v>169</v>
      </c>
      <c r="U12" s="42" t="s">
        <v>170</v>
      </c>
      <c r="V12" s="42" t="s">
        <v>171</v>
      </c>
      <c r="W12" s="42" t="s">
        <v>172</v>
      </c>
      <c r="X12" s="42" t="s">
        <v>173</v>
      </c>
      <c r="Y12" s="42" t="s">
        <v>174</v>
      </c>
      <c r="Z12" s="42" t="s">
        <v>175</v>
      </c>
      <c r="AA12" s="42" t="s">
        <v>176</v>
      </c>
      <c r="AB12" s="42" t="s">
        <v>177</v>
      </c>
      <c r="AC12" s="42" t="s">
        <v>178</v>
      </c>
      <c r="AD12" s="42" t="s">
        <v>179</v>
      </c>
      <c r="AE12" s="42" t="s">
        <v>180</v>
      </c>
      <c r="AF12" s="42" t="s">
        <v>181</v>
      </c>
      <c r="AG12" s="42" t="s">
        <v>182</v>
      </c>
      <c r="AH12" s="42" t="s">
        <v>183</v>
      </c>
      <c r="AI12" s="42" t="s">
        <v>184</v>
      </c>
      <c r="AJ12" s="42" t="s">
        <v>185</v>
      </c>
      <c r="AK12" s="42" t="s">
        <v>186</v>
      </c>
      <c r="AL12" s="42" t="s">
        <v>187</v>
      </c>
      <c r="AM12" s="42" t="s">
        <v>188</v>
      </c>
      <c r="AN12" s="42" t="s">
        <v>189</v>
      </c>
      <c r="AO12" s="42" t="s">
        <v>190</v>
      </c>
      <c r="AP12" s="42" t="s">
        <v>191</v>
      </c>
      <c r="AQ12" s="42" t="s">
        <v>192</v>
      </c>
      <c r="AR12" s="42" t="s">
        <v>193</v>
      </c>
      <c r="AS12" s="42" t="s">
        <v>194</v>
      </c>
      <c r="AT12" s="42" t="s">
        <v>195</v>
      </c>
      <c r="AU12" s="42" t="s">
        <v>196</v>
      </c>
      <c r="AV12" s="42" t="s">
        <v>197</v>
      </c>
      <c r="AW12" s="42" t="s">
        <v>198</v>
      </c>
      <c r="AX12" s="42" t="s">
        <v>199</v>
      </c>
      <c r="AY12" s="42" t="s">
        <v>200</v>
      </c>
      <c r="AZ12" s="42" t="s">
        <v>201</v>
      </c>
      <c r="BA12" s="42" t="s">
        <v>202</v>
      </c>
      <c r="BB12" s="42" t="s">
        <v>203</v>
      </c>
      <c r="BC12" s="42" t="s">
        <v>204</v>
      </c>
      <c r="BD12" s="42" t="s">
        <v>205</v>
      </c>
      <c r="BE12" s="42" t="s">
        <v>153</v>
      </c>
      <c r="BF12" s="42" t="s">
        <v>154</v>
      </c>
      <c r="BG12" s="42" t="s">
        <v>155</v>
      </c>
      <c r="BH12" s="42" t="s">
        <v>156</v>
      </c>
      <c r="BI12" s="42" t="s">
        <v>157</v>
      </c>
      <c r="BJ12" s="42" t="s">
        <v>158</v>
      </c>
      <c r="BK12" s="42" t="s">
        <v>159</v>
      </c>
      <c r="BL12" s="42" t="s">
        <v>160</v>
      </c>
      <c r="BM12" s="42" t="s">
        <v>161</v>
      </c>
      <c r="BN12" s="42" t="s">
        <v>162</v>
      </c>
      <c r="BO12" s="42" t="s">
        <v>163</v>
      </c>
      <c r="BP12" s="42" t="s">
        <v>164</v>
      </c>
      <c r="BQ12" s="42" t="s">
        <v>165</v>
      </c>
      <c r="BR12" s="42" t="s">
        <v>166</v>
      </c>
      <c r="BS12" s="42" t="s">
        <v>167</v>
      </c>
      <c r="BT12" s="42" t="s">
        <v>168</v>
      </c>
      <c r="BU12" s="42" t="s">
        <v>169</v>
      </c>
      <c r="BV12" s="42" t="s">
        <v>170</v>
      </c>
      <c r="BW12" s="42" t="s">
        <v>171</v>
      </c>
      <c r="BX12" s="42" t="s">
        <v>172</v>
      </c>
      <c r="BY12" s="42" t="s">
        <v>173</v>
      </c>
      <c r="BZ12" s="42" t="s">
        <v>174</v>
      </c>
      <c r="CA12" s="42" t="s">
        <v>175</v>
      </c>
      <c r="CB12" s="42" t="s">
        <v>176</v>
      </c>
      <c r="CC12" s="42" t="s">
        <v>177</v>
      </c>
    </row>
    <row r="13" spans="1:81" x14ac:dyDescent="0.2">
      <c r="B13" s="67">
        <f>SUM(D17:AJ17)/SUM($D$263:$AJ$263)</f>
        <v>0</v>
      </c>
      <c r="C13" s="39" t="s">
        <v>206</v>
      </c>
      <c r="D13" s="39">
        <v>5</v>
      </c>
      <c r="E13" s="39">
        <v>5</v>
      </c>
      <c r="F13" s="39">
        <v>5</v>
      </c>
      <c r="G13" s="39">
        <v>5</v>
      </c>
      <c r="H13" s="39">
        <v>5</v>
      </c>
      <c r="I13" s="39">
        <v>5</v>
      </c>
      <c r="J13" s="39">
        <v>5</v>
      </c>
      <c r="K13" s="39">
        <v>5</v>
      </c>
      <c r="L13" s="39">
        <v>5</v>
      </c>
      <c r="M13" s="39">
        <v>5</v>
      </c>
      <c r="N13" s="39">
        <v>5</v>
      </c>
      <c r="O13" s="39">
        <v>5</v>
      </c>
      <c r="P13" s="39">
        <v>5</v>
      </c>
      <c r="Q13" s="39">
        <v>5</v>
      </c>
      <c r="R13" s="39">
        <v>5</v>
      </c>
      <c r="S13" s="39">
        <v>5</v>
      </c>
      <c r="T13" s="39">
        <v>5</v>
      </c>
      <c r="U13" s="39">
        <v>5</v>
      </c>
      <c r="V13" s="39">
        <v>5</v>
      </c>
      <c r="W13" s="39">
        <v>5</v>
      </c>
      <c r="X13" s="39">
        <v>5</v>
      </c>
      <c r="Y13" s="39">
        <v>5</v>
      </c>
      <c r="Z13" s="39">
        <v>5</v>
      </c>
      <c r="AA13" s="39">
        <v>5</v>
      </c>
      <c r="AB13" s="39">
        <v>5</v>
      </c>
      <c r="AC13" s="39">
        <v>5</v>
      </c>
      <c r="AD13" s="39">
        <v>5</v>
      </c>
      <c r="AE13" s="39">
        <v>5</v>
      </c>
      <c r="AF13" s="39">
        <v>5</v>
      </c>
      <c r="AG13" s="39">
        <v>5</v>
      </c>
      <c r="AH13" s="39">
        <v>5</v>
      </c>
      <c r="AI13" s="39">
        <v>5</v>
      </c>
      <c r="AJ13" s="39">
        <v>5</v>
      </c>
      <c r="AK13" s="39">
        <v>5</v>
      </c>
      <c r="AL13" s="39">
        <v>5</v>
      </c>
      <c r="AM13" s="39">
        <v>5</v>
      </c>
      <c r="AN13" s="39">
        <v>5</v>
      </c>
      <c r="AO13" s="39">
        <v>5</v>
      </c>
      <c r="AP13" s="39">
        <v>5</v>
      </c>
      <c r="AQ13" s="39">
        <v>5</v>
      </c>
      <c r="AR13" s="39">
        <v>5</v>
      </c>
      <c r="AS13" s="39">
        <v>5</v>
      </c>
      <c r="AT13" s="39">
        <v>5</v>
      </c>
      <c r="AU13" s="39">
        <v>5</v>
      </c>
      <c r="AV13" s="39">
        <v>5</v>
      </c>
      <c r="AW13" s="39">
        <v>5</v>
      </c>
      <c r="AX13" s="39">
        <v>5</v>
      </c>
      <c r="AY13" s="39">
        <v>5</v>
      </c>
      <c r="AZ13" s="39">
        <v>5</v>
      </c>
      <c r="BA13" s="39">
        <v>5</v>
      </c>
      <c r="BB13" s="39">
        <v>5</v>
      </c>
      <c r="BC13" s="39">
        <v>5</v>
      </c>
      <c r="BD13" s="39">
        <v>5</v>
      </c>
      <c r="BE13" s="39">
        <v>5</v>
      </c>
      <c r="BF13" s="39">
        <v>5</v>
      </c>
      <c r="BG13" s="39">
        <v>5</v>
      </c>
      <c r="BH13" s="39">
        <v>5</v>
      </c>
      <c r="BI13" s="39">
        <v>5</v>
      </c>
      <c r="BJ13" s="39">
        <v>5</v>
      </c>
      <c r="BK13" s="39">
        <v>5</v>
      </c>
      <c r="BL13" s="39">
        <v>5</v>
      </c>
      <c r="BM13" s="39">
        <v>5</v>
      </c>
      <c r="BN13" s="39">
        <v>5</v>
      </c>
      <c r="BO13" s="39">
        <v>5</v>
      </c>
      <c r="BP13" s="39">
        <v>5</v>
      </c>
      <c r="BQ13" s="39">
        <v>5</v>
      </c>
      <c r="BR13" s="39">
        <v>5</v>
      </c>
      <c r="BS13" s="39">
        <v>5</v>
      </c>
      <c r="BT13" s="39">
        <v>5</v>
      </c>
      <c r="BU13" s="39">
        <v>5</v>
      </c>
      <c r="BV13" s="39">
        <v>5</v>
      </c>
      <c r="BW13" s="39">
        <v>5</v>
      </c>
      <c r="BX13" s="39">
        <v>5</v>
      </c>
      <c r="BY13" s="39">
        <v>5</v>
      </c>
      <c r="BZ13" s="39">
        <v>5</v>
      </c>
      <c r="CA13" s="39">
        <v>5</v>
      </c>
      <c r="CB13" s="39">
        <v>5</v>
      </c>
      <c r="CC13" s="39">
        <v>5</v>
      </c>
    </row>
    <row r="14" spans="1:81" x14ac:dyDescent="0.2">
      <c r="A14" s="43" t="s">
        <v>289</v>
      </c>
      <c r="B14" s="44" t="s">
        <v>208</v>
      </c>
      <c r="C14" s="9" t="s">
        <v>38</v>
      </c>
      <c r="D14" s="58">
        <f>IFERROR(VLOOKUP(A14,OS!$A:$B,2,0),0)</f>
        <v>0</v>
      </c>
      <c r="E14" s="5">
        <f>(D14+D15-D17)</f>
        <v>0</v>
      </c>
      <c r="F14" s="5">
        <f>(E14+E15-E17)</f>
        <v>0</v>
      </c>
      <c r="G14" s="5">
        <f>(F14+F15-F17)</f>
        <v>0</v>
      </c>
      <c r="H14" s="5">
        <f>(G14+G15-G17)</f>
        <v>0</v>
      </c>
      <c r="I14" s="5">
        <f t="shared" ref="I14:AN14" si="3">(H14+H15-H17+D16)</f>
        <v>0</v>
      </c>
      <c r="J14" s="5">
        <f t="shared" si="3"/>
        <v>0</v>
      </c>
      <c r="K14" s="5">
        <f t="shared" si="3"/>
        <v>0</v>
      </c>
      <c r="L14" s="5">
        <f t="shared" si="3"/>
        <v>0</v>
      </c>
      <c r="M14" s="5">
        <f t="shared" si="3"/>
        <v>0</v>
      </c>
      <c r="N14" s="5">
        <f t="shared" si="3"/>
        <v>0</v>
      </c>
      <c r="O14" s="5">
        <f t="shared" si="3"/>
        <v>0</v>
      </c>
      <c r="P14" s="5">
        <f t="shared" si="3"/>
        <v>0</v>
      </c>
      <c r="Q14" s="5">
        <f t="shared" si="3"/>
        <v>0</v>
      </c>
      <c r="R14" s="5">
        <f t="shared" si="3"/>
        <v>0</v>
      </c>
      <c r="S14" s="5">
        <f t="shared" si="3"/>
        <v>0</v>
      </c>
      <c r="T14" s="5">
        <f t="shared" si="3"/>
        <v>0</v>
      </c>
      <c r="U14" s="5">
        <f t="shared" si="3"/>
        <v>0</v>
      </c>
      <c r="V14" s="5">
        <f t="shared" si="3"/>
        <v>0</v>
      </c>
      <c r="W14" s="5">
        <f t="shared" si="3"/>
        <v>0</v>
      </c>
      <c r="X14" s="5">
        <f t="shared" si="3"/>
        <v>0</v>
      </c>
      <c r="Y14" s="5">
        <f t="shared" si="3"/>
        <v>0</v>
      </c>
      <c r="Z14" s="5">
        <f t="shared" si="3"/>
        <v>0</v>
      </c>
      <c r="AA14" s="5">
        <f t="shared" si="3"/>
        <v>0</v>
      </c>
      <c r="AB14" s="5">
        <f t="shared" si="3"/>
        <v>0</v>
      </c>
      <c r="AC14" s="5">
        <f t="shared" si="3"/>
        <v>0</v>
      </c>
      <c r="AD14" s="5">
        <f t="shared" si="3"/>
        <v>0</v>
      </c>
      <c r="AE14" s="5">
        <f t="shared" si="3"/>
        <v>0</v>
      </c>
      <c r="AF14" s="5">
        <f t="shared" si="3"/>
        <v>0</v>
      </c>
      <c r="AG14" s="5">
        <f t="shared" si="3"/>
        <v>0</v>
      </c>
      <c r="AH14" s="5">
        <f t="shared" si="3"/>
        <v>0</v>
      </c>
      <c r="AI14" s="5">
        <f t="shared" si="3"/>
        <v>0</v>
      </c>
      <c r="AJ14" s="5">
        <f t="shared" si="3"/>
        <v>0</v>
      </c>
      <c r="AK14" s="5">
        <f t="shared" si="3"/>
        <v>0</v>
      </c>
      <c r="AL14" s="5">
        <f t="shared" si="3"/>
        <v>0</v>
      </c>
      <c r="AM14" s="5">
        <f t="shared" si="3"/>
        <v>0</v>
      </c>
      <c r="AN14" s="5">
        <f t="shared" si="3"/>
        <v>0</v>
      </c>
      <c r="AO14" s="5">
        <f t="shared" ref="AO14:BT14" si="4">(AN14+AN15-AN17+AJ16)</f>
        <v>0</v>
      </c>
      <c r="AP14" s="5">
        <f t="shared" si="4"/>
        <v>0</v>
      </c>
      <c r="AQ14" s="5">
        <f t="shared" si="4"/>
        <v>0</v>
      </c>
      <c r="AR14" s="5">
        <f t="shared" si="4"/>
        <v>0</v>
      </c>
      <c r="AS14" s="5">
        <f t="shared" si="4"/>
        <v>0</v>
      </c>
      <c r="AT14" s="5">
        <f t="shared" si="4"/>
        <v>0</v>
      </c>
      <c r="AU14" s="5">
        <f t="shared" si="4"/>
        <v>0</v>
      </c>
      <c r="AV14" s="5">
        <f t="shared" si="4"/>
        <v>0</v>
      </c>
      <c r="AW14" s="5">
        <f t="shared" si="4"/>
        <v>0</v>
      </c>
      <c r="AX14" s="5">
        <f t="shared" si="4"/>
        <v>0</v>
      </c>
      <c r="AY14" s="5">
        <f t="shared" si="4"/>
        <v>0</v>
      </c>
      <c r="AZ14" s="5">
        <f t="shared" si="4"/>
        <v>0</v>
      </c>
      <c r="BA14" s="5">
        <f t="shared" si="4"/>
        <v>0</v>
      </c>
      <c r="BB14" s="5">
        <f t="shared" si="4"/>
        <v>0</v>
      </c>
      <c r="BC14" s="5">
        <f t="shared" si="4"/>
        <v>0</v>
      </c>
      <c r="BD14" s="5">
        <f t="shared" si="4"/>
        <v>0</v>
      </c>
      <c r="BE14" s="5">
        <f t="shared" si="4"/>
        <v>0</v>
      </c>
      <c r="BF14" s="5">
        <f t="shared" si="4"/>
        <v>0</v>
      </c>
      <c r="BG14" s="5">
        <f t="shared" si="4"/>
        <v>0</v>
      </c>
      <c r="BH14" s="5">
        <f t="shared" si="4"/>
        <v>0</v>
      </c>
      <c r="BI14" s="5">
        <f t="shared" si="4"/>
        <v>0</v>
      </c>
      <c r="BJ14" s="5">
        <f t="shared" si="4"/>
        <v>0</v>
      </c>
      <c r="BK14" s="5">
        <f t="shared" si="4"/>
        <v>0</v>
      </c>
      <c r="BL14" s="5">
        <f t="shared" si="4"/>
        <v>0</v>
      </c>
      <c r="BM14" s="5">
        <f t="shared" si="4"/>
        <v>0</v>
      </c>
      <c r="BN14" s="5">
        <f t="shared" si="4"/>
        <v>0</v>
      </c>
      <c r="BO14" s="5">
        <f t="shared" si="4"/>
        <v>0</v>
      </c>
      <c r="BP14" s="5">
        <f t="shared" si="4"/>
        <v>0</v>
      </c>
      <c r="BQ14" s="5">
        <f t="shared" si="4"/>
        <v>0</v>
      </c>
      <c r="BR14" s="5">
        <f t="shared" si="4"/>
        <v>0</v>
      </c>
      <c r="BS14" s="5">
        <f t="shared" si="4"/>
        <v>0</v>
      </c>
      <c r="BT14" s="5">
        <f t="shared" si="4"/>
        <v>0</v>
      </c>
      <c r="BU14" s="5">
        <f t="shared" ref="BU14:CC14" si="5">(BT14+BT15-BT17+BP16)</f>
        <v>0</v>
      </c>
      <c r="BV14" s="5">
        <f t="shared" si="5"/>
        <v>0</v>
      </c>
      <c r="BW14" s="5">
        <f t="shared" si="5"/>
        <v>0</v>
      </c>
      <c r="BX14" s="5">
        <f t="shared" si="5"/>
        <v>0</v>
      </c>
      <c r="BY14" s="5">
        <f t="shared" si="5"/>
        <v>0</v>
      </c>
      <c r="BZ14" s="5">
        <f t="shared" si="5"/>
        <v>0</v>
      </c>
      <c r="CA14" s="5">
        <f t="shared" si="5"/>
        <v>0</v>
      </c>
      <c r="CB14" s="5">
        <f t="shared" si="5"/>
        <v>0</v>
      </c>
      <c r="CC14" s="5">
        <f t="shared" si="5"/>
        <v>0</v>
      </c>
    </row>
    <row r="15" spans="1:81" x14ac:dyDescent="0.2">
      <c r="A15" s="5" t="s">
        <v>209</v>
      </c>
      <c r="B15" s="5">
        <v>0</v>
      </c>
      <c r="C15" s="45" t="s">
        <v>39</v>
      </c>
      <c r="D15" s="59">
        <f>IFERROR(VLOOKUP(A14,WIP!$A:$B,2,0),0)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">
      <c r="A16" s="5" t="s">
        <v>210</v>
      </c>
      <c r="B16" s="5">
        <v>0</v>
      </c>
      <c r="C16" s="9" t="s">
        <v>211</v>
      </c>
      <c r="D16" s="60">
        <f>IFERROR(VLOOKUP($A14,Plan!$A:B,D$4,0),0)</f>
        <v>0</v>
      </c>
      <c r="E16" s="60">
        <f>IFERROR(VLOOKUP($A14,Plan!$A:C,E$4,0),0)</f>
        <v>0</v>
      </c>
      <c r="F16" s="60">
        <f>IFERROR(VLOOKUP($A14,Plan!$A:D,F$4,0),0)</f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">
      <c r="A17" s="5" t="s">
        <v>212</v>
      </c>
      <c r="B17" s="5">
        <v>0</v>
      </c>
      <c r="C17" s="9" t="s">
        <v>213</v>
      </c>
      <c r="D17" s="61">
        <f>IFERROR(VLOOKUP($A14,Sales!$A:B,D$2,0),0)</f>
        <v>0</v>
      </c>
      <c r="E17" s="61">
        <f>IFERROR(VLOOKUP($A14,Sales!$A:C,E$2,0),0)</f>
        <v>0</v>
      </c>
      <c r="F17" s="61">
        <f>IFERROR(VLOOKUP($A14,Sales!$A:D,F$2,0),0)</f>
        <v>0</v>
      </c>
      <c r="G17" s="61">
        <f>IFERROR(VLOOKUP($A14,Sales!$A:E,G$2,0),0)</f>
        <v>0</v>
      </c>
      <c r="H17" s="61">
        <f>IFERROR(VLOOKUP($A14,Sales!$A:F,H$2,0),0)</f>
        <v>0</v>
      </c>
      <c r="I17" s="61">
        <f>IFERROR(VLOOKUP($A14,Sales!$A:G,I$2,0),0)</f>
        <v>0</v>
      </c>
      <c r="J17" s="61">
        <f>IFERROR(VLOOKUP($A14,Sales!$A:H,J$2,0),0)</f>
        <v>0</v>
      </c>
      <c r="K17" s="61">
        <f>IFERROR(VLOOKUP($A14,Sales!$A:I,K$2,0),0)</f>
        <v>0</v>
      </c>
      <c r="L17" s="61">
        <f>IFERROR(VLOOKUP($A14,Sales!$A:J,L$2,0),0)</f>
        <v>0</v>
      </c>
      <c r="M17" s="61">
        <f>IFERROR(VLOOKUP($A14,Sales!$A:K,M$2,0),0)</f>
        <v>0</v>
      </c>
      <c r="N17" s="61">
        <f>IFERROR(VLOOKUP($A14,Sales!$A:L,N$2,0),0)</f>
        <v>0</v>
      </c>
      <c r="O17" s="61">
        <f>IFERROR(VLOOKUP($A14,Sales!$A:M,O$2,0),0)</f>
        <v>0</v>
      </c>
      <c r="P17" s="61">
        <f>IFERROR(VLOOKUP($A14,Sales!$A:N,P$2,0),0)</f>
        <v>0</v>
      </c>
      <c r="Q17" s="61">
        <f>IFERROR(VLOOKUP($A14,Sales!$A:O,Q$2,0),0)</f>
        <v>0</v>
      </c>
      <c r="R17" s="61">
        <f>IFERROR(VLOOKUP($A14,Sales!$A:P,R$2,0),0)</f>
        <v>0</v>
      </c>
      <c r="S17" s="61">
        <f>IFERROR(VLOOKUP($A14,Sales!$A:Q,S$2,0),0)</f>
        <v>0</v>
      </c>
      <c r="T17" s="61">
        <f>IFERROR(VLOOKUP($A14,Sales!$A:R,T$2,0),0)</f>
        <v>0</v>
      </c>
      <c r="U17" s="61">
        <f>IFERROR(VLOOKUP($A14,Sales!$A:S,U$2,0),0)</f>
        <v>0</v>
      </c>
      <c r="V17" s="61">
        <f>IFERROR(VLOOKUP($A14,Sales!$A:T,V$2,0),0)</f>
        <v>0</v>
      </c>
      <c r="W17" s="61">
        <f>IFERROR(VLOOKUP($A14,Sales!$A:U,W$2,0),0)</f>
        <v>0</v>
      </c>
      <c r="X17" s="61">
        <f>IFERROR(VLOOKUP($A14,Sales!$A:V,X$2,0),0)</f>
        <v>0</v>
      </c>
      <c r="Y17" s="61">
        <f>IFERROR(VLOOKUP($A14,Sales!$A:W,Y$2,0),0)</f>
        <v>0</v>
      </c>
      <c r="Z17" s="61">
        <f>IFERROR(VLOOKUP($A14,Sales!$A:X,Z$2,0),0)</f>
        <v>0</v>
      </c>
      <c r="AA17" s="61">
        <f>IFERROR(VLOOKUP($A14,Sales!$A:Y,AA$2,0),0)</f>
        <v>0</v>
      </c>
      <c r="AB17" s="61">
        <f>IFERROR(VLOOKUP($A14,Sales!$A:Z,AB$2,0),0)</f>
        <v>0</v>
      </c>
      <c r="AC17" s="61">
        <f>IFERROR(VLOOKUP($A14,Sales!$A:AA,AC$2,0),0)</f>
        <v>0</v>
      </c>
      <c r="AD17" s="61">
        <f>IFERROR(VLOOKUP($A14,Sales!$A:AB,AD$2,0),0)</f>
        <v>0</v>
      </c>
      <c r="AE17" s="61">
        <f>IFERROR(VLOOKUP($A14,Sales!$A:AC,AE$2,0),0)</f>
        <v>0</v>
      </c>
      <c r="AF17" s="61">
        <f>IFERROR(VLOOKUP($A14,Sales!$A:AD,AF$2,0),0)</f>
        <v>0</v>
      </c>
      <c r="AG17" s="61">
        <f>IFERROR(VLOOKUP($A14,Sales!$A:AE,AG$2,0),0)</f>
        <v>0</v>
      </c>
      <c r="AH17" s="61">
        <f>IFERROR(VLOOKUP($A14,Sales!$A:AF,AH$2,0),0)</f>
        <v>0</v>
      </c>
      <c r="AI17" s="61">
        <f>IFERROR(VLOOKUP($A14,Sales!$A:AG,AI$2,0),0)</f>
        <v>0</v>
      </c>
      <c r="AJ17" s="61">
        <f>IFERROR(VLOOKUP($A14,Sales!$A:AH,AJ$2,0),0)</f>
        <v>0</v>
      </c>
      <c r="AK17" s="74">
        <f t="shared" ref="AK17:CC17" si="6">CEILING(AK$5*$B13,1)</f>
        <v>0</v>
      </c>
      <c r="AL17" s="74">
        <f t="shared" si="6"/>
        <v>0</v>
      </c>
      <c r="AM17" s="74">
        <f t="shared" si="6"/>
        <v>0</v>
      </c>
      <c r="AN17" s="74">
        <f t="shared" si="6"/>
        <v>0</v>
      </c>
      <c r="AO17" s="74">
        <f t="shared" si="6"/>
        <v>0</v>
      </c>
      <c r="AP17" s="74">
        <f t="shared" si="6"/>
        <v>0</v>
      </c>
      <c r="AQ17" s="74">
        <f t="shared" si="6"/>
        <v>0</v>
      </c>
      <c r="AR17" s="74">
        <f t="shared" si="6"/>
        <v>0</v>
      </c>
      <c r="AS17" s="74">
        <f t="shared" si="6"/>
        <v>0</v>
      </c>
      <c r="AT17" s="74">
        <f t="shared" si="6"/>
        <v>0</v>
      </c>
      <c r="AU17" s="74">
        <f t="shared" si="6"/>
        <v>0</v>
      </c>
      <c r="AV17" s="74">
        <f t="shared" si="6"/>
        <v>0</v>
      </c>
      <c r="AW17" s="74">
        <f t="shared" si="6"/>
        <v>0</v>
      </c>
      <c r="AX17" s="74">
        <f t="shared" si="6"/>
        <v>0</v>
      </c>
      <c r="AY17" s="74">
        <f t="shared" si="6"/>
        <v>0</v>
      </c>
      <c r="AZ17" s="74">
        <f t="shared" si="6"/>
        <v>0</v>
      </c>
      <c r="BA17" s="74">
        <f t="shared" si="6"/>
        <v>0</v>
      </c>
      <c r="BB17" s="74">
        <f t="shared" si="6"/>
        <v>0</v>
      </c>
      <c r="BC17" s="74">
        <f t="shared" si="6"/>
        <v>0</v>
      </c>
      <c r="BD17" s="74">
        <f t="shared" si="6"/>
        <v>0</v>
      </c>
      <c r="BE17" s="74">
        <f t="shared" si="6"/>
        <v>0</v>
      </c>
      <c r="BF17" s="74">
        <f t="shared" si="6"/>
        <v>0</v>
      </c>
      <c r="BG17" s="74">
        <f t="shared" si="6"/>
        <v>0</v>
      </c>
      <c r="BH17" s="74">
        <f t="shared" si="6"/>
        <v>0</v>
      </c>
      <c r="BI17" s="74">
        <f t="shared" si="6"/>
        <v>0</v>
      </c>
      <c r="BJ17" s="74">
        <f t="shared" si="6"/>
        <v>0</v>
      </c>
      <c r="BK17" s="74">
        <f t="shared" si="6"/>
        <v>0</v>
      </c>
      <c r="BL17" s="74">
        <f t="shared" si="6"/>
        <v>0</v>
      </c>
      <c r="BM17" s="74">
        <f t="shared" si="6"/>
        <v>0</v>
      </c>
      <c r="BN17" s="74">
        <f t="shared" si="6"/>
        <v>0</v>
      </c>
      <c r="BO17" s="74">
        <f t="shared" si="6"/>
        <v>0</v>
      </c>
      <c r="BP17" s="74">
        <f t="shared" si="6"/>
        <v>0</v>
      </c>
      <c r="BQ17" s="74">
        <f t="shared" si="6"/>
        <v>0</v>
      </c>
      <c r="BR17" s="74">
        <f t="shared" si="6"/>
        <v>0</v>
      </c>
      <c r="BS17" s="74">
        <f t="shared" si="6"/>
        <v>0</v>
      </c>
      <c r="BT17" s="74">
        <f t="shared" si="6"/>
        <v>0</v>
      </c>
      <c r="BU17" s="74">
        <f t="shared" si="6"/>
        <v>0</v>
      </c>
      <c r="BV17" s="74">
        <f t="shared" si="6"/>
        <v>0</v>
      </c>
      <c r="BW17" s="74">
        <f t="shared" si="6"/>
        <v>0</v>
      </c>
      <c r="BX17" s="74">
        <f t="shared" si="6"/>
        <v>0</v>
      </c>
      <c r="BY17" s="74">
        <f t="shared" si="6"/>
        <v>0</v>
      </c>
      <c r="BZ17" s="74">
        <f t="shared" si="6"/>
        <v>0</v>
      </c>
      <c r="CA17" s="74">
        <f t="shared" si="6"/>
        <v>0</v>
      </c>
      <c r="CB17" s="74">
        <f t="shared" si="6"/>
        <v>0</v>
      </c>
      <c r="CC17" s="74">
        <f t="shared" si="6"/>
        <v>0</v>
      </c>
    </row>
    <row r="18" spans="1:81" x14ac:dyDescent="0.2">
      <c r="A18" s="5" t="s">
        <v>214</v>
      </c>
      <c r="B18" s="5">
        <v>0</v>
      </c>
      <c r="C18" s="46" t="s">
        <v>215</v>
      </c>
      <c r="D18" s="11">
        <f t="shared" ref="D18:AI18" si="7">IF(D17=0,0, ROUND(D14 * 1/D17* D$13,1))</f>
        <v>0</v>
      </c>
      <c r="E18" s="11">
        <f t="shared" si="7"/>
        <v>0</v>
      </c>
      <c r="F18" s="11">
        <f t="shared" si="7"/>
        <v>0</v>
      </c>
      <c r="G18" s="11">
        <f t="shared" si="7"/>
        <v>0</v>
      </c>
      <c r="H18" s="11">
        <f t="shared" si="7"/>
        <v>0</v>
      </c>
      <c r="I18" s="11">
        <f t="shared" si="7"/>
        <v>0</v>
      </c>
      <c r="J18" s="11">
        <f t="shared" si="7"/>
        <v>0</v>
      </c>
      <c r="K18" s="11">
        <f t="shared" si="7"/>
        <v>0</v>
      </c>
      <c r="L18" s="11">
        <f t="shared" si="7"/>
        <v>0</v>
      </c>
      <c r="M18" s="11">
        <f t="shared" si="7"/>
        <v>0</v>
      </c>
      <c r="N18" s="11">
        <f t="shared" si="7"/>
        <v>0</v>
      </c>
      <c r="O18" s="11">
        <f t="shared" si="7"/>
        <v>0</v>
      </c>
      <c r="P18" s="11">
        <f t="shared" si="7"/>
        <v>0</v>
      </c>
      <c r="Q18" s="11">
        <f t="shared" si="7"/>
        <v>0</v>
      </c>
      <c r="R18" s="11">
        <f t="shared" si="7"/>
        <v>0</v>
      </c>
      <c r="S18" s="11">
        <f t="shared" si="7"/>
        <v>0</v>
      </c>
      <c r="T18" s="11">
        <f t="shared" si="7"/>
        <v>0</v>
      </c>
      <c r="U18" s="11">
        <f t="shared" si="7"/>
        <v>0</v>
      </c>
      <c r="V18" s="11">
        <f t="shared" si="7"/>
        <v>0</v>
      </c>
      <c r="W18" s="11">
        <f t="shared" si="7"/>
        <v>0</v>
      </c>
      <c r="X18" s="11">
        <f t="shared" si="7"/>
        <v>0</v>
      </c>
      <c r="Y18" s="11">
        <f t="shared" si="7"/>
        <v>0</v>
      </c>
      <c r="Z18" s="11">
        <f t="shared" si="7"/>
        <v>0</v>
      </c>
      <c r="AA18" s="11">
        <f t="shared" si="7"/>
        <v>0</v>
      </c>
      <c r="AB18" s="11">
        <f t="shared" si="7"/>
        <v>0</v>
      </c>
      <c r="AC18" s="11">
        <f t="shared" si="7"/>
        <v>0</v>
      </c>
      <c r="AD18" s="11">
        <f t="shared" si="7"/>
        <v>0</v>
      </c>
      <c r="AE18" s="11">
        <f t="shared" si="7"/>
        <v>0</v>
      </c>
      <c r="AF18" s="11">
        <f t="shared" si="7"/>
        <v>0</v>
      </c>
      <c r="AG18" s="11">
        <f t="shared" si="7"/>
        <v>0</v>
      </c>
      <c r="AH18" s="11">
        <f t="shared" si="7"/>
        <v>0</v>
      </c>
      <c r="AI18" s="11">
        <f t="shared" si="7"/>
        <v>0</v>
      </c>
      <c r="AJ18" s="11">
        <f t="shared" ref="AJ18:BO18" si="8">IF(AJ17=0,0, ROUND(AJ14 * 1/AJ17* AJ$13,1))</f>
        <v>0</v>
      </c>
      <c r="AK18" s="11">
        <f t="shared" si="8"/>
        <v>0</v>
      </c>
      <c r="AL18" s="11">
        <f t="shared" si="8"/>
        <v>0</v>
      </c>
      <c r="AM18" s="11">
        <f t="shared" si="8"/>
        <v>0</v>
      </c>
      <c r="AN18" s="11">
        <f t="shared" si="8"/>
        <v>0</v>
      </c>
      <c r="AO18" s="11">
        <f t="shared" si="8"/>
        <v>0</v>
      </c>
      <c r="AP18" s="11">
        <f t="shared" si="8"/>
        <v>0</v>
      </c>
      <c r="AQ18" s="11">
        <f t="shared" si="8"/>
        <v>0</v>
      </c>
      <c r="AR18" s="11">
        <f t="shared" si="8"/>
        <v>0</v>
      </c>
      <c r="AS18" s="11">
        <f t="shared" si="8"/>
        <v>0</v>
      </c>
      <c r="AT18" s="11">
        <f t="shared" si="8"/>
        <v>0</v>
      </c>
      <c r="AU18" s="11">
        <f t="shared" si="8"/>
        <v>0</v>
      </c>
      <c r="AV18" s="11">
        <f t="shared" si="8"/>
        <v>0</v>
      </c>
      <c r="AW18" s="11">
        <f t="shared" si="8"/>
        <v>0</v>
      </c>
      <c r="AX18" s="11">
        <f t="shared" si="8"/>
        <v>0</v>
      </c>
      <c r="AY18" s="11">
        <f t="shared" si="8"/>
        <v>0</v>
      </c>
      <c r="AZ18" s="11">
        <f t="shared" si="8"/>
        <v>0</v>
      </c>
      <c r="BA18" s="11">
        <f t="shared" si="8"/>
        <v>0</v>
      </c>
      <c r="BB18" s="11">
        <f t="shared" si="8"/>
        <v>0</v>
      </c>
      <c r="BC18" s="11">
        <f t="shared" si="8"/>
        <v>0</v>
      </c>
      <c r="BD18" s="11">
        <f t="shared" si="8"/>
        <v>0</v>
      </c>
      <c r="BE18" s="11">
        <f t="shared" si="8"/>
        <v>0</v>
      </c>
      <c r="BF18" s="11">
        <f t="shared" si="8"/>
        <v>0</v>
      </c>
      <c r="BG18" s="11">
        <f t="shared" si="8"/>
        <v>0</v>
      </c>
      <c r="BH18" s="11">
        <f t="shared" si="8"/>
        <v>0</v>
      </c>
      <c r="BI18" s="11">
        <f t="shared" si="8"/>
        <v>0</v>
      </c>
      <c r="BJ18" s="11">
        <f t="shared" si="8"/>
        <v>0</v>
      </c>
      <c r="BK18" s="11">
        <f t="shared" si="8"/>
        <v>0</v>
      </c>
      <c r="BL18" s="11">
        <f t="shared" si="8"/>
        <v>0</v>
      </c>
      <c r="BM18" s="11">
        <f t="shared" si="8"/>
        <v>0</v>
      </c>
      <c r="BN18" s="11">
        <f t="shared" si="8"/>
        <v>0</v>
      </c>
      <c r="BO18" s="11">
        <f t="shared" si="8"/>
        <v>0</v>
      </c>
      <c r="BP18" s="11">
        <f t="shared" ref="BP18:CC18" si="9">IF(BP17=0,0, ROUND(BP14 * 1/BP17* BP$13,1))</f>
        <v>0</v>
      </c>
      <c r="BQ18" s="11">
        <f t="shared" si="9"/>
        <v>0</v>
      </c>
      <c r="BR18" s="11">
        <f t="shared" si="9"/>
        <v>0</v>
      </c>
      <c r="BS18" s="11">
        <f t="shared" si="9"/>
        <v>0</v>
      </c>
      <c r="BT18" s="11">
        <f t="shared" si="9"/>
        <v>0</v>
      </c>
      <c r="BU18" s="11">
        <f t="shared" si="9"/>
        <v>0</v>
      </c>
      <c r="BV18" s="11">
        <f t="shared" si="9"/>
        <v>0</v>
      </c>
      <c r="BW18" s="11">
        <f t="shared" si="9"/>
        <v>0</v>
      </c>
      <c r="BX18" s="11">
        <f t="shared" si="9"/>
        <v>0</v>
      </c>
      <c r="BY18" s="11">
        <f t="shared" si="9"/>
        <v>0</v>
      </c>
      <c r="BZ18" s="11">
        <f t="shared" si="9"/>
        <v>0</v>
      </c>
      <c r="CA18" s="11">
        <f t="shared" si="9"/>
        <v>0</v>
      </c>
      <c r="CB18" s="11">
        <f t="shared" si="9"/>
        <v>0</v>
      </c>
      <c r="CC18" s="11">
        <f t="shared" si="9"/>
        <v>0</v>
      </c>
    </row>
    <row r="19" spans="1:81" x14ac:dyDescent="0.2">
      <c r="A19">
        <v>1</v>
      </c>
      <c r="B19">
        <v>1</v>
      </c>
      <c r="C19" s="8">
        <v>0</v>
      </c>
      <c r="D19">
        <f t="shared" ref="D19:AI19" si="10">D16/$B19</f>
        <v>0</v>
      </c>
      <c r="E19">
        <f t="shared" si="10"/>
        <v>0</v>
      </c>
      <c r="F19">
        <f t="shared" si="10"/>
        <v>0</v>
      </c>
      <c r="G19">
        <f t="shared" si="10"/>
        <v>0</v>
      </c>
      <c r="H19">
        <f t="shared" si="10"/>
        <v>0</v>
      </c>
      <c r="I19">
        <f t="shared" si="10"/>
        <v>0</v>
      </c>
      <c r="J19">
        <f t="shared" si="10"/>
        <v>0</v>
      </c>
      <c r="K19">
        <f t="shared" si="10"/>
        <v>0</v>
      </c>
      <c r="L19">
        <f t="shared" si="10"/>
        <v>0</v>
      </c>
      <c r="M19">
        <f t="shared" si="10"/>
        <v>0</v>
      </c>
      <c r="N19">
        <f t="shared" si="10"/>
        <v>0</v>
      </c>
      <c r="O19">
        <f t="shared" si="10"/>
        <v>0</v>
      </c>
      <c r="P19">
        <f t="shared" si="10"/>
        <v>0</v>
      </c>
      <c r="Q19">
        <f t="shared" si="10"/>
        <v>0</v>
      </c>
      <c r="R19">
        <f t="shared" si="10"/>
        <v>0</v>
      </c>
      <c r="S19">
        <f t="shared" si="10"/>
        <v>0</v>
      </c>
      <c r="T19">
        <f t="shared" si="10"/>
        <v>0</v>
      </c>
      <c r="U19">
        <f t="shared" si="10"/>
        <v>0</v>
      </c>
      <c r="V19">
        <f t="shared" si="10"/>
        <v>0</v>
      </c>
      <c r="W19">
        <f t="shared" si="10"/>
        <v>0</v>
      </c>
      <c r="X19">
        <f t="shared" si="10"/>
        <v>0</v>
      </c>
      <c r="Y19">
        <f t="shared" si="10"/>
        <v>0</v>
      </c>
      <c r="Z19">
        <f t="shared" si="10"/>
        <v>0</v>
      </c>
      <c r="AA19">
        <f t="shared" si="10"/>
        <v>0</v>
      </c>
      <c r="AB19">
        <f t="shared" si="10"/>
        <v>0</v>
      </c>
      <c r="AC19">
        <f t="shared" si="10"/>
        <v>0</v>
      </c>
      <c r="AD19">
        <f t="shared" si="10"/>
        <v>0</v>
      </c>
      <c r="AE19">
        <f t="shared" si="10"/>
        <v>0</v>
      </c>
      <c r="AF19">
        <f t="shared" si="10"/>
        <v>0</v>
      </c>
      <c r="AG19">
        <f t="shared" si="10"/>
        <v>0</v>
      </c>
      <c r="AH19">
        <f t="shared" si="10"/>
        <v>0</v>
      </c>
      <c r="AI19">
        <f t="shared" si="10"/>
        <v>0</v>
      </c>
      <c r="AJ19">
        <f t="shared" ref="AJ19:BO19" si="11">AJ16/$B19</f>
        <v>0</v>
      </c>
      <c r="AK19">
        <f t="shared" si="11"/>
        <v>0</v>
      </c>
      <c r="AL19">
        <f t="shared" si="11"/>
        <v>0</v>
      </c>
      <c r="AM19">
        <f t="shared" si="11"/>
        <v>0</v>
      </c>
      <c r="AN19">
        <f t="shared" si="11"/>
        <v>0</v>
      </c>
      <c r="AO19">
        <f t="shared" si="11"/>
        <v>0</v>
      </c>
      <c r="AP19">
        <f t="shared" si="11"/>
        <v>0</v>
      </c>
      <c r="AQ19">
        <f t="shared" si="11"/>
        <v>0</v>
      </c>
      <c r="AR19">
        <f t="shared" si="11"/>
        <v>0</v>
      </c>
      <c r="AS19">
        <f t="shared" si="11"/>
        <v>0</v>
      </c>
      <c r="AT19">
        <f t="shared" si="11"/>
        <v>0</v>
      </c>
      <c r="AU19">
        <f t="shared" si="11"/>
        <v>0</v>
      </c>
      <c r="AV19">
        <f t="shared" si="11"/>
        <v>0</v>
      </c>
      <c r="AW19">
        <f t="shared" si="11"/>
        <v>0</v>
      </c>
      <c r="AX19">
        <f t="shared" si="11"/>
        <v>0</v>
      </c>
      <c r="AY19">
        <f t="shared" si="11"/>
        <v>0</v>
      </c>
      <c r="AZ19">
        <f t="shared" si="11"/>
        <v>0</v>
      </c>
      <c r="BA19">
        <f t="shared" si="11"/>
        <v>0</v>
      </c>
      <c r="BB19">
        <f t="shared" si="11"/>
        <v>0</v>
      </c>
      <c r="BC19">
        <f t="shared" si="11"/>
        <v>0</v>
      </c>
      <c r="BD19">
        <f t="shared" si="11"/>
        <v>0</v>
      </c>
      <c r="BE19">
        <f t="shared" si="11"/>
        <v>0</v>
      </c>
      <c r="BF19">
        <f t="shared" si="11"/>
        <v>0</v>
      </c>
      <c r="BG19">
        <f t="shared" si="11"/>
        <v>0</v>
      </c>
      <c r="BH19">
        <f t="shared" si="11"/>
        <v>0</v>
      </c>
      <c r="BI19">
        <f t="shared" si="11"/>
        <v>0</v>
      </c>
      <c r="BJ19">
        <f t="shared" si="11"/>
        <v>0</v>
      </c>
      <c r="BK19">
        <f t="shared" si="11"/>
        <v>0</v>
      </c>
      <c r="BL19">
        <f t="shared" si="11"/>
        <v>0</v>
      </c>
      <c r="BM19">
        <f t="shared" si="11"/>
        <v>0</v>
      </c>
      <c r="BN19">
        <f t="shared" si="11"/>
        <v>0</v>
      </c>
      <c r="BO19">
        <f t="shared" si="11"/>
        <v>0</v>
      </c>
      <c r="BP19">
        <f t="shared" ref="BP19:CC19" si="12">BP16/$B19</f>
        <v>0</v>
      </c>
      <c r="BQ19">
        <f t="shared" si="12"/>
        <v>0</v>
      </c>
      <c r="BR19">
        <f t="shared" si="12"/>
        <v>0</v>
      </c>
      <c r="BS19">
        <f t="shared" si="12"/>
        <v>0</v>
      </c>
      <c r="BT19">
        <f t="shared" si="12"/>
        <v>0</v>
      </c>
      <c r="BU19">
        <f t="shared" si="12"/>
        <v>0</v>
      </c>
      <c r="BV19">
        <f t="shared" si="12"/>
        <v>0</v>
      </c>
      <c r="BW19">
        <f t="shared" si="12"/>
        <v>0</v>
      </c>
      <c r="BX19">
        <f t="shared" si="12"/>
        <v>0</v>
      </c>
      <c r="BY19">
        <f t="shared" si="12"/>
        <v>0</v>
      </c>
      <c r="BZ19">
        <f t="shared" si="12"/>
        <v>0</v>
      </c>
      <c r="CA19">
        <f t="shared" si="12"/>
        <v>0</v>
      </c>
      <c r="CB19">
        <f t="shared" si="12"/>
        <v>0</v>
      </c>
      <c r="CC19">
        <f t="shared" si="12"/>
        <v>0</v>
      </c>
    </row>
    <row r="20" spans="1:81" x14ac:dyDescent="0.2">
      <c r="B20" s="67">
        <f>SUM(D24:AJ24)/SUM($D$263:$AJ$263)</f>
        <v>3.521953510213665E-2</v>
      </c>
      <c r="C20" s="9" t="s">
        <v>216</v>
      </c>
      <c r="D20">
        <f t="shared" ref="D20:AI20" si="13">D14-D17</f>
        <v>0</v>
      </c>
      <c r="E20">
        <f t="shared" si="13"/>
        <v>0</v>
      </c>
      <c r="F20">
        <f t="shared" si="13"/>
        <v>0</v>
      </c>
      <c r="G20">
        <f t="shared" si="13"/>
        <v>0</v>
      </c>
      <c r="H20">
        <f t="shared" si="13"/>
        <v>0</v>
      </c>
      <c r="I20">
        <f t="shared" si="13"/>
        <v>0</v>
      </c>
      <c r="J20">
        <f t="shared" si="13"/>
        <v>0</v>
      </c>
      <c r="K20">
        <f t="shared" si="13"/>
        <v>0</v>
      </c>
      <c r="L20">
        <f t="shared" si="13"/>
        <v>0</v>
      </c>
      <c r="M20">
        <f t="shared" si="13"/>
        <v>0</v>
      </c>
      <c r="N20">
        <f t="shared" si="13"/>
        <v>0</v>
      </c>
      <c r="O20">
        <f t="shared" si="13"/>
        <v>0</v>
      </c>
      <c r="P20">
        <f t="shared" si="13"/>
        <v>0</v>
      </c>
      <c r="Q20">
        <f t="shared" si="13"/>
        <v>0</v>
      </c>
      <c r="R20">
        <f t="shared" si="13"/>
        <v>0</v>
      </c>
      <c r="S20">
        <f t="shared" si="13"/>
        <v>0</v>
      </c>
      <c r="T20">
        <f t="shared" si="13"/>
        <v>0</v>
      </c>
      <c r="U20">
        <f t="shared" si="13"/>
        <v>0</v>
      </c>
      <c r="V20">
        <f t="shared" si="13"/>
        <v>0</v>
      </c>
      <c r="W20">
        <f t="shared" si="13"/>
        <v>0</v>
      </c>
      <c r="X20">
        <f t="shared" si="13"/>
        <v>0</v>
      </c>
      <c r="Y20">
        <f t="shared" si="13"/>
        <v>0</v>
      </c>
      <c r="Z20">
        <f t="shared" si="13"/>
        <v>0</v>
      </c>
      <c r="AA20">
        <f t="shared" si="13"/>
        <v>0</v>
      </c>
      <c r="AB20">
        <f t="shared" si="13"/>
        <v>0</v>
      </c>
      <c r="AC20">
        <f t="shared" si="13"/>
        <v>0</v>
      </c>
      <c r="AD20">
        <f t="shared" si="13"/>
        <v>0</v>
      </c>
      <c r="AE20">
        <f t="shared" si="13"/>
        <v>0</v>
      </c>
      <c r="AF20">
        <f t="shared" si="13"/>
        <v>0</v>
      </c>
      <c r="AG20">
        <f t="shared" si="13"/>
        <v>0</v>
      </c>
      <c r="AH20">
        <f t="shared" si="13"/>
        <v>0</v>
      </c>
      <c r="AI20">
        <f t="shared" si="13"/>
        <v>0</v>
      </c>
      <c r="AJ20">
        <f t="shared" ref="AJ20:BO20" si="14">AJ14-AJ17</f>
        <v>0</v>
      </c>
      <c r="AK20">
        <f t="shared" si="14"/>
        <v>0</v>
      </c>
      <c r="AL20">
        <f t="shared" si="14"/>
        <v>0</v>
      </c>
      <c r="AM20">
        <f t="shared" si="14"/>
        <v>0</v>
      </c>
      <c r="AN20">
        <f t="shared" si="14"/>
        <v>0</v>
      </c>
      <c r="AO20">
        <f t="shared" si="14"/>
        <v>0</v>
      </c>
      <c r="AP20">
        <f t="shared" si="14"/>
        <v>0</v>
      </c>
      <c r="AQ20">
        <f t="shared" si="14"/>
        <v>0</v>
      </c>
      <c r="AR20">
        <f t="shared" si="14"/>
        <v>0</v>
      </c>
      <c r="AS20">
        <f t="shared" si="14"/>
        <v>0</v>
      </c>
      <c r="AT20">
        <f t="shared" si="14"/>
        <v>0</v>
      </c>
      <c r="AU20">
        <f t="shared" si="14"/>
        <v>0</v>
      </c>
      <c r="AV20">
        <f t="shared" si="14"/>
        <v>0</v>
      </c>
      <c r="AW20">
        <f t="shared" si="14"/>
        <v>0</v>
      </c>
      <c r="AX20">
        <f t="shared" si="14"/>
        <v>0</v>
      </c>
      <c r="AY20">
        <f t="shared" si="14"/>
        <v>0</v>
      </c>
      <c r="AZ20">
        <f t="shared" si="14"/>
        <v>0</v>
      </c>
      <c r="BA20">
        <f t="shared" si="14"/>
        <v>0</v>
      </c>
      <c r="BB20">
        <f t="shared" si="14"/>
        <v>0</v>
      </c>
      <c r="BC20">
        <f t="shared" si="14"/>
        <v>0</v>
      </c>
      <c r="BD20">
        <f t="shared" si="14"/>
        <v>0</v>
      </c>
      <c r="BE20">
        <f t="shared" si="14"/>
        <v>0</v>
      </c>
      <c r="BF20">
        <f t="shared" si="14"/>
        <v>0</v>
      </c>
      <c r="BG20">
        <f t="shared" si="14"/>
        <v>0</v>
      </c>
      <c r="BH20">
        <f t="shared" si="14"/>
        <v>0</v>
      </c>
      <c r="BI20">
        <f t="shared" si="14"/>
        <v>0</v>
      </c>
      <c r="BJ20">
        <f t="shared" si="14"/>
        <v>0</v>
      </c>
      <c r="BK20">
        <f t="shared" si="14"/>
        <v>0</v>
      </c>
      <c r="BL20">
        <f t="shared" si="14"/>
        <v>0</v>
      </c>
      <c r="BM20">
        <f t="shared" si="14"/>
        <v>0</v>
      </c>
      <c r="BN20">
        <f t="shared" si="14"/>
        <v>0</v>
      </c>
      <c r="BO20">
        <f t="shared" si="14"/>
        <v>0</v>
      </c>
      <c r="BP20">
        <f t="shared" ref="BP20:CC20" si="15">BP14-BP17</f>
        <v>0</v>
      </c>
      <c r="BQ20">
        <f t="shared" si="15"/>
        <v>0</v>
      </c>
      <c r="BR20">
        <f t="shared" si="15"/>
        <v>0</v>
      </c>
      <c r="BS20">
        <f t="shared" si="15"/>
        <v>0</v>
      </c>
      <c r="BT20">
        <f t="shared" si="15"/>
        <v>0</v>
      </c>
      <c r="BU20">
        <f t="shared" si="15"/>
        <v>0</v>
      </c>
      <c r="BV20">
        <f t="shared" si="15"/>
        <v>0</v>
      </c>
      <c r="BW20">
        <f t="shared" si="15"/>
        <v>0</v>
      </c>
      <c r="BX20">
        <f t="shared" si="15"/>
        <v>0</v>
      </c>
      <c r="BY20">
        <f t="shared" si="15"/>
        <v>0</v>
      </c>
      <c r="BZ20">
        <f t="shared" si="15"/>
        <v>0</v>
      </c>
      <c r="CA20">
        <f t="shared" si="15"/>
        <v>0</v>
      </c>
      <c r="CB20">
        <f t="shared" si="15"/>
        <v>0</v>
      </c>
      <c r="CC20">
        <f t="shared" si="15"/>
        <v>0</v>
      </c>
    </row>
    <row r="21" spans="1:81" x14ac:dyDescent="0.2">
      <c r="A21" s="43" t="s">
        <v>290</v>
      </c>
      <c r="B21" s="44" t="s">
        <v>208</v>
      </c>
      <c r="C21" s="9" t="s">
        <v>38</v>
      </c>
      <c r="D21" s="58">
        <f>IFERROR(VLOOKUP(A21,OS!$A:$B,2,0),0)</f>
        <v>925</v>
      </c>
      <c r="E21" s="5">
        <f>(D21+D22-D24)</f>
        <v>1125</v>
      </c>
      <c r="F21" s="5">
        <f>(E21+E22-E24)</f>
        <v>925</v>
      </c>
      <c r="G21" s="5">
        <f>(F21+F22-F24)</f>
        <v>825</v>
      </c>
      <c r="H21" s="5">
        <f>(G21+G22-G24)</f>
        <v>625</v>
      </c>
      <c r="I21" s="5">
        <f t="shared" ref="I21:AN21" si="16">(H21+H22-H24+D23)</f>
        <v>425</v>
      </c>
      <c r="J21" s="5">
        <f t="shared" si="16"/>
        <v>325</v>
      </c>
      <c r="K21" s="5">
        <f t="shared" si="16"/>
        <v>225</v>
      </c>
      <c r="L21" s="5">
        <f t="shared" si="16"/>
        <v>125</v>
      </c>
      <c r="M21" s="5">
        <f t="shared" si="16"/>
        <v>-75</v>
      </c>
      <c r="N21" s="5">
        <f t="shared" si="16"/>
        <v>-175</v>
      </c>
      <c r="O21" s="5">
        <f t="shared" si="16"/>
        <v>-175</v>
      </c>
      <c r="P21" s="5">
        <f t="shared" si="16"/>
        <v>-175</v>
      </c>
      <c r="Q21" s="5">
        <f t="shared" si="16"/>
        <v>-175</v>
      </c>
      <c r="R21" s="5">
        <f t="shared" si="16"/>
        <v>-175</v>
      </c>
      <c r="S21" s="5">
        <f t="shared" si="16"/>
        <v>-375</v>
      </c>
      <c r="T21" s="5">
        <f t="shared" si="16"/>
        <v>-475</v>
      </c>
      <c r="U21" s="5">
        <f t="shared" si="16"/>
        <v>-575</v>
      </c>
      <c r="V21" s="5">
        <f t="shared" si="16"/>
        <v>-705</v>
      </c>
      <c r="W21" s="5">
        <f t="shared" si="16"/>
        <v>-835</v>
      </c>
      <c r="X21" s="5">
        <f t="shared" si="16"/>
        <v>-965</v>
      </c>
      <c r="Y21" s="5">
        <f t="shared" si="16"/>
        <v>-1075</v>
      </c>
      <c r="Z21" s="5">
        <f t="shared" si="16"/>
        <v>-1225</v>
      </c>
      <c r="AA21" s="5">
        <f t="shared" si="16"/>
        <v>-1375</v>
      </c>
      <c r="AB21" s="5">
        <f t="shared" si="16"/>
        <v>-1525</v>
      </c>
      <c r="AC21" s="5">
        <f t="shared" si="16"/>
        <v>-1675</v>
      </c>
      <c r="AD21" s="5">
        <f t="shared" si="16"/>
        <v>-1795</v>
      </c>
      <c r="AE21" s="5">
        <f t="shared" si="16"/>
        <v>-1915</v>
      </c>
      <c r="AF21" s="5">
        <f t="shared" si="16"/>
        <v>-2035</v>
      </c>
      <c r="AG21" s="5">
        <f t="shared" si="16"/>
        <v>-2155</v>
      </c>
      <c r="AH21" s="5">
        <f t="shared" si="16"/>
        <v>-2275</v>
      </c>
      <c r="AI21" s="5">
        <f t="shared" si="16"/>
        <v>-2375</v>
      </c>
      <c r="AJ21" s="5">
        <f t="shared" si="16"/>
        <v>-2475</v>
      </c>
      <c r="AK21" s="5">
        <f t="shared" si="16"/>
        <v>-2475</v>
      </c>
      <c r="AL21" s="5">
        <f t="shared" si="16"/>
        <v>-2475</v>
      </c>
      <c r="AM21" s="5">
        <f t="shared" si="16"/>
        <v>-2475</v>
      </c>
      <c r="AN21" s="5">
        <f t="shared" si="16"/>
        <v>-2475</v>
      </c>
      <c r="AO21" s="5">
        <f t="shared" ref="AO21:BT21" si="17">(AN21+AN22-AN24+AJ23)</f>
        <v>-2571</v>
      </c>
      <c r="AP21" s="5">
        <f t="shared" si="17"/>
        <v>-2667</v>
      </c>
      <c r="AQ21" s="5">
        <f t="shared" si="17"/>
        <v>-2763</v>
      </c>
      <c r="AR21" s="5">
        <f t="shared" si="17"/>
        <v>-2879</v>
      </c>
      <c r="AS21" s="5">
        <f t="shared" si="17"/>
        <v>-2995</v>
      </c>
      <c r="AT21" s="5">
        <f t="shared" si="17"/>
        <v>-3088</v>
      </c>
      <c r="AU21" s="5">
        <f t="shared" si="17"/>
        <v>-3204</v>
      </c>
      <c r="AV21" s="5">
        <f t="shared" si="17"/>
        <v>-3314</v>
      </c>
      <c r="AW21" s="5">
        <f t="shared" si="17"/>
        <v>-3424</v>
      </c>
      <c r="AX21" s="5">
        <f t="shared" si="17"/>
        <v>-3534</v>
      </c>
      <c r="AY21" s="5">
        <f t="shared" si="17"/>
        <v>-3644</v>
      </c>
      <c r="AZ21" s="5">
        <f t="shared" si="17"/>
        <v>-3732</v>
      </c>
      <c r="BA21" s="5">
        <f t="shared" si="17"/>
        <v>-3810</v>
      </c>
      <c r="BB21" s="5">
        <f t="shared" si="17"/>
        <v>-3888</v>
      </c>
      <c r="BC21" s="5">
        <f t="shared" si="17"/>
        <v>-3966</v>
      </c>
      <c r="BD21" s="5">
        <f t="shared" si="17"/>
        <v>-4054</v>
      </c>
      <c r="BE21" s="5">
        <f t="shared" si="17"/>
        <v>-4142</v>
      </c>
      <c r="BF21" s="5">
        <f t="shared" si="17"/>
        <v>-4230</v>
      </c>
      <c r="BG21" s="5">
        <f t="shared" si="17"/>
        <v>-4318</v>
      </c>
      <c r="BH21" s="5">
        <f t="shared" si="17"/>
        <v>-4406</v>
      </c>
      <c r="BI21" s="5">
        <f t="shared" si="17"/>
        <v>-4494</v>
      </c>
      <c r="BJ21" s="5">
        <f t="shared" si="17"/>
        <v>-4582</v>
      </c>
      <c r="BK21" s="5">
        <f t="shared" si="17"/>
        <v>-4670</v>
      </c>
      <c r="BL21" s="5">
        <f t="shared" si="17"/>
        <v>-4758</v>
      </c>
      <c r="BM21" s="5">
        <f t="shared" si="17"/>
        <v>-4846</v>
      </c>
      <c r="BN21" s="5">
        <f t="shared" si="17"/>
        <v>-4934</v>
      </c>
      <c r="BO21" s="5">
        <f t="shared" si="17"/>
        <v>-5093</v>
      </c>
      <c r="BP21" s="5">
        <f t="shared" si="17"/>
        <v>-5093</v>
      </c>
      <c r="BQ21" s="5">
        <f t="shared" si="17"/>
        <v>-5093</v>
      </c>
      <c r="BR21" s="5">
        <f t="shared" si="17"/>
        <v>-5093</v>
      </c>
      <c r="BS21" s="5">
        <f t="shared" si="17"/>
        <v>-5093</v>
      </c>
      <c r="BT21" s="5">
        <f t="shared" si="17"/>
        <v>-5165</v>
      </c>
      <c r="BU21" s="5">
        <f t="shared" ref="BU21:CC21" si="18">(BT21+BT22-BT24+BP23)</f>
        <v>-5237</v>
      </c>
      <c r="BV21" s="5">
        <f t="shared" si="18"/>
        <v>-5309</v>
      </c>
      <c r="BW21" s="5">
        <f t="shared" si="18"/>
        <v>-5381</v>
      </c>
      <c r="BX21" s="5">
        <f t="shared" si="18"/>
        <v>-5453</v>
      </c>
      <c r="BY21" s="5">
        <f t="shared" si="18"/>
        <v>-5525</v>
      </c>
      <c r="BZ21" s="5">
        <f t="shared" si="18"/>
        <v>-5597</v>
      </c>
      <c r="CA21" s="5">
        <f t="shared" si="18"/>
        <v>-5669</v>
      </c>
      <c r="CB21" s="5">
        <f t="shared" si="18"/>
        <v>-5741</v>
      </c>
      <c r="CC21" s="5">
        <f t="shared" si="18"/>
        <v>-5813</v>
      </c>
    </row>
    <row r="22" spans="1:81" x14ac:dyDescent="0.2">
      <c r="A22" s="5" t="s">
        <v>209</v>
      </c>
      <c r="B22" s="5">
        <v>7.4410600000000002</v>
      </c>
      <c r="C22" s="45" t="s">
        <v>39</v>
      </c>
      <c r="D22" s="59">
        <f>IFERROR(VLOOKUP(A21,WIP!$A:$B,2,0),0)</f>
        <v>200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">
      <c r="A23" s="5" t="s">
        <v>210</v>
      </c>
      <c r="B23" s="5">
        <v>0.23699999999999999</v>
      </c>
      <c r="C23" s="9" t="s">
        <v>211</v>
      </c>
      <c r="D23" s="60">
        <f>IFERROR(VLOOKUP($A21,Plan!$A:B,D$4,0),0)</f>
        <v>0</v>
      </c>
      <c r="E23" s="60">
        <f>IFERROR(VLOOKUP($A21,Plan!$A:C,E$4,0),0)</f>
        <v>0</v>
      </c>
      <c r="F23" s="60">
        <f>IFERROR(VLOOKUP($A21,Plan!$A:D,F$4,0),0)</f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">
      <c r="A24" s="5" t="s">
        <v>212</v>
      </c>
      <c r="B24" s="5">
        <v>3.3000000000000002E-2</v>
      </c>
      <c r="C24" s="9" t="s">
        <v>213</v>
      </c>
      <c r="D24" s="61">
        <f>IFERROR(VLOOKUP($A21,Sales!$A:B,D$2,0),0)</f>
        <v>0</v>
      </c>
      <c r="E24" s="61">
        <f>IFERROR(VLOOKUP($A21,Sales!$A:C,E$2,0),0)</f>
        <v>200</v>
      </c>
      <c r="F24" s="61">
        <f>IFERROR(VLOOKUP($A21,Sales!$A:D,F$2,0),0)</f>
        <v>100</v>
      </c>
      <c r="G24" s="61">
        <f>IFERROR(VLOOKUP($A21,Sales!$A:E,G$2,0),0)</f>
        <v>200</v>
      </c>
      <c r="H24" s="61">
        <f>IFERROR(VLOOKUP($A21,Sales!$A:F,H$2,0),0)</f>
        <v>200</v>
      </c>
      <c r="I24" s="61">
        <f>IFERROR(VLOOKUP($A21,Sales!$A:G,I$2,0),0)</f>
        <v>100</v>
      </c>
      <c r="J24" s="61">
        <f>IFERROR(VLOOKUP($A21,Sales!$A:H,J$2,0),0)</f>
        <v>100</v>
      </c>
      <c r="K24" s="61">
        <f>IFERROR(VLOOKUP($A21,Sales!$A:I,K$2,0),0)</f>
        <v>100</v>
      </c>
      <c r="L24" s="61">
        <f>IFERROR(VLOOKUP($A21,Sales!$A:J,L$2,0),0)</f>
        <v>200</v>
      </c>
      <c r="M24" s="61">
        <f>IFERROR(VLOOKUP($A21,Sales!$A:K,M$2,0),0)</f>
        <v>100</v>
      </c>
      <c r="N24" s="61">
        <f>IFERROR(VLOOKUP($A21,Sales!$A:L,N$2,0),0)</f>
        <v>0</v>
      </c>
      <c r="O24" s="61">
        <f>IFERROR(VLOOKUP($A21,Sales!$A:M,O$2,0),0)</f>
        <v>0</v>
      </c>
      <c r="P24" s="61">
        <f>IFERROR(VLOOKUP($A21,Sales!$A:N,P$2,0),0)</f>
        <v>0</v>
      </c>
      <c r="Q24" s="61">
        <f>IFERROR(VLOOKUP($A21,Sales!$A:O,Q$2,0),0)</f>
        <v>0</v>
      </c>
      <c r="R24" s="61">
        <f>IFERROR(VLOOKUP($A21,Sales!$A:P,R$2,0),0)</f>
        <v>200</v>
      </c>
      <c r="S24" s="61">
        <f>IFERROR(VLOOKUP($A21,Sales!$A:Q,S$2,0),0)</f>
        <v>100</v>
      </c>
      <c r="T24" s="61">
        <f>IFERROR(VLOOKUP($A21,Sales!$A:R,T$2,0),0)</f>
        <v>100</v>
      </c>
      <c r="U24" s="61">
        <f>IFERROR(VLOOKUP($A21,Sales!$A:S,U$2,0),0)</f>
        <v>130</v>
      </c>
      <c r="V24" s="61">
        <f>IFERROR(VLOOKUP($A21,Sales!$A:T,V$2,0),0)</f>
        <v>130</v>
      </c>
      <c r="W24" s="61">
        <f>IFERROR(VLOOKUP($A21,Sales!$A:U,W$2,0),0)</f>
        <v>130</v>
      </c>
      <c r="X24" s="61">
        <f>IFERROR(VLOOKUP($A21,Sales!$A:V,X$2,0),0)</f>
        <v>110</v>
      </c>
      <c r="Y24" s="61">
        <f>IFERROR(VLOOKUP($A21,Sales!$A:W,Y$2,0),0)</f>
        <v>150</v>
      </c>
      <c r="Z24" s="61">
        <f>IFERROR(VLOOKUP($A21,Sales!$A:X,Z$2,0),0)</f>
        <v>150</v>
      </c>
      <c r="AA24" s="61">
        <f>IFERROR(VLOOKUP($A21,Sales!$A:Y,AA$2,0),0)</f>
        <v>150</v>
      </c>
      <c r="AB24" s="61">
        <f>IFERROR(VLOOKUP($A21,Sales!$A:Z,AB$2,0),0)</f>
        <v>150</v>
      </c>
      <c r="AC24" s="61">
        <f>IFERROR(VLOOKUP($A21,Sales!$A:AA,AC$2,0),0)</f>
        <v>120</v>
      </c>
      <c r="AD24" s="61">
        <f>IFERROR(VLOOKUP($A21,Sales!$A:AB,AD$2,0),0)</f>
        <v>120</v>
      </c>
      <c r="AE24" s="61">
        <f>IFERROR(VLOOKUP($A21,Sales!$A:AC,AE$2,0),0)</f>
        <v>120</v>
      </c>
      <c r="AF24" s="61">
        <f>IFERROR(VLOOKUP($A21,Sales!$A:AD,AF$2,0),0)</f>
        <v>120</v>
      </c>
      <c r="AG24" s="61">
        <f>IFERROR(VLOOKUP($A21,Sales!$A:AE,AG$2,0),0)</f>
        <v>120</v>
      </c>
      <c r="AH24" s="61">
        <f>IFERROR(VLOOKUP($A21,Sales!$A:AF,AH$2,0),0)</f>
        <v>100</v>
      </c>
      <c r="AI24" s="61">
        <f>IFERROR(VLOOKUP($A21,Sales!$A:AG,AI$2,0),0)</f>
        <v>100</v>
      </c>
      <c r="AJ24" s="61">
        <f>IFERROR(VLOOKUP($A21,Sales!$A:AH,AJ$2,0),0)</f>
        <v>0</v>
      </c>
      <c r="AK24" s="74">
        <f t="shared" ref="AK24:CC24" si="19">CEILING(AK$5*$B20,1)</f>
        <v>0</v>
      </c>
      <c r="AL24" s="74">
        <f t="shared" si="19"/>
        <v>0</v>
      </c>
      <c r="AM24" s="74">
        <f t="shared" si="19"/>
        <v>0</v>
      </c>
      <c r="AN24" s="74">
        <f t="shared" si="19"/>
        <v>96</v>
      </c>
      <c r="AO24" s="74">
        <f t="shared" si="19"/>
        <v>96</v>
      </c>
      <c r="AP24" s="74">
        <f t="shared" si="19"/>
        <v>96</v>
      </c>
      <c r="AQ24" s="74">
        <f t="shared" si="19"/>
        <v>116</v>
      </c>
      <c r="AR24" s="74">
        <f t="shared" si="19"/>
        <v>116</v>
      </c>
      <c r="AS24" s="74">
        <f t="shared" si="19"/>
        <v>93</v>
      </c>
      <c r="AT24" s="74">
        <f t="shared" si="19"/>
        <v>116</v>
      </c>
      <c r="AU24" s="74">
        <f t="shared" si="19"/>
        <v>110</v>
      </c>
      <c r="AV24" s="74">
        <f t="shared" si="19"/>
        <v>110</v>
      </c>
      <c r="AW24" s="74">
        <f t="shared" si="19"/>
        <v>110</v>
      </c>
      <c r="AX24" s="74">
        <f t="shared" si="19"/>
        <v>110</v>
      </c>
      <c r="AY24" s="74">
        <f t="shared" si="19"/>
        <v>88</v>
      </c>
      <c r="AZ24" s="74">
        <f t="shared" si="19"/>
        <v>78</v>
      </c>
      <c r="BA24" s="74">
        <f t="shared" si="19"/>
        <v>78</v>
      </c>
      <c r="BB24" s="74">
        <f t="shared" si="19"/>
        <v>78</v>
      </c>
      <c r="BC24" s="74">
        <f t="shared" si="19"/>
        <v>88</v>
      </c>
      <c r="BD24" s="74">
        <f t="shared" si="19"/>
        <v>88</v>
      </c>
      <c r="BE24" s="74">
        <f t="shared" si="19"/>
        <v>88</v>
      </c>
      <c r="BF24" s="74">
        <f t="shared" si="19"/>
        <v>88</v>
      </c>
      <c r="BG24" s="74">
        <f t="shared" si="19"/>
        <v>88</v>
      </c>
      <c r="BH24" s="74">
        <f t="shared" si="19"/>
        <v>88</v>
      </c>
      <c r="BI24" s="74">
        <f t="shared" si="19"/>
        <v>88</v>
      </c>
      <c r="BJ24" s="74">
        <f t="shared" si="19"/>
        <v>88</v>
      </c>
      <c r="BK24" s="74">
        <f t="shared" si="19"/>
        <v>88</v>
      </c>
      <c r="BL24" s="74">
        <f t="shared" si="19"/>
        <v>88</v>
      </c>
      <c r="BM24" s="74">
        <f t="shared" si="19"/>
        <v>88</v>
      </c>
      <c r="BN24" s="74">
        <f t="shared" si="19"/>
        <v>159</v>
      </c>
      <c r="BO24" s="74">
        <f t="shared" si="19"/>
        <v>0</v>
      </c>
      <c r="BP24" s="74">
        <f t="shared" si="19"/>
        <v>0</v>
      </c>
      <c r="BQ24" s="74">
        <f t="shared" si="19"/>
        <v>0</v>
      </c>
      <c r="BR24" s="74">
        <f t="shared" si="19"/>
        <v>0</v>
      </c>
      <c r="BS24" s="74">
        <f t="shared" si="19"/>
        <v>72</v>
      </c>
      <c r="BT24" s="74">
        <f t="shared" si="19"/>
        <v>72</v>
      </c>
      <c r="BU24" s="74">
        <f t="shared" si="19"/>
        <v>72</v>
      </c>
      <c r="BV24" s="74">
        <f t="shared" si="19"/>
        <v>72</v>
      </c>
      <c r="BW24" s="74">
        <f t="shared" si="19"/>
        <v>72</v>
      </c>
      <c r="BX24" s="74">
        <f t="shared" si="19"/>
        <v>72</v>
      </c>
      <c r="BY24" s="74">
        <f t="shared" si="19"/>
        <v>72</v>
      </c>
      <c r="BZ24" s="74">
        <f t="shared" si="19"/>
        <v>72</v>
      </c>
      <c r="CA24" s="74">
        <f t="shared" si="19"/>
        <v>72</v>
      </c>
      <c r="CB24" s="74">
        <f t="shared" si="19"/>
        <v>72</v>
      </c>
      <c r="CC24" s="74">
        <f t="shared" si="19"/>
        <v>72</v>
      </c>
    </row>
    <row r="25" spans="1:81" x14ac:dyDescent="0.2">
      <c r="A25" s="5" t="s">
        <v>214</v>
      </c>
      <c r="B25" s="5">
        <v>0.27</v>
      </c>
      <c r="C25" s="46" t="s">
        <v>215</v>
      </c>
      <c r="D25" s="11">
        <f t="shared" ref="D25:AI25" si="20">IF(D24=0,0, ROUND(D21 * 1/D24* D$13,1))</f>
        <v>0</v>
      </c>
      <c r="E25" s="11">
        <f t="shared" si="20"/>
        <v>28.1</v>
      </c>
      <c r="F25" s="11">
        <f t="shared" si="20"/>
        <v>46.3</v>
      </c>
      <c r="G25" s="11">
        <f t="shared" si="20"/>
        <v>20.6</v>
      </c>
      <c r="H25" s="11">
        <f t="shared" si="20"/>
        <v>15.6</v>
      </c>
      <c r="I25" s="11">
        <f t="shared" si="20"/>
        <v>21.3</v>
      </c>
      <c r="J25" s="11">
        <f t="shared" si="20"/>
        <v>16.3</v>
      </c>
      <c r="K25" s="11">
        <f t="shared" si="20"/>
        <v>11.3</v>
      </c>
      <c r="L25" s="11">
        <f t="shared" si="20"/>
        <v>3.1</v>
      </c>
      <c r="M25" s="11">
        <f t="shared" si="20"/>
        <v>-3.8</v>
      </c>
      <c r="N25" s="11">
        <f t="shared" si="20"/>
        <v>0</v>
      </c>
      <c r="O25" s="11">
        <f t="shared" si="20"/>
        <v>0</v>
      </c>
      <c r="P25" s="11">
        <f t="shared" si="20"/>
        <v>0</v>
      </c>
      <c r="Q25" s="11">
        <f t="shared" si="20"/>
        <v>0</v>
      </c>
      <c r="R25" s="11">
        <f t="shared" si="20"/>
        <v>-4.4000000000000004</v>
      </c>
      <c r="S25" s="11">
        <f t="shared" si="20"/>
        <v>-18.8</v>
      </c>
      <c r="T25" s="11">
        <f t="shared" si="20"/>
        <v>-23.8</v>
      </c>
      <c r="U25" s="11">
        <f t="shared" si="20"/>
        <v>-22.1</v>
      </c>
      <c r="V25" s="11">
        <f t="shared" si="20"/>
        <v>-27.1</v>
      </c>
      <c r="W25" s="11">
        <f t="shared" si="20"/>
        <v>-32.1</v>
      </c>
      <c r="X25" s="11">
        <f t="shared" si="20"/>
        <v>-43.9</v>
      </c>
      <c r="Y25" s="11">
        <f t="shared" si="20"/>
        <v>-35.799999999999997</v>
      </c>
      <c r="Z25" s="11">
        <f t="shared" si="20"/>
        <v>-40.799999999999997</v>
      </c>
      <c r="AA25" s="11">
        <f t="shared" si="20"/>
        <v>-45.8</v>
      </c>
      <c r="AB25" s="11">
        <f t="shared" si="20"/>
        <v>-50.8</v>
      </c>
      <c r="AC25" s="11">
        <f t="shared" si="20"/>
        <v>-69.8</v>
      </c>
      <c r="AD25" s="11">
        <f t="shared" si="20"/>
        <v>-74.8</v>
      </c>
      <c r="AE25" s="11">
        <f t="shared" si="20"/>
        <v>-79.8</v>
      </c>
      <c r="AF25" s="11">
        <f t="shared" si="20"/>
        <v>-84.8</v>
      </c>
      <c r="AG25" s="11">
        <f t="shared" si="20"/>
        <v>-89.8</v>
      </c>
      <c r="AH25" s="11">
        <f t="shared" si="20"/>
        <v>-113.8</v>
      </c>
      <c r="AI25" s="11">
        <f t="shared" si="20"/>
        <v>-118.8</v>
      </c>
      <c r="AJ25" s="11">
        <f t="shared" ref="AJ25:BO25" si="21">IF(AJ24=0,0, ROUND(AJ21 * 1/AJ24* AJ$13,1))</f>
        <v>0</v>
      </c>
      <c r="AK25" s="11">
        <f t="shared" si="21"/>
        <v>0</v>
      </c>
      <c r="AL25" s="11">
        <f t="shared" si="21"/>
        <v>0</v>
      </c>
      <c r="AM25" s="11">
        <f t="shared" si="21"/>
        <v>0</v>
      </c>
      <c r="AN25" s="11">
        <f t="shared" si="21"/>
        <v>-128.9</v>
      </c>
      <c r="AO25" s="11">
        <f t="shared" si="21"/>
        <v>-133.9</v>
      </c>
      <c r="AP25" s="11">
        <f t="shared" si="21"/>
        <v>-138.9</v>
      </c>
      <c r="AQ25" s="11">
        <f t="shared" si="21"/>
        <v>-119.1</v>
      </c>
      <c r="AR25" s="11">
        <f t="shared" si="21"/>
        <v>-124.1</v>
      </c>
      <c r="AS25" s="11">
        <f t="shared" si="21"/>
        <v>-161</v>
      </c>
      <c r="AT25" s="11">
        <f t="shared" si="21"/>
        <v>-133.1</v>
      </c>
      <c r="AU25" s="11">
        <f t="shared" si="21"/>
        <v>-145.6</v>
      </c>
      <c r="AV25" s="11">
        <f t="shared" si="21"/>
        <v>-150.6</v>
      </c>
      <c r="AW25" s="11">
        <f t="shared" si="21"/>
        <v>-155.6</v>
      </c>
      <c r="AX25" s="11">
        <f t="shared" si="21"/>
        <v>-160.6</v>
      </c>
      <c r="AY25" s="11">
        <f t="shared" si="21"/>
        <v>-207</v>
      </c>
      <c r="AZ25" s="11">
        <f t="shared" si="21"/>
        <v>-239.2</v>
      </c>
      <c r="BA25" s="11">
        <f t="shared" si="21"/>
        <v>-244.2</v>
      </c>
      <c r="BB25" s="11">
        <f t="shared" si="21"/>
        <v>-249.2</v>
      </c>
      <c r="BC25" s="11">
        <f t="shared" si="21"/>
        <v>-225.3</v>
      </c>
      <c r="BD25" s="11">
        <f t="shared" si="21"/>
        <v>-230.3</v>
      </c>
      <c r="BE25" s="11">
        <f t="shared" si="21"/>
        <v>-235.3</v>
      </c>
      <c r="BF25" s="11">
        <f t="shared" si="21"/>
        <v>-240.3</v>
      </c>
      <c r="BG25" s="11">
        <f t="shared" si="21"/>
        <v>-245.3</v>
      </c>
      <c r="BH25" s="11">
        <f t="shared" si="21"/>
        <v>-250.3</v>
      </c>
      <c r="BI25" s="11">
        <f t="shared" si="21"/>
        <v>-255.3</v>
      </c>
      <c r="BJ25" s="11">
        <f t="shared" si="21"/>
        <v>-260.3</v>
      </c>
      <c r="BK25" s="11">
        <f t="shared" si="21"/>
        <v>-265.3</v>
      </c>
      <c r="BL25" s="11">
        <f t="shared" si="21"/>
        <v>-270.3</v>
      </c>
      <c r="BM25" s="11">
        <f t="shared" si="21"/>
        <v>-275.3</v>
      </c>
      <c r="BN25" s="11">
        <f t="shared" si="21"/>
        <v>-155.19999999999999</v>
      </c>
      <c r="BO25" s="11">
        <f t="shared" si="21"/>
        <v>0</v>
      </c>
      <c r="BP25" s="11">
        <f t="shared" ref="BP25:CC25" si="22">IF(BP24=0,0, ROUND(BP21 * 1/BP24* BP$13,1))</f>
        <v>0</v>
      </c>
      <c r="BQ25" s="11">
        <f t="shared" si="22"/>
        <v>0</v>
      </c>
      <c r="BR25" s="11">
        <f t="shared" si="22"/>
        <v>0</v>
      </c>
      <c r="BS25" s="11">
        <f t="shared" si="22"/>
        <v>-353.7</v>
      </c>
      <c r="BT25" s="11">
        <f t="shared" si="22"/>
        <v>-358.7</v>
      </c>
      <c r="BU25" s="11">
        <f t="shared" si="22"/>
        <v>-363.7</v>
      </c>
      <c r="BV25" s="11">
        <f t="shared" si="22"/>
        <v>-368.7</v>
      </c>
      <c r="BW25" s="11">
        <f t="shared" si="22"/>
        <v>-373.7</v>
      </c>
      <c r="BX25" s="11">
        <f t="shared" si="22"/>
        <v>-378.7</v>
      </c>
      <c r="BY25" s="11">
        <f t="shared" si="22"/>
        <v>-383.7</v>
      </c>
      <c r="BZ25" s="11">
        <f t="shared" si="22"/>
        <v>-388.7</v>
      </c>
      <c r="CA25" s="11">
        <f t="shared" si="22"/>
        <v>-393.7</v>
      </c>
      <c r="CB25" s="11">
        <f t="shared" si="22"/>
        <v>-398.7</v>
      </c>
      <c r="CC25" s="11">
        <f t="shared" si="22"/>
        <v>-403.7</v>
      </c>
    </row>
    <row r="26" spans="1:81" x14ac:dyDescent="0.2">
      <c r="A26">
        <v>21</v>
      </c>
      <c r="B26">
        <v>1</v>
      </c>
      <c r="C26" s="8">
        <v>5.6168300000000002</v>
      </c>
      <c r="D26">
        <f t="shared" ref="D26:AI26" si="23">D23/$B26</f>
        <v>0</v>
      </c>
      <c r="E26">
        <f t="shared" si="23"/>
        <v>0</v>
      </c>
      <c r="F26">
        <f t="shared" si="23"/>
        <v>0</v>
      </c>
      <c r="G26">
        <f t="shared" si="23"/>
        <v>0</v>
      </c>
      <c r="H26">
        <f t="shared" si="23"/>
        <v>0</v>
      </c>
      <c r="I26">
        <f t="shared" si="23"/>
        <v>0</v>
      </c>
      <c r="J26">
        <f t="shared" si="23"/>
        <v>0</v>
      </c>
      <c r="K26">
        <f t="shared" si="23"/>
        <v>0</v>
      </c>
      <c r="L26">
        <f t="shared" si="23"/>
        <v>0</v>
      </c>
      <c r="M26">
        <f t="shared" si="23"/>
        <v>0</v>
      </c>
      <c r="N26">
        <f t="shared" si="23"/>
        <v>0</v>
      </c>
      <c r="O26">
        <f t="shared" si="23"/>
        <v>0</v>
      </c>
      <c r="P26">
        <f t="shared" si="23"/>
        <v>0</v>
      </c>
      <c r="Q26">
        <f t="shared" si="23"/>
        <v>0</v>
      </c>
      <c r="R26">
        <f t="shared" si="23"/>
        <v>0</v>
      </c>
      <c r="S26">
        <f t="shared" si="23"/>
        <v>0</v>
      </c>
      <c r="T26">
        <f t="shared" si="23"/>
        <v>0</v>
      </c>
      <c r="U26">
        <f t="shared" si="23"/>
        <v>0</v>
      </c>
      <c r="V26">
        <f t="shared" si="23"/>
        <v>0</v>
      </c>
      <c r="W26">
        <f t="shared" si="23"/>
        <v>0</v>
      </c>
      <c r="X26">
        <f t="shared" si="23"/>
        <v>0</v>
      </c>
      <c r="Y26">
        <f t="shared" si="23"/>
        <v>0</v>
      </c>
      <c r="Z26">
        <f t="shared" si="23"/>
        <v>0</v>
      </c>
      <c r="AA26">
        <f t="shared" si="23"/>
        <v>0</v>
      </c>
      <c r="AB26">
        <f t="shared" si="23"/>
        <v>0</v>
      </c>
      <c r="AC26">
        <f t="shared" si="23"/>
        <v>0</v>
      </c>
      <c r="AD26">
        <f t="shared" si="23"/>
        <v>0</v>
      </c>
      <c r="AE26">
        <f t="shared" si="23"/>
        <v>0</v>
      </c>
      <c r="AF26">
        <f t="shared" si="23"/>
        <v>0</v>
      </c>
      <c r="AG26">
        <f t="shared" si="23"/>
        <v>0</v>
      </c>
      <c r="AH26">
        <f t="shared" si="23"/>
        <v>0</v>
      </c>
      <c r="AI26">
        <f t="shared" si="23"/>
        <v>0</v>
      </c>
      <c r="AJ26">
        <f t="shared" ref="AJ26:BO26" si="24">AJ23/$B26</f>
        <v>0</v>
      </c>
      <c r="AK26">
        <f t="shared" si="24"/>
        <v>0</v>
      </c>
      <c r="AL26">
        <f t="shared" si="24"/>
        <v>0</v>
      </c>
      <c r="AM26">
        <f t="shared" si="24"/>
        <v>0</v>
      </c>
      <c r="AN26">
        <f t="shared" si="24"/>
        <v>0</v>
      </c>
      <c r="AO26">
        <f t="shared" si="24"/>
        <v>0</v>
      </c>
      <c r="AP26">
        <f t="shared" si="24"/>
        <v>0</v>
      </c>
      <c r="AQ26">
        <f t="shared" si="24"/>
        <v>0</v>
      </c>
      <c r="AR26">
        <f t="shared" si="24"/>
        <v>0</v>
      </c>
      <c r="AS26">
        <f t="shared" si="24"/>
        <v>0</v>
      </c>
      <c r="AT26">
        <f t="shared" si="24"/>
        <v>0</v>
      </c>
      <c r="AU26">
        <f t="shared" si="24"/>
        <v>0</v>
      </c>
      <c r="AV26">
        <f t="shared" si="24"/>
        <v>0</v>
      </c>
      <c r="AW26">
        <f t="shared" si="24"/>
        <v>0</v>
      </c>
      <c r="AX26">
        <f t="shared" si="24"/>
        <v>0</v>
      </c>
      <c r="AY26">
        <f t="shared" si="24"/>
        <v>0</v>
      </c>
      <c r="AZ26">
        <f t="shared" si="24"/>
        <v>0</v>
      </c>
      <c r="BA26">
        <f t="shared" si="24"/>
        <v>0</v>
      </c>
      <c r="BB26">
        <f t="shared" si="24"/>
        <v>0</v>
      </c>
      <c r="BC26">
        <f t="shared" si="24"/>
        <v>0</v>
      </c>
      <c r="BD26">
        <f t="shared" si="24"/>
        <v>0</v>
      </c>
      <c r="BE26">
        <f t="shared" si="24"/>
        <v>0</v>
      </c>
      <c r="BF26">
        <f t="shared" si="24"/>
        <v>0</v>
      </c>
      <c r="BG26">
        <f t="shared" si="24"/>
        <v>0</v>
      </c>
      <c r="BH26">
        <f t="shared" si="24"/>
        <v>0</v>
      </c>
      <c r="BI26">
        <f t="shared" si="24"/>
        <v>0</v>
      </c>
      <c r="BJ26">
        <f t="shared" si="24"/>
        <v>0</v>
      </c>
      <c r="BK26">
        <f t="shared" si="24"/>
        <v>0</v>
      </c>
      <c r="BL26">
        <f t="shared" si="24"/>
        <v>0</v>
      </c>
      <c r="BM26">
        <f t="shared" si="24"/>
        <v>0</v>
      </c>
      <c r="BN26">
        <f t="shared" si="24"/>
        <v>0</v>
      </c>
      <c r="BO26">
        <f t="shared" si="24"/>
        <v>0</v>
      </c>
      <c r="BP26">
        <f t="shared" ref="BP26:CC26" si="25">BP23/$B26</f>
        <v>0</v>
      </c>
      <c r="BQ26">
        <f t="shared" si="25"/>
        <v>0</v>
      </c>
      <c r="BR26">
        <f t="shared" si="25"/>
        <v>0</v>
      </c>
      <c r="BS26">
        <f t="shared" si="25"/>
        <v>0</v>
      </c>
      <c r="BT26">
        <f t="shared" si="25"/>
        <v>0</v>
      </c>
      <c r="BU26">
        <f t="shared" si="25"/>
        <v>0</v>
      </c>
      <c r="BV26">
        <f t="shared" si="25"/>
        <v>0</v>
      </c>
      <c r="BW26">
        <f t="shared" si="25"/>
        <v>0</v>
      </c>
      <c r="BX26">
        <f t="shared" si="25"/>
        <v>0</v>
      </c>
      <c r="BY26">
        <f t="shared" si="25"/>
        <v>0</v>
      </c>
      <c r="BZ26">
        <f t="shared" si="25"/>
        <v>0</v>
      </c>
      <c r="CA26">
        <f t="shared" si="25"/>
        <v>0</v>
      </c>
      <c r="CB26">
        <f t="shared" si="25"/>
        <v>0</v>
      </c>
      <c r="CC26">
        <f t="shared" si="25"/>
        <v>0</v>
      </c>
    </row>
    <row r="27" spans="1:81" x14ac:dyDescent="0.2">
      <c r="B27" s="67">
        <f>SUM(D31:AJ31)/SUM($D$263:$AJ$263)</f>
        <v>3.4436878766533618E-2</v>
      </c>
      <c r="C27" s="9" t="s">
        <v>216</v>
      </c>
      <c r="D27">
        <f t="shared" ref="D27:AI27" si="26">D21-D24</f>
        <v>925</v>
      </c>
      <c r="E27">
        <f t="shared" si="26"/>
        <v>925</v>
      </c>
      <c r="F27">
        <f t="shared" si="26"/>
        <v>825</v>
      </c>
      <c r="G27">
        <f t="shared" si="26"/>
        <v>625</v>
      </c>
      <c r="H27">
        <f t="shared" si="26"/>
        <v>425</v>
      </c>
      <c r="I27">
        <f t="shared" si="26"/>
        <v>325</v>
      </c>
      <c r="J27">
        <f t="shared" si="26"/>
        <v>225</v>
      </c>
      <c r="K27">
        <f t="shared" si="26"/>
        <v>125</v>
      </c>
      <c r="L27">
        <f t="shared" si="26"/>
        <v>-75</v>
      </c>
      <c r="M27">
        <f t="shared" si="26"/>
        <v>-175</v>
      </c>
      <c r="N27">
        <f t="shared" si="26"/>
        <v>-175</v>
      </c>
      <c r="O27">
        <f t="shared" si="26"/>
        <v>-175</v>
      </c>
      <c r="P27">
        <f t="shared" si="26"/>
        <v>-175</v>
      </c>
      <c r="Q27">
        <f t="shared" si="26"/>
        <v>-175</v>
      </c>
      <c r="R27">
        <f t="shared" si="26"/>
        <v>-375</v>
      </c>
      <c r="S27">
        <f t="shared" si="26"/>
        <v>-475</v>
      </c>
      <c r="T27">
        <f t="shared" si="26"/>
        <v>-575</v>
      </c>
      <c r="U27">
        <f t="shared" si="26"/>
        <v>-705</v>
      </c>
      <c r="V27">
        <f t="shared" si="26"/>
        <v>-835</v>
      </c>
      <c r="W27">
        <f t="shared" si="26"/>
        <v>-965</v>
      </c>
      <c r="X27">
        <f t="shared" si="26"/>
        <v>-1075</v>
      </c>
      <c r="Y27">
        <f t="shared" si="26"/>
        <v>-1225</v>
      </c>
      <c r="Z27">
        <f t="shared" si="26"/>
        <v>-1375</v>
      </c>
      <c r="AA27">
        <f t="shared" si="26"/>
        <v>-1525</v>
      </c>
      <c r="AB27">
        <f t="shared" si="26"/>
        <v>-1675</v>
      </c>
      <c r="AC27">
        <f t="shared" si="26"/>
        <v>-1795</v>
      </c>
      <c r="AD27">
        <f t="shared" si="26"/>
        <v>-1915</v>
      </c>
      <c r="AE27">
        <f t="shared" si="26"/>
        <v>-2035</v>
      </c>
      <c r="AF27">
        <f t="shared" si="26"/>
        <v>-2155</v>
      </c>
      <c r="AG27">
        <f t="shared" si="26"/>
        <v>-2275</v>
      </c>
      <c r="AH27">
        <f t="shared" si="26"/>
        <v>-2375</v>
      </c>
      <c r="AI27">
        <f t="shared" si="26"/>
        <v>-2475</v>
      </c>
      <c r="AJ27">
        <f t="shared" ref="AJ27:BO27" si="27">AJ21-AJ24</f>
        <v>-2475</v>
      </c>
      <c r="AK27">
        <f t="shared" si="27"/>
        <v>-2475</v>
      </c>
      <c r="AL27">
        <f t="shared" si="27"/>
        <v>-2475</v>
      </c>
      <c r="AM27">
        <f t="shared" si="27"/>
        <v>-2475</v>
      </c>
      <c r="AN27">
        <f t="shared" si="27"/>
        <v>-2571</v>
      </c>
      <c r="AO27">
        <f t="shared" si="27"/>
        <v>-2667</v>
      </c>
      <c r="AP27">
        <f t="shared" si="27"/>
        <v>-2763</v>
      </c>
      <c r="AQ27">
        <f t="shared" si="27"/>
        <v>-2879</v>
      </c>
      <c r="AR27">
        <f t="shared" si="27"/>
        <v>-2995</v>
      </c>
      <c r="AS27">
        <f t="shared" si="27"/>
        <v>-3088</v>
      </c>
      <c r="AT27">
        <f t="shared" si="27"/>
        <v>-3204</v>
      </c>
      <c r="AU27">
        <f t="shared" si="27"/>
        <v>-3314</v>
      </c>
      <c r="AV27">
        <f t="shared" si="27"/>
        <v>-3424</v>
      </c>
      <c r="AW27">
        <f t="shared" si="27"/>
        <v>-3534</v>
      </c>
      <c r="AX27">
        <f t="shared" si="27"/>
        <v>-3644</v>
      </c>
      <c r="AY27">
        <f t="shared" si="27"/>
        <v>-3732</v>
      </c>
      <c r="AZ27">
        <f t="shared" si="27"/>
        <v>-3810</v>
      </c>
      <c r="BA27">
        <f t="shared" si="27"/>
        <v>-3888</v>
      </c>
      <c r="BB27">
        <f t="shared" si="27"/>
        <v>-3966</v>
      </c>
      <c r="BC27">
        <f t="shared" si="27"/>
        <v>-4054</v>
      </c>
      <c r="BD27">
        <f t="shared" si="27"/>
        <v>-4142</v>
      </c>
      <c r="BE27">
        <f t="shared" si="27"/>
        <v>-4230</v>
      </c>
      <c r="BF27">
        <f t="shared" si="27"/>
        <v>-4318</v>
      </c>
      <c r="BG27">
        <f t="shared" si="27"/>
        <v>-4406</v>
      </c>
      <c r="BH27">
        <f t="shared" si="27"/>
        <v>-4494</v>
      </c>
      <c r="BI27">
        <f t="shared" si="27"/>
        <v>-4582</v>
      </c>
      <c r="BJ27">
        <f t="shared" si="27"/>
        <v>-4670</v>
      </c>
      <c r="BK27">
        <f t="shared" si="27"/>
        <v>-4758</v>
      </c>
      <c r="BL27">
        <f t="shared" si="27"/>
        <v>-4846</v>
      </c>
      <c r="BM27">
        <f t="shared" si="27"/>
        <v>-4934</v>
      </c>
      <c r="BN27">
        <f t="shared" si="27"/>
        <v>-5093</v>
      </c>
      <c r="BO27">
        <f t="shared" si="27"/>
        <v>-5093</v>
      </c>
      <c r="BP27">
        <f t="shared" ref="BP27:CC27" si="28">BP21-BP24</f>
        <v>-5093</v>
      </c>
      <c r="BQ27">
        <f t="shared" si="28"/>
        <v>-5093</v>
      </c>
      <c r="BR27">
        <f t="shared" si="28"/>
        <v>-5093</v>
      </c>
      <c r="BS27">
        <f t="shared" si="28"/>
        <v>-5165</v>
      </c>
      <c r="BT27">
        <f t="shared" si="28"/>
        <v>-5237</v>
      </c>
      <c r="BU27">
        <f t="shared" si="28"/>
        <v>-5309</v>
      </c>
      <c r="BV27">
        <f t="shared" si="28"/>
        <v>-5381</v>
      </c>
      <c r="BW27">
        <f t="shared" si="28"/>
        <v>-5453</v>
      </c>
      <c r="BX27">
        <f t="shared" si="28"/>
        <v>-5525</v>
      </c>
      <c r="BY27">
        <f t="shared" si="28"/>
        <v>-5597</v>
      </c>
      <c r="BZ27">
        <f t="shared" si="28"/>
        <v>-5669</v>
      </c>
      <c r="CA27">
        <f t="shared" si="28"/>
        <v>-5741</v>
      </c>
      <c r="CB27">
        <f t="shared" si="28"/>
        <v>-5813</v>
      </c>
      <c r="CC27">
        <f t="shared" si="28"/>
        <v>-5885</v>
      </c>
    </row>
    <row r="28" spans="1:81" x14ac:dyDescent="0.2">
      <c r="A28" s="43" t="s">
        <v>291</v>
      </c>
      <c r="B28" s="44" t="s">
        <v>208</v>
      </c>
      <c r="C28" s="9" t="s">
        <v>38</v>
      </c>
      <c r="D28" s="58">
        <f>IFERROR(VLOOKUP(A28,OS!$A:$B,2,0),0)</f>
        <v>1000</v>
      </c>
      <c r="E28" s="5">
        <f>(D28+D29-D31)</f>
        <v>1000</v>
      </c>
      <c r="F28" s="5">
        <f>(E28+E29-E31)</f>
        <v>520</v>
      </c>
      <c r="G28" s="5">
        <f>(F28+F29-F31)</f>
        <v>520</v>
      </c>
      <c r="H28" s="5">
        <f>(G28+G29-G31)</f>
        <v>520</v>
      </c>
      <c r="I28" s="5">
        <f t="shared" ref="I28:AN28" si="29">(H28+H29-H31+D30)</f>
        <v>520</v>
      </c>
      <c r="J28" s="5">
        <f t="shared" si="29"/>
        <v>320</v>
      </c>
      <c r="K28" s="5">
        <f t="shared" si="29"/>
        <v>320</v>
      </c>
      <c r="L28" s="5">
        <f t="shared" si="29"/>
        <v>160</v>
      </c>
      <c r="M28" s="5">
        <f t="shared" si="29"/>
        <v>0</v>
      </c>
      <c r="N28" s="5">
        <f t="shared" si="29"/>
        <v>-160</v>
      </c>
      <c r="O28" s="5">
        <f t="shared" si="29"/>
        <v>-160</v>
      </c>
      <c r="P28" s="5">
        <f t="shared" si="29"/>
        <v>-160</v>
      </c>
      <c r="Q28" s="5">
        <f t="shared" si="29"/>
        <v>-160</v>
      </c>
      <c r="R28" s="5">
        <f t="shared" si="29"/>
        <v>-160</v>
      </c>
      <c r="S28" s="5">
        <f t="shared" si="29"/>
        <v>-320</v>
      </c>
      <c r="T28" s="5">
        <f t="shared" si="29"/>
        <v>-320</v>
      </c>
      <c r="U28" s="5">
        <f t="shared" si="29"/>
        <v>-480</v>
      </c>
      <c r="V28" s="5">
        <f t="shared" si="29"/>
        <v>-560</v>
      </c>
      <c r="W28" s="5">
        <f t="shared" si="29"/>
        <v>-640</v>
      </c>
      <c r="X28" s="5">
        <f t="shared" si="29"/>
        <v>-720</v>
      </c>
      <c r="Y28" s="5">
        <f t="shared" si="29"/>
        <v>-800</v>
      </c>
      <c r="Z28" s="5">
        <f t="shared" si="29"/>
        <v>-880</v>
      </c>
      <c r="AA28" s="5">
        <f t="shared" si="29"/>
        <v>-960</v>
      </c>
      <c r="AB28" s="5">
        <f t="shared" si="29"/>
        <v>-1040</v>
      </c>
      <c r="AC28" s="5">
        <f t="shared" si="29"/>
        <v>-1120</v>
      </c>
      <c r="AD28" s="5">
        <f t="shared" si="29"/>
        <v>-1280</v>
      </c>
      <c r="AE28" s="5">
        <f t="shared" si="29"/>
        <v>-1440</v>
      </c>
      <c r="AF28" s="5">
        <f t="shared" si="29"/>
        <v>-1600</v>
      </c>
      <c r="AG28" s="5">
        <f t="shared" si="29"/>
        <v>-1760</v>
      </c>
      <c r="AH28" s="5">
        <f t="shared" si="29"/>
        <v>-1920</v>
      </c>
      <c r="AI28" s="5">
        <f t="shared" si="29"/>
        <v>-2080</v>
      </c>
      <c r="AJ28" s="5">
        <f t="shared" si="29"/>
        <v>-2240</v>
      </c>
      <c r="AK28" s="5">
        <f t="shared" si="29"/>
        <v>-2240</v>
      </c>
      <c r="AL28" s="5">
        <f t="shared" si="29"/>
        <v>-2240</v>
      </c>
      <c r="AM28" s="5">
        <f t="shared" si="29"/>
        <v>-2240</v>
      </c>
      <c r="AN28" s="5">
        <f t="shared" si="29"/>
        <v>-2240</v>
      </c>
      <c r="AO28" s="5">
        <f t="shared" ref="AO28:BT28" si="30">(AN28+AN29-AN31+AJ30)</f>
        <v>-2334</v>
      </c>
      <c r="AP28" s="5">
        <f t="shared" si="30"/>
        <v>-2428</v>
      </c>
      <c r="AQ28" s="5">
        <f t="shared" si="30"/>
        <v>-2522</v>
      </c>
      <c r="AR28" s="5">
        <f t="shared" si="30"/>
        <v>-2635</v>
      </c>
      <c r="AS28" s="5">
        <f t="shared" si="30"/>
        <v>-2748</v>
      </c>
      <c r="AT28" s="5">
        <f t="shared" si="30"/>
        <v>-2839</v>
      </c>
      <c r="AU28" s="5">
        <f t="shared" si="30"/>
        <v>-2952</v>
      </c>
      <c r="AV28" s="5">
        <f t="shared" si="30"/>
        <v>-3060</v>
      </c>
      <c r="AW28" s="5">
        <f t="shared" si="30"/>
        <v>-3168</v>
      </c>
      <c r="AX28" s="5">
        <f t="shared" si="30"/>
        <v>-3276</v>
      </c>
      <c r="AY28" s="5">
        <f t="shared" si="30"/>
        <v>-3384</v>
      </c>
      <c r="AZ28" s="5">
        <f t="shared" si="30"/>
        <v>-3470</v>
      </c>
      <c r="BA28" s="5">
        <f t="shared" si="30"/>
        <v>-3547</v>
      </c>
      <c r="BB28" s="5">
        <f t="shared" si="30"/>
        <v>-3624</v>
      </c>
      <c r="BC28" s="5">
        <f t="shared" si="30"/>
        <v>-3701</v>
      </c>
      <c r="BD28" s="5">
        <f t="shared" si="30"/>
        <v>-3787</v>
      </c>
      <c r="BE28" s="5">
        <f t="shared" si="30"/>
        <v>-3873</v>
      </c>
      <c r="BF28" s="5">
        <f t="shared" si="30"/>
        <v>-3959</v>
      </c>
      <c r="BG28" s="5">
        <f t="shared" si="30"/>
        <v>-4045</v>
      </c>
      <c r="BH28" s="5">
        <f t="shared" si="30"/>
        <v>-4131</v>
      </c>
      <c r="BI28" s="5">
        <f t="shared" si="30"/>
        <v>-4217</v>
      </c>
      <c r="BJ28" s="5">
        <f t="shared" si="30"/>
        <v>-4303</v>
      </c>
      <c r="BK28" s="5">
        <f t="shared" si="30"/>
        <v>-4389</v>
      </c>
      <c r="BL28" s="5">
        <f t="shared" si="30"/>
        <v>-4475</v>
      </c>
      <c r="BM28" s="5">
        <f t="shared" si="30"/>
        <v>-4561</v>
      </c>
      <c r="BN28" s="5">
        <f t="shared" si="30"/>
        <v>-4647</v>
      </c>
      <c r="BO28" s="5">
        <f t="shared" si="30"/>
        <v>-4803</v>
      </c>
      <c r="BP28" s="5">
        <f t="shared" si="30"/>
        <v>-4803</v>
      </c>
      <c r="BQ28" s="5">
        <f t="shared" si="30"/>
        <v>-4803</v>
      </c>
      <c r="BR28" s="5">
        <f t="shared" si="30"/>
        <v>-4803</v>
      </c>
      <c r="BS28" s="5">
        <f t="shared" si="30"/>
        <v>-4803</v>
      </c>
      <c r="BT28" s="5">
        <f t="shared" si="30"/>
        <v>-4874</v>
      </c>
      <c r="BU28" s="5">
        <f t="shared" ref="BU28:CC28" si="31">(BT28+BT29-BT31+BP30)</f>
        <v>-4945</v>
      </c>
      <c r="BV28" s="5">
        <f t="shared" si="31"/>
        <v>-5016</v>
      </c>
      <c r="BW28" s="5">
        <f t="shared" si="31"/>
        <v>-5087</v>
      </c>
      <c r="BX28" s="5">
        <f t="shared" si="31"/>
        <v>-5158</v>
      </c>
      <c r="BY28" s="5">
        <f t="shared" si="31"/>
        <v>-5229</v>
      </c>
      <c r="BZ28" s="5">
        <f t="shared" si="31"/>
        <v>-5300</v>
      </c>
      <c r="CA28" s="5">
        <f t="shared" si="31"/>
        <v>-5371</v>
      </c>
      <c r="CB28" s="5">
        <f t="shared" si="31"/>
        <v>-5442</v>
      </c>
      <c r="CC28" s="5">
        <f t="shared" si="31"/>
        <v>-5513</v>
      </c>
    </row>
    <row r="29" spans="1:81" x14ac:dyDescent="0.2">
      <c r="A29" s="5" t="s">
        <v>209</v>
      </c>
      <c r="B29" s="5">
        <v>5.3365099999999996</v>
      </c>
      <c r="C29" s="45" t="s">
        <v>39</v>
      </c>
      <c r="D29" s="59">
        <f>IFERROR(VLOOKUP(A28,WIP!$A:$B,2,0),0)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">
      <c r="A30" s="5" t="s">
        <v>210</v>
      </c>
      <c r="B30" s="5">
        <v>0.17199999999999999</v>
      </c>
      <c r="C30" s="9" t="s">
        <v>211</v>
      </c>
      <c r="D30" s="60">
        <f>IFERROR(VLOOKUP($A28,Plan!$A:B,D$4,0),0)</f>
        <v>160</v>
      </c>
      <c r="E30" s="60">
        <f>IFERROR(VLOOKUP($A28,Plan!$A:C,E$4,0),0)</f>
        <v>120</v>
      </c>
      <c r="F30" s="60">
        <f>IFERROR(VLOOKUP($A28,Plan!$A:D,F$4,0),0)</f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">
      <c r="A31" s="5" t="s">
        <v>212</v>
      </c>
      <c r="B31" s="5">
        <v>1.6E-2</v>
      </c>
      <c r="C31" s="9" t="s">
        <v>213</v>
      </c>
      <c r="D31" s="61">
        <f>IFERROR(VLOOKUP($A28,Sales!$A:B,D$2,0),0)</f>
        <v>0</v>
      </c>
      <c r="E31" s="61">
        <f>IFERROR(VLOOKUP($A28,Sales!$A:C,E$2,0),0)</f>
        <v>480</v>
      </c>
      <c r="F31" s="61">
        <f>IFERROR(VLOOKUP($A28,Sales!$A:D,F$2,0),0)</f>
        <v>0</v>
      </c>
      <c r="G31" s="61">
        <f>IFERROR(VLOOKUP($A28,Sales!$A:E,G$2,0),0)</f>
        <v>0</v>
      </c>
      <c r="H31" s="61">
        <f>IFERROR(VLOOKUP($A28,Sales!$A:F,H$2,0),0)</f>
        <v>160</v>
      </c>
      <c r="I31" s="61">
        <f>IFERROR(VLOOKUP($A28,Sales!$A:G,I$2,0),0)</f>
        <v>320</v>
      </c>
      <c r="J31" s="61">
        <f>IFERROR(VLOOKUP($A28,Sales!$A:H,J$2,0),0)</f>
        <v>0</v>
      </c>
      <c r="K31" s="61">
        <f>IFERROR(VLOOKUP($A28,Sales!$A:I,K$2,0),0)</f>
        <v>160</v>
      </c>
      <c r="L31" s="61">
        <f>IFERROR(VLOOKUP($A28,Sales!$A:J,L$2,0),0)</f>
        <v>160</v>
      </c>
      <c r="M31" s="61">
        <f>IFERROR(VLOOKUP($A28,Sales!$A:K,M$2,0),0)</f>
        <v>160</v>
      </c>
      <c r="N31" s="61">
        <f>IFERROR(VLOOKUP($A28,Sales!$A:L,N$2,0),0)</f>
        <v>0</v>
      </c>
      <c r="O31" s="61">
        <f>IFERROR(VLOOKUP($A28,Sales!$A:M,O$2,0),0)</f>
        <v>0</v>
      </c>
      <c r="P31" s="61">
        <f>IFERROR(VLOOKUP($A28,Sales!$A:N,P$2,0),0)</f>
        <v>0</v>
      </c>
      <c r="Q31" s="61">
        <f>IFERROR(VLOOKUP($A28,Sales!$A:O,Q$2,0),0)</f>
        <v>0</v>
      </c>
      <c r="R31" s="61">
        <f>IFERROR(VLOOKUP($A28,Sales!$A:P,R$2,0),0)</f>
        <v>160</v>
      </c>
      <c r="S31" s="61">
        <f>IFERROR(VLOOKUP($A28,Sales!$A:Q,S$2,0),0)</f>
        <v>0</v>
      </c>
      <c r="T31" s="61">
        <f>IFERROR(VLOOKUP($A28,Sales!$A:R,T$2,0),0)</f>
        <v>160</v>
      </c>
      <c r="U31" s="61">
        <f>IFERROR(VLOOKUP($A28,Sales!$A:S,U$2,0),0)</f>
        <v>80</v>
      </c>
      <c r="V31" s="61">
        <f>IFERROR(VLOOKUP($A28,Sales!$A:T,V$2,0),0)</f>
        <v>80</v>
      </c>
      <c r="W31" s="61">
        <f>IFERROR(VLOOKUP($A28,Sales!$A:U,W$2,0),0)</f>
        <v>80</v>
      </c>
      <c r="X31" s="61">
        <f>IFERROR(VLOOKUP($A28,Sales!$A:V,X$2,0),0)</f>
        <v>80</v>
      </c>
      <c r="Y31" s="61">
        <f>IFERROR(VLOOKUP($A28,Sales!$A:W,Y$2,0),0)</f>
        <v>80</v>
      </c>
      <c r="Z31" s="61">
        <f>IFERROR(VLOOKUP($A28,Sales!$A:X,Z$2,0),0)</f>
        <v>80</v>
      </c>
      <c r="AA31" s="61">
        <f>IFERROR(VLOOKUP($A28,Sales!$A:Y,AA$2,0),0)</f>
        <v>80</v>
      </c>
      <c r="AB31" s="61">
        <f>IFERROR(VLOOKUP($A28,Sales!$A:Z,AB$2,0),0)</f>
        <v>80</v>
      </c>
      <c r="AC31" s="61">
        <f>IFERROR(VLOOKUP($A28,Sales!$A:AA,AC$2,0),0)</f>
        <v>160</v>
      </c>
      <c r="AD31" s="61">
        <f>IFERROR(VLOOKUP($A28,Sales!$A:AB,AD$2,0),0)</f>
        <v>160</v>
      </c>
      <c r="AE31" s="61">
        <f>IFERROR(VLOOKUP($A28,Sales!$A:AC,AE$2,0),0)</f>
        <v>160</v>
      </c>
      <c r="AF31" s="61">
        <f>IFERROR(VLOOKUP($A28,Sales!$A:AD,AF$2,0),0)</f>
        <v>160</v>
      </c>
      <c r="AG31" s="61">
        <f>IFERROR(VLOOKUP($A28,Sales!$A:AE,AG$2,0),0)</f>
        <v>160</v>
      </c>
      <c r="AH31" s="61">
        <f>IFERROR(VLOOKUP($A28,Sales!$A:AF,AH$2,0),0)</f>
        <v>160</v>
      </c>
      <c r="AI31" s="61">
        <f>IFERROR(VLOOKUP($A28,Sales!$A:AG,AI$2,0),0)</f>
        <v>160</v>
      </c>
      <c r="AJ31" s="61">
        <f>IFERROR(VLOOKUP($A28,Sales!$A:AH,AJ$2,0),0)</f>
        <v>0</v>
      </c>
      <c r="AK31" s="74">
        <f t="shared" ref="AK31:CC31" si="32">CEILING(AK$5*$B27,1)</f>
        <v>0</v>
      </c>
      <c r="AL31" s="74">
        <f t="shared" si="32"/>
        <v>0</v>
      </c>
      <c r="AM31" s="74">
        <f t="shared" si="32"/>
        <v>0</v>
      </c>
      <c r="AN31" s="74">
        <f t="shared" si="32"/>
        <v>94</v>
      </c>
      <c r="AO31" s="74">
        <f t="shared" si="32"/>
        <v>94</v>
      </c>
      <c r="AP31" s="74">
        <f t="shared" si="32"/>
        <v>94</v>
      </c>
      <c r="AQ31" s="74">
        <f t="shared" si="32"/>
        <v>113</v>
      </c>
      <c r="AR31" s="74">
        <f t="shared" si="32"/>
        <v>113</v>
      </c>
      <c r="AS31" s="74">
        <f t="shared" si="32"/>
        <v>91</v>
      </c>
      <c r="AT31" s="74">
        <f t="shared" si="32"/>
        <v>113</v>
      </c>
      <c r="AU31" s="74">
        <f t="shared" si="32"/>
        <v>108</v>
      </c>
      <c r="AV31" s="74">
        <f t="shared" si="32"/>
        <v>108</v>
      </c>
      <c r="AW31" s="74">
        <f t="shared" si="32"/>
        <v>108</v>
      </c>
      <c r="AX31" s="74">
        <f t="shared" si="32"/>
        <v>108</v>
      </c>
      <c r="AY31" s="74">
        <f t="shared" si="32"/>
        <v>86</v>
      </c>
      <c r="AZ31" s="74">
        <f t="shared" si="32"/>
        <v>77</v>
      </c>
      <c r="BA31" s="74">
        <f t="shared" si="32"/>
        <v>77</v>
      </c>
      <c r="BB31" s="74">
        <f t="shared" si="32"/>
        <v>77</v>
      </c>
      <c r="BC31" s="74">
        <f t="shared" si="32"/>
        <v>86</v>
      </c>
      <c r="BD31" s="74">
        <f t="shared" si="32"/>
        <v>86</v>
      </c>
      <c r="BE31" s="74">
        <f t="shared" si="32"/>
        <v>86</v>
      </c>
      <c r="BF31" s="74">
        <f t="shared" si="32"/>
        <v>86</v>
      </c>
      <c r="BG31" s="74">
        <f t="shared" si="32"/>
        <v>86</v>
      </c>
      <c r="BH31" s="74">
        <f t="shared" si="32"/>
        <v>86</v>
      </c>
      <c r="BI31" s="74">
        <f t="shared" si="32"/>
        <v>86</v>
      </c>
      <c r="BJ31" s="74">
        <f t="shared" si="32"/>
        <v>86</v>
      </c>
      <c r="BK31" s="74">
        <f t="shared" si="32"/>
        <v>86</v>
      </c>
      <c r="BL31" s="74">
        <f t="shared" si="32"/>
        <v>86</v>
      </c>
      <c r="BM31" s="74">
        <f t="shared" si="32"/>
        <v>86</v>
      </c>
      <c r="BN31" s="74">
        <f t="shared" si="32"/>
        <v>156</v>
      </c>
      <c r="BO31" s="74">
        <f t="shared" si="32"/>
        <v>0</v>
      </c>
      <c r="BP31" s="74">
        <f t="shared" si="32"/>
        <v>0</v>
      </c>
      <c r="BQ31" s="74">
        <f t="shared" si="32"/>
        <v>0</v>
      </c>
      <c r="BR31" s="74">
        <f t="shared" si="32"/>
        <v>0</v>
      </c>
      <c r="BS31" s="74">
        <f t="shared" si="32"/>
        <v>71</v>
      </c>
      <c r="BT31" s="74">
        <f t="shared" si="32"/>
        <v>71</v>
      </c>
      <c r="BU31" s="74">
        <f t="shared" si="32"/>
        <v>71</v>
      </c>
      <c r="BV31" s="74">
        <f t="shared" si="32"/>
        <v>71</v>
      </c>
      <c r="BW31" s="74">
        <f t="shared" si="32"/>
        <v>71</v>
      </c>
      <c r="BX31" s="74">
        <f t="shared" si="32"/>
        <v>71</v>
      </c>
      <c r="BY31" s="74">
        <f t="shared" si="32"/>
        <v>71</v>
      </c>
      <c r="BZ31" s="74">
        <f t="shared" si="32"/>
        <v>71</v>
      </c>
      <c r="CA31" s="74">
        <f t="shared" si="32"/>
        <v>71</v>
      </c>
      <c r="CB31" s="74">
        <f t="shared" si="32"/>
        <v>71</v>
      </c>
      <c r="CC31" s="74">
        <f t="shared" si="32"/>
        <v>71</v>
      </c>
    </row>
    <row r="32" spans="1:81" x14ac:dyDescent="0.2">
      <c r="A32" s="5" t="s">
        <v>214</v>
      </c>
      <c r="B32" s="5">
        <v>0.188</v>
      </c>
      <c r="C32" s="46" t="s">
        <v>215</v>
      </c>
      <c r="D32" s="11">
        <f t="shared" ref="D32:AI32" si="33">IF(D31=0,0, ROUND(D28 * 1/D31* D$13,1))</f>
        <v>0</v>
      </c>
      <c r="E32" s="11">
        <f t="shared" si="33"/>
        <v>10.4</v>
      </c>
      <c r="F32" s="11">
        <f t="shared" si="33"/>
        <v>0</v>
      </c>
      <c r="G32" s="11">
        <f t="shared" si="33"/>
        <v>0</v>
      </c>
      <c r="H32" s="11">
        <f t="shared" si="33"/>
        <v>16.3</v>
      </c>
      <c r="I32" s="11">
        <f t="shared" si="33"/>
        <v>8.1</v>
      </c>
      <c r="J32" s="11">
        <f t="shared" si="33"/>
        <v>0</v>
      </c>
      <c r="K32" s="11">
        <f t="shared" si="33"/>
        <v>10</v>
      </c>
      <c r="L32" s="11">
        <f t="shared" si="33"/>
        <v>5</v>
      </c>
      <c r="M32" s="11">
        <f t="shared" si="33"/>
        <v>0</v>
      </c>
      <c r="N32" s="11">
        <f t="shared" si="33"/>
        <v>0</v>
      </c>
      <c r="O32" s="11">
        <f t="shared" si="33"/>
        <v>0</v>
      </c>
      <c r="P32" s="11">
        <f t="shared" si="33"/>
        <v>0</v>
      </c>
      <c r="Q32" s="11">
        <f t="shared" si="33"/>
        <v>0</v>
      </c>
      <c r="R32" s="11">
        <f t="shared" si="33"/>
        <v>-5</v>
      </c>
      <c r="S32" s="11">
        <f t="shared" si="33"/>
        <v>0</v>
      </c>
      <c r="T32" s="11">
        <f t="shared" si="33"/>
        <v>-10</v>
      </c>
      <c r="U32" s="11">
        <f t="shared" si="33"/>
        <v>-30</v>
      </c>
      <c r="V32" s="11">
        <f t="shared" si="33"/>
        <v>-35</v>
      </c>
      <c r="W32" s="11">
        <f t="shared" si="33"/>
        <v>-40</v>
      </c>
      <c r="X32" s="11">
        <f t="shared" si="33"/>
        <v>-45</v>
      </c>
      <c r="Y32" s="11">
        <f t="shared" si="33"/>
        <v>-50</v>
      </c>
      <c r="Z32" s="11">
        <f t="shared" si="33"/>
        <v>-55</v>
      </c>
      <c r="AA32" s="11">
        <f t="shared" si="33"/>
        <v>-60</v>
      </c>
      <c r="AB32" s="11">
        <f t="shared" si="33"/>
        <v>-65</v>
      </c>
      <c r="AC32" s="11">
        <f t="shared" si="33"/>
        <v>-35</v>
      </c>
      <c r="AD32" s="11">
        <f t="shared" si="33"/>
        <v>-40</v>
      </c>
      <c r="AE32" s="11">
        <f t="shared" si="33"/>
        <v>-45</v>
      </c>
      <c r="AF32" s="11">
        <f t="shared" si="33"/>
        <v>-50</v>
      </c>
      <c r="AG32" s="11">
        <f t="shared" si="33"/>
        <v>-55</v>
      </c>
      <c r="AH32" s="11">
        <f t="shared" si="33"/>
        <v>-60</v>
      </c>
      <c r="AI32" s="11">
        <f t="shared" si="33"/>
        <v>-65</v>
      </c>
      <c r="AJ32" s="11">
        <f t="shared" ref="AJ32:BO32" si="34">IF(AJ31=0,0, ROUND(AJ28 * 1/AJ31* AJ$13,1))</f>
        <v>0</v>
      </c>
      <c r="AK32" s="11">
        <f t="shared" si="34"/>
        <v>0</v>
      </c>
      <c r="AL32" s="11">
        <f t="shared" si="34"/>
        <v>0</v>
      </c>
      <c r="AM32" s="11">
        <f t="shared" si="34"/>
        <v>0</v>
      </c>
      <c r="AN32" s="11">
        <f t="shared" si="34"/>
        <v>-119.1</v>
      </c>
      <c r="AO32" s="11">
        <f t="shared" si="34"/>
        <v>-124.1</v>
      </c>
      <c r="AP32" s="11">
        <f t="shared" si="34"/>
        <v>-129.1</v>
      </c>
      <c r="AQ32" s="11">
        <f t="shared" si="34"/>
        <v>-111.6</v>
      </c>
      <c r="AR32" s="11">
        <f t="shared" si="34"/>
        <v>-116.6</v>
      </c>
      <c r="AS32" s="11">
        <f t="shared" si="34"/>
        <v>-151</v>
      </c>
      <c r="AT32" s="11">
        <f t="shared" si="34"/>
        <v>-125.6</v>
      </c>
      <c r="AU32" s="11">
        <f t="shared" si="34"/>
        <v>-136.69999999999999</v>
      </c>
      <c r="AV32" s="11">
        <f t="shared" si="34"/>
        <v>-141.69999999999999</v>
      </c>
      <c r="AW32" s="11">
        <f t="shared" si="34"/>
        <v>-146.69999999999999</v>
      </c>
      <c r="AX32" s="11">
        <f t="shared" si="34"/>
        <v>-151.69999999999999</v>
      </c>
      <c r="AY32" s="11">
        <f t="shared" si="34"/>
        <v>-196.7</v>
      </c>
      <c r="AZ32" s="11">
        <f t="shared" si="34"/>
        <v>-225.3</v>
      </c>
      <c r="BA32" s="11">
        <f t="shared" si="34"/>
        <v>-230.3</v>
      </c>
      <c r="BB32" s="11">
        <f t="shared" si="34"/>
        <v>-235.3</v>
      </c>
      <c r="BC32" s="11">
        <f t="shared" si="34"/>
        <v>-215.2</v>
      </c>
      <c r="BD32" s="11">
        <f t="shared" si="34"/>
        <v>-220.2</v>
      </c>
      <c r="BE32" s="11">
        <f t="shared" si="34"/>
        <v>-225.2</v>
      </c>
      <c r="BF32" s="11">
        <f t="shared" si="34"/>
        <v>-230.2</v>
      </c>
      <c r="BG32" s="11">
        <f t="shared" si="34"/>
        <v>-235.2</v>
      </c>
      <c r="BH32" s="11">
        <f t="shared" si="34"/>
        <v>-240.2</v>
      </c>
      <c r="BI32" s="11">
        <f t="shared" si="34"/>
        <v>-245.2</v>
      </c>
      <c r="BJ32" s="11">
        <f t="shared" si="34"/>
        <v>-250.2</v>
      </c>
      <c r="BK32" s="11">
        <f t="shared" si="34"/>
        <v>-255.2</v>
      </c>
      <c r="BL32" s="11">
        <f t="shared" si="34"/>
        <v>-260.2</v>
      </c>
      <c r="BM32" s="11">
        <f t="shared" si="34"/>
        <v>-265.2</v>
      </c>
      <c r="BN32" s="11">
        <f t="shared" si="34"/>
        <v>-148.9</v>
      </c>
      <c r="BO32" s="11">
        <f t="shared" si="34"/>
        <v>0</v>
      </c>
      <c r="BP32" s="11">
        <f t="shared" ref="BP32:CC32" si="35">IF(BP31=0,0, ROUND(BP28 * 1/BP31* BP$13,1))</f>
        <v>0</v>
      </c>
      <c r="BQ32" s="11">
        <f t="shared" si="35"/>
        <v>0</v>
      </c>
      <c r="BR32" s="11">
        <f t="shared" si="35"/>
        <v>0</v>
      </c>
      <c r="BS32" s="11">
        <f t="shared" si="35"/>
        <v>-338.2</v>
      </c>
      <c r="BT32" s="11">
        <f t="shared" si="35"/>
        <v>-343.2</v>
      </c>
      <c r="BU32" s="11">
        <f t="shared" si="35"/>
        <v>-348.2</v>
      </c>
      <c r="BV32" s="11">
        <f t="shared" si="35"/>
        <v>-353.2</v>
      </c>
      <c r="BW32" s="11">
        <f t="shared" si="35"/>
        <v>-358.2</v>
      </c>
      <c r="BX32" s="11">
        <f t="shared" si="35"/>
        <v>-363.2</v>
      </c>
      <c r="BY32" s="11">
        <f t="shared" si="35"/>
        <v>-368.2</v>
      </c>
      <c r="BZ32" s="11">
        <f t="shared" si="35"/>
        <v>-373.2</v>
      </c>
      <c r="CA32" s="11">
        <f t="shared" si="35"/>
        <v>-378.2</v>
      </c>
      <c r="CB32" s="11">
        <f t="shared" si="35"/>
        <v>-383.2</v>
      </c>
      <c r="CC32" s="11">
        <f t="shared" si="35"/>
        <v>-388.2</v>
      </c>
    </row>
    <row r="33" spans="1:81" x14ac:dyDescent="0.2">
      <c r="A33">
        <v>11</v>
      </c>
      <c r="B33">
        <v>1</v>
      </c>
      <c r="C33" s="8">
        <v>4.0509300000000001</v>
      </c>
      <c r="D33">
        <f t="shared" ref="D33:AI33" si="36">D30/$B33</f>
        <v>160</v>
      </c>
      <c r="E33">
        <f t="shared" si="36"/>
        <v>120</v>
      </c>
      <c r="F33">
        <f t="shared" si="36"/>
        <v>0</v>
      </c>
      <c r="G33">
        <f t="shared" si="36"/>
        <v>0</v>
      </c>
      <c r="H33">
        <f t="shared" si="36"/>
        <v>0</v>
      </c>
      <c r="I33">
        <f t="shared" si="36"/>
        <v>0</v>
      </c>
      <c r="J33">
        <f t="shared" si="36"/>
        <v>0</v>
      </c>
      <c r="K33">
        <f t="shared" si="36"/>
        <v>0</v>
      </c>
      <c r="L33">
        <f t="shared" si="36"/>
        <v>0</v>
      </c>
      <c r="M33">
        <f t="shared" si="36"/>
        <v>0</v>
      </c>
      <c r="N33">
        <f t="shared" si="36"/>
        <v>0</v>
      </c>
      <c r="O33">
        <f t="shared" si="36"/>
        <v>0</v>
      </c>
      <c r="P33">
        <f t="shared" si="36"/>
        <v>0</v>
      </c>
      <c r="Q33">
        <f t="shared" si="36"/>
        <v>0</v>
      </c>
      <c r="R33">
        <f t="shared" si="36"/>
        <v>0</v>
      </c>
      <c r="S33">
        <f t="shared" si="36"/>
        <v>0</v>
      </c>
      <c r="T33">
        <f t="shared" si="36"/>
        <v>0</v>
      </c>
      <c r="U33">
        <f t="shared" si="36"/>
        <v>0</v>
      </c>
      <c r="V33">
        <f t="shared" si="36"/>
        <v>0</v>
      </c>
      <c r="W33">
        <f t="shared" si="36"/>
        <v>0</v>
      </c>
      <c r="X33">
        <f t="shared" si="36"/>
        <v>0</v>
      </c>
      <c r="Y33">
        <f t="shared" si="36"/>
        <v>0</v>
      </c>
      <c r="Z33">
        <f t="shared" si="36"/>
        <v>0</v>
      </c>
      <c r="AA33">
        <f t="shared" si="36"/>
        <v>0</v>
      </c>
      <c r="AB33">
        <f t="shared" si="36"/>
        <v>0</v>
      </c>
      <c r="AC33">
        <f t="shared" si="36"/>
        <v>0</v>
      </c>
      <c r="AD33">
        <f t="shared" si="36"/>
        <v>0</v>
      </c>
      <c r="AE33">
        <f t="shared" si="36"/>
        <v>0</v>
      </c>
      <c r="AF33">
        <f t="shared" si="36"/>
        <v>0</v>
      </c>
      <c r="AG33">
        <f t="shared" si="36"/>
        <v>0</v>
      </c>
      <c r="AH33">
        <f t="shared" si="36"/>
        <v>0</v>
      </c>
      <c r="AI33">
        <f t="shared" si="36"/>
        <v>0</v>
      </c>
      <c r="AJ33">
        <f t="shared" ref="AJ33:BO33" si="37">AJ30/$B33</f>
        <v>0</v>
      </c>
      <c r="AK33">
        <f t="shared" si="37"/>
        <v>0</v>
      </c>
      <c r="AL33">
        <f t="shared" si="37"/>
        <v>0</v>
      </c>
      <c r="AM33">
        <f t="shared" si="37"/>
        <v>0</v>
      </c>
      <c r="AN33">
        <f t="shared" si="37"/>
        <v>0</v>
      </c>
      <c r="AO33">
        <f t="shared" si="37"/>
        <v>0</v>
      </c>
      <c r="AP33">
        <f t="shared" si="37"/>
        <v>0</v>
      </c>
      <c r="AQ33">
        <f t="shared" si="37"/>
        <v>0</v>
      </c>
      <c r="AR33">
        <f t="shared" si="37"/>
        <v>0</v>
      </c>
      <c r="AS33">
        <f t="shared" si="37"/>
        <v>0</v>
      </c>
      <c r="AT33">
        <f t="shared" si="37"/>
        <v>0</v>
      </c>
      <c r="AU33">
        <f t="shared" si="37"/>
        <v>0</v>
      </c>
      <c r="AV33">
        <f t="shared" si="37"/>
        <v>0</v>
      </c>
      <c r="AW33">
        <f t="shared" si="37"/>
        <v>0</v>
      </c>
      <c r="AX33">
        <f t="shared" si="37"/>
        <v>0</v>
      </c>
      <c r="AY33">
        <f t="shared" si="37"/>
        <v>0</v>
      </c>
      <c r="AZ33">
        <f t="shared" si="37"/>
        <v>0</v>
      </c>
      <c r="BA33">
        <f t="shared" si="37"/>
        <v>0</v>
      </c>
      <c r="BB33">
        <f t="shared" si="37"/>
        <v>0</v>
      </c>
      <c r="BC33">
        <f t="shared" si="37"/>
        <v>0</v>
      </c>
      <c r="BD33">
        <f t="shared" si="37"/>
        <v>0</v>
      </c>
      <c r="BE33">
        <f t="shared" si="37"/>
        <v>0</v>
      </c>
      <c r="BF33">
        <f t="shared" si="37"/>
        <v>0</v>
      </c>
      <c r="BG33">
        <f t="shared" si="37"/>
        <v>0</v>
      </c>
      <c r="BH33">
        <f t="shared" si="37"/>
        <v>0</v>
      </c>
      <c r="BI33">
        <f t="shared" si="37"/>
        <v>0</v>
      </c>
      <c r="BJ33">
        <f t="shared" si="37"/>
        <v>0</v>
      </c>
      <c r="BK33">
        <f t="shared" si="37"/>
        <v>0</v>
      </c>
      <c r="BL33">
        <f t="shared" si="37"/>
        <v>0</v>
      </c>
      <c r="BM33">
        <f t="shared" si="37"/>
        <v>0</v>
      </c>
      <c r="BN33">
        <f t="shared" si="37"/>
        <v>0</v>
      </c>
      <c r="BO33">
        <f t="shared" si="37"/>
        <v>0</v>
      </c>
      <c r="BP33">
        <f t="shared" ref="BP33:CC33" si="38">BP30/$B33</f>
        <v>0</v>
      </c>
      <c r="BQ33">
        <f t="shared" si="38"/>
        <v>0</v>
      </c>
      <c r="BR33">
        <f t="shared" si="38"/>
        <v>0</v>
      </c>
      <c r="BS33">
        <f t="shared" si="38"/>
        <v>0</v>
      </c>
      <c r="BT33">
        <f t="shared" si="38"/>
        <v>0</v>
      </c>
      <c r="BU33">
        <f t="shared" si="38"/>
        <v>0</v>
      </c>
      <c r="BV33">
        <f t="shared" si="38"/>
        <v>0</v>
      </c>
      <c r="BW33">
        <f t="shared" si="38"/>
        <v>0</v>
      </c>
      <c r="BX33">
        <f t="shared" si="38"/>
        <v>0</v>
      </c>
      <c r="BY33">
        <f t="shared" si="38"/>
        <v>0</v>
      </c>
      <c r="BZ33">
        <f t="shared" si="38"/>
        <v>0</v>
      </c>
      <c r="CA33">
        <f t="shared" si="38"/>
        <v>0</v>
      </c>
      <c r="CB33">
        <f t="shared" si="38"/>
        <v>0</v>
      </c>
      <c r="CC33">
        <f t="shared" si="38"/>
        <v>0</v>
      </c>
    </row>
    <row r="34" spans="1:81" x14ac:dyDescent="0.2">
      <c r="B34" s="67">
        <f>SUM(D38:AJ38)/SUM($D$263:$AJ$263)</f>
        <v>2.9349612585113875E-3</v>
      </c>
      <c r="C34" s="9" t="s">
        <v>216</v>
      </c>
      <c r="D34">
        <f t="shared" ref="D34:AI34" si="39">D28-D31</f>
        <v>1000</v>
      </c>
      <c r="E34">
        <f t="shared" si="39"/>
        <v>520</v>
      </c>
      <c r="F34">
        <f t="shared" si="39"/>
        <v>520</v>
      </c>
      <c r="G34">
        <f t="shared" si="39"/>
        <v>520</v>
      </c>
      <c r="H34">
        <f t="shared" si="39"/>
        <v>360</v>
      </c>
      <c r="I34">
        <f t="shared" si="39"/>
        <v>200</v>
      </c>
      <c r="J34">
        <f t="shared" si="39"/>
        <v>320</v>
      </c>
      <c r="K34">
        <f t="shared" si="39"/>
        <v>160</v>
      </c>
      <c r="L34">
        <f t="shared" si="39"/>
        <v>0</v>
      </c>
      <c r="M34">
        <f t="shared" si="39"/>
        <v>-160</v>
      </c>
      <c r="N34">
        <f t="shared" si="39"/>
        <v>-160</v>
      </c>
      <c r="O34">
        <f t="shared" si="39"/>
        <v>-160</v>
      </c>
      <c r="P34">
        <f t="shared" si="39"/>
        <v>-160</v>
      </c>
      <c r="Q34">
        <f t="shared" si="39"/>
        <v>-160</v>
      </c>
      <c r="R34">
        <f t="shared" si="39"/>
        <v>-320</v>
      </c>
      <c r="S34">
        <f t="shared" si="39"/>
        <v>-320</v>
      </c>
      <c r="T34">
        <f t="shared" si="39"/>
        <v>-480</v>
      </c>
      <c r="U34">
        <f t="shared" si="39"/>
        <v>-560</v>
      </c>
      <c r="V34">
        <f t="shared" si="39"/>
        <v>-640</v>
      </c>
      <c r="W34">
        <f t="shared" si="39"/>
        <v>-720</v>
      </c>
      <c r="X34">
        <f t="shared" si="39"/>
        <v>-800</v>
      </c>
      <c r="Y34">
        <f t="shared" si="39"/>
        <v>-880</v>
      </c>
      <c r="Z34">
        <f t="shared" si="39"/>
        <v>-960</v>
      </c>
      <c r="AA34">
        <f t="shared" si="39"/>
        <v>-1040</v>
      </c>
      <c r="AB34">
        <f t="shared" si="39"/>
        <v>-1120</v>
      </c>
      <c r="AC34">
        <f t="shared" si="39"/>
        <v>-1280</v>
      </c>
      <c r="AD34">
        <f t="shared" si="39"/>
        <v>-1440</v>
      </c>
      <c r="AE34">
        <f t="shared" si="39"/>
        <v>-1600</v>
      </c>
      <c r="AF34">
        <f t="shared" si="39"/>
        <v>-1760</v>
      </c>
      <c r="AG34">
        <f t="shared" si="39"/>
        <v>-1920</v>
      </c>
      <c r="AH34">
        <f t="shared" si="39"/>
        <v>-2080</v>
      </c>
      <c r="AI34">
        <f t="shared" si="39"/>
        <v>-2240</v>
      </c>
      <c r="AJ34">
        <f t="shared" ref="AJ34:BO34" si="40">AJ28-AJ31</f>
        <v>-2240</v>
      </c>
      <c r="AK34">
        <f t="shared" si="40"/>
        <v>-2240</v>
      </c>
      <c r="AL34">
        <f t="shared" si="40"/>
        <v>-2240</v>
      </c>
      <c r="AM34">
        <f t="shared" si="40"/>
        <v>-2240</v>
      </c>
      <c r="AN34">
        <f t="shared" si="40"/>
        <v>-2334</v>
      </c>
      <c r="AO34">
        <f t="shared" si="40"/>
        <v>-2428</v>
      </c>
      <c r="AP34">
        <f t="shared" si="40"/>
        <v>-2522</v>
      </c>
      <c r="AQ34">
        <f t="shared" si="40"/>
        <v>-2635</v>
      </c>
      <c r="AR34">
        <f t="shared" si="40"/>
        <v>-2748</v>
      </c>
      <c r="AS34">
        <f t="shared" si="40"/>
        <v>-2839</v>
      </c>
      <c r="AT34">
        <f t="shared" si="40"/>
        <v>-2952</v>
      </c>
      <c r="AU34">
        <f t="shared" si="40"/>
        <v>-3060</v>
      </c>
      <c r="AV34">
        <f t="shared" si="40"/>
        <v>-3168</v>
      </c>
      <c r="AW34">
        <f t="shared" si="40"/>
        <v>-3276</v>
      </c>
      <c r="AX34">
        <f t="shared" si="40"/>
        <v>-3384</v>
      </c>
      <c r="AY34">
        <f t="shared" si="40"/>
        <v>-3470</v>
      </c>
      <c r="AZ34">
        <f t="shared" si="40"/>
        <v>-3547</v>
      </c>
      <c r="BA34">
        <f t="shared" si="40"/>
        <v>-3624</v>
      </c>
      <c r="BB34">
        <f t="shared" si="40"/>
        <v>-3701</v>
      </c>
      <c r="BC34">
        <f t="shared" si="40"/>
        <v>-3787</v>
      </c>
      <c r="BD34">
        <f t="shared" si="40"/>
        <v>-3873</v>
      </c>
      <c r="BE34">
        <f t="shared" si="40"/>
        <v>-3959</v>
      </c>
      <c r="BF34">
        <f t="shared" si="40"/>
        <v>-4045</v>
      </c>
      <c r="BG34">
        <f t="shared" si="40"/>
        <v>-4131</v>
      </c>
      <c r="BH34">
        <f t="shared" si="40"/>
        <v>-4217</v>
      </c>
      <c r="BI34">
        <f t="shared" si="40"/>
        <v>-4303</v>
      </c>
      <c r="BJ34">
        <f t="shared" si="40"/>
        <v>-4389</v>
      </c>
      <c r="BK34">
        <f t="shared" si="40"/>
        <v>-4475</v>
      </c>
      <c r="BL34">
        <f t="shared" si="40"/>
        <v>-4561</v>
      </c>
      <c r="BM34">
        <f t="shared" si="40"/>
        <v>-4647</v>
      </c>
      <c r="BN34">
        <f t="shared" si="40"/>
        <v>-4803</v>
      </c>
      <c r="BO34">
        <f t="shared" si="40"/>
        <v>-4803</v>
      </c>
      <c r="BP34">
        <f t="shared" ref="BP34:CC34" si="41">BP28-BP31</f>
        <v>-4803</v>
      </c>
      <c r="BQ34">
        <f t="shared" si="41"/>
        <v>-4803</v>
      </c>
      <c r="BR34">
        <f t="shared" si="41"/>
        <v>-4803</v>
      </c>
      <c r="BS34">
        <f t="shared" si="41"/>
        <v>-4874</v>
      </c>
      <c r="BT34">
        <f t="shared" si="41"/>
        <v>-4945</v>
      </c>
      <c r="BU34">
        <f t="shared" si="41"/>
        <v>-5016</v>
      </c>
      <c r="BV34">
        <f t="shared" si="41"/>
        <v>-5087</v>
      </c>
      <c r="BW34">
        <f t="shared" si="41"/>
        <v>-5158</v>
      </c>
      <c r="BX34">
        <f t="shared" si="41"/>
        <v>-5229</v>
      </c>
      <c r="BY34">
        <f t="shared" si="41"/>
        <v>-5300</v>
      </c>
      <c r="BZ34">
        <f t="shared" si="41"/>
        <v>-5371</v>
      </c>
      <c r="CA34">
        <f t="shared" si="41"/>
        <v>-5442</v>
      </c>
      <c r="CB34">
        <f t="shared" si="41"/>
        <v>-5513</v>
      </c>
      <c r="CC34">
        <f t="shared" si="41"/>
        <v>-5584</v>
      </c>
    </row>
    <row r="35" spans="1:81" x14ac:dyDescent="0.2">
      <c r="A35" s="43" t="s">
        <v>292</v>
      </c>
      <c r="B35" s="44" t="s">
        <v>208</v>
      </c>
      <c r="C35" s="9" t="s">
        <v>38</v>
      </c>
      <c r="D35" s="58">
        <f>IFERROR(VLOOKUP(A35,OS!$A:$B,2,0),0)</f>
        <v>100</v>
      </c>
      <c r="E35" s="5">
        <f>(D35+D36-D38)</f>
        <v>100</v>
      </c>
      <c r="F35" s="5">
        <f>(E35+E36-E38)</f>
        <v>100</v>
      </c>
      <c r="G35" s="5">
        <f>(F35+F36-F38)</f>
        <v>100</v>
      </c>
      <c r="H35" s="5">
        <f>(G35+G36-G38)</f>
        <v>100</v>
      </c>
      <c r="I35" s="5">
        <f t="shared" ref="I35:AN35" si="42">(H35+H36-H38+D37)</f>
        <v>100</v>
      </c>
      <c r="J35" s="5">
        <f t="shared" si="42"/>
        <v>0</v>
      </c>
      <c r="K35" s="5">
        <f t="shared" si="42"/>
        <v>0</v>
      </c>
      <c r="L35" s="5">
        <f t="shared" si="42"/>
        <v>0</v>
      </c>
      <c r="M35" s="5">
        <f t="shared" si="42"/>
        <v>0</v>
      </c>
      <c r="N35" s="5">
        <f t="shared" si="42"/>
        <v>0</v>
      </c>
      <c r="O35" s="5">
        <f t="shared" si="42"/>
        <v>0</v>
      </c>
      <c r="P35" s="5">
        <f t="shared" si="42"/>
        <v>0</v>
      </c>
      <c r="Q35" s="5">
        <f t="shared" si="42"/>
        <v>0</v>
      </c>
      <c r="R35" s="5">
        <f t="shared" si="42"/>
        <v>0</v>
      </c>
      <c r="S35" s="5">
        <f t="shared" si="42"/>
        <v>-100</v>
      </c>
      <c r="T35" s="5">
        <f t="shared" si="42"/>
        <v>-100</v>
      </c>
      <c r="U35" s="5">
        <f t="shared" si="42"/>
        <v>-100</v>
      </c>
      <c r="V35" s="5">
        <f t="shared" si="42"/>
        <v>-100</v>
      </c>
      <c r="W35" s="5">
        <f t="shared" si="42"/>
        <v>-100</v>
      </c>
      <c r="X35" s="5">
        <f t="shared" si="42"/>
        <v>-100</v>
      </c>
      <c r="Y35" s="5">
        <f t="shared" si="42"/>
        <v>-100</v>
      </c>
      <c r="Z35" s="5">
        <f t="shared" si="42"/>
        <v>-130</v>
      </c>
      <c r="AA35" s="5">
        <f t="shared" si="42"/>
        <v>-160</v>
      </c>
      <c r="AB35" s="5">
        <f t="shared" si="42"/>
        <v>-190</v>
      </c>
      <c r="AC35" s="5">
        <f t="shared" si="42"/>
        <v>-200</v>
      </c>
      <c r="AD35" s="5">
        <f t="shared" si="42"/>
        <v>-200</v>
      </c>
      <c r="AE35" s="5">
        <f t="shared" si="42"/>
        <v>-200</v>
      </c>
      <c r="AF35" s="5">
        <f t="shared" si="42"/>
        <v>-200</v>
      </c>
      <c r="AG35" s="5">
        <f t="shared" si="42"/>
        <v>-200</v>
      </c>
      <c r="AH35" s="5">
        <f t="shared" si="42"/>
        <v>-200</v>
      </c>
      <c r="AI35" s="5">
        <f t="shared" si="42"/>
        <v>-200</v>
      </c>
      <c r="AJ35" s="5">
        <f t="shared" si="42"/>
        <v>-200</v>
      </c>
      <c r="AK35" s="5">
        <f t="shared" si="42"/>
        <v>-200</v>
      </c>
      <c r="AL35" s="5">
        <f t="shared" si="42"/>
        <v>-200</v>
      </c>
      <c r="AM35" s="5">
        <f t="shared" si="42"/>
        <v>-200</v>
      </c>
      <c r="AN35" s="5">
        <f t="shared" si="42"/>
        <v>-200</v>
      </c>
      <c r="AO35" s="5">
        <f t="shared" ref="AO35:BT35" si="43">(AN35+AN36-AN38+AJ37)</f>
        <v>-208</v>
      </c>
      <c r="AP35" s="5">
        <f t="shared" si="43"/>
        <v>-216</v>
      </c>
      <c r="AQ35" s="5">
        <f t="shared" si="43"/>
        <v>-224</v>
      </c>
      <c r="AR35" s="5">
        <f t="shared" si="43"/>
        <v>-234</v>
      </c>
      <c r="AS35" s="5">
        <f t="shared" si="43"/>
        <v>-244</v>
      </c>
      <c r="AT35" s="5">
        <f t="shared" si="43"/>
        <v>-252</v>
      </c>
      <c r="AU35" s="5">
        <f t="shared" si="43"/>
        <v>-262</v>
      </c>
      <c r="AV35" s="5">
        <f t="shared" si="43"/>
        <v>-272</v>
      </c>
      <c r="AW35" s="5">
        <f t="shared" si="43"/>
        <v>-282</v>
      </c>
      <c r="AX35" s="5">
        <f t="shared" si="43"/>
        <v>-292</v>
      </c>
      <c r="AY35" s="5">
        <f t="shared" si="43"/>
        <v>-302</v>
      </c>
      <c r="AZ35" s="5">
        <f t="shared" si="43"/>
        <v>-310</v>
      </c>
      <c r="BA35" s="5">
        <f t="shared" si="43"/>
        <v>-317</v>
      </c>
      <c r="BB35" s="5">
        <f t="shared" si="43"/>
        <v>-324</v>
      </c>
      <c r="BC35" s="5">
        <f t="shared" si="43"/>
        <v>-331</v>
      </c>
      <c r="BD35" s="5">
        <f t="shared" si="43"/>
        <v>-339</v>
      </c>
      <c r="BE35" s="5">
        <f t="shared" si="43"/>
        <v>-347</v>
      </c>
      <c r="BF35" s="5">
        <f t="shared" si="43"/>
        <v>-355</v>
      </c>
      <c r="BG35" s="5">
        <f t="shared" si="43"/>
        <v>-363</v>
      </c>
      <c r="BH35" s="5">
        <f t="shared" si="43"/>
        <v>-371</v>
      </c>
      <c r="BI35" s="5">
        <f t="shared" si="43"/>
        <v>-379</v>
      </c>
      <c r="BJ35" s="5">
        <f t="shared" si="43"/>
        <v>-387</v>
      </c>
      <c r="BK35" s="5">
        <f t="shared" si="43"/>
        <v>-395</v>
      </c>
      <c r="BL35" s="5">
        <f t="shared" si="43"/>
        <v>-403</v>
      </c>
      <c r="BM35" s="5">
        <f t="shared" si="43"/>
        <v>-411</v>
      </c>
      <c r="BN35" s="5">
        <f t="shared" si="43"/>
        <v>-419</v>
      </c>
      <c r="BO35" s="5">
        <f t="shared" si="43"/>
        <v>-433</v>
      </c>
      <c r="BP35" s="5">
        <f t="shared" si="43"/>
        <v>-433</v>
      </c>
      <c r="BQ35" s="5">
        <f t="shared" si="43"/>
        <v>-433</v>
      </c>
      <c r="BR35" s="5">
        <f t="shared" si="43"/>
        <v>-433</v>
      </c>
      <c r="BS35" s="5">
        <f t="shared" si="43"/>
        <v>-433</v>
      </c>
      <c r="BT35" s="5">
        <f t="shared" si="43"/>
        <v>-439</v>
      </c>
      <c r="BU35" s="5">
        <f t="shared" ref="BU35:CC35" si="44">(BT35+BT36-BT38+BP37)</f>
        <v>-445</v>
      </c>
      <c r="BV35" s="5">
        <f t="shared" si="44"/>
        <v>-451</v>
      </c>
      <c r="BW35" s="5">
        <f t="shared" si="44"/>
        <v>-457</v>
      </c>
      <c r="BX35" s="5">
        <f t="shared" si="44"/>
        <v>-463</v>
      </c>
      <c r="BY35" s="5">
        <f t="shared" si="44"/>
        <v>-469</v>
      </c>
      <c r="BZ35" s="5">
        <f t="shared" si="44"/>
        <v>-475</v>
      </c>
      <c r="CA35" s="5">
        <f t="shared" si="44"/>
        <v>-481</v>
      </c>
      <c r="CB35" s="5">
        <f t="shared" si="44"/>
        <v>-487</v>
      </c>
      <c r="CC35" s="5">
        <f t="shared" si="44"/>
        <v>-493</v>
      </c>
    </row>
    <row r="36" spans="1:81" x14ac:dyDescent="0.2">
      <c r="A36" s="5" t="s">
        <v>209</v>
      </c>
      <c r="B36" s="5">
        <v>5.77006</v>
      </c>
      <c r="C36" s="45" t="s">
        <v>39</v>
      </c>
      <c r="D36" s="59">
        <f>IFERROR(VLOOKUP(A35,WIP!$A:$B,2,0),0)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">
      <c r="A37" s="5" t="s">
        <v>210</v>
      </c>
      <c r="B37" s="5">
        <v>0.17499999999999999</v>
      </c>
      <c r="C37" s="9" t="s">
        <v>211</v>
      </c>
      <c r="D37" s="60">
        <f>IFERROR(VLOOKUP($A35,Plan!$A:B,D$4,0),0)</f>
        <v>0</v>
      </c>
      <c r="E37" s="60">
        <f>IFERROR(VLOOKUP($A35,Plan!$A:C,E$4,0),0)</f>
        <v>0</v>
      </c>
      <c r="F37" s="60">
        <f>IFERROR(VLOOKUP($A35,Plan!$A:D,F$4,0),0)</f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">
      <c r="A38" s="5" t="s">
        <v>212</v>
      </c>
      <c r="B38" s="5">
        <v>4.4999999999999998E-2</v>
      </c>
      <c r="C38" s="9" t="s">
        <v>213</v>
      </c>
      <c r="D38" s="61">
        <f>IFERROR(VLOOKUP($A35,Sales!$A:B,D$2,0),0)</f>
        <v>0</v>
      </c>
      <c r="E38" s="61">
        <f>IFERROR(VLOOKUP($A35,Sales!$A:C,E$2,0),0)</f>
        <v>0</v>
      </c>
      <c r="F38" s="61">
        <f>IFERROR(VLOOKUP($A35,Sales!$A:D,F$2,0),0)</f>
        <v>0</v>
      </c>
      <c r="G38" s="61">
        <f>IFERROR(VLOOKUP($A35,Sales!$A:E,G$2,0),0)</f>
        <v>0</v>
      </c>
      <c r="H38" s="61">
        <f>IFERROR(VLOOKUP($A35,Sales!$A:F,H$2,0),0)</f>
        <v>0</v>
      </c>
      <c r="I38" s="61">
        <f>IFERROR(VLOOKUP($A35,Sales!$A:G,I$2,0),0)</f>
        <v>100</v>
      </c>
      <c r="J38" s="61">
        <f>IFERROR(VLOOKUP($A35,Sales!$A:H,J$2,0),0)</f>
        <v>0</v>
      </c>
      <c r="K38" s="61">
        <f>IFERROR(VLOOKUP($A35,Sales!$A:I,K$2,0),0)</f>
        <v>0</v>
      </c>
      <c r="L38" s="61">
        <f>IFERROR(VLOOKUP($A35,Sales!$A:J,L$2,0),0)</f>
        <v>0</v>
      </c>
      <c r="M38" s="61">
        <f>IFERROR(VLOOKUP($A35,Sales!$A:K,M$2,0),0)</f>
        <v>0</v>
      </c>
      <c r="N38" s="61">
        <f>IFERROR(VLOOKUP($A35,Sales!$A:L,N$2,0),0)</f>
        <v>0</v>
      </c>
      <c r="O38" s="61">
        <f>IFERROR(VLOOKUP($A35,Sales!$A:M,O$2,0),0)</f>
        <v>0</v>
      </c>
      <c r="P38" s="61">
        <f>IFERROR(VLOOKUP($A35,Sales!$A:N,P$2,0),0)</f>
        <v>0</v>
      </c>
      <c r="Q38" s="61">
        <f>IFERROR(VLOOKUP($A35,Sales!$A:O,Q$2,0),0)</f>
        <v>0</v>
      </c>
      <c r="R38" s="61">
        <f>IFERROR(VLOOKUP($A35,Sales!$A:P,R$2,0),0)</f>
        <v>100</v>
      </c>
      <c r="S38" s="61">
        <f>IFERROR(VLOOKUP($A35,Sales!$A:Q,S$2,0),0)</f>
        <v>0</v>
      </c>
      <c r="T38" s="61">
        <f>IFERROR(VLOOKUP($A35,Sales!$A:R,T$2,0),0)</f>
        <v>0</v>
      </c>
      <c r="U38" s="61">
        <f>IFERROR(VLOOKUP($A35,Sales!$A:S,U$2,0),0)</f>
        <v>0</v>
      </c>
      <c r="V38" s="61">
        <f>IFERROR(VLOOKUP($A35,Sales!$A:T,V$2,0),0)</f>
        <v>0</v>
      </c>
      <c r="W38" s="61">
        <f>IFERROR(VLOOKUP($A35,Sales!$A:U,W$2,0),0)</f>
        <v>0</v>
      </c>
      <c r="X38" s="61">
        <f>IFERROR(VLOOKUP($A35,Sales!$A:V,X$2,0),0)</f>
        <v>0</v>
      </c>
      <c r="Y38" s="61">
        <f>IFERROR(VLOOKUP($A35,Sales!$A:W,Y$2,0),0)</f>
        <v>30</v>
      </c>
      <c r="Z38" s="61">
        <f>IFERROR(VLOOKUP($A35,Sales!$A:X,Z$2,0),0)</f>
        <v>30</v>
      </c>
      <c r="AA38" s="61">
        <f>IFERROR(VLOOKUP($A35,Sales!$A:Y,AA$2,0),0)</f>
        <v>30</v>
      </c>
      <c r="AB38" s="61">
        <f>IFERROR(VLOOKUP($A35,Sales!$A:Z,AB$2,0),0)</f>
        <v>10</v>
      </c>
      <c r="AC38" s="61">
        <f>IFERROR(VLOOKUP($A35,Sales!$A:AA,AC$2,0),0)</f>
        <v>0</v>
      </c>
      <c r="AD38" s="61">
        <f>IFERROR(VLOOKUP($A35,Sales!$A:AB,AD$2,0),0)</f>
        <v>0</v>
      </c>
      <c r="AE38" s="61">
        <f>IFERROR(VLOOKUP($A35,Sales!$A:AC,AE$2,0),0)</f>
        <v>0</v>
      </c>
      <c r="AF38" s="61">
        <f>IFERROR(VLOOKUP($A35,Sales!$A:AD,AF$2,0),0)</f>
        <v>0</v>
      </c>
      <c r="AG38" s="61">
        <f>IFERROR(VLOOKUP($A35,Sales!$A:AE,AG$2,0),0)</f>
        <v>0</v>
      </c>
      <c r="AH38" s="61">
        <f>IFERROR(VLOOKUP($A35,Sales!$A:AF,AH$2,0),0)</f>
        <v>0</v>
      </c>
      <c r="AI38" s="61">
        <f>IFERROR(VLOOKUP($A35,Sales!$A:AG,AI$2,0),0)</f>
        <v>0</v>
      </c>
      <c r="AJ38" s="61">
        <f>IFERROR(VLOOKUP($A35,Sales!$A:AH,AJ$2,0),0)</f>
        <v>0</v>
      </c>
      <c r="AK38" s="74">
        <f t="shared" ref="AK38:CC38" si="45">CEILING(AK$5*$B34,1)</f>
        <v>0</v>
      </c>
      <c r="AL38" s="74">
        <f t="shared" si="45"/>
        <v>0</v>
      </c>
      <c r="AM38" s="74">
        <f t="shared" si="45"/>
        <v>0</v>
      </c>
      <c r="AN38" s="74">
        <f t="shared" si="45"/>
        <v>8</v>
      </c>
      <c r="AO38" s="74">
        <f t="shared" si="45"/>
        <v>8</v>
      </c>
      <c r="AP38" s="74">
        <f t="shared" si="45"/>
        <v>8</v>
      </c>
      <c r="AQ38" s="74">
        <f t="shared" si="45"/>
        <v>10</v>
      </c>
      <c r="AR38" s="74">
        <f t="shared" si="45"/>
        <v>10</v>
      </c>
      <c r="AS38" s="74">
        <f t="shared" si="45"/>
        <v>8</v>
      </c>
      <c r="AT38" s="74">
        <f t="shared" si="45"/>
        <v>10</v>
      </c>
      <c r="AU38" s="74">
        <f t="shared" si="45"/>
        <v>10</v>
      </c>
      <c r="AV38" s="74">
        <f t="shared" si="45"/>
        <v>10</v>
      </c>
      <c r="AW38" s="74">
        <f t="shared" si="45"/>
        <v>10</v>
      </c>
      <c r="AX38" s="74">
        <f t="shared" si="45"/>
        <v>10</v>
      </c>
      <c r="AY38" s="74">
        <f t="shared" si="45"/>
        <v>8</v>
      </c>
      <c r="AZ38" s="74">
        <f t="shared" si="45"/>
        <v>7</v>
      </c>
      <c r="BA38" s="74">
        <f t="shared" si="45"/>
        <v>7</v>
      </c>
      <c r="BB38" s="74">
        <f t="shared" si="45"/>
        <v>7</v>
      </c>
      <c r="BC38" s="74">
        <f t="shared" si="45"/>
        <v>8</v>
      </c>
      <c r="BD38" s="74">
        <f t="shared" si="45"/>
        <v>8</v>
      </c>
      <c r="BE38" s="74">
        <f t="shared" si="45"/>
        <v>8</v>
      </c>
      <c r="BF38" s="74">
        <f t="shared" si="45"/>
        <v>8</v>
      </c>
      <c r="BG38" s="74">
        <f t="shared" si="45"/>
        <v>8</v>
      </c>
      <c r="BH38" s="74">
        <f t="shared" si="45"/>
        <v>8</v>
      </c>
      <c r="BI38" s="74">
        <f t="shared" si="45"/>
        <v>8</v>
      </c>
      <c r="BJ38" s="74">
        <f t="shared" si="45"/>
        <v>8</v>
      </c>
      <c r="BK38" s="74">
        <f t="shared" si="45"/>
        <v>8</v>
      </c>
      <c r="BL38" s="74">
        <f t="shared" si="45"/>
        <v>8</v>
      </c>
      <c r="BM38" s="74">
        <f t="shared" si="45"/>
        <v>8</v>
      </c>
      <c r="BN38" s="74">
        <f t="shared" si="45"/>
        <v>14</v>
      </c>
      <c r="BO38" s="74">
        <f t="shared" si="45"/>
        <v>0</v>
      </c>
      <c r="BP38" s="74">
        <f t="shared" si="45"/>
        <v>0</v>
      </c>
      <c r="BQ38" s="74">
        <f t="shared" si="45"/>
        <v>0</v>
      </c>
      <c r="BR38" s="74">
        <f t="shared" si="45"/>
        <v>0</v>
      </c>
      <c r="BS38" s="74">
        <f t="shared" si="45"/>
        <v>6</v>
      </c>
      <c r="BT38" s="74">
        <f t="shared" si="45"/>
        <v>6</v>
      </c>
      <c r="BU38" s="74">
        <f t="shared" si="45"/>
        <v>6</v>
      </c>
      <c r="BV38" s="74">
        <f t="shared" si="45"/>
        <v>6</v>
      </c>
      <c r="BW38" s="74">
        <f t="shared" si="45"/>
        <v>6</v>
      </c>
      <c r="BX38" s="74">
        <f t="shared" si="45"/>
        <v>6</v>
      </c>
      <c r="BY38" s="74">
        <f t="shared" si="45"/>
        <v>6</v>
      </c>
      <c r="BZ38" s="74">
        <f t="shared" si="45"/>
        <v>6</v>
      </c>
      <c r="CA38" s="74">
        <f t="shared" si="45"/>
        <v>6</v>
      </c>
      <c r="CB38" s="74">
        <f t="shared" si="45"/>
        <v>6</v>
      </c>
      <c r="CC38" s="74">
        <f t="shared" si="45"/>
        <v>6</v>
      </c>
    </row>
    <row r="39" spans="1:81" x14ac:dyDescent="0.2">
      <c r="A39" s="5" t="s">
        <v>214</v>
      </c>
      <c r="B39" s="5">
        <v>0.22</v>
      </c>
      <c r="C39" s="46" t="s">
        <v>215</v>
      </c>
      <c r="D39" s="11">
        <f t="shared" ref="D39:AI39" si="46">IF(D38=0,0, ROUND(D35 * 1/D38* D$13,1))</f>
        <v>0</v>
      </c>
      <c r="E39" s="11">
        <f t="shared" si="46"/>
        <v>0</v>
      </c>
      <c r="F39" s="11">
        <f t="shared" si="46"/>
        <v>0</v>
      </c>
      <c r="G39" s="11">
        <f t="shared" si="46"/>
        <v>0</v>
      </c>
      <c r="H39" s="11">
        <f t="shared" si="46"/>
        <v>0</v>
      </c>
      <c r="I39" s="11">
        <f t="shared" si="46"/>
        <v>5</v>
      </c>
      <c r="J39" s="11">
        <f t="shared" si="46"/>
        <v>0</v>
      </c>
      <c r="K39" s="11">
        <f t="shared" si="46"/>
        <v>0</v>
      </c>
      <c r="L39" s="11">
        <f t="shared" si="46"/>
        <v>0</v>
      </c>
      <c r="M39" s="11">
        <f t="shared" si="46"/>
        <v>0</v>
      </c>
      <c r="N39" s="11">
        <f t="shared" si="46"/>
        <v>0</v>
      </c>
      <c r="O39" s="11">
        <f t="shared" si="46"/>
        <v>0</v>
      </c>
      <c r="P39" s="11">
        <f t="shared" si="46"/>
        <v>0</v>
      </c>
      <c r="Q39" s="11">
        <f t="shared" si="46"/>
        <v>0</v>
      </c>
      <c r="R39" s="11">
        <f t="shared" si="46"/>
        <v>0</v>
      </c>
      <c r="S39" s="11">
        <f t="shared" si="46"/>
        <v>0</v>
      </c>
      <c r="T39" s="11">
        <f t="shared" si="46"/>
        <v>0</v>
      </c>
      <c r="U39" s="11">
        <f t="shared" si="46"/>
        <v>0</v>
      </c>
      <c r="V39" s="11">
        <f t="shared" si="46"/>
        <v>0</v>
      </c>
      <c r="W39" s="11">
        <f t="shared" si="46"/>
        <v>0</v>
      </c>
      <c r="X39" s="11">
        <f t="shared" si="46"/>
        <v>0</v>
      </c>
      <c r="Y39" s="11">
        <f t="shared" si="46"/>
        <v>-16.7</v>
      </c>
      <c r="Z39" s="11">
        <f t="shared" si="46"/>
        <v>-21.7</v>
      </c>
      <c r="AA39" s="11">
        <f t="shared" si="46"/>
        <v>-26.7</v>
      </c>
      <c r="AB39" s="11">
        <f t="shared" si="46"/>
        <v>-95</v>
      </c>
      <c r="AC39" s="11">
        <f t="shared" si="46"/>
        <v>0</v>
      </c>
      <c r="AD39" s="11">
        <f t="shared" si="46"/>
        <v>0</v>
      </c>
      <c r="AE39" s="11">
        <f t="shared" si="46"/>
        <v>0</v>
      </c>
      <c r="AF39" s="11">
        <f t="shared" si="46"/>
        <v>0</v>
      </c>
      <c r="AG39" s="11">
        <f t="shared" si="46"/>
        <v>0</v>
      </c>
      <c r="AH39" s="11">
        <f t="shared" si="46"/>
        <v>0</v>
      </c>
      <c r="AI39" s="11">
        <f t="shared" si="46"/>
        <v>0</v>
      </c>
      <c r="AJ39" s="11">
        <f t="shared" ref="AJ39:BO39" si="47">IF(AJ38=0,0, ROUND(AJ35 * 1/AJ38* AJ$13,1))</f>
        <v>0</v>
      </c>
      <c r="AK39" s="11">
        <f t="shared" si="47"/>
        <v>0</v>
      </c>
      <c r="AL39" s="11">
        <f t="shared" si="47"/>
        <v>0</v>
      </c>
      <c r="AM39" s="11">
        <f t="shared" si="47"/>
        <v>0</v>
      </c>
      <c r="AN39" s="11">
        <f t="shared" si="47"/>
        <v>-125</v>
      </c>
      <c r="AO39" s="11">
        <f t="shared" si="47"/>
        <v>-130</v>
      </c>
      <c r="AP39" s="11">
        <f t="shared" si="47"/>
        <v>-135</v>
      </c>
      <c r="AQ39" s="11">
        <f t="shared" si="47"/>
        <v>-112</v>
      </c>
      <c r="AR39" s="11">
        <f t="shared" si="47"/>
        <v>-117</v>
      </c>
      <c r="AS39" s="11">
        <f t="shared" si="47"/>
        <v>-152.5</v>
      </c>
      <c r="AT39" s="11">
        <f t="shared" si="47"/>
        <v>-126</v>
      </c>
      <c r="AU39" s="11">
        <f t="shared" si="47"/>
        <v>-131</v>
      </c>
      <c r="AV39" s="11">
        <f t="shared" si="47"/>
        <v>-136</v>
      </c>
      <c r="AW39" s="11">
        <f t="shared" si="47"/>
        <v>-141</v>
      </c>
      <c r="AX39" s="11">
        <f t="shared" si="47"/>
        <v>-146</v>
      </c>
      <c r="AY39" s="11">
        <f t="shared" si="47"/>
        <v>-188.8</v>
      </c>
      <c r="AZ39" s="11">
        <f t="shared" si="47"/>
        <v>-221.4</v>
      </c>
      <c r="BA39" s="11">
        <f t="shared" si="47"/>
        <v>-226.4</v>
      </c>
      <c r="BB39" s="11">
        <f t="shared" si="47"/>
        <v>-231.4</v>
      </c>
      <c r="BC39" s="11">
        <f t="shared" si="47"/>
        <v>-206.9</v>
      </c>
      <c r="BD39" s="11">
        <f t="shared" si="47"/>
        <v>-211.9</v>
      </c>
      <c r="BE39" s="11">
        <f t="shared" si="47"/>
        <v>-216.9</v>
      </c>
      <c r="BF39" s="11">
        <f t="shared" si="47"/>
        <v>-221.9</v>
      </c>
      <c r="BG39" s="11">
        <f t="shared" si="47"/>
        <v>-226.9</v>
      </c>
      <c r="BH39" s="11">
        <f t="shared" si="47"/>
        <v>-231.9</v>
      </c>
      <c r="BI39" s="11">
        <f t="shared" si="47"/>
        <v>-236.9</v>
      </c>
      <c r="BJ39" s="11">
        <f t="shared" si="47"/>
        <v>-241.9</v>
      </c>
      <c r="BK39" s="11">
        <f t="shared" si="47"/>
        <v>-246.9</v>
      </c>
      <c r="BL39" s="11">
        <f t="shared" si="47"/>
        <v>-251.9</v>
      </c>
      <c r="BM39" s="11">
        <f t="shared" si="47"/>
        <v>-256.89999999999998</v>
      </c>
      <c r="BN39" s="11">
        <f t="shared" si="47"/>
        <v>-149.6</v>
      </c>
      <c r="BO39" s="11">
        <f t="shared" si="47"/>
        <v>0</v>
      </c>
      <c r="BP39" s="11">
        <f t="shared" ref="BP39:CC39" si="48">IF(BP38=0,0, ROUND(BP35 * 1/BP38* BP$13,1))</f>
        <v>0</v>
      </c>
      <c r="BQ39" s="11">
        <f t="shared" si="48"/>
        <v>0</v>
      </c>
      <c r="BR39" s="11">
        <f t="shared" si="48"/>
        <v>0</v>
      </c>
      <c r="BS39" s="11">
        <f t="shared" si="48"/>
        <v>-360.8</v>
      </c>
      <c r="BT39" s="11">
        <f t="shared" si="48"/>
        <v>-365.8</v>
      </c>
      <c r="BU39" s="11">
        <f t="shared" si="48"/>
        <v>-370.8</v>
      </c>
      <c r="BV39" s="11">
        <f t="shared" si="48"/>
        <v>-375.8</v>
      </c>
      <c r="BW39" s="11">
        <f t="shared" si="48"/>
        <v>-380.8</v>
      </c>
      <c r="BX39" s="11">
        <f t="shared" si="48"/>
        <v>-385.8</v>
      </c>
      <c r="BY39" s="11">
        <f t="shared" si="48"/>
        <v>-390.8</v>
      </c>
      <c r="BZ39" s="11">
        <f t="shared" si="48"/>
        <v>-395.8</v>
      </c>
      <c r="CA39" s="11">
        <f t="shared" si="48"/>
        <v>-400.8</v>
      </c>
      <c r="CB39" s="11">
        <f t="shared" si="48"/>
        <v>-405.8</v>
      </c>
      <c r="CC39" s="11">
        <f t="shared" si="48"/>
        <v>-410.8</v>
      </c>
    </row>
    <row r="40" spans="1:81" x14ac:dyDescent="0.2">
      <c r="A40">
        <v>13</v>
      </c>
      <c r="B40">
        <v>1</v>
      </c>
      <c r="C40" s="8">
        <v>4.3826900000000002</v>
      </c>
      <c r="D40">
        <f t="shared" ref="D40:AI40" si="49">D37/$B40</f>
        <v>0</v>
      </c>
      <c r="E40">
        <f t="shared" si="49"/>
        <v>0</v>
      </c>
      <c r="F40">
        <f t="shared" si="49"/>
        <v>0</v>
      </c>
      <c r="G40">
        <f t="shared" si="49"/>
        <v>0</v>
      </c>
      <c r="H40">
        <f t="shared" si="49"/>
        <v>0</v>
      </c>
      <c r="I40">
        <f t="shared" si="49"/>
        <v>0</v>
      </c>
      <c r="J40">
        <f t="shared" si="49"/>
        <v>0</v>
      </c>
      <c r="K40">
        <f t="shared" si="49"/>
        <v>0</v>
      </c>
      <c r="L40">
        <f t="shared" si="49"/>
        <v>0</v>
      </c>
      <c r="M40">
        <f t="shared" si="49"/>
        <v>0</v>
      </c>
      <c r="N40">
        <f t="shared" si="49"/>
        <v>0</v>
      </c>
      <c r="O40">
        <f t="shared" si="49"/>
        <v>0</v>
      </c>
      <c r="P40">
        <f t="shared" si="49"/>
        <v>0</v>
      </c>
      <c r="Q40">
        <f t="shared" si="49"/>
        <v>0</v>
      </c>
      <c r="R40">
        <f t="shared" si="49"/>
        <v>0</v>
      </c>
      <c r="S40">
        <f t="shared" si="49"/>
        <v>0</v>
      </c>
      <c r="T40">
        <f t="shared" si="49"/>
        <v>0</v>
      </c>
      <c r="U40">
        <f t="shared" si="49"/>
        <v>0</v>
      </c>
      <c r="V40">
        <f t="shared" si="49"/>
        <v>0</v>
      </c>
      <c r="W40">
        <f t="shared" si="49"/>
        <v>0</v>
      </c>
      <c r="X40">
        <f t="shared" si="49"/>
        <v>0</v>
      </c>
      <c r="Y40">
        <f t="shared" si="49"/>
        <v>0</v>
      </c>
      <c r="Z40">
        <f t="shared" si="49"/>
        <v>0</v>
      </c>
      <c r="AA40">
        <f t="shared" si="49"/>
        <v>0</v>
      </c>
      <c r="AB40">
        <f t="shared" si="49"/>
        <v>0</v>
      </c>
      <c r="AC40">
        <f t="shared" si="49"/>
        <v>0</v>
      </c>
      <c r="AD40">
        <f t="shared" si="49"/>
        <v>0</v>
      </c>
      <c r="AE40">
        <f t="shared" si="49"/>
        <v>0</v>
      </c>
      <c r="AF40">
        <f t="shared" si="49"/>
        <v>0</v>
      </c>
      <c r="AG40">
        <f t="shared" si="49"/>
        <v>0</v>
      </c>
      <c r="AH40">
        <f t="shared" si="49"/>
        <v>0</v>
      </c>
      <c r="AI40">
        <f t="shared" si="49"/>
        <v>0</v>
      </c>
      <c r="AJ40">
        <f t="shared" ref="AJ40:BO40" si="50">AJ37/$B40</f>
        <v>0</v>
      </c>
      <c r="AK40">
        <f t="shared" si="50"/>
        <v>0</v>
      </c>
      <c r="AL40">
        <f t="shared" si="50"/>
        <v>0</v>
      </c>
      <c r="AM40">
        <f t="shared" si="50"/>
        <v>0</v>
      </c>
      <c r="AN40">
        <f t="shared" si="50"/>
        <v>0</v>
      </c>
      <c r="AO40">
        <f t="shared" si="50"/>
        <v>0</v>
      </c>
      <c r="AP40">
        <f t="shared" si="50"/>
        <v>0</v>
      </c>
      <c r="AQ40">
        <f t="shared" si="50"/>
        <v>0</v>
      </c>
      <c r="AR40">
        <f t="shared" si="50"/>
        <v>0</v>
      </c>
      <c r="AS40">
        <f t="shared" si="50"/>
        <v>0</v>
      </c>
      <c r="AT40">
        <f t="shared" si="50"/>
        <v>0</v>
      </c>
      <c r="AU40">
        <f t="shared" si="50"/>
        <v>0</v>
      </c>
      <c r="AV40">
        <f t="shared" si="50"/>
        <v>0</v>
      </c>
      <c r="AW40">
        <f t="shared" si="50"/>
        <v>0</v>
      </c>
      <c r="AX40">
        <f t="shared" si="50"/>
        <v>0</v>
      </c>
      <c r="AY40">
        <f t="shared" si="50"/>
        <v>0</v>
      </c>
      <c r="AZ40">
        <f t="shared" si="50"/>
        <v>0</v>
      </c>
      <c r="BA40">
        <f t="shared" si="50"/>
        <v>0</v>
      </c>
      <c r="BB40">
        <f t="shared" si="50"/>
        <v>0</v>
      </c>
      <c r="BC40">
        <f t="shared" si="50"/>
        <v>0</v>
      </c>
      <c r="BD40">
        <f t="shared" si="50"/>
        <v>0</v>
      </c>
      <c r="BE40">
        <f t="shared" si="50"/>
        <v>0</v>
      </c>
      <c r="BF40">
        <f t="shared" si="50"/>
        <v>0</v>
      </c>
      <c r="BG40">
        <f t="shared" si="50"/>
        <v>0</v>
      </c>
      <c r="BH40">
        <f t="shared" si="50"/>
        <v>0</v>
      </c>
      <c r="BI40">
        <f t="shared" si="50"/>
        <v>0</v>
      </c>
      <c r="BJ40">
        <f t="shared" si="50"/>
        <v>0</v>
      </c>
      <c r="BK40">
        <f t="shared" si="50"/>
        <v>0</v>
      </c>
      <c r="BL40">
        <f t="shared" si="50"/>
        <v>0</v>
      </c>
      <c r="BM40">
        <f t="shared" si="50"/>
        <v>0</v>
      </c>
      <c r="BN40">
        <f t="shared" si="50"/>
        <v>0</v>
      </c>
      <c r="BO40">
        <f t="shared" si="50"/>
        <v>0</v>
      </c>
      <c r="BP40">
        <f t="shared" ref="BP40:CC40" si="51">BP37/$B40</f>
        <v>0</v>
      </c>
      <c r="BQ40">
        <f t="shared" si="51"/>
        <v>0</v>
      </c>
      <c r="BR40">
        <f t="shared" si="51"/>
        <v>0</v>
      </c>
      <c r="BS40">
        <f t="shared" si="51"/>
        <v>0</v>
      </c>
      <c r="BT40">
        <f t="shared" si="51"/>
        <v>0</v>
      </c>
      <c r="BU40">
        <f t="shared" si="51"/>
        <v>0</v>
      </c>
      <c r="BV40">
        <f t="shared" si="51"/>
        <v>0</v>
      </c>
      <c r="BW40">
        <f t="shared" si="51"/>
        <v>0</v>
      </c>
      <c r="BX40">
        <f t="shared" si="51"/>
        <v>0</v>
      </c>
      <c r="BY40">
        <f t="shared" si="51"/>
        <v>0</v>
      </c>
      <c r="BZ40">
        <f t="shared" si="51"/>
        <v>0</v>
      </c>
      <c r="CA40">
        <f t="shared" si="51"/>
        <v>0</v>
      </c>
      <c r="CB40">
        <f t="shared" si="51"/>
        <v>0</v>
      </c>
      <c r="CC40">
        <f t="shared" si="51"/>
        <v>0</v>
      </c>
    </row>
    <row r="41" spans="1:81" x14ac:dyDescent="0.2">
      <c r="B41" s="67">
        <f>SUM(D45:AJ45)/SUM($D$263:$AJ$263)</f>
        <v>2.1914377396885027E-2</v>
      </c>
      <c r="C41" s="9" t="s">
        <v>216</v>
      </c>
      <c r="D41">
        <f t="shared" ref="D41:AI41" si="52">D35-D38</f>
        <v>100</v>
      </c>
      <c r="E41">
        <f t="shared" si="52"/>
        <v>100</v>
      </c>
      <c r="F41">
        <f t="shared" si="52"/>
        <v>100</v>
      </c>
      <c r="G41">
        <f t="shared" si="52"/>
        <v>100</v>
      </c>
      <c r="H41">
        <f t="shared" si="52"/>
        <v>100</v>
      </c>
      <c r="I41">
        <f t="shared" si="52"/>
        <v>0</v>
      </c>
      <c r="J41">
        <f t="shared" si="52"/>
        <v>0</v>
      </c>
      <c r="K41">
        <f t="shared" si="52"/>
        <v>0</v>
      </c>
      <c r="L41">
        <f t="shared" si="52"/>
        <v>0</v>
      </c>
      <c r="M41">
        <f t="shared" si="52"/>
        <v>0</v>
      </c>
      <c r="N41">
        <f t="shared" si="52"/>
        <v>0</v>
      </c>
      <c r="O41">
        <f t="shared" si="52"/>
        <v>0</v>
      </c>
      <c r="P41">
        <f t="shared" si="52"/>
        <v>0</v>
      </c>
      <c r="Q41">
        <f t="shared" si="52"/>
        <v>0</v>
      </c>
      <c r="R41">
        <f t="shared" si="52"/>
        <v>-100</v>
      </c>
      <c r="S41">
        <f t="shared" si="52"/>
        <v>-100</v>
      </c>
      <c r="T41">
        <f t="shared" si="52"/>
        <v>-100</v>
      </c>
      <c r="U41">
        <f t="shared" si="52"/>
        <v>-100</v>
      </c>
      <c r="V41">
        <f t="shared" si="52"/>
        <v>-100</v>
      </c>
      <c r="W41">
        <f t="shared" si="52"/>
        <v>-100</v>
      </c>
      <c r="X41">
        <f t="shared" si="52"/>
        <v>-100</v>
      </c>
      <c r="Y41">
        <f t="shared" si="52"/>
        <v>-130</v>
      </c>
      <c r="Z41">
        <f t="shared" si="52"/>
        <v>-160</v>
      </c>
      <c r="AA41">
        <f t="shared" si="52"/>
        <v>-190</v>
      </c>
      <c r="AB41">
        <f t="shared" si="52"/>
        <v>-200</v>
      </c>
      <c r="AC41">
        <f t="shared" si="52"/>
        <v>-200</v>
      </c>
      <c r="AD41">
        <f t="shared" si="52"/>
        <v>-200</v>
      </c>
      <c r="AE41">
        <f t="shared" si="52"/>
        <v>-200</v>
      </c>
      <c r="AF41">
        <f t="shared" si="52"/>
        <v>-200</v>
      </c>
      <c r="AG41">
        <f t="shared" si="52"/>
        <v>-200</v>
      </c>
      <c r="AH41">
        <f t="shared" si="52"/>
        <v>-200</v>
      </c>
      <c r="AI41">
        <f t="shared" si="52"/>
        <v>-200</v>
      </c>
      <c r="AJ41">
        <f t="shared" ref="AJ41:BO41" si="53">AJ35-AJ38</f>
        <v>-200</v>
      </c>
      <c r="AK41">
        <f t="shared" si="53"/>
        <v>-200</v>
      </c>
      <c r="AL41">
        <f t="shared" si="53"/>
        <v>-200</v>
      </c>
      <c r="AM41">
        <f t="shared" si="53"/>
        <v>-200</v>
      </c>
      <c r="AN41">
        <f t="shared" si="53"/>
        <v>-208</v>
      </c>
      <c r="AO41">
        <f t="shared" si="53"/>
        <v>-216</v>
      </c>
      <c r="AP41">
        <f t="shared" si="53"/>
        <v>-224</v>
      </c>
      <c r="AQ41">
        <f t="shared" si="53"/>
        <v>-234</v>
      </c>
      <c r="AR41">
        <f t="shared" si="53"/>
        <v>-244</v>
      </c>
      <c r="AS41">
        <f t="shared" si="53"/>
        <v>-252</v>
      </c>
      <c r="AT41">
        <f t="shared" si="53"/>
        <v>-262</v>
      </c>
      <c r="AU41">
        <f t="shared" si="53"/>
        <v>-272</v>
      </c>
      <c r="AV41">
        <f t="shared" si="53"/>
        <v>-282</v>
      </c>
      <c r="AW41">
        <f t="shared" si="53"/>
        <v>-292</v>
      </c>
      <c r="AX41">
        <f t="shared" si="53"/>
        <v>-302</v>
      </c>
      <c r="AY41">
        <f t="shared" si="53"/>
        <v>-310</v>
      </c>
      <c r="AZ41">
        <f t="shared" si="53"/>
        <v>-317</v>
      </c>
      <c r="BA41">
        <f t="shared" si="53"/>
        <v>-324</v>
      </c>
      <c r="BB41">
        <f t="shared" si="53"/>
        <v>-331</v>
      </c>
      <c r="BC41">
        <f t="shared" si="53"/>
        <v>-339</v>
      </c>
      <c r="BD41">
        <f t="shared" si="53"/>
        <v>-347</v>
      </c>
      <c r="BE41">
        <f t="shared" si="53"/>
        <v>-355</v>
      </c>
      <c r="BF41">
        <f t="shared" si="53"/>
        <v>-363</v>
      </c>
      <c r="BG41">
        <f t="shared" si="53"/>
        <v>-371</v>
      </c>
      <c r="BH41">
        <f t="shared" si="53"/>
        <v>-379</v>
      </c>
      <c r="BI41">
        <f t="shared" si="53"/>
        <v>-387</v>
      </c>
      <c r="BJ41">
        <f t="shared" si="53"/>
        <v>-395</v>
      </c>
      <c r="BK41">
        <f t="shared" si="53"/>
        <v>-403</v>
      </c>
      <c r="BL41">
        <f t="shared" si="53"/>
        <v>-411</v>
      </c>
      <c r="BM41">
        <f t="shared" si="53"/>
        <v>-419</v>
      </c>
      <c r="BN41">
        <f t="shared" si="53"/>
        <v>-433</v>
      </c>
      <c r="BO41">
        <f t="shared" si="53"/>
        <v>-433</v>
      </c>
      <c r="BP41">
        <f t="shared" ref="BP41:CC41" si="54">BP35-BP38</f>
        <v>-433</v>
      </c>
      <c r="BQ41">
        <f t="shared" si="54"/>
        <v>-433</v>
      </c>
      <c r="BR41">
        <f t="shared" si="54"/>
        <v>-433</v>
      </c>
      <c r="BS41">
        <f t="shared" si="54"/>
        <v>-439</v>
      </c>
      <c r="BT41">
        <f t="shared" si="54"/>
        <v>-445</v>
      </c>
      <c r="BU41">
        <f t="shared" si="54"/>
        <v>-451</v>
      </c>
      <c r="BV41">
        <f t="shared" si="54"/>
        <v>-457</v>
      </c>
      <c r="BW41">
        <f t="shared" si="54"/>
        <v>-463</v>
      </c>
      <c r="BX41">
        <f t="shared" si="54"/>
        <v>-469</v>
      </c>
      <c r="BY41">
        <f t="shared" si="54"/>
        <v>-475</v>
      </c>
      <c r="BZ41">
        <f t="shared" si="54"/>
        <v>-481</v>
      </c>
      <c r="CA41">
        <f t="shared" si="54"/>
        <v>-487</v>
      </c>
      <c r="CB41">
        <f t="shared" si="54"/>
        <v>-493</v>
      </c>
      <c r="CC41">
        <f t="shared" si="54"/>
        <v>-499</v>
      </c>
    </row>
    <row r="42" spans="1:81" x14ac:dyDescent="0.2">
      <c r="A42" s="43" t="s">
        <v>293</v>
      </c>
      <c r="B42" s="44" t="s">
        <v>208</v>
      </c>
      <c r="C42" s="9" t="s">
        <v>38</v>
      </c>
      <c r="D42" s="58">
        <f>IFERROR(VLOOKUP(A42,OS!$A:$B,2,0),0)</f>
        <v>720</v>
      </c>
      <c r="E42" s="5">
        <f>(D42+D43-D45)</f>
        <v>720</v>
      </c>
      <c r="F42" s="5">
        <f>(E42+E43-E45)</f>
        <v>560</v>
      </c>
      <c r="G42" s="5">
        <f>(F42+F43-F45)</f>
        <v>400</v>
      </c>
      <c r="H42" s="5">
        <f>(G42+G43-G45)</f>
        <v>240</v>
      </c>
      <c r="I42" s="5">
        <f t="shared" ref="I42:AN42" si="55">(H42+H43-H45+D44)</f>
        <v>240</v>
      </c>
      <c r="J42" s="5">
        <f t="shared" si="55"/>
        <v>200</v>
      </c>
      <c r="K42" s="5">
        <f t="shared" si="55"/>
        <v>40</v>
      </c>
      <c r="L42" s="5">
        <f t="shared" si="55"/>
        <v>40</v>
      </c>
      <c r="M42" s="5">
        <f t="shared" si="55"/>
        <v>-120</v>
      </c>
      <c r="N42" s="5">
        <f t="shared" si="55"/>
        <v>-280</v>
      </c>
      <c r="O42" s="5">
        <f t="shared" si="55"/>
        <v>-280</v>
      </c>
      <c r="P42" s="5">
        <f t="shared" si="55"/>
        <v>-280</v>
      </c>
      <c r="Q42" s="5">
        <f t="shared" si="55"/>
        <v>-280</v>
      </c>
      <c r="R42" s="5">
        <f t="shared" si="55"/>
        <v>-280</v>
      </c>
      <c r="S42" s="5">
        <f t="shared" si="55"/>
        <v>-280</v>
      </c>
      <c r="T42" s="5">
        <f t="shared" si="55"/>
        <v>-280</v>
      </c>
      <c r="U42" s="5">
        <f t="shared" si="55"/>
        <v>-440</v>
      </c>
      <c r="V42" s="5">
        <f t="shared" si="55"/>
        <v>-520</v>
      </c>
      <c r="W42" s="5">
        <f t="shared" si="55"/>
        <v>-600</v>
      </c>
      <c r="X42" s="5">
        <f t="shared" si="55"/>
        <v>-680</v>
      </c>
      <c r="Y42" s="5">
        <f t="shared" si="55"/>
        <v>-760</v>
      </c>
      <c r="Z42" s="5">
        <f t="shared" si="55"/>
        <v>-800</v>
      </c>
      <c r="AA42" s="5">
        <f t="shared" si="55"/>
        <v>-840</v>
      </c>
      <c r="AB42" s="5">
        <f t="shared" si="55"/>
        <v>-880</v>
      </c>
      <c r="AC42" s="5">
        <f t="shared" si="55"/>
        <v>-920</v>
      </c>
      <c r="AD42" s="5">
        <f t="shared" si="55"/>
        <v>-990</v>
      </c>
      <c r="AE42" s="5">
        <f t="shared" si="55"/>
        <v>-1060</v>
      </c>
      <c r="AF42" s="5">
        <f t="shared" si="55"/>
        <v>-1130</v>
      </c>
      <c r="AG42" s="5">
        <f t="shared" si="55"/>
        <v>-1200</v>
      </c>
      <c r="AH42" s="5">
        <f t="shared" si="55"/>
        <v>-1240</v>
      </c>
      <c r="AI42" s="5">
        <f t="shared" si="55"/>
        <v>-1320</v>
      </c>
      <c r="AJ42" s="5">
        <f t="shared" si="55"/>
        <v>-1400</v>
      </c>
      <c r="AK42" s="5">
        <f t="shared" si="55"/>
        <v>-1400</v>
      </c>
      <c r="AL42" s="5">
        <f t="shared" si="55"/>
        <v>-1400</v>
      </c>
      <c r="AM42" s="5">
        <f t="shared" si="55"/>
        <v>-1400</v>
      </c>
      <c r="AN42" s="5">
        <f t="shared" si="55"/>
        <v>-1400</v>
      </c>
      <c r="AO42" s="5">
        <f t="shared" ref="AO42:BT42" si="56">(AN42+AN43-AN45+AJ44)</f>
        <v>-1460</v>
      </c>
      <c r="AP42" s="5">
        <f t="shared" si="56"/>
        <v>-1520</v>
      </c>
      <c r="AQ42" s="5">
        <f t="shared" si="56"/>
        <v>-1580</v>
      </c>
      <c r="AR42" s="5">
        <f t="shared" si="56"/>
        <v>-1652</v>
      </c>
      <c r="AS42" s="5">
        <f t="shared" si="56"/>
        <v>-1724</v>
      </c>
      <c r="AT42" s="5">
        <f t="shared" si="56"/>
        <v>-1782</v>
      </c>
      <c r="AU42" s="5">
        <f t="shared" si="56"/>
        <v>-1854</v>
      </c>
      <c r="AV42" s="5">
        <f t="shared" si="56"/>
        <v>-1923</v>
      </c>
      <c r="AW42" s="5">
        <f t="shared" si="56"/>
        <v>-1992</v>
      </c>
      <c r="AX42" s="5">
        <f t="shared" si="56"/>
        <v>-2061</v>
      </c>
      <c r="AY42" s="5">
        <f t="shared" si="56"/>
        <v>-2130</v>
      </c>
      <c r="AZ42" s="5">
        <f t="shared" si="56"/>
        <v>-2185</v>
      </c>
      <c r="BA42" s="5">
        <f t="shared" si="56"/>
        <v>-2234</v>
      </c>
      <c r="BB42" s="5">
        <f t="shared" si="56"/>
        <v>-2283</v>
      </c>
      <c r="BC42" s="5">
        <f t="shared" si="56"/>
        <v>-2332</v>
      </c>
      <c r="BD42" s="5">
        <f t="shared" si="56"/>
        <v>-2387</v>
      </c>
      <c r="BE42" s="5">
        <f t="shared" si="56"/>
        <v>-2442</v>
      </c>
      <c r="BF42" s="5">
        <f t="shared" si="56"/>
        <v>-2497</v>
      </c>
      <c r="BG42" s="5">
        <f t="shared" si="56"/>
        <v>-2552</v>
      </c>
      <c r="BH42" s="5">
        <f t="shared" si="56"/>
        <v>-2607</v>
      </c>
      <c r="BI42" s="5">
        <f t="shared" si="56"/>
        <v>-2662</v>
      </c>
      <c r="BJ42" s="5">
        <f t="shared" si="56"/>
        <v>-2717</v>
      </c>
      <c r="BK42" s="5">
        <f t="shared" si="56"/>
        <v>-2772</v>
      </c>
      <c r="BL42" s="5">
        <f t="shared" si="56"/>
        <v>-2827</v>
      </c>
      <c r="BM42" s="5">
        <f t="shared" si="56"/>
        <v>-2882</v>
      </c>
      <c r="BN42" s="5">
        <f t="shared" si="56"/>
        <v>-2937</v>
      </c>
      <c r="BO42" s="5">
        <f t="shared" si="56"/>
        <v>-3036</v>
      </c>
      <c r="BP42" s="5">
        <f t="shared" si="56"/>
        <v>-3036</v>
      </c>
      <c r="BQ42" s="5">
        <f t="shared" si="56"/>
        <v>-3036</v>
      </c>
      <c r="BR42" s="5">
        <f t="shared" si="56"/>
        <v>-3036</v>
      </c>
      <c r="BS42" s="5">
        <f t="shared" si="56"/>
        <v>-3036</v>
      </c>
      <c r="BT42" s="5">
        <f t="shared" si="56"/>
        <v>-3081</v>
      </c>
      <c r="BU42" s="5">
        <f t="shared" ref="BU42:CC42" si="57">(BT42+BT43-BT45+BP44)</f>
        <v>-3126</v>
      </c>
      <c r="BV42" s="5">
        <f t="shared" si="57"/>
        <v>-3171</v>
      </c>
      <c r="BW42" s="5">
        <f t="shared" si="57"/>
        <v>-3216</v>
      </c>
      <c r="BX42" s="5">
        <f t="shared" si="57"/>
        <v>-3261</v>
      </c>
      <c r="BY42" s="5">
        <f t="shared" si="57"/>
        <v>-3306</v>
      </c>
      <c r="BZ42" s="5">
        <f t="shared" si="57"/>
        <v>-3351</v>
      </c>
      <c r="CA42" s="5">
        <f t="shared" si="57"/>
        <v>-3396</v>
      </c>
      <c r="CB42" s="5">
        <f t="shared" si="57"/>
        <v>-3441</v>
      </c>
      <c r="CC42" s="5">
        <f t="shared" si="57"/>
        <v>-3486</v>
      </c>
    </row>
    <row r="43" spans="1:81" x14ac:dyDescent="0.2">
      <c r="A43" s="5" t="s">
        <v>209</v>
      </c>
      <c r="B43" s="5">
        <v>3.73909</v>
      </c>
      <c r="C43" s="45" t="s">
        <v>39</v>
      </c>
      <c r="D43" s="59">
        <f>IFERROR(VLOOKUP(A42,WIP!$A:$B,2,0),0)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">
      <c r="A44" s="5" t="s">
        <v>210</v>
      </c>
      <c r="B44" s="5">
        <v>0.11799999999999999</v>
      </c>
      <c r="C44" s="9" t="s">
        <v>211</v>
      </c>
      <c r="D44" s="60">
        <f>IFERROR(VLOOKUP($A42,Plan!$A:B,D$4,0),0)</f>
        <v>0</v>
      </c>
      <c r="E44" s="60">
        <f>IFERROR(VLOOKUP($A42,Plan!$A:C,E$4,0),0)</f>
        <v>120</v>
      </c>
      <c r="F44" s="60">
        <f>IFERROR(VLOOKUP($A42,Plan!$A:D,F$4,0),0)</f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">
      <c r="A45" s="5" t="s">
        <v>212</v>
      </c>
      <c r="B45" s="5">
        <v>0.01</v>
      </c>
      <c r="C45" s="9" t="s">
        <v>213</v>
      </c>
      <c r="D45" s="61">
        <f>IFERROR(VLOOKUP($A42,Sales!$A:B,D$2,0),0)</f>
        <v>0</v>
      </c>
      <c r="E45" s="61">
        <f>IFERROR(VLOOKUP($A42,Sales!$A:C,E$2,0),0)</f>
        <v>160</v>
      </c>
      <c r="F45" s="61">
        <f>IFERROR(VLOOKUP($A42,Sales!$A:D,F$2,0),0)</f>
        <v>160</v>
      </c>
      <c r="G45" s="61">
        <f>IFERROR(VLOOKUP($A42,Sales!$A:E,G$2,0),0)</f>
        <v>160</v>
      </c>
      <c r="H45" s="61">
        <f>IFERROR(VLOOKUP($A42,Sales!$A:F,H$2,0),0)</f>
        <v>0</v>
      </c>
      <c r="I45" s="61">
        <f>IFERROR(VLOOKUP($A42,Sales!$A:G,I$2,0),0)</f>
        <v>160</v>
      </c>
      <c r="J45" s="61">
        <f>IFERROR(VLOOKUP($A42,Sales!$A:H,J$2,0),0)</f>
        <v>160</v>
      </c>
      <c r="K45" s="61">
        <f>IFERROR(VLOOKUP($A42,Sales!$A:I,K$2,0),0)</f>
        <v>0</v>
      </c>
      <c r="L45" s="61">
        <f>IFERROR(VLOOKUP($A42,Sales!$A:J,L$2,0),0)</f>
        <v>160</v>
      </c>
      <c r="M45" s="61">
        <f>IFERROR(VLOOKUP($A42,Sales!$A:K,M$2,0),0)</f>
        <v>160</v>
      </c>
      <c r="N45" s="61">
        <f>IFERROR(VLOOKUP($A42,Sales!$A:L,N$2,0),0)</f>
        <v>0</v>
      </c>
      <c r="O45" s="61">
        <f>IFERROR(VLOOKUP($A42,Sales!$A:M,O$2,0),0)</f>
        <v>0</v>
      </c>
      <c r="P45" s="61">
        <f>IFERROR(VLOOKUP($A42,Sales!$A:N,P$2,0),0)</f>
        <v>0</v>
      </c>
      <c r="Q45" s="61">
        <f>IFERROR(VLOOKUP($A42,Sales!$A:O,Q$2,0),0)</f>
        <v>0</v>
      </c>
      <c r="R45" s="61">
        <f>IFERROR(VLOOKUP($A42,Sales!$A:P,R$2,0),0)</f>
        <v>0</v>
      </c>
      <c r="S45" s="61">
        <f>IFERROR(VLOOKUP($A42,Sales!$A:Q,S$2,0),0)</f>
        <v>0</v>
      </c>
      <c r="T45" s="61">
        <f>IFERROR(VLOOKUP($A42,Sales!$A:R,T$2,0),0)</f>
        <v>160</v>
      </c>
      <c r="U45" s="61">
        <f>IFERROR(VLOOKUP($A42,Sales!$A:S,U$2,0),0)</f>
        <v>80</v>
      </c>
      <c r="V45" s="61">
        <f>IFERROR(VLOOKUP($A42,Sales!$A:T,V$2,0),0)</f>
        <v>80</v>
      </c>
      <c r="W45" s="61">
        <f>IFERROR(VLOOKUP($A42,Sales!$A:U,W$2,0),0)</f>
        <v>80</v>
      </c>
      <c r="X45" s="61">
        <f>IFERROR(VLOOKUP($A42,Sales!$A:V,X$2,0),0)</f>
        <v>80</v>
      </c>
      <c r="Y45" s="61">
        <f>IFERROR(VLOOKUP($A42,Sales!$A:W,Y$2,0),0)</f>
        <v>40</v>
      </c>
      <c r="Z45" s="61">
        <f>IFERROR(VLOOKUP($A42,Sales!$A:X,Z$2,0),0)</f>
        <v>40</v>
      </c>
      <c r="AA45" s="61">
        <f>IFERROR(VLOOKUP($A42,Sales!$A:Y,AA$2,0),0)</f>
        <v>40</v>
      </c>
      <c r="AB45" s="61">
        <f>IFERROR(VLOOKUP($A42,Sales!$A:Z,AB$2,0),0)</f>
        <v>40</v>
      </c>
      <c r="AC45" s="61">
        <f>IFERROR(VLOOKUP($A42,Sales!$A:AA,AC$2,0),0)</f>
        <v>70</v>
      </c>
      <c r="AD45" s="61">
        <f>IFERROR(VLOOKUP($A42,Sales!$A:AB,AD$2,0),0)</f>
        <v>70</v>
      </c>
      <c r="AE45" s="61">
        <f>IFERROR(VLOOKUP($A42,Sales!$A:AC,AE$2,0),0)</f>
        <v>70</v>
      </c>
      <c r="AF45" s="61">
        <f>IFERROR(VLOOKUP($A42,Sales!$A:AD,AF$2,0),0)</f>
        <v>70</v>
      </c>
      <c r="AG45" s="61">
        <f>IFERROR(VLOOKUP($A42,Sales!$A:AE,AG$2,0),0)</f>
        <v>40</v>
      </c>
      <c r="AH45" s="61">
        <f>IFERROR(VLOOKUP($A42,Sales!$A:AF,AH$2,0),0)</f>
        <v>80</v>
      </c>
      <c r="AI45" s="61">
        <f>IFERROR(VLOOKUP($A42,Sales!$A:AG,AI$2,0),0)</f>
        <v>80</v>
      </c>
      <c r="AJ45" s="61">
        <f>IFERROR(VLOOKUP($A42,Sales!$A:AH,AJ$2,0),0)</f>
        <v>0</v>
      </c>
      <c r="AK45" s="74">
        <f t="shared" ref="AK45:CC45" si="58">CEILING(AK$5*$B41,1)</f>
        <v>0</v>
      </c>
      <c r="AL45" s="74">
        <f t="shared" si="58"/>
        <v>0</v>
      </c>
      <c r="AM45" s="74">
        <f t="shared" si="58"/>
        <v>0</v>
      </c>
      <c r="AN45" s="74">
        <f t="shared" si="58"/>
        <v>60</v>
      </c>
      <c r="AO45" s="74">
        <f t="shared" si="58"/>
        <v>60</v>
      </c>
      <c r="AP45" s="74">
        <f t="shared" si="58"/>
        <v>60</v>
      </c>
      <c r="AQ45" s="74">
        <f t="shared" si="58"/>
        <v>72</v>
      </c>
      <c r="AR45" s="74">
        <f t="shared" si="58"/>
        <v>72</v>
      </c>
      <c r="AS45" s="74">
        <f t="shared" si="58"/>
        <v>58</v>
      </c>
      <c r="AT45" s="74">
        <f t="shared" si="58"/>
        <v>72</v>
      </c>
      <c r="AU45" s="74">
        <f t="shared" si="58"/>
        <v>69</v>
      </c>
      <c r="AV45" s="74">
        <f t="shared" si="58"/>
        <v>69</v>
      </c>
      <c r="AW45" s="74">
        <f t="shared" si="58"/>
        <v>69</v>
      </c>
      <c r="AX45" s="74">
        <f t="shared" si="58"/>
        <v>69</v>
      </c>
      <c r="AY45" s="74">
        <f t="shared" si="58"/>
        <v>55</v>
      </c>
      <c r="AZ45" s="74">
        <f t="shared" si="58"/>
        <v>49</v>
      </c>
      <c r="BA45" s="74">
        <f t="shared" si="58"/>
        <v>49</v>
      </c>
      <c r="BB45" s="74">
        <f t="shared" si="58"/>
        <v>49</v>
      </c>
      <c r="BC45" s="74">
        <f t="shared" si="58"/>
        <v>55</v>
      </c>
      <c r="BD45" s="74">
        <f t="shared" si="58"/>
        <v>55</v>
      </c>
      <c r="BE45" s="74">
        <f t="shared" si="58"/>
        <v>55</v>
      </c>
      <c r="BF45" s="74">
        <f t="shared" si="58"/>
        <v>55</v>
      </c>
      <c r="BG45" s="74">
        <f t="shared" si="58"/>
        <v>55</v>
      </c>
      <c r="BH45" s="74">
        <f t="shared" si="58"/>
        <v>55</v>
      </c>
      <c r="BI45" s="74">
        <f t="shared" si="58"/>
        <v>55</v>
      </c>
      <c r="BJ45" s="74">
        <f t="shared" si="58"/>
        <v>55</v>
      </c>
      <c r="BK45" s="74">
        <f t="shared" si="58"/>
        <v>55</v>
      </c>
      <c r="BL45" s="74">
        <f t="shared" si="58"/>
        <v>55</v>
      </c>
      <c r="BM45" s="74">
        <f t="shared" si="58"/>
        <v>55</v>
      </c>
      <c r="BN45" s="74">
        <f t="shared" si="58"/>
        <v>99</v>
      </c>
      <c r="BO45" s="74">
        <f t="shared" si="58"/>
        <v>0</v>
      </c>
      <c r="BP45" s="74">
        <f t="shared" si="58"/>
        <v>0</v>
      </c>
      <c r="BQ45" s="74">
        <f t="shared" si="58"/>
        <v>0</v>
      </c>
      <c r="BR45" s="74">
        <f t="shared" si="58"/>
        <v>0</v>
      </c>
      <c r="BS45" s="74">
        <f t="shared" si="58"/>
        <v>45</v>
      </c>
      <c r="BT45" s="74">
        <f t="shared" si="58"/>
        <v>45</v>
      </c>
      <c r="BU45" s="74">
        <f t="shared" si="58"/>
        <v>45</v>
      </c>
      <c r="BV45" s="74">
        <f t="shared" si="58"/>
        <v>45</v>
      </c>
      <c r="BW45" s="74">
        <f t="shared" si="58"/>
        <v>45</v>
      </c>
      <c r="BX45" s="74">
        <f t="shared" si="58"/>
        <v>45</v>
      </c>
      <c r="BY45" s="74">
        <f t="shared" si="58"/>
        <v>45</v>
      </c>
      <c r="BZ45" s="74">
        <f t="shared" si="58"/>
        <v>45</v>
      </c>
      <c r="CA45" s="74">
        <f t="shared" si="58"/>
        <v>45</v>
      </c>
      <c r="CB45" s="74">
        <f t="shared" si="58"/>
        <v>45</v>
      </c>
      <c r="CC45" s="74">
        <f t="shared" si="58"/>
        <v>45</v>
      </c>
    </row>
    <row r="46" spans="1:81" x14ac:dyDescent="0.2">
      <c r="A46" s="5" t="s">
        <v>214</v>
      </c>
      <c r="B46" s="5">
        <v>0.128</v>
      </c>
      <c r="C46" s="46" t="s">
        <v>215</v>
      </c>
      <c r="D46" s="11">
        <f t="shared" ref="D46:AI46" si="59">IF(D45=0,0, ROUND(D42 * 1/D45* D$13,1))</f>
        <v>0</v>
      </c>
      <c r="E46" s="11">
        <f t="shared" si="59"/>
        <v>22.5</v>
      </c>
      <c r="F46" s="11">
        <f t="shared" si="59"/>
        <v>17.5</v>
      </c>
      <c r="G46" s="11">
        <f t="shared" si="59"/>
        <v>12.5</v>
      </c>
      <c r="H46" s="11">
        <f t="shared" si="59"/>
        <v>0</v>
      </c>
      <c r="I46" s="11">
        <f t="shared" si="59"/>
        <v>7.5</v>
      </c>
      <c r="J46" s="11">
        <f t="shared" si="59"/>
        <v>6.3</v>
      </c>
      <c r="K46" s="11">
        <f t="shared" si="59"/>
        <v>0</v>
      </c>
      <c r="L46" s="11">
        <f t="shared" si="59"/>
        <v>1.3</v>
      </c>
      <c r="M46" s="11">
        <f t="shared" si="59"/>
        <v>-3.8</v>
      </c>
      <c r="N46" s="11">
        <f t="shared" si="59"/>
        <v>0</v>
      </c>
      <c r="O46" s="11">
        <f t="shared" si="59"/>
        <v>0</v>
      </c>
      <c r="P46" s="11">
        <f t="shared" si="59"/>
        <v>0</v>
      </c>
      <c r="Q46" s="11">
        <f t="shared" si="59"/>
        <v>0</v>
      </c>
      <c r="R46" s="11">
        <f t="shared" si="59"/>
        <v>0</v>
      </c>
      <c r="S46" s="11">
        <f t="shared" si="59"/>
        <v>0</v>
      </c>
      <c r="T46" s="11">
        <f t="shared" si="59"/>
        <v>-8.8000000000000007</v>
      </c>
      <c r="U46" s="11">
        <f t="shared" si="59"/>
        <v>-27.5</v>
      </c>
      <c r="V46" s="11">
        <f t="shared" si="59"/>
        <v>-32.5</v>
      </c>
      <c r="W46" s="11">
        <f t="shared" si="59"/>
        <v>-37.5</v>
      </c>
      <c r="X46" s="11">
        <f t="shared" si="59"/>
        <v>-42.5</v>
      </c>
      <c r="Y46" s="11">
        <f t="shared" si="59"/>
        <v>-95</v>
      </c>
      <c r="Z46" s="11">
        <f t="shared" si="59"/>
        <v>-100</v>
      </c>
      <c r="AA46" s="11">
        <f t="shared" si="59"/>
        <v>-105</v>
      </c>
      <c r="AB46" s="11">
        <f t="shared" si="59"/>
        <v>-110</v>
      </c>
      <c r="AC46" s="11">
        <f t="shared" si="59"/>
        <v>-65.7</v>
      </c>
      <c r="AD46" s="11">
        <f t="shared" si="59"/>
        <v>-70.7</v>
      </c>
      <c r="AE46" s="11">
        <f t="shared" si="59"/>
        <v>-75.7</v>
      </c>
      <c r="AF46" s="11">
        <f t="shared" si="59"/>
        <v>-80.7</v>
      </c>
      <c r="AG46" s="11">
        <f t="shared" si="59"/>
        <v>-150</v>
      </c>
      <c r="AH46" s="11">
        <f t="shared" si="59"/>
        <v>-77.5</v>
      </c>
      <c r="AI46" s="11">
        <f t="shared" si="59"/>
        <v>-82.5</v>
      </c>
      <c r="AJ46" s="11">
        <f t="shared" ref="AJ46:BO46" si="60">IF(AJ45=0,0, ROUND(AJ42 * 1/AJ45* AJ$13,1))</f>
        <v>0</v>
      </c>
      <c r="AK46" s="11">
        <f t="shared" si="60"/>
        <v>0</v>
      </c>
      <c r="AL46" s="11">
        <f t="shared" si="60"/>
        <v>0</v>
      </c>
      <c r="AM46" s="11">
        <f t="shared" si="60"/>
        <v>0</v>
      </c>
      <c r="AN46" s="11">
        <f t="shared" si="60"/>
        <v>-116.7</v>
      </c>
      <c r="AO46" s="11">
        <f t="shared" si="60"/>
        <v>-121.7</v>
      </c>
      <c r="AP46" s="11">
        <f t="shared" si="60"/>
        <v>-126.7</v>
      </c>
      <c r="AQ46" s="11">
        <f t="shared" si="60"/>
        <v>-109.7</v>
      </c>
      <c r="AR46" s="11">
        <f t="shared" si="60"/>
        <v>-114.7</v>
      </c>
      <c r="AS46" s="11">
        <f t="shared" si="60"/>
        <v>-148.6</v>
      </c>
      <c r="AT46" s="11">
        <f t="shared" si="60"/>
        <v>-123.8</v>
      </c>
      <c r="AU46" s="11">
        <f t="shared" si="60"/>
        <v>-134.30000000000001</v>
      </c>
      <c r="AV46" s="11">
        <f t="shared" si="60"/>
        <v>-139.30000000000001</v>
      </c>
      <c r="AW46" s="11">
        <f t="shared" si="60"/>
        <v>-144.30000000000001</v>
      </c>
      <c r="AX46" s="11">
        <f t="shared" si="60"/>
        <v>-149.30000000000001</v>
      </c>
      <c r="AY46" s="11">
        <f t="shared" si="60"/>
        <v>-193.6</v>
      </c>
      <c r="AZ46" s="11">
        <f t="shared" si="60"/>
        <v>-223</v>
      </c>
      <c r="BA46" s="11">
        <f t="shared" si="60"/>
        <v>-228</v>
      </c>
      <c r="BB46" s="11">
        <f t="shared" si="60"/>
        <v>-233</v>
      </c>
      <c r="BC46" s="11">
        <f t="shared" si="60"/>
        <v>-212</v>
      </c>
      <c r="BD46" s="11">
        <f t="shared" si="60"/>
        <v>-217</v>
      </c>
      <c r="BE46" s="11">
        <f t="shared" si="60"/>
        <v>-222</v>
      </c>
      <c r="BF46" s="11">
        <f t="shared" si="60"/>
        <v>-227</v>
      </c>
      <c r="BG46" s="11">
        <f t="shared" si="60"/>
        <v>-232</v>
      </c>
      <c r="BH46" s="11">
        <f t="shared" si="60"/>
        <v>-237</v>
      </c>
      <c r="BI46" s="11">
        <f t="shared" si="60"/>
        <v>-242</v>
      </c>
      <c r="BJ46" s="11">
        <f t="shared" si="60"/>
        <v>-247</v>
      </c>
      <c r="BK46" s="11">
        <f t="shared" si="60"/>
        <v>-252</v>
      </c>
      <c r="BL46" s="11">
        <f t="shared" si="60"/>
        <v>-257</v>
      </c>
      <c r="BM46" s="11">
        <f t="shared" si="60"/>
        <v>-262</v>
      </c>
      <c r="BN46" s="11">
        <f t="shared" si="60"/>
        <v>-148.30000000000001</v>
      </c>
      <c r="BO46" s="11">
        <f t="shared" si="60"/>
        <v>0</v>
      </c>
      <c r="BP46" s="11">
        <f t="shared" ref="BP46:CC46" si="61">IF(BP45=0,0, ROUND(BP42 * 1/BP45* BP$13,1))</f>
        <v>0</v>
      </c>
      <c r="BQ46" s="11">
        <f t="shared" si="61"/>
        <v>0</v>
      </c>
      <c r="BR46" s="11">
        <f t="shared" si="61"/>
        <v>0</v>
      </c>
      <c r="BS46" s="11">
        <f t="shared" si="61"/>
        <v>-337.3</v>
      </c>
      <c r="BT46" s="11">
        <f t="shared" si="61"/>
        <v>-342.3</v>
      </c>
      <c r="BU46" s="11">
        <f t="shared" si="61"/>
        <v>-347.3</v>
      </c>
      <c r="BV46" s="11">
        <f t="shared" si="61"/>
        <v>-352.3</v>
      </c>
      <c r="BW46" s="11">
        <f t="shared" si="61"/>
        <v>-357.3</v>
      </c>
      <c r="BX46" s="11">
        <f t="shared" si="61"/>
        <v>-362.3</v>
      </c>
      <c r="BY46" s="11">
        <f t="shared" si="61"/>
        <v>-367.3</v>
      </c>
      <c r="BZ46" s="11">
        <f t="shared" si="61"/>
        <v>-372.3</v>
      </c>
      <c r="CA46" s="11">
        <f t="shared" si="61"/>
        <v>-377.3</v>
      </c>
      <c r="CB46" s="11">
        <f t="shared" si="61"/>
        <v>-382.3</v>
      </c>
      <c r="CC46" s="11">
        <f t="shared" si="61"/>
        <v>-387.3</v>
      </c>
    </row>
    <row r="47" spans="1:81" x14ac:dyDescent="0.2">
      <c r="A47">
        <v>4</v>
      </c>
      <c r="B47">
        <v>1</v>
      </c>
      <c r="C47" s="8">
        <v>2.8521299999999998</v>
      </c>
      <c r="D47">
        <f t="shared" ref="D47:AI47" si="62">D44/$B47</f>
        <v>0</v>
      </c>
      <c r="E47">
        <f t="shared" si="62"/>
        <v>120</v>
      </c>
      <c r="F47">
        <f t="shared" si="62"/>
        <v>0</v>
      </c>
      <c r="G47">
        <f t="shared" si="62"/>
        <v>0</v>
      </c>
      <c r="H47">
        <f t="shared" si="62"/>
        <v>0</v>
      </c>
      <c r="I47">
        <f t="shared" si="62"/>
        <v>0</v>
      </c>
      <c r="J47">
        <f t="shared" si="62"/>
        <v>0</v>
      </c>
      <c r="K47">
        <f t="shared" si="62"/>
        <v>0</v>
      </c>
      <c r="L47">
        <f t="shared" si="62"/>
        <v>0</v>
      </c>
      <c r="M47">
        <f t="shared" si="62"/>
        <v>0</v>
      </c>
      <c r="N47">
        <f t="shared" si="62"/>
        <v>0</v>
      </c>
      <c r="O47">
        <f t="shared" si="62"/>
        <v>0</v>
      </c>
      <c r="P47">
        <f t="shared" si="62"/>
        <v>0</v>
      </c>
      <c r="Q47">
        <f t="shared" si="62"/>
        <v>0</v>
      </c>
      <c r="R47">
        <f t="shared" si="62"/>
        <v>0</v>
      </c>
      <c r="S47">
        <f t="shared" si="62"/>
        <v>0</v>
      </c>
      <c r="T47">
        <f t="shared" si="62"/>
        <v>0</v>
      </c>
      <c r="U47">
        <f t="shared" si="62"/>
        <v>0</v>
      </c>
      <c r="V47">
        <f t="shared" si="62"/>
        <v>0</v>
      </c>
      <c r="W47">
        <f t="shared" si="62"/>
        <v>0</v>
      </c>
      <c r="X47">
        <f t="shared" si="62"/>
        <v>0</v>
      </c>
      <c r="Y47">
        <f t="shared" si="62"/>
        <v>0</v>
      </c>
      <c r="Z47">
        <f t="shared" si="62"/>
        <v>0</v>
      </c>
      <c r="AA47">
        <f t="shared" si="62"/>
        <v>0</v>
      </c>
      <c r="AB47">
        <f t="shared" si="62"/>
        <v>0</v>
      </c>
      <c r="AC47">
        <f t="shared" si="62"/>
        <v>0</v>
      </c>
      <c r="AD47">
        <f t="shared" si="62"/>
        <v>0</v>
      </c>
      <c r="AE47">
        <f t="shared" si="62"/>
        <v>0</v>
      </c>
      <c r="AF47">
        <f t="shared" si="62"/>
        <v>0</v>
      </c>
      <c r="AG47">
        <f t="shared" si="62"/>
        <v>0</v>
      </c>
      <c r="AH47">
        <f t="shared" si="62"/>
        <v>0</v>
      </c>
      <c r="AI47">
        <f t="shared" si="62"/>
        <v>0</v>
      </c>
      <c r="AJ47">
        <f t="shared" ref="AJ47:BO47" si="63">AJ44/$B47</f>
        <v>0</v>
      </c>
      <c r="AK47">
        <f t="shared" si="63"/>
        <v>0</v>
      </c>
      <c r="AL47">
        <f t="shared" si="63"/>
        <v>0</v>
      </c>
      <c r="AM47">
        <f t="shared" si="63"/>
        <v>0</v>
      </c>
      <c r="AN47">
        <f t="shared" si="63"/>
        <v>0</v>
      </c>
      <c r="AO47">
        <f t="shared" si="63"/>
        <v>0</v>
      </c>
      <c r="AP47">
        <f t="shared" si="63"/>
        <v>0</v>
      </c>
      <c r="AQ47">
        <f t="shared" si="63"/>
        <v>0</v>
      </c>
      <c r="AR47">
        <f t="shared" si="63"/>
        <v>0</v>
      </c>
      <c r="AS47">
        <f t="shared" si="63"/>
        <v>0</v>
      </c>
      <c r="AT47">
        <f t="shared" si="63"/>
        <v>0</v>
      </c>
      <c r="AU47">
        <f t="shared" si="63"/>
        <v>0</v>
      </c>
      <c r="AV47">
        <f t="shared" si="63"/>
        <v>0</v>
      </c>
      <c r="AW47">
        <f t="shared" si="63"/>
        <v>0</v>
      </c>
      <c r="AX47">
        <f t="shared" si="63"/>
        <v>0</v>
      </c>
      <c r="AY47">
        <f t="shared" si="63"/>
        <v>0</v>
      </c>
      <c r="AZ47">
        <f t="shared" si="63"/>
        <v>0</v>
      </c>
      <c r="BA47">
        <f t="shared" si="63"/>
        <v>0</v>
      </c>
      <c r="BB47">
        <f t="shared" si="63"/>
        <v>0</v>
      </c>
      <c r="BC47">
        <f t="shared" si="63"/>
        <v>0</v>
      </c>
      <c r="BD47">
        <f t="shared" si="63"/>
        <v>0</v>
      </c>
      <c r="BE47">
        <f t="shared" si="63"/>
        <v>0</v>
      </c>
      <c r="BF47">
        <f t="shared" si="63"/>
        <v>0</v>
      </c>
      <c r="BG47">
        <f t="shared" si="63"/>
        <v>0</v>
      </c>
      <c r="BH47">
        <f t="shared" si="63"/>
        <v>0</v>
      </c>
      <c r="BI47">
        <f t="shared" si="63"/>
        <v>0</v>
      </c>
      <c r="BJ47">
        <f t="shared" si="63"/>
        <v>0</v>
      </c>
      <c r="BK47">
        <f t="shared" si="63"/>
        <v>0</v>
      </c>
      <c r="BL47">
        <f t="shared" si="63"/>
        <v>0</v>
      </c>
      <c r="BM47">
        <f t="shared" si="63"/>
        <v>0</v>
      </c>
      <c r="BN47">
        <f t="shared" si="63"/>
        <v>0</v>
      </c>
      <c r="BO47">
        <f t="shared" si="63"/>
        <v>0</v>
      </c>
      <c r="BP47">
        <f t="shared" ref="BP47:CC47" si="64">BP44/$B47</f>
        <v>0</v>
      </c>
      <c r="BQ47">
        <f t="shared" si="64"/>
        <v>0</v>
      </c>
      <c r="BR47">
        <f t="shared" si="64"/>
        <v>0</v>
      </c>
      <c r="BS47">
        <f t="shared" si="64"/>
        <v>0</v>
      </c>
      <c r="BT47">
        <f t="shared" si="64"/>
        <v>0</v>
      </c>
      <c r="BU47">
        <f t="shared" si="64"/>
        <v>0</v>
      </c>
      <c r="BV47">
        <f t="shared" si="64"/>
        <v>0</v>
      </c>
      <c r="BW47">
        <f t="shared" si="64"/>
        <v>0</v>
      </c>
      <c r="BX47">
        <f t="shared" si="64"/>
        <v>0</v>
      </c>
      <c r="BY47">
        <f t="shared" si="64"/>
        <v>0</v>
      </c>
      <c r="BZ47">
        <f t="shared" si="64"/>
        <v>0</v>
      </c>
      <c r="CA47">
        <f t="shared" si="64"/>
        <v>0</v>
      </c>
      <c r="CB47">
        <f t="shared" si="64"/>
        <v>0</v>
      </c>
      <c r="CC47">
        <f t="shared" si="64"/>
        <v>0</v>
      </c>
    </row>
    <row r="48" spans="1:81" x14ac:dyDescent="0.2">
      <c r="B48" s="67">
        <f>SUM(D52:AJ52)/SUM($D$263:$AJ$263)</f>
        <v>0</v>
      </c>
      <c r="C48" s="9" t="s">
        <v>216</v>
      </c>
      <c r="D48">
        <f t="shared" ref="D48:AI48" si="65">D42-D45</f>
        <v>720</v>
      </c>
      <c r="E48">
        <f t="shared" si="65"/>
        <v>560</v>
      </c>
      <c r="F48">
        <f t="shared" si="65"/>
        <v>400</v>
      </c>
      <c r="G48">
        <f t="shared" si="65"/>
        <v>240</v>
      </c>
      <c r="H48">
        <f t="shared" si="65"/>
        <v>240</v>
      </c>
      <c r="I48">
        <f t="shared" si="65"/>
        <v>80</v>
      </c>
      <c r="J48">
        <f t="shared" si="65"/>
        <v>40</v>
      </c>
      <c r="K48">
        <f t="shared" si="65"/>
        <v>40</v>
      </c>
      <c r="L48">
        <f t="shared" si="65"/>
        <v>-120</v>
      </c>
      <c r="M48">
        <f t="shared" si="65"/>
        <v>-280</v>
      </c>
      <c r="N48">
        <f t="shared" si="65"/>
        <v>-280</v>
      </c>
      <c r="O48">
        <f t="shared" si="65"/>
        <v>-280</v>
      </c>
      <c r="P48">
        <f t="shared" si="65"/>
        <v>-280</v>
      </c>
      <c r="Q48">
        <f t="shared" si="65"/>
        <v>-280</v>
      </c>
      <c r="R48">
        <f t="shared" si="65"/>
        <v>-280</v>
      </c>
      <c r="S48">
        <f t="shared" si="65"/>
        <v>-280</v>
      </c>
      <c r="T48">
        <f t="shared" si="65"/>
        <v>-440</v>
      </c>
      <c r="U48">
        <f t="shared" si="65"/>
        <v>-520</v>
      </c>
      <c r="V48">
        <f t="shared" si="65"/>
        <v>-600</v>
      </c>
      <c r="W48">
        <f t="shared" si="65"/>
        <v>-680</v>
      </c>
      <c r="X48">
        <f t="shared" si="65"/>
        <v>-760</v>
      </c>
      <c r="Y48">
        <f t="shared" si="65"/>
        <v>-800</v>
      </c>
      <c r="Z48">
        <f t="shared" si="65"/>
        <v>-840</v>
      </c>
      <c r="AA48">
        <f t="shared" si="65"/>
        <v>-880</v>
      </c>
      <c r="AB48">
        <f t="shared" si="65"/>
        <v>-920</v>
      </c>
      <c r="AC48">
        <f t="shared" si="65"/>
        <v>-990</v>
      </c>
      <c r="AD48">
        <f t="shared" si="65"/>
        <v>-1060</v>
      </c>
      <c r="AE48">
        <f t="shared" si="65"/>
        <v>-1130</v>
      </c>
      <c r="AF48">
        <f t="shared" si="65"/>
        <v>-1200</v>
      </c>
      <c r="AG48">
        <f t="shared" si="65"/>
        <v>-1240</v>
      </c>
      <c r="AH48">
        <f t="shared" si="65"/>
        <v>-1320</v>
      </c>
      <c r="AI48">
        <f t="shared" si="65"/>
        <v>-1400</v>
      </c>
      <c r="AJ48">
        <f t="shared" ref="AJ48:BO48" si="66">AJ42-AJ45</f>
        <v>-1400</v>
      </c>
      <c r="AK48">
        <f t="shared" si="66"/>
        <v>-1400</v>
      </c>
      <c r="AL48">
        <f t="shared" si="66"/>
        <v>-1400</v>
      </c>
      <c r="AM48">
        <f t="shared" si="66"/>
        <v>-1400</v>
      </c>
      <c r="AN48">
        <f t="shared" si="66"/>
        <v>-1460</v>
      </c>
      <c r="AO48">
        <f t="shared" si="66"/>
        <v>-1520</v>
      </c>
      <c r="AP48">
        <f t="shared" si="66"/>
        <v>-1580</v>
      </c>
      <c r="AQ48">
        <f t="shared" si="66"/>
        <v>-1652</v>
      </c>
      <c r="AR48">
        <f t="shared" si="66"/>
        <v>-1724</v>
      </c>
      <c r="AS48">
        <f t="shared" si="66"/>
        <v>-1782</v>
      </c>
      <c r="AT48">
        <f t="shared" si="66"/>
        <v>-1854</v>
      </c>
      <c r="AU48">
        <f t="shared" si="66"/>
        <v>-1923</v>
      </c>
      <c r="AV48">
        <f t="shared" si="66"/>
        <v>-1992</v>
      </c>
      <c r="AW48">
        <f t="shared" si="66"/>
        <v>-2061</v>
      </c>
      <c r="AX48">
        <f t="shared" si="66"/>
        <v>-2130</v>
      </c>
      <c r="AY48">
        <f t="shared" si="66"/>
        <v>-2185</v>
      </c>
      <c r="AZ48">
        <f t="shared" si="66"/>
        <v>-2234</v>
      </c>
      <c r="BA48">
        <f t="shared" si="66"/>
        <v>-2283</v>
      </c>
      <c r="BB48">
        <f t="shared" si="66"/>
        <v>-2332</v>
      </c>
      <c r="BC48">
        <f t="shared" si="66"/>
        <v>-2387</v>
      </c>
      <c r="BD48">
        <f t="shared" si="66"/>
        <v>-2442</v>
      </c>
      <c r="BE48">
        <f t="shared" si="66"/>
        <v>-2497</v>
      </c>
      <c r="BF48">
        <f t="shared" si="66"/>
        <v>-2552</v>
      </c>
      <c r="BG48">
        <f t="shared" si="66"/>
        <v>-2607</v>
      </c>
      <c r="BH48">
        <f t="shared" si="66"/>
        <v>-2662</v>
      </c>
      <c r="BI48">
        <f t="shared" si="66"/>
        <v>-2717</v>
      </c>
      <c r="BJ48">
        <f t="shared" si="66"/>
        <v>-2772</v>
      </c>
      <c r="BK48">
        <f t="shared" si="66"/>
        <v>-2827</v>
      </c>
      <c r="BL48">
        <f t="shared" si="66"/>
        <v>-2882</v>
      </c>
      <c r="BM48">
        <f t="shared" si="66"/>
        <v>-2937</v>
      </c>
      <c r="BN48">
        <f t="shared" si="66"/>
        <v>-3036</v>
      </c>
      <c r="BO48">
        <f t="shared" si="66"/>
        <v>-3036</v>
      </c>
      <c r="BP48">
        <f t="shared" ref="BP48:CC48" si="67">BP42-BP45</f>
        <v>-3036</v>
      </c>
      <c r="BQ48">
        <f t="shared" si="67"/>
        <v>-3036</v>
      </c>
      <c r="BR48">
        <f t="shared" si="67"/>
        <v>-3036</v>
      </c>
      <c r="BS48">
        <f t="shared" si="67"/>
        <v>-3081</v>
      </c>
      <c r="BT48">
        <f t="shared" si="67"/>
        <v>-3126</v>
      </c>
      <c r="BU48">
        <f t="shared" si="67"/>
        <v>-3171</v>
      </c>
      <c r="BV48">
        <f t="shared" si="67"/>
        <v>-3216</v>
      </c>
      <c r="BW48">
        <f t="shared" si="67"/>
        <v>-3261</v>
      </c>
      <c r="BX48">
        <f t="shared" si="67"/>
        <v>-3306</v>
      </c>
      <c r="BY48">
        <f t="shared" si="67"/>
        <v>-3351</v>
      </c>
      <c r="BZ48">
        <f t="shared" si="67"/>
        <v>-3396</v>
      </c>
      <c r="CA48">
        <f t="shared" si="67"/>
        <v>-3441</v>
      </c>
      <c r="CB48">
        <f t="shared" si="67"/>
        <v>-3486</v>
      </c>
      <c r="CC48">
        <f t="shared" si="67"/>
        <v>-3531</v>
      </c>
    </row>
    <row r="49" spans="1:81" x14ac:dyDescent="0.2">
      <c r="A49" s="43" t="s">
        <v>294</v>
      </c>
      <c r="B49" s="44" t="s">
        <v>208</v>
      </c>
      <c r="C49" s="9" t="s">
        <v>38</v>
      </c>
      <c r="D49" s="58">
        <f>IFERROR(VLOOKUP(A49,OS!$A:$B,2,0),0)</f>
        <v>100</v>
      </c>
      <c r="E49" s="5">
        <f>(D49+D50-D52)</f>
        <v>100</v>
      </c>
      <c r="F49" s="5">
        <f>(E49+E50-E52)</f>
        <v>100</v>
      </c>
      <c r="G49" s="5">
        <f>(F49+F50-F52)</f>
        <v>100</v>
      </c>
      <c r="H49" s="5">
        <f>(G49+G50-G52)</f>
        <v>100</v>
      </c>
      <c r="I49" s="5">
        <f t="shared" ref="I49:AN49" si="68">(H49+H50-H52+D51)</f>
        <v>100</v>
      </c>
      <c r="J49" s="5">
        <f t="shared" si="68"/>
        <v>100</v>
      </c>
      <c r="K49" s="5">
        <f t="shared" si="68"/>
        <v>100</v>
      </c>
      <c r="L49" s="5">
        <f t="shared" si="68"/>
        <v>100</v>
      </c>
      <c r="M49" s="5">
        <f t="shared" si="68"/>
        <v>100</v>
      </c>
      <c r="N49" s="5">
        <f t="shared" si="68"/>
        <v>100</v>
      </c>
      <c r="O49" s="5">
        <f t="shared" si="68"/>
        <v>100</v>
      </c>
      <c r="P49" s="5">
        <f t="shared" si="68"/>
        <v>100</v>
      </c>
      <c r="Q49" s="5">
        <f t="shared" si="68"/>
        <v>100</v>
      </c>
      <c r="R49" s="5">
        <f t="shared" si="68"/>
        <v>100</v>
      </c>
      <c r="S49" s="5">
        <f t="shared" si="68"/>
        <v>100</v>
      </c>
      <c r="T49" s="5">
        <f t="shared" si="68"/>
        <v>100</v>
      </c>
      <c r="U49" s="5">
        <f t="shared" si="68"/>
        <v>100</v>
      </c>
      <c r="V49" s="5">
        <f t="shared" si="68"/>
        <v>100</v>
      </c>
      <c r="W49" s="5">
        <f t="shared" si="68"/>
        <v>100</v>
      </c>
      <c r="X49" s="5">
        <f t="shared" si="68"/>
        <v>100</v>
      </c>
      <c r="Y49" s="5">
        <f t="shared" si="68"/>
        <v>100</v>
      </c>
      <c r="Z49" s="5">
        <f t="shared" si="68"/>
        <v>100</v>
      </c>
      <c r="AA49" s="5">
        <f t="shared" si="68"/>
        <v>100</v>
      </c>
      <c r="AB49" s="5">
        <f t="shared" si="68"/>
        <v>100</v>
      </c>
      <c r="AC49" s="5">
        <f t="shared" si="68"/>
        <v>100</v>
      </c>
      <c r="AD49" s="5">
        <f t="shared" si="68"/>
        <v>100</v>
      </c>
      <c r="AE49" s="5">
        <f t="shared" si="68"/>
        <v>100</v>
      </c>
      <c r="AF49" s="5">
        <f t="shared" si="68"/>
        <v>100</v>
      </c>
      <c r="AG49" s="5">
        <f t="shared" si="68"/>
        <v>100</v>
      </c>
      <c r="AH49" s="5">
        <f t="shared" si="68"/>
        <v>100</v>
      </c>
      <c r="AI49" s="5">
        <f t="shared" si="68"/>
        <v>100</v>
      </c>
      <c r="AJ49" s="5">
        <f t="shared" si="68"/>
        <v>100</v>
      </c>
      <c r="AK49" s="5">
        <f t="shared" si="68"/>
        <v>100</v>
      </c>
      <c r="AL49" s="5">
        <f t="shared" si="68"/>
        <v>100</v>
      </c>
      <c r="AM49" s="5">
        <f t="shared" si="68"/>
        <v>100</v>
      </c>
      <c r="AN49" s="5">
        <f t="shared" si="68"/>
        <v>100</v>
      </c>
      <c r="AO49" s="5">
        <f t="shared" ref="AO49:BT49" si="69">(AN49+AN50-AN52+AJ51)</f>
        <v>100</v>
      </c>
      <c r="AP49" s="5">
        <f t="shared" si="69"/>
        <v>100</v>
      </c>
      <c r="AQ49" s="5">
        <f t="shared" si="69"/>
        <v>100</v>
      </c>
      <c r="AR49" s="5">
        <f t="shared" si="69"/>
        <v>100</v>
      </c>
      <c r="AS49" s="5">
        <f t="shared" si="69"/>
        <v>100</v>
      </c>
      <c r="AT49" s="5">
        <f t="shared" si="69"/>
        <v>100</v>
      </c>
      <c r="AU49" s="5">
        <f t="shared" si="69"/>
        <v>100</v>
      </c>
      <c r="AV49" s="5">
        <f t="shared" si="69"/>
        <v>100</v>
      </c>
      <c r="AW49" s="5">
        <f t="shared" si="69"/>
        <v>100</v>
      </c>
      <c r="AX49" s="5">
        <f t="shared" si="69"/>
        <v>100</v>
      </c>
      <c r="AY49" s="5">
        <f t="shared" si="69"/>
        <v>100</v>
      </c>
      <c r="AZ49" s="5">
        <f t="shared" si="69"/>
        <v>100</v>
      </c>
      <c r="BA49" s="5">
        <f t="shared" si="69"/>
        <v>100</v>
      </c>
      <c r="BB49" s="5">
        <f t="shared" si="69"/>
        <v>100</v>
      </c>
      <c r="BC49" s="5">
        <f t="shared" si="69"/>
        <v>100</v>
      </c>
      <c r="BD49" s="5">
        <f t="shared" si="69"/>
        <v>100</v>
      </c>
      <c r="BE49" s="5">
        <f t="shared" si="69"/>
        <v>100</v>
      </c>
      <c r="BF49" s="5">
        <f t="shared" si="69"/>
        <v>100</v>
      </c>
      <c r="BG49" s="5">
        <f t="shared" si="69"/>
        <v>100</v>
      </c>
      <c r="BH49" s="5">
        <f t="shared" si="69"/>
        <v>100</v>
      </c>
      <c r="BI49" s="5">
        <f t="shared" si="69"/>
        <v>100</v>
      </c>
      <c r="BJ49" s="5">
        <f t="shared" si="69"/>
        <v>100</v>
      </c>
      <c r="BK49" s="5">
        <f t="shared" si="69"/>
        <v>100</v>
      </c>
      <c r="BL49" s="5">
        <f t="shared" si="69"/>
        <v>100</v>
      </c>
      <c r="BM49" s="5">
        <f t="shared" si="69"/>
        <v>100</v>
      </c>
      <c r="BN49" s="5">
        <f t="shared" si="69"/>
        <v>100</v>
      </c>
      <c r="BO49" s="5">
        <f t="shared" si="69"/>
        <v>100</v>
      </c>
      <c r="BP49" s="5">
        <f t="shared" si="69"/>
        <v>100</v>
      </c>
      <c r="BQ49" s="5">
        <f t="shared" si="69"/>
        <v>100</v>
      </c>
      <c r="BR49" s="5">
        <f t="shared" si="69"/>
        <v>100</v>
      </c>
      <c r="BS49" s="5">
        <f t="shared" si="69"/>
        <v>100</v>
      </c>
      <c r="BT49" s="5">
        <f t="shared" si="69"/>
        <v>100</v>
      </c>
      <c r="BU49" s="5">
        <f t="shared" ref="BU49:CC49" si="70">(BT49+BT50-BT52+BP51)</f>
        <v>100</v>
      </c>
      <c r="BV49" s="5">
        <f t="shared" si="70"/>
        <v>100</v>
      </c>
      <c r="BW49" s="5">
        <f t="shared" si="70"/>
        <v>100</v>
      </c>
      <c r="BX49" s="5">
        <f t="shared" si="70"/>
        <v>100</v>
      </c>
      <c r="BY49" s="5">
        <f t="shared" si="70"/>
        <v>100</v>
      </c>
      <c r="BZ49" s="5">
        <f t="shared" si="70"/>
        <v>100</v>
      </c>
      <c r="CA49" s="5">
        <f t="shared" si="70"/>
        <v>100</v>
      </c>
      <c r="CB49" s="5">
        <f t="shared" si="70"/>
        <v>100</v>
      </c>
      <c r="CC49" s="5">
        <f t="shared" si="70"/>
        <v>100</v>
      </c>
    </row>
    <row r="50" spans="1:81" x14ac:dyDescent="0.2">
      <c r="A50" s="5" t="s">
        <v>209</v>
      </c>
      <c r="B50" s="5">
        <v>6.1872800000000003</v>
      </c>
      <c r="C50" s="45" t="s">
        <v>39</v>
      </c>
      <c r="D50" s="59">
        <f>IFERROR(VLOOKUP(A49,WIP!$A:$B,2,0),0)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2">
      <c r="A51" s="5" t="s">
        <v>210</v>
      </c>
      <c r="B51" s="5">
        <v>0.19900000000000001</v>
      </c>
      <c r="C51" s="9" t="s">
        <v>211</v>
      </c>
      <c r="D51" s="60">
        <f>IFERROR(VLOOKUP($A49,Plan!$A:B,D$4,0),0)</f>
        <v>0</v>
      </c>
      <c r="E51" s="60">
        <f>IFERROR(VLOOKUP($A49,Plan!$A:C,E$4,0),0)</f>
        <v>0</v>
      </c>
      <c r="F51" s="60">
        <f>IFERROR(VLOOKUP($A49,Plan!$A:D,F$4,0),0)</f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2">
      <c r="A52" s="5" t="s">
        <v>212</v>
      </c>
      <c r="B52" s="5">
        <v>2.9000000000000001E-2</v>
      </c>
      <c r="C52" s="9" t="s">
        <v>213</v>
      </c>
      <c r="D52" s="61">
        <f>IFERROR(VLOOKUP($A49,Sales!$A:B,D$2,0),0)</f>
        <v>0</v>
      </c>
      <c r="E52" s="61">
        <f>IFERROR(VLOOKUP($A49,Sales!$A:C,E$2,0),0)</f>
        <v>0</v>
      </c>
      <c r="F52" s="61">
        <f>IFERROR(VLOOKUP($A49,Sales!$A:D,F$2,0),0)</f>
        <v>0</v>
      </c>
      <c r="G52" s="61">
        <f>IFERROR(VLOOKUP($A49,Sales!$A:E,G$2,0),0)</f>
        <v>0</v>
      </c>
      <c r="H52" s="61">
        <f>IFERROR(VLOOKUP($A49,Sales!$A:F,H$2,0),0)</f>
        <v>0</v>
      </c>
      <c r="I52" s="61">
        <f>IFERROR(VLOOKUP($A49,Sales!$A:G,I$2,0),0)</f>
        <v>0</v>
      </c>
      <c r="J52" s="61">
        <f>IFERROR(VLOOKUP($A49,Sales!$A:H,J$2,0),0)</f>
        <v>0</v>
      </c>
      <c r="K52" s="61">
        <f>IFERROR(VLOOKUP($A49,Sales!$A:I,K$2,0),0)</f>
        <v>0</v>
      </c>
      <c r="L52" s="61">
        <f>IFERROR(VLOOKUP($A49,Sales!$A:J,L$2,0),0)</f>
        <v>0</v>
      </c>
      <c r="M52" s="61">
        <f>IFERROR(VLOOKUP($A49,Sales!$A:K,M$2,0),0)</f>
        <v>0</v>
      </c>
      <c r="N52" s="61">
        <f>IFERROR(VLOOKUP($A49,Sales!$A:L,N$2,0),0)</f>
        <v>0</v>
      </c>
      <c r="O52" s="61">
        <f>IFERROR(VLOOKUP($A49,Sales!$A:M,O$2,0),0)</f>
        <v>0</v>
      </c>
      <c r="P52" s="61">
        <f>IFERROR(VLOOKUP($A49,Sales!$A:N,P$2,0),0)</f>
        <v>0</v>
      </c>
      <c r="Q52" s="61">
        <f>IFERROR(VLOOKUP($A49,Sales!$A:O,Q$2,0),0)</f>
        <v>0</v>
      </c>
      <c r="R52" s="61">
        <f>IFERROR(VLOOKUP($A49,Sales!$A:P,R$2,0),0)</f>
        <v>0</v>
      </c>
      <c r="S52" s="61">
        <f>IFERROR(VLOOKUP($A49,Sales!$A:Q,S$2,0),0)</f>
        <v>0</v>
      </c>
      <c r="T52" s="61">
        <f>IFERROR(VLOOKUP($A49,Sales!$A:R,T$2,0),0)</f>
        <v>0</v>
      </c>
      <c r="U52" s="61">
        <f>IFERROR(VLOOKUP($A49,Sales!$A:S,U$2,0),0)</f>
        <v>0</v>
      </c>
      <c r="V52" s="61">
        <f>IFERROR(VLOOKUP($A49,Sales!$A:T,V$2,0),0)</f>
        <v>0</v>
      </c>
      <c r="W52" s="61">
        <f>IFERROR(VLOOKUP($A49,Sales!$A:U,W$2,0),0)</f>
        <v>0</v>
      </c>
      <c r="X52" s="61">
        <f>IFERROR(VLOOKUP($A49,Sales!$A:V,X$2,0),0)</f>
        <v>0</v>
      </c>
      <c r="Y52" s="61">
        <f>IFERROR(VLOOKUP($A49,Sales!$A:W,Y$2,0),0)</f>
        <v>0</v>
      </c>
      <c r="Z52" s="61">
        <f>IFERROR(VLOOKUP($A49,Sales!$A:X,Z$2,0),0)</f>
        <v>0</v>
      </c>
      <c r="AA52" s="61">
        <f>IFERROR(VLOOKUP($A49,Sales!$A:Y,AA$2,0),0)</f>
        <v>0</v>
      </c>
      <c r="AB52" s="61">
        <f>IFERROR(VLOOKUP($A49,Sales!$A:Z,AB$2,0),0)</f>
        <v>0</v>
      </c>
      <c r="AC52" s="61">
        <f>IFERROR(VLOOKUP($A49,Sales!$A:AA,AC$2,0),0)</f>
        <v>0</v>
      </c>
      <c r="AD52" s="61">
        <f>IFERROR(VLOOKUP($A49,Sales!$A:AB,AD$2,0),0)</f>
        <v>0</v>
      </c>
      <c r="AE52" s="61">
        <f>IFERROR(VLOOKUP($A49,Sales!$A:AC,AE$2,0),0)</f>
        <v>0</v>
      </c>
      <c r="AF52" s="61">
        <f>IFERROR(VLOOKUP($A49,Sales!$A:AD,AF$2,0),0)</f>
        <v>0</v>
      </c>
      <c r="AG52" s="61">
        <f>IFERROR(VLOOKUP($A49,Sales!$A:AE,AG$2,0),0)</f>
        <v>0</v>
      </c>
      <c r="AH52" s="61">
        <f>IFERROR(VLOOKUP($A49,Sales!$A:AF,AH$2,0),0)</f>
        <v>0</v>
      </c>
      <c r="AI52" s="61">
        <f>IFERROR(VLOOKUP($A49,Sales!$A:AG,AI$2,0),0)</f>
        <v>0</v>
      </c>
      <c r="AJ52" s="61">
        <f>IFERROR(VLOOKUP($A49,Sales!$A:AH,AJ$2,0),0)</f>
        <v>0</v>
      </c>
      <c r="AK52" s="74">
        <f t="shared" ref="AK52:CC52" si="71">CEILING(AK$5*$B48,1)</f>
        <v>0</v>
      </c>
      <c r="AL52" s="74">
        <f t="shared" si="71"/>
        <v>0</v>
      </c>
      <c r="AM52" s="74">
        <f t="shared" si="71"/>
        <v>0</v>
      </c>
      <c r="AN52" s="74">
        <f t="shared" si="71"/>
        <v>0</v>
      </c>
      <c r="AO52" s="74">
        <f t="shared" si="71"/>
        <v>0</v>
      </c>
      <c r="AP52" s="74">
        <f t="shared" si="71"/>
        <v>0</v>
      </c>
      <c r="AQ52" s="74">
        <f t="shared" si="71"/>
        <v>0</v>
      </c>
      <c r="AR52" s="74">
        <f t="shared" si="71"/>
        <v>0</v>
      </c>
      <c r="AS52" s="74">
        <f t="shared" si="71"/>
        <v>0</v>
      </c>
      <c r="AT52" s="74">
        <f t="shared" si="71"/>
        <v>0</v>
      </c>
      <c r="AU52" s="74">
        <f t="shared" si="71"/>
        <v>0</v>
      </c>
      <c r="AV52" s="74">
        <f t="shared" si="71"/>
        <v>0</v>
      </c>
      <c r="AW52" s="74">
        <f t="shared" si="71"/>
        <v>0</v>
      </c>
      <c r="AX52" s="74">
        <f t="shared" si="71"/>
        <v>0</v>
      </c>
      <c r="AY52" s="74">
        <f t="shared" si="71"/>
        <v>0</v>
      </c>
      <c r="AZ52" s="74">
        <f t="shared" si="71"/>
        <v>0</v>
      </c>
      <c r="BA52" s="74">
        <f t="shared" si="71"/>
        <v>0</v>
      </c>
      <c r="BB52" s="74">
        <f t="shared" si="71"/>
        <v>0</v>
      </c>
      <c r="BC52" s="74">
        <f t="shared" si="71"/>
        <v>0</v>
      </c>
      <c r="BD52" s="74">
        <f t="shared" si="71"/>
        <v>0</v>
      </c>
      <c r="BE52" s="74">
        <f t="shared" si="71"/>
        <v>0</v>
      </c>
      <c r="BF52" s="74">
        <f t="shared" si="71"/>
        <v>0</v>
      </c>
      <c r="BG52" s="74">
        <f t="shared" si="71"/>
        <v>0</v>
      </c>
      <c r="BH52" s="74">
        <f t="shared" si="71"/>
        <v>0</v>
      </c>
      <c r="BI52" s="74">
        <f t="shared" si="71"/>
        <v>0</v>
      </c>
      <c r="BJ52" s="74">
        <f t="shared" si="71"/>
        <v>0</v>
      </c>
      <c r="BK52" s="74">
        <f t="shared" si="71"/>
        <v>0</v>
      </c>
      <c r="BL52" s="74">
        <f t="shared" si="71"/>
        <v>0</v>
      </c>
      <c r="BM52" s="74">
        <f t="shared" si="71"/>
        <v>0</v>
      </c>
      <c r="BN52" s="74">
        <f t="shared" si="71"/>
        <v>0</v>
      </c>
      <c r="BO52" s="74">
        <f t="shared" si="71"/>
        <v>0</v>
      </c>
      <c r="BP52" s="74">
        <f t="shared" si="71"/>
        <v>0</v>
      </c>
      <c r="BQ52" s="74">
        <f t="shared" si="71"/>
        <v>0</v>
      </c>
      <c r="BR52" s="74">
        <f t="shared" si="71"/>
        <v>0</v>
      </c>
      <c r="BS52" s="74">
        <f t="shared" si="71"/>
        <v>0</v>
      </c>
      <c r="BT52" s="74">
        <f t="shared" si="71"/>
        <v>0</v>
      </c>
      <c r="BU52" s="74">
        <f t="shared" si="71"/>
        <v>0</v>
      </c>
      <c r="BV52" s="74">
        <f t="shared" si="71"/>
        <v>0</v>
      </c>
      <c r="BW52" s="74">
        <f t="shared" si="71"/>
        <v>0</v>
      </c>
      <c r="BX52" s="74">
        <f t="shared" si="71"/>
        <v>0</v>
      </c>
      <c r="BY52" s="74">
        <f t="shared" si="71"/>
        <v>0</v>
      </c>
      <c r="BZ52" s="74">
        <f t="shared" si="71"/>
        <v>0</v>
      </c>
      <c r="CA52" s="74">
        <f t="shared" si="71"/>
        <v>0</v>
      </c>
      <c r="CB52" s="74">
        <f t="shared" si="71"/>
        <v>0</v>
      </c>
      <c r="CC52" s="74">
        <f t="shared" si="71"/>
        <v>0</v>
      </c>
    </row>
    <row r="53" spans="1:81" x14ac:dyDescent="0.2">
      <c r="A53" s="5" t="s">
        <v>214</v>
      </c>
      <c r="B53" s="5">
        <v>0.22800000000000001</v>
      </c>
      <c r="C53" s="46" t="s">
        <v>215</v>
      </c>
      <c r="D53" s="11">
        <f t="shared" ref="D53:AI53" si="72">IF(D52=0,0, ROUND(D49 * 1/D52* D$13,1))</f>
        <v>0</v>
      </c>
      <c r="E53" s="11">
        <f t="shared" si="72"/>
        <v>0</v>
      </c>
      <c r="F53" s="11">
        <f t="shared" si="72"/>
        <v>0</v>
      </c>
      <c r="G53" s="11">
        <f t="shared" si="72"/>
        <v>0</v>
      </c>
      <c r="H53" s="11">
        <f t="shared" si="72"/>
        <v>0</v>
      </c>
      <c r="I53" s="11">
        <f t="shared" si="72"/>
        <v>0</v>
      </c>
      <c r="J53" s="11">
        <f t="shared" si="72"/>
        <v>0</v>
      </c>
      <c r="K53" s="11">
        <f t="shared" si="72"/>
        <v>0</v>
      </c>
      <c r="L53" s="11">
        <f t="shared" si="72"/>
        <v>0</v>
      </c>
      <c r="M53" s="11">
        <f t="shared" si="72"/>
        <v>0</v>
      </c>
      <c r="N53" s="11">
        <f t="shared" si="72"/>
        <v>0</v>
      </c>
      <c r="O53" s="11">
        <f t="shared" si="72"/>
        <v>0</v>
      </c>
      <c r="P53" s="11">
        <f t="shared" si="72"/>
        <v>0</v>
      </c>
      <c r="Q53" s="11">
        <f t="shared" si="72"/>
        <v>0</v>
      </c>
      <c r="R53" s="11">
        <f t="shared" si="72"/>
        <v>0</v>
      </c>
      <c r="S53" s="11">
        <f t="shared" si="72"/>
        <v>0</v>
      </c>
      <c r="T53" s="11">
        <f t="shared" si="72"/>
        <v>0</v>
      </c>
      <c r="U53" s="11">
        <f t="shared" si="72"/>
        <v>0</v>
      </c>
      <c r="V53" s="11">
        <f t="shared" si="72"/>
        <v>0</v>
      </c>
      <c r="W53" s="11">
        <f t="shared" si="72"/>
        <v>0</v>
      </c>
      <c r="X53" s="11">
        <f t="shared" si="72"/>
        <v>0</v>
      </c>
      <c r="Y53" s="11">
        <f t="shared" si="72"/>
        <v>0</v>
      </c>
      <c r="Z53" s="11">
        <f t="shared" si="72"/>
        <v>0</v>
      </c>
      <c r="AA53" s="11">
        <f t="shared" si="72"/>
        <v>0</v>
      </c>
      <c r="AB53" s="11">
        <f t="shared" si="72"/>
        <v>0</v>
      </c>
      <c r="AC53" s="11">
        <f t="shared" si="72"/>
        <v>0</v>
      </c>
      <c r="AD53" s="11">
        <f t="shared" si="72"/>
        <v>0</v>
      </c>
      <c r="AE53" s="11">
        <f t="shared" si="72"/>
        <v>0</v>
      </c>
      <c r="AF53" s="11">
        <f t="shared" si="72"/>
        <v>0</v>
      </c>
      <c r="AG53" s="11">
        <f t="shared" si="72"/>
        <v>0</v>
      </c>
      <c r="AH53" s="11">
        <f t="shared" si="72"/>
        <v>0</v>
      </c>
      <c r="AI53" s="11">
        <f t="shared" si="72"/>
        <v>0</v>
      </c>
      <c r="AJ53" s="11">
        <f t="shared" ref="AJ53:BO53" si="73">IF(AJ52=0,0, ROUND(AJ49 * 1/AJ52* AJ$13,1))</f>
        <v>0</v>
      </c>
      <c r="AK53" s="11">
        <f t="shared" si="73"/>
        <v>0</v>
      </c>
      <c r="AL53" s="11">
        <f t="shared" si="73"/>
        <v>0</v>
      </c>
      <c r="AM53" s="11">
        <f t="shared" si="73"/>
        <v>0</v>
      </c>
      <c r="AN53" s="11">
        <f t="shared" si="73"/>
        <v>0</v>
      </c>
      <c r="AO53" s="11">
        <f t="shared" si="73"/>
        <v>0</v>
      </c>
      <c r="AP53" s="11">
        <f t="shared" si="73"/>
        <v>0</v>
      </c>
      <c r="AQ53" s="11">
        <f t="shared" si="73"/>
        <v>0</v>
      </c>
      <c r="AR53" s="11">
        <f t="shared" si="73"/>
        <v>0</v>
      </c>
      <c r="AS53" s="11">
        <f t="shared" si="73"/>
        <v>0</v>
      </c>
      <c r="AT53" s="11">
        <f t="shared" si="73"/>
        <v>0</v>
      </c>
      <c r="AU53" s="11">
        <f t="shared" si="73"/>
        <v>0</v>
      </c>
      <c r="AV53" s="11">
        <f t="shared" si="73"/>
        <v>0</v>
      </c>
      <c r="AW53" s="11">
        <f t="shared" si="73"/>
        <v>0</v>
      </c>
      <c r="AX53" s="11">
        <f t="shared" si="73"/>
        <v>0</v>
      </c>
      <c r="AY53" s="11">
        <f t="shared" si="73"/>
        <v>0</v>
      </c>
      <c r="AZ53" s="11">
        <f t="shared" si="73"/>
        <v>0</v>
      </c>
      <c r="BA53" s="11">
        <f t="shared" si="73"/>
        <v>0</v>
      </c>
      <c r="BB53" s="11">
        <f t="shared" si="73"/>
        <v>0</v>
      </c>
      <c r="BC53" s="11">
        <f t="shared" si="73"/>
        <v>0</v>
      </c>
      <c r="BD53" s="11">
        <f t="shared" si="73"/>
        <v>0</v>
      </c>
      <c r="BE53" s="11">
        <f t="shared" si="73"/>
        <v>0</v>
      </c>
      <c r="BF53" s="11">
        <f t="shared" si="73"/>
        <v>0</v>
      </c>
      <c r="BG53" s="11">
        <f t="shared" si="73"/>
        <v>0</v>
      </c>
      <c r="BH53" s="11">
        <f t="shared" si="73"/>
        <v>0</v>
      </c>
      <c r="BI53" s="11">
        <f t="shared" si="73"/>
        <v>0</v>
      </c>
      <c r="BJ53" s="11">
        <f t="shared" si="73"/>
        <v>0</v>
      </c>
      <c r="BK53" s="11">
        <f t="shared" si="73"/>
        <v>0</v>
      </c>
      <c r="BL53" s="11">
        <f t="shared" si="73"/>
        <v>0</v>
      </c>
      <c r="BM53" s="11">
        <f t="shared" si="73"/>
        <v>0</v>
      </c>
      <c r="BN53" s="11">
        <f t="shared" si="73"/>
        <v>0</v>
      </c>
      <c r="BO53" s="11">
        <f t="shared" si="73"/>
        <v>0</v>
      </c>
      <c r="BP53" s="11">
        <f t="shared" ref="BP53:CC53" si="74">IF(BP52=0,0, ROUND(BP49 * 1/BP52* BP$13,1))</f>
        <v>0</v>
      </c>
      <c r="BQ53" s="11">
        <f t="shared" si="74"/>
        <v>0</v>
      </c>
      <c r="BR53" s="11">
        <f t="shared" si="74"/>
        <v>0</v>
      </c>
      <c r="BS53" s="11">
        <f t="shared" si="74"/>
        <v>0</v>
      </c>
      <c r="BT53" s="11">
        <f t="shared" si="74"/>
        <v>0</v>
      </c>
      <c r="BU53" s="11">
        <f t="shared" si="74"/>
        <v>0</v>
      </c>
      <c r="BV53" s="11">
        <f t="shared" si="74"/>
        <v>0</v>
      </c>
      <c r="BW53" s="11">
        <f t="shared" si="74"/>
        <v>0</v>
      </c>
      <c r="BX53" s="11">
        <f t="shared" si="74"/>
        <v>0</v>
      </c>
      <c r="BY53" s="11">
        <f t="shared" si="74"/>
        <v>0</v>
      </c>
      <c r="BZ53" s="11">
        <f t="shared" si="74"/>
        <v>0</v>
      </c>
      <c r="CA53" s="11">
        <f t="shared" si="74"/>
        <v>0</v>
      </c>
      <c r="CB53" s="11">
        <f t="shared" si="74"/>
        <v>0</v>
      </c>
      <c r="CC53" s="11">
        <f t="shared" si="74"/>
        <v>0</v>
      </c>
    </row>
    <row r="54" spans="1:81" x14ac:dyDescent="0.2">
      <c r="A54">
        <v>16</v>
      </c>
      <c r="B54">
        <v>1</v>
      </c>
      <c r="C54" s="8">
        <v>4.6522199999999998</v>
      </c>
      <c r="D54">
        <f t="shared" ref="D54:AI54" si="75">D51/$B54</f>
        <v>0</v>
      </c>
      <c r="E54">
        <f t="shared" si="75"/>
        <v>0</v>
      </c>
      <c r="F54">
        <f t="shared" si="75"/>
        <v>0</v>
      </c>
      <c r="G54">
        <f t="shared" si="75"/>
        <v>0</v>
      </c>
      <c r="H54">
        <f t="shared" si="75"/>
        <v>0</v>
      </c>
      <c r="I54">
        <f t="shared" si="75"/>
        <v>0</v>
      </c>
      <c r="J54">
        <f t="shared" si="75"/>
        <v>0</v>
      </c>
      <c r="K54">
        <f t="shared" si="75"/>
        <v>0</v>
      </c>
      <c r="L54">
        <f t="shared" si="75"/>
        <v>0</v>
      </c>
      <c r="M54">
        <f t="shared" si="75"/>
        <v>0</v>
      </c>
      <c r="N54">
        <f t="shared" si="75"/>
        <v>0</v>
      </c>
      <c r="O54">
        <f t="shared" si="75"/>
        <v>0</v>
      </c>
      <c r="P54">
        <f t="shared" si="75"/>
        <v>0</v>
      </c>
      <c r="Q54">
        <f t="shared" si="75"/>
        <v>0</v>
      </c>
      <c r="R54">
        <f t="shared" si="75"/>
        <v>0</v>
      </c>
      <c r="S54">
        <f t="shared" si="75"/>
        <v>0</v>
      </c>
      <c r="T54">
        <f t="shared" si="75"/>
        <v>0</v>
      </c>
      <c r="U54">
        <f t="shared" si="75"/>
        <v>0</v>
      </c>
      <c r="V54">
        <f t="shared" si="75"/>
        <v>0</v>
      </c>
      <c r="W54">
        <f t="shared" si="75"/>
        <v>0</v>
      </c>
      <c r="X54">
        <f t="shared" si="75"/>
        <v>0</v>
      </c>
      <c r="Y54">
        <f t="shared" si="75"/>
        <v>0</v>
      </c>
      <c r="Z54">
        <f t="shared" si="75"/>
        <v>0</v>
      </c>
      <c r="AA54">
        <f t="shared" si="75"/>
        <v>0</v>
      </c>
      <c r="AB54">
        <f t="shared" si="75"/>
        <v>0</v>
      </c>
      <c r="AC54">
        <f t="shared" si="75"/>
        <v>0</v>
      </c>
      <c r="AD54">
        <f t="shared" si="75"/>
        <v>0</v>
      </c>
      <c r="AE54">
        <f t="shared" si="75"/>
        <v>0</v>
      </c>
      <c r="AF54">
        <f t="shared" si="75"/>
        <v>0</v>
      </c>
      <c r="AG54">
        <f t="shared" si="75"/>
        <v>0</v>
      </c>
      <c r="AH54">
        <f t="shared" si="75"/>
        <v>0</v>
      </c>
      <c r="AI54">
        <f t="shared" si="75"/>
        <v>0</v>
      </c>
      <c r="AJ54">
        <f t="shared" ref="AJ54:BO54" si="76">AJ51/$B54</f>
        <v>0</v>
      </c>
      <c r="AK54">
        <f t="shared" si="76"/>
        <v>0</v>
      </c>
      <c r="AL54">
        <f t="shared" si="76"/>
        <v>0</v>
      </c>
      <c r="AM54">
        <f t="shared" si="76"/>
        <v>0</v>
      </c>
      <c r="AN54">
        <f t="shared" si="76"/>
        <v>0</v>
      </c>
      <c r="AO54">
        <f t="shared" si="76"/>
        <v>0</v>
      </c>
      <c r="AP54">
        <f t="shared" si="76"/>
        <v>0</v>
      </c>
      <c r="AQ54">
        <f t="shared" si="76"/>
        <v>0</v>
      </c>
      <c r="AR54">
        <f t="shared" si="76"/>
        <v>0</v>
      </c>
      <c r="AS54">
        <f t="shared" si="76"/>
        <v>0</v>
      </c>
      <c r="AT54">
        <f t="shared" si="76"/>
        <v>0</v>
      </c>
      <c r="AU54">
        <f t="shared" si="76"/>
        <v>0</v>
      </c>
      <c r="AV54">
        <f t="shared" si="76"/>
        <v>0</v>
      </c>
      <c r="AW54">
        <f t="shared" si="76"/>
        <v>0</v>
      </c>
      <c r="AX54">
        <f t="shared" si="76"/>
        <v>0</v>
      </c>
      <c r="AY54">
        <f t="shared" si="76"/>
        <v>0</v>
      </c>
      <c r="AZ54">
        <f t="shared" si="76"/>
        <v>0</v>
      </c>
      <c r="BA54">
        <f t="shared" si="76"/>
        <v>0</v>
      </c>
      <c r="BB54">
        <f t="shared" si="76"/>
        <v>0</v>
      </c>
      <c r="BC54">
        <f t="shared" si="76"/>
        <v>0</v>
      </c>
      <c r="BD54">
        <f t="shared" si="76"/>
        <v>0</v>
      </c>
      <c r="BE54">
        <f t="shared" si="76"/>
        <v>0</v>
      </c>
      <c r="BF54">
        <f t="shared" si="76"/>
        <v>0</v>
      </c>
      <c r="BG54">
        <f t="shared" si="76"/>
        <v>0</v>
      </c>
      <c r="BH54">
        <f t="shared" si="76"/>
        <v>0</v>
      </c>
      <c r="BI54">
        <f t="shared" si="76"/>
        <v>0</v>
      </c>
      <c r="BJ54">
        <f t="shared" si="76"/>
        <v>0</v>
      </c>
      <c r="BK54">
        <f t="shared" si="76"/>
        <v>0</v>
      </c>
      <c r="BL54">
        <f t="shared" si="76"/>
        <v>0</v>
      </c>
      <c r="BM54">
        <f t="shared" si="76"/>
        <v>0</v>
      </c>
      <c r="BN54">
        <f t="shared" si="76"/>
        <v>0</v>
      </c>
      <c r="BO54">
        <f t="shared" si="76"/>
        <v>0</v>
      </c>
      <c r="BP54">
        <f t="shared" ref="BP54:CC54" si="77">BP51/$B54</f>
        <v>0</v>
      </c>
      <c r="BQ54">
        <f t="shared" si="77"/>
        <v>0</v>
      </c>
      <c r="BR54">
        <f t="shared" si="77"/>
        <v>0</v>
      </c>
      <c r="BS54">
        <f t="shared" si="77"/>
        <v>0</v>
      </c>
      <c r="BT54">
        <f t="shared" si="77"/>
        <v>0</v>
      </c>
      <c r="BU54">
        <f t="shared" si="77"/>
        <v>0</v>
      </c>
      <c r="BV54">
        <f t="shared" si="77"/>
        <v>0</v>
      </c>
      <c r="BW54">
        <f t="shared" si="77"/>
        <v>0</v>
      </c>
      <c r="BX54">
        <f t="shared" si="77"/>
        <v>0</v>
      </c>
      <c r="BY54">
        <f t="shared" si="77"/>
        <v>0</v>
      </c>
      <c r="BZ54">
        <f t="shared" si="77"/>
        <v>0</v>
      </c>
      <c r="CA54">
        <f t="shared" si="77"/>
        <v>0</v>
      </c>
      <c r="CB54">
        <f t="shared" si="77"/>
        <v>0</v>
      </c>
      <c r="CC54">
        <f t="shared" si="77"/>
        <v>0</v>
      </c>
    </row>
    <row r="55" spans="1:81" x14ac:dyDescent="0.2">
      <c r="B55" s="67">
        <f>SUM(D59:AJ59)/SUM($D$263:$AJ$263)</f>
        <v>0</v>
      </c>
      <c r="C55" s="9" t="s">
        <v>216</v>
      </c>
      <c r="D55">
        <f t="shared" ref="D55:AI55" si="78">D49-D52</f>
        <v>100</v>
      </c>
      <c r="E55">
        <f t="shared" si="78"/>
        <v>100</v>
      </c>
      <c r="F55">
        <f t="shared" si="78"/>
        <v>100</v>
      </c>
      <c r="G55">
        <f t="shared" si="78"/>
        <v>100</v>
      </c>
      <c r="H55">
        <f t="shared" si="78"/>
        <v>100</v>
      </c>
      <c r="I55">
        <f t="shared" si="78"/>
        <v>100</v>
      </c>
      <c r="J55">
        <f t="shared" si="78"/>
        <v>100</v>
      </c>
      <c r="K55">
        <f t="shared" si="78"/>
        <v>100</v>
      </c>
      <c r="L55">
        <f t="shared" si="78"/>
        <v>100</v>
      </c>
      <c r="M55">
        <f t="shared" si="78"/>
        <v>100</v>
      </c>
      <c r="N55">
        <f t="shared" si="78"/>
        <v>100</v>
      </c>
      <c r="O55">
        <f t="shared" si="78"/>
        <v>100</v>
      </c>
      <c r="P55">
        <f t="shared" si="78"/>
        <v>100</v>
      </c>
      <c r="Q55">
        <f t="shared" si="78"/>
        <v>100</v>
      </c>
      <c r="R55">
        <f t="shared" si="78"/>
        <v>100</v>
      </c>
      <c r="S55">
        <f t="shared" si="78"/>
        <v>100</v>
      </c>
      <c r="T55">
        <f t="shared" si="78"/>
        <v>100</v>
      </c>
      <c r="U55">
        <f t="shared" si="78"/>
        <v>100</v>
      </c>
      <c r="V55">
        <f t="shared" si="78"/>
        <v>100</v>
      </c>
      <c r="W55">
        <f t="shared" si="78"/>
        <v>100</v>
      </c>
      <c r="X55">
        <f t="shared" si="78"/>
        <v>100</v>
      </c>
      <c r="Y55">
        <f t="shared" si="78"/>
        <v>100</v>
      </c>
      <c r="Z55">
        <f t="shared" si="78"/>
        <v>100</v>
      </c>
      <c r="AA55">
        <f t="shared" si="78"/>
        <v>100</v>
      </c>
      <c r="AB55">
        <f t="shared" si="78"/>
        <v>100</v>
      </c>
      <c r="AC55">
        <f t="shared" si="78"/>
        <v>100</v>
      </c>
      <c r="AD55">
        <f t="shared" si="78"/>
        <v>100</v>
      </c>
      <c r="AE55">
        <f t="shared" si="78"/>
        <v>100</v>
      </c>
      <c r="AF55">
        <f t="shared" si="78"/>
        <v>100</v>
      </c>
      <c r="AG55">
        <f t="shared" si="78"/>
        <v>100</v>
      </c>
      <c r="AH55">
        <f t="shared" si="78"/>
        <v>100</v>
      </c>
      <c r="AI55">
        <f t="shared" si="78"/>
        <v>100</v>
      </c>
      <c r="AJ55">
        <f t="shared" ref="AJ55:BO55" si="79">AJ49-AJ52</f>
        <v>100</v>
      </c>
      <c r="AK55">
        <f t="shared" si="79"/>
        <v>100</v>
      </c>
      <c r="AL55">
        <f t="shared" si="79"/>
        <v>100</v>
      </c>
      <c r="AM55">
        <f t="shared" si="79"/>
        <v>100</v>
      </c>
      <c r="AN55">
        <f t="shared" si="79"/>
        <v>100</v>
      </c>
      <c r="AO55">
        <f t="shared" si="79"/>
        <v>100</v>
      </c>
      <c r="AP55">
        <f t="shared" si="79"/>
        <v>100</v>
      </c>
      <c r="AQ55">
        <f t="shared" si="79"/>
        <v>100</v>
      </c>
      <c r="AR55">
        <f t="shared" si="79"/>
        <v>100</v>
      </c>
      <c r="AS55">
        <f t="shared" si="79"/>
        <v>100</v>
      </c>
      <c r="AT55">
        <f t="shared" si="79"/>
        <v>100</v>
      </c>
      <c r="AU55">
        <f t="shared" si="79"/>
        <v>100</v>
      </c>
      <c r="AV55">
        <f t="shared" si="79"/>
        <v>100</v>
      </c>
      <c r="AW55">
        <f t="shared" si="79"/>
        <v>100</v>
      </c>
      <c r="AX55">
        <f t="shared" si="79"/>
        <v>100</v>
      </c>
      <c r="AY55">
        <f t="shared" si="79"/>
        <v>100</v>
      </c>
      <c r="AZ55">
        <f t="shared" si="79"/>
        <v>100</v>
      </c>
      <c r="BA55">
        <f t="shared" si="79"/>
        <v>100</v>
      </c>
      <c r="BB55">
        <f t="shared" si="79"/>
        <v>100</v>
      </c>
      <c r="BC55">
        <f t="shared" si="79"/>
        <v>100</v>
      </c>
      <c r="BD55">
        <f t="shared" si="79"/>
        <v>100</v>
      </c>
      <c r="BE55">
        <f t="shared" si="79"/>
        <v>100</v>
      </c>
      <c r="BF55">
        <f t="shared" si="79"/>
        <v>100</v>
      </c>
      <c r="BG55">
        <f t="shared" si="79"/>
        <v>100</v>
      </c>
      <c r="BH55">
        <f t="shared" si="79"/>
        <v>100</v>
      </c>
      <c r="BI55">
        <f t="shared" si="79"/>
        <v>100</v>
      </c>
      <c r="BJ55">
        <f t="shared" si="79"/>
        <v>100</v>
      </c>
      <c r="BK55">
        <f t="shared" si="79"/>
        <v>100</v>
      </c>
      <c r="BL55">
        <f t="shared" si="79"/>
        <v>100</v>
      </c>
      <c r="BM55">
        <f t="shared" si="79"/>
        <v>100</v>
      </c>
      <c r="BN55">
        <f t="shared" si="79"/>
        <v>100</v>
      </c>
      <c r="BO55">
        <f t="shared" si="79"/>
        <v>100</v>
      </c>
      <c r="BP55">
        <f t="shared" ref="BP55:CC55" si="80">BP49-BP52</f>
        <v>100</v>
      </c>
      <c r="BQ55">
        <f t="shared" si="80"/>
        <v>100</v>
      </c>
      <c r="BR55">
        <f t="shared" si="80"/>
        <v>100</v>
      </c>
      <c r="BS55">
        <f t="shared" si="80"/>
        <v>100</v>
      </c>
      <c r="BT55">
        <f t="shared" si="80"/>
        <v>100</v>
      </c>
      <c r="BU55">
        <f t="shared" si="80"/>
        <v>100</v>
      </c>
      <c r="BV55">
        <f t="shared" si="80"/>
        <v>100</v>
      </c>
      <c r="BW55">
        <f t="shared" si="80"/>
        <v>100</v>
      </c>
      <c r="BX55">
        <f t="shared" si="80"/>
        <v>100</v>
      </c>
      <c r="BY55">
        <f t="shared" si="80"/>
        <v>100</v>
      </c>
      <c r="BZ55">
        <f t="shared" si="80"/>
        <v>100</v>
      </c>
      <c r="CA55">
        <f t="shared" si="80"/>
        <v>100</v>
      </c>
      <c r="CB55">
        <f t="shared" si="80"/>
        <v>100</v>
      </c>
      <c r="CC55">
        <f t="shared" si="80"/>
        <v>100</v>
      </c>
    </row>
    <row r="56" spans="1:81" x14ac:dyDescent="0.2">
      <c r="A56" s="43" t="s">
        <v>295</v>
      </c>
      <c r="B56" s="44" t="s">
        <v>208</v>
      </c>
      <c r="C56" s="9" t="s">
        <v>38</v>
      </c>
      <c r="D56" s="58">
        <f>IFERROR(VLOOKUP(A56,OS!$A:$B,2,0),0)</f>
        <v>0</v>
      </c>
      <c r="E56" s="5">
        <f>(D56+D57-D59)</f>
        <v>0</v>
      </c>
      <c r="F56" s="5">
        <f>(E56+E57-E59)</f>
        <v>0</v>
      </c>
      <c r="G56" s="5">
        <f>(F56+F57-F59)</f>
        <v>0</v>
      </c>
      <c r="H56" s="5">
        <f>(G56+G57-G59)</f>
        <v>0</v>
      </c>
      <c r="I56" s="5">
        <f t="shared" ref="I56:AN56" si="81">(H56+H57-H59+D58)</f>
        <v>0</v>
      </c>
      <c r="J56" s="5">
        <f t="shared" si="81"/>
        <v>0</v>
      </c>
      <c r="K56" s="5">
        <f t="shared" si="81"/>
        <v>0</v>
      </c>
      <c r="L56" s="5">
        <f t="shared" si="81"/>
        <v>0</v>
      </c>
      <c r="M56" s="5">
        <f t="shared" si="81"/>
        <v>0</v>
      </c>
      <c r="N56" s="5">
        <f t="shared" si="81"/>
        <v>0</v>
      </c>
      <c r="O56" s="5">
        <f t="shared" si="81"/>
        <v>0</v>
      </c>
      <c r="P56" s="5">
        <f t="shared" si="81"/>
        <v>0</v>
      </c>
      <c r="Q56" s="5">
        <f t="shared" si="81"/>
        <v>0</v>
      </c>
      <c r="R56" s="5">
        <f t="shared" si="81"/>
        <v>0</v>
      </c>
      <c r="S56" s="5">
        <f t="shared" si="81"/>
        <v>0</v>
      </c>
      <c r="T56" s="5">
        <f t="shared" si="81"/>
        <v>0</v>
      </c>
      <c r="U56" s="5">
        <f t="shared" si="81"/>
        <v>0</v>
      </c>
      <c r="V56" s="5">
        <f t="shared" si="81"/>
        <v>0</v>
      </c>
      <c r="W56" s="5">
        <f t="shared" si="81"/>
        <v>0</v>
      </c>
      <c r="X56" s="5">
        <f t="shared" si="81"/>
        <v>0</v>
      </c>
      <c r="Y56" s="5">
        <f t="shared" si="81"/>
        <v>0</v>
      </c>
      <c r="Z56" s="5">
        <f t="shared" si="81"/>
        <v>0</v>
      </c>
      <c r="AA56" s="5">
        <f t="shared" si="81"/>
        <v>0</v>
      </c>
      <c r="AB56" s="5">
        <f t="shared" si="81"/>
        <v>0</v>
      </c>
      <c r="AC56" s="5">
        <f t="shared" si="81"/>
        <v>0</v>
      </c>
      <c r="AD56" s="5">
        <f t="shared" si="81"/>
        <v>0</v>
      </c>
      <c r="AE56" s="5">
        <f t="shared" si="81"/>
        <v>0</v>
      </c>
      <c r="AF56" s="5">
        <f t="shared" si="81"/>
        <v>0</v>
      </c>
      <c r="AG56" s="5">
        <f t="shared" si="81"/>
        <v>0</v>
      </c>
      <c r="AH56" s="5">
        <f t="shared" si="81"/>
        <v>0</v>
      </c>
      <c r="AI56" s="5">
        <f t="shared" si="81"/>
        <v>0</v>
      </c>
      <c r="AJ56" s="5">
        <f t="shared" si="81"/>
        <v>0</v>
      </c>
      <c r="AK56" s="5">
        <f t="shared" si="81"/>
        <v>0</v>
      </c>
      <c r="AL56" s="5">
        <f t="shared" si="81"/>
        <v>0</v>
      </c>
      <c r="AM56" s="5">
        <f t="shared" si="81"/>
        <v>0</v>
      </c>
      <c r="AN56" s="5">
        <f t="shared" si="81"/>
        <v>0</v>
      </c>
      <c r="AO56" s="5">
        <f t="shared" ref="AO56:BT56" si="82">(AN56+AN57-AN59+AJ58)</f>
        <v>0</v>
      </c>
      <c r="AP56" s="5">
        <f t="shared" si="82"/>
        <v>0</v>
      </c>
      <c r="AQ56" s="5">
        <f t="shared" si="82"/>
        <v>0</v>
      </c>
      <c r="AR56" s="5">
        <f t="shared" si="82"/>
        <v>0</v>
      </c>
      <c r="AS56" s="5">
        <f t="shared" si="82"/>
        <v>0</v>
      </c>
      <c r="AT56" s="5">
        <f t="shared" si="82"/>
        <v>0</v>
      </c>
      <c r="AU56" s="5">
        <f t="shared" si="82"/>
        <v>0</v>
      </c>
      <c r="AV56" s="5">
        <f t="shared" si="82"/>
        <v>0</v>
      </c>
      <c r="AW56" s="5">
        <f t="shared" si="82"/>
        <v>0</v>
      </c>
      <c r="AX56" s="5">
        <f t="shared" si="82"/>
        <v>0</v>
      </c>
      <c r="AY56" s="5">
        <f t="shared" si="82"/>
        <v>0</v>
      </c>
      <c r="AZ56" s="5">
        <f t="shared" si="82"/>
        <v>0</v>
      </c>
      <c r="BA56" s="5">
        <f t="shared" si="82"/>
        <v>0</v>
      </c>
      <c r="BB56" s="5">
        <f t="shared" si="82"/>
        <v>0</v>
      </c>
      <c r="BC56" s="5">
        <f t="shared" si="82"/>
        <v>0</v>
      </c>
      <c r="BD56" s="5">
        <f t="shared" si="82"/>
        <v>0</v>
      </c>
      <c r="BE56" s="5">
        <f t="shared" si="82"/>
        <v>0</v>
      </c>
      <c r="BF56" s="5">
        <f t="shared" si="82"/>
        <v>0</v>
      </c>
      <c r="BG56" s="5">
        <f t="shared" si="82"/>
        <v>0</v>
      </c>
      <c r="BH56" s="5">
        <f t="shared" si="82"/>
        <v>0</v>
      </c>
      <c r="BI56" s="5">
        <f t="shared" si="82"/>
        <v>0</v>
      </c>
      <c r="BJ56" s="5">
        <f t="shared" si="82"/>
        <v>0</v>
      </c>
      <c r="BK56" s="5">
        <f t="shared" si="82"/>
        <v>0</v>
      </c>
      <c r="BL56" s="5">
        <f t="shared" si="82"/>
        <v>0</v>
      </c>
      <c r="BM56" s="5">
        <f t="shared" si="82"/>
        <v>0</v>
      </c>
      <c r="BN56" s="5">
        <f t="shared" si="82"/>
        <v>0</v>
      </c>
      <c r="BO56" s="5">
        <f t="shared" si="82"/>
        <v>0</v>
      </c>
      <c r="BP56" s="5">
        <f t="shared" si="82"/>
        <v>0</v>
      </c>
      <c r="BQ56" s="5">
        <f t="shared" si="82"/>
        <v>0</v>
      </c>
      <c r="BR56" s="5">
        <f t="shared" si="82"/>
        <v>0</v>
      </c>
      <c r="BS56" s="5">
        <f t="shared" si="82"/>
        <v>0</v>
      </c>
      <c r="BT56" s="5">
        <f t="shared" si="82"/>
        <v>0</v>
      </c>
      <c r="BU56" s="5">
        <f t="shared" ref="BU56:CC56" si="83">(BT56+BT57-BT59+BP58)</f>
        <v>0</v>
      </c>
      <c r="BV56" s="5">
        <f t="shared" si="83"/>
        <v>0</v>
      </c>
      <c r="BW56" s="5">
        <f t="shared" si="83"/>
        <v>0</v>
      </c>
      <c r="BX56" s="5">
        <f t="shared" si="83"/>
        <v>0</v>
      </c>
      <c r="BY56" s="5">
        <f t="shared" si="83"/>
        <v>0</v>
      </c>
      <c r="BZ56" s="5">
        <f t="shared" si="83"/>
        <v>0</v>
      </c>
      <c r="CA56" s="5">
        <f t="shared" si="83"/>
        <v>0</v>
      </c>
      <c r="CB56" s="5">
        <f t="shared" si="83"/>
        <v>0</v>
      </c>
      <c r="CC56" s="5">
        <f t="shared" si="83"/>
        <v>0</v>
      </c>
    </row>
    <row r="57" spans="1:81" x14ac:dyDescent="0.2">
      <c r="A57" s="5" t="s">
        <v>209</v>
      </c>
      <c r="B57" s="5">
        <v>7.4683000000000002</v>
      </c>
      <c r="C57" s="45" t="s">
        <v>39</v>
      </c>
      <c r="D57" s="59">
        <f>IFERROR(VLOOKUP(A56,WIP!$A:$B,2,0),0)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2">
      <c r="A58" s="5" t="s">
        <v>210</v>
      </c>
      <c r="B58" s="5">
        <v>0.13444</v>
      </c>
      <c r="C58" s="9" t="s">
        <v>211</v>
      </c>
      <c r="D58" s="60">
        <f>IFERROR(VLOOKUP($A56,Plan!$A:B,D$4,0),0)</f>
        <v>0</v>
      </c>
      <c r="E58" s="60">
        <f>IFERROR(VLOOKUP($A56,Plan!$A:C,E$4,0),0)</f>
        <v>0</v>
      </c>
      <c r="F58" s="60">
        <f>IFERROR(VLOOKUP($A56,Plan!$A:D,F$4,0),0)</f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 x14ac:dyDescent="0.2">
      <c r="A59" s="5" t="s">
        <v>212</v>
      </c>
      <c r="B59" s="5">
        <v>1.175E-2</v>
      </c>
      <c r="C59" s="9" t="s">
        <v>213</v>
      </c>
      <c r="D59" s="61">
        <f>IFERROR(VLOOKUP($A56,Sales!$A:B,D$2,0),0)</f>
        <v>0</v>
      </c>
      <c r="E59" s="61">
        <f>IFERROR(VLOOKUP($A56,Sales!$A:C,E$2,0),0)</f>
        <v>0</v>
      </c>
      <c r="F59" s="61">
        <f>IFERROR(VLOOKUP($A56,Sales!$A:D,F$2,0),0)</f>
        <v>0</v>
      </c>
      <c r="G59" s="61">
        <f>IFERROR(VLOOKUP($A56,Sales!$A:E,G$2,0),0)</f>
        <v>0</v>
      </c>
      <c r="H59" s="61">
        <f>IFERROR(VLOOKUP($A56,Sales!$A:F,H$2,0),0)</f>
        <v>0</v>
      </c>
      <c r="I59" s="61">
        <f>IFERROR(VLOOKUP($A56,Sales!$A:G,I$2,0),0)</f>
        <v>0</v>
      </c>
      <c r="J59" s="61">
        <f>IFERROR(VLOOKUP($A56,Sales!$A:H,J$2,0),0)</f>
        <v>0</v>
      </c>
      <c r="K59" s="61">
        <f>IFERROR(VLOOKUP($A56,Sales!$A:I,K$2,0),0)</f>
        <v>0</v>
      </c>
      <c r="L59" s="61">
        <f>IFERROR(VLOOKUP($A56,Sales!$A:J,L$2,0),0)</f>
        <v>0</v>
      </c>
      <c r="M59" s="61">
        <f>IFERROR(VLOOKUP($A56,Sales!$A:K,M$2,0),0)</f>
        <v>0</v>
      </c>
      <c r="N59" s="61">
        <f>IFERROR(VLOOKUP($A56,Sales!$A:L,N$2,0),0)</f>
        <v>0</v>
      </c>
      <c r="O59" s="61">
        <f>IFERROR(VLOOKUP($A56,Sales!$A:M,O$2,0),0)</f>
        <v>0</v>
      </c>
      <c r="P59" s="61">
        <f>IFERROR(VLOOKUP($A56,Sales!$A:N,P$2,0),0)</f>
        <v>0</v>
      </c>
      <c r="Q59" s="61">
        <f>IFERROR(VLOOKUP($A56,Sales!$A:O,Q$2,0),0)</f>
        <v>0</v>
      </c>
      <c r="R59" s="61">
        <f>IFERROR(VLOOKUP($A56,Sales!$A:P,R$2,0),0)</f>
        <v>0</v>
      </c>
      <c r="S59" s="61">
        <f>IFERROR(VLOOKUP($A56,Sales!$A:Q,S$2,0),0)</f>
        <v>0</v>
      </c>
      <c r="T59" s="61">
        <f>IFERROR(VLOOKUP($A56,Sales!$A:R,T$2,0),0)</f>
        <v>0</v>
      </c>
      <c r="U59" s="61">
        <f>IFERROR(VLOOKUP($A56,Sales!$A:S,U$2,0),0)</f>
        <v>0</v>
      </c>
      <c r="V59" s="61">
        <f>IFERROR(VLOOKUP($A56,Sales!$A:T,V$2,0),0)</f>
        <v>0</v>
      </c>
      <c r="W59" s="61">
        <f>IFERROR(VLOOKUP($A56,Sales!$A:U,W$2,0),0)</f>
        <v>0</v>
      </c>
      <c r="X59" s="61">
        <f>IFERROR(VLOOKUP($A56,Sales!$A:V,X$2,0),0)</f>
        <v>0</v>
      </c>
      <c r="Y59" s="61">
        <f>IFERROR(VLOOKUP($A56,Sales!$A:W,Y$2,0),0)</f>
        <v>0</v>
      </c>
      <c r="Z59" s="61">
        <f>IFERROR(VLOOKUP($A56,Sales!$A:X,Z$2,0),0)</f>
        <v>0</v>
      </c>
      <c r="AA59" s="61">
        <f>IFERROR(VLOOKUP($A56,Sales!$A:Y,AA$2,0),0)</f>
        <v>0</v>
      </c>
      <c r="AB59" s="61">
        <f>IFERROR(VLOOKUP($A56,Sales!$A:Z,AB$2,0),0)</f>
        <v>0</v>
      </c>
      <c r="AC59" s="61">
        <f>IFERROR(VLOOKUP($A56,Sales!$A:AA,AC$2,0),0)</f>
        <v>0</v>
      </c>
      <c r="AD59" s="61">
        <f>IFERROR(VLOOKUP($A56,Sales!$A:AB,AD$2,0),0)</f>
        <v>0</v>
      </c>
      <c r="AE59" s="61">
        <f>IFERROR(VLOOKUP($A56,Sales!$A:AC,AE$2,0),0)</f>
        <v>0</v>
      </c>
      <c r="AF59" s="61">
        <f>IFERROR(VLOOKUP($A56,Sales!$A:AD,AF$2,0),0)</f>
        <v>0</v>
      </c>
      <c r="AG59" s="61">
        <f>IFERROR(VLOOKUP($A56,Sales!$A:AE,AG$2,0),0)</f>
        <v>0</v>
      </c>
      <c r="AH59" s="61">
        <f>IFERROR(VLOOKUP($A56,Sales!$A:AF,AH$2,0),0)</f>
        <v>0</v>
      </c>
      <c r="AI59" s="61">
        <f>IFERROR(VLOOKUP($A56,Sales!$A:AG,AI$2,0),0)</f>
        <v>0</v>
      </c>
      <c r="AJ59" s="61">
        <f>IFERROR(VLOOKUP($A56,Sales!$A:AH,AJ$2,0),0)</f>
        <v>0</v>
      </c>
      <c r="AK59" s="74">
        <f t="shared" ref="AK59:CC59" si="84">CEILING(AK$5*$B55,1)</f>
        <v>0</v>
      </c>
      <c r="AL59" s="74">
        <f t="shared" si="84"/>
        <v>0</v>
      </c>
      <c r="AM59" s="74">
        <f t="shared" si="84"/>
        <v>0</v>
      </c>
      <c r="AN59" s="74">
        <f t="shared" si="84"/>
        <v>0</v>
      </c>
      <c r="AO59" s="74">
        <f t="shared" si="84"/>
        <v>0</v>
      </c>
      <c r="AP59" s="74">
        <f t="shared" si="84"/>
        <v>0</v>
      </c>
      <c r="AQ59" s="74">
        <f t="shared" si="84"/>
        <v>0</v>
      </c>
      <c r="AR59" s="74">
        <f t="shared" si="84"/>
        <v>0</v>
      </c>
      <c r="AS59" s="74">
        <f t="shared" si="84"/>
        <v>0</v>
      </c>
      <c r="AT59" s="74">
        <f t="shared" si="84"/>
        <v>0</v>
      </c>
      <c r="AU59" s="74">
        <f t="shared" si="84"/>
        <v>0</v>
      </c>
      <c r="AV59" s="74">
        <f t="shared" si="84"/>
        <v>0</v>
      </c>
      <c r="AW59" s="74">
        <f t="shared" si="84"/>
        <v>0</v>
      </c>
      <c r="AX59" s="74">
        <f t="shared" si="84"/>
        <v>0</v>
      </c>
      <c r="AY59" s="74">
        <f t="shared" si="84"/>
        <v>0</v>
      </c>
      <c r="AZ59" s="74">
        <f t="shared" si="84"/>
        <v>0</v>
      </c>
      <c r="BA59" s="74">
        <f t="shared" si="84"/>
        <v>0</v>
      </c>
      <c r="BB59" s="74">
        <f t="shared" si="84"/>
        <v>0</v>
      </c>
      <c r="BC59" s="74">
        <f t="shared" si="84"/>
        <v>0</v>
      </c>
      <c r="BD59" s="74">
        <f t="shared" si="84"/>
        <v>0</v>
      </c>
      <c r="BE59" s="74">
        <f t="shared" si="84"/>
        <v>0</v>
      </c>
      <c r="BF59" s="74">
        <f t="shared" si="84"/>
        <v>0</v>
      </c>
      <c r="BG59" s="74">
        <f t="shared" si="84"/>
        <v>0</v>
      </c>
      <c r="BH59" s="74">
        <f t="shared" si="84"/>
        <v>0</v>
      </c>
      <c r="BI59" s="74">
        <f t="shared" si="84"/>
        <v>0</v>
      </c>
      <c r="BJ59" s="74">
        <f t="shared" si="84"/>
        <v>0</v>
      </c>
      <c r="BK59" s="74">
        <f t="shared" si="84"/>
        <v>0</v>
      </c>
      <c r="BL59" s="74">
        <f t="shared" si="84"/>
        <v>0</v>
      </c>
      <c r="BM59" s="74">
        <f t="shared" si="84"/>
        <v>0</v>
      </c>
      <c r="BN59" s="74">
        <f t="shared" si="84"/>
        <v>0</v>
      </c>
      <c r="BO59" s="74">
        <f t="shared" si="84"/>
        <v>0</v>
      </c>
      <c r="BP59" s="74">
        <f t="shared" si="84"/>
        <v>0</v>
      </c>
      <c r="BQ59" s="74">
        <f t="shared" si="84"/>
        <v>0</v>
      </c>
      <c r="BR59" s="74">
        <f t="shared" si="84"/>
        <v>0</v>
      </c>
      <c r="BS59" s="74">
        <f t="shared" si="84"/>
        <v>0</v>
      </c>
      <c r="BT59" s="74">
        <f t="shared" si="84"/>
        <v>0</v>
      </c>
      <c r="BU59" s="74">
        <f t="shared" si="84"/>
        <v>0</v>
      </c>
      <c r="BV59" s="74">
        <f t="shared" si="84"/>
        <v>0</v>
      </c>
      <c r="BW59" s="74">
        <f t="shared" si="84"/>
        <v>0</v>
      </c>
      <c r="BX59" s="74">
        <f t="shared" si="84"/>
        <v>0</v>
      </c>
      <c r="BY59" s="74">
        <f t="shared" si="84"/>
        <v>0</v>
      </c>
      <c r="BZ59" s="74">
        <f t="shared" si="84"/>
        <v>0</v>
      </c>
      <c r="CA59" s="74">
        <f t="shared" si="84"/>
        <v>0</v>
      </c>
      <c r="CB59" s="74">
        <f t="shared" si="84"/>
        <v>0</v>
      </c>
      <c r="CC59" s="74">
        <f t="shared" si="84"/>
        <v>0</v>
      </c>
    </row>
    <row r="60" spans="1:81" x14ac:dyDescent="0.2">
      <c r="A60" s="5" t="s">
        <v>214</v>
      </c>
      <c r="B60" s="5">
        <v>0.14618999999999999</v>
      </c>
      <c r="C60" s="46" t="s">
        <v>215</v>
      </c>
      <c r="D60" s="11">
        <f t="shared" ref="D60:AI60" si="85">IF(D59=0,0, ROUND(D56 * 1/D59* D$13,1))</f>
        <v>0</v>
      </c>
      <c r="E60" s="11">
        <f t="shared" si="85"/>
        <v>0</v>
      </c>
      <c r="F60" s="11">
        <f t="shared" si="85"/>
        <v>0</v>
      </c>
      <c r="G60" s="11">
        <f t="shared" si="85"/>
        <v>0</v>
      </c>
      <c r="H60" s="11">
        <f t="shared" si="85"/>
        <v>0</v>
      </c>
      <c r="I60" s="11">
        <f t="shared" si="85"/>
        <v>0</v>
      </c>
      <c r="J60" s="11">
        <f t="shared" si="85"/>
        <v>0</v>
      </c>
      <c r="K60" s="11">
        <f t="shared" si="85"/>
        <v>0</v>
      </c>
      <c r="L60" s="11">
        <f t="shared" si="85"/>
        <v>0</v>
      </c>
      <c r="M60" s="11">
        <f t="shared" si="85"/>
        <v>0</v>
      </c>
      <c r="N60" s="11">
        <f t="shared" si="85"/>
        <v>0</v>
      </c>
      <c r="O60" s="11">
        <f t="shared" si="85"/>
        <v>0</v>
      </c>
      <c r="P60" s="11">
        <f t="shared" si="85"/>
        <v>0</v>
      </c>
      <c r="Q60" s="11">
        <f t="shared" si="85"/>
        <v>0</v>
      </c>
      <c r="R60" s="11">
        <f t="shared" si="85"/>
        <v>0</v>
      </c>
      <c r="S60" s="11">
        <f t="shared" si="85"/>
        <v>0</v>
      </c>
      <c r="T60" s="11">
        <f t="shared" si="85"/>
        <v>0</v>
      </c>
      <c r="U60" s="11">
        <f t="shared" si="85"/>
        <v>0</v>
      </c>
      <c r="V60" s="11">
        <f t="shared" si="85"/>
        <v>0</v>
      </c>
      <c r="W60" s="11">
        <f t="shared" si="85"/>
        <v>0</v>
      </c>
      <c r="X60" s="11">
        <f t="shared" si="85"/>
        <v>0</v>
      </c>
      <c r="Y60" s="11">
        <f t="shared" si="85"/>
        <v>0</v>
      </c>
      <c r="Z60" s="11">
        <f t="shared" si="85"/>
        <v>0</v>
      </c>
      <c r="AA60" s="11">
        <f t="shared" si="85"/>
        <v>0</v>
      </c>
      <c r="AB60" s="11">
        <f t="shared" si="85"/>
        <v>0</v>
      </c>
      <c r="AC60" s="11">
        <f t="shared" si="85"/>
        <v>0</v>
      </c>
      <c r="AD60" s="11">
        <f t="shared" si="85"/>
        <v>0</v>
      </c>
      <c r="AE60" s="11">
        <f t="shared" si="85"/>
        <v>0</v>
      </c>
      <c r="AF60" s="11">
        <f t="shared" si="85"/>
        <v>0</v>
      </c>
      <c r="AG60" s="11">
        <f t="shared" si="85"/>
        <v>0</v>
      </c>
      <c r="AH60" s="11">
        <f t="shared" si="85"/>
        <v>0</v>
      </c>
      <c r="AI60" s="11">
        <f t="shared" si="85"/>
        <v>0</v>
      </c>
      <c r="AJ60" s="11">
        <f t="shared" ref="AJ60:BO60" si="86">IF(AJ59=0,0, ROUND(AJ56 * 1/AJ59* AJ$13,1))</f>
        <v>0</v>
      </c>
      <c r="AK60" s="11">
        <f t="shared" si="86"/>
        <v>0</v>
      </c>
      <c r="AL60" s="11">
        <f t="shared" si="86"/>
        <v>0</v>
      </c>
      <c r="AM60" s="11">
        <f t="shared" si="86"/>
        <v>0</v>
      </c>
      <c r="AN60" s="11">
        <f t="shared" si="86"/>
        <v>0</v>
      </c>
      <c r="AO60" s="11">
        <f t="shared" si="86"/>
        <v>0</v>
      </c>
      <c r="AP60" s="11">
        <f t="shared" si="86"/>
        <v>0</v>
      </c>
      <c r="AQ60" s="11">
        <f t="shared" si="86"/>
        <v>0</v>
      </c>
      <c r="AR60" s="11">
        <f t="shared" si="86"/>
        <v>0</v>
      </c>
      <c r="AS60" s="11">
        <f t="shared" si="86"/>
        <v>0</v>
      </c>
      <c r="AT60" s="11">
        <f t="shared" si="86"/>
        <v>0</v>
      </c>
      <c r="AU60" s="11">
        <f t="shared" si="86"/>
        <v>0</v>
      </c>
      <c r="AV60" s="11">
        <f t="shared" si="86"/>
        <v>0</v>
      </c>
      <c r="AW60" s="11">
        <f t="shared" si="86"/>
        <v>0</v>
      </c>
      <c r="AX60" s="11">
        <f t="shared" si="86"/>
        <v>0</v>
      </c>
      <c r="AY60" s="11">
        <f t="shared" si="86"/>
        <v>0</v>
      </c>
      <c r="AZ60" s="11">
        <f t="shared" si="86"/>
        <v>0</v>
      </c>
      <c r="BA60" s="11">
        <f t="shared" si="86"/>
        <v>0</v>
      </c>
      <c r="BB60" s="11">
        <f t="shared" si="86"/>
        <v>0</v>
      </c>
      <c r="BC60" s="11">
        <f t="shared" si="86"/>
        <v>0</v>
      </c>
      <c r="BD60" s="11">
        <f t="shared" si="86"/>
        <v>0</v>
      </c>
      <c r="BE60" s="11">
        <f t="shared" si="86"/>
        <v>0</v>
      </c>
      <c r="BF60" s="11">
        <f t="shared" si="86"/>
        <v>0</v>
      </c>
      <c r="BG60" s="11">
        <f t="shared" si="86"/>
        <v>0</v>
      </c>
      <c r="BH60" s="11">
        <f t="shared" si="86"/>
        <v>0</v>
      </c>
      <c r="BI60" s="11">
        <f t="shared" si="86"/>
        <v>0</v>
      </c>
      <c r="BJ60" s="11">
        <f t="shared" si="86"/>
        <v>0</v>
      </c>
      <c r="BK60" s="11">
        <f t="shared" si="86"/>
        <v>0</v>
      </c>
      <c r="BL60" s="11">
        <f t="shared" si="86"/>
        <v>0</v>
      </c>
      <c r="BM60" s="11">
        <f t="shared" si="86"/>
        <v>0</v>
      </c>
      <c r="BN60" s="11">
        <f t="shared" si="86"/>
        <v>0</v>
      </c>
      <c r="BO60" s="11">
        <f t="shared" si="86"/>
        <v>0</v>
      </c>
      <c r="BP60" s="11">
        <f t="shared" ref="BP60:CC60" si="87">IF(BP59=0,0, ROUND(BP56 * 1/BP59* BP$13,1))</f>
        <v>0</v>
      </c>
      <c r="BQ60" s="11">
        <f t="shared" si="87"/>
        <v>0</v>
      </c>
      <c r="BR60" s="11">
        <f t="shared" si="87"/>
        <v>0</v>
      </c>
      <c r="BS60" s="11">
        <f t="shared" si="87"/>
        <v>0</v>
      </c>
      <c r="BT60" s="11">
        <f t="shared" si="87"/>
        <v>0</v>
      </c>
      <c r="BU60" s="11">
        <f t="shared" si="87"/>
        <v>0</v>
      </c>
      <c r="BV60" s="11">
        <f t="shared" si="87"/>
        <v>0</v>
      </c>
      <c r="BW60" s="11">
        <f t="shared" si="87"/>
        <v>0</v>
      </c>
      <c r="BX60" s="11">
        <f t="shared" si="87"/>
        <v>0</v>
      </c>
      <c r="BY60" s="11">
        <f t="shared" si="87"/>
        <v>0</v>
      </c>
      <c r="BZ60" s="11">
        <f t="shared" si="87"/>
        <v>0</v>
      </c>
      <c r="CA60" s="11">
        <f t="shared" si="87"/>
        <v>0</v>
      </c>
      <c r="CB60" s="11">
        <f t="shared" si="87"/>
        <v>0</v>
      </c>
      <c r="CC60" s="11">
        <f t="shared" si="87"/>
        <v>0</v>
      </c>
    </row>
    <row r="61" spans="1:81" x14ac:dyDescent="0.2">
      <c r="A61">
        <v>6</v>
      </c>
      <c r="B61">
        <v>1</v>
      </c>
      <c r="C61" s="8">
        <v>3.1042000000000001</v>
      </c>
      <c r="D61">
        <f t="shared" ref="D61:AI61" si="88">D58/$B61</f>
        <v>0</v>
      </c>
      <c r="E61">
        <f t="shared" si="88"/>
        <v>0</v>
      </c>
      <c r="F61">
        <f t="shared" si="88"/>
        <v>0</v>
      </c>
      <c r="G61">
        <f t="shared" si="88"/>
        <v>0</v>
      </c>
      <c r="H61">
        <f t="shared" si="88"/>
        <v>0</v>
      </c>
      <c r="I61">
        <f t="shared" si="88"/>
        <v>0</v>
      </c>
      <c r="J61">
        <f t="shared" si="88"/>
        <v>0</v>
      </c>
      <c r="K61">
        <f t="shared" si="88"/>
        <v>0</v>
      </c>
      <c r="L61">
        <f t="shared" si="88"/>
        <v>0</v>
      </c>
      <c r="M61">
        <f t="shared" si="88"/>
        <v>0</v>
      </c>
      <c r="N61">
        <f t="shared" si="88"/>
        <v>0</v>
      </c>
      <c r="O61">
        <f t="shared" si="88"/>
        <v>0</v>
      </c>
      <c r="P61">
        <f t="shared" si="88"/>
        <v>0</v>
      </c>
      <c r="Q61">
        <f t="shared" si="88"/>
        <v>0</v>
      </c>
      <c r="R61">
        <f t="shared" si="88"/>
        <v>0</v>
      </c>
      <c r="S61">
        <f t="shared" si="88"/>
        <v>0</v>
      </c>
      <c r="T61">
        <f t="shared" si="88"/>
        <v>0</v>
      </c>
      <c r="U61">
        <f t="shared" si="88"/>
        <v>0</v>
      </c>
      <c r="V61">
        <f t="shared" si="88"/>
        <v>0</v>
      </c>
      <c r="W61">
        <f t="shared" si="88"/>
        <v>0</v>
      </c>
      <c r="X61">
        <f t="shared" si="88"/>
        <v>0</v>
      </c>
      <c r="Y61">
        <f t="shared" si="88"/>
        <v>0</v>
      </c>
      <c r="Z61">
        <f t="shared" si="88"/>
        <v>0</v>
      </c>
      <c r="AA61">
        <f t="shared" si="88"/>
        <v>0</v>
      </c>
      <c r="AB61">
        <f t="shared" si="88"/>
        <v>0</v>
      </c>
      <c r="AC61">
        <f t="shared" si="88"/>
        <v>0</v>
      </c>
      <c r="AD61">
        <f t="shared" si="88"/>
        <v>0</v>
      </c>
      <c r="AE61">
        <f t="shared" si="88"/>
        <v>0</v>
      </c>
      <c r="AF61">
        <f t="shared" si="88"/>
        <v>0</v>
      </c>
      <c r="AG61">
        <f t="shared" si="88"/>
        <v>0</v>
      </c>
      <c r="AH61">
        <f t="shared" si="88"/>
        <v>0</v>
      </c>
      <c r="AI61">
        <f t="shared" si="88"/>
        <v>0</v>
      </c>
      <c r="AJ61">
        <f t="shared" ref="AJ61:BO61" si="89">AJ58/$B61</f>
        <v>0</v>
      </c>
      <c r="AK61">
        <f t="shared" si="89"/>
        <v>0</v>
      </c>
      <c r="AL61">
        <f t="shared" si="89"/>
        <v>0</v>
      </c>
      <c r="AM61">
        <f t="shared" si="89"/>
        <v>0</v>
      </c>
      <c r="AN61">
        <f t="shared" si="89"/>
        <v>0</v>
      </c>
      <c r="AO61">
        <f t="shared" si="89"/>
        <v>0</v>
      </c>
      <c r="AP61">
        <f t="shared" si="89"/>
        <v>0</v>
      </c>
      <c r="AQ61">
        <f t="shared" si="89"/>
        <v>0</v>
      </c>
      <c r="AR61">
        <f t="shared" si="89"/>
        <v>0</v>
      </c>
      <c r="AS61">
        <f t="shared" si="89"/>
        <v>0</v>
      </c>
      <c r="AT61">
        <f t="shared" si="89"/>
        <v>0</v>
      </c>
      <c r="AU61">
        <f t="shared" si="89"/>
        <v>0</v>
      </c>
      <c r="AV61">
        <f t="shared" si="89"/>
        <v>0</v>
      </c>
      <c r="AW61">
        <f t="shared" si="89"/>
        <v>0</v>
      </c>
      <c r="AX61">
        <f t="shared" si="89"/>
        <v>0</v>
      </c>
      <c r="AY61">
        <f t="shared" si="89"/>
        <v>0</v>
      </c>
      <c r="AZ61">
        <f t="shared" si="89"/>
        <v>0</v>
      </c>
      <c r="BA61">
        <f t="shared" si="89"/>
        <v>0</v>
      </c>
      <c r="BB61">
        <f t="shared" si="89"/>
        <v>0</v>
      </c>
      <c r="BC61">
        <f t="shared" si="89"/>
        <v>0</v>
      </c>
      <c r="BD61">
        <f t="shared" si="89"/>
        <v>0</v>
      </c>
      <c r="BE61">
        <f t="shared" si="89"/>
        <v>0</v>
      </c>
      <c r="BF61">
        <f t="shared" si="89"/>
        <v>0</v>
      </c>
      <c r="BG61">
        <f t="shared" si="89"/>
        <v>0</v>
      </c>
      <c r="BH61">
        <f t="shared" si="89"/>
        <v>0</v>
      </c>
      <c r="BI61">
        <f t="shared" si="89"/>
        <v>0</v>
      </c>
      <c r="BJ61">
        <f t="shared" si="89"/>
        <v>0</v>
      </c>
      <c r="BK61">
        <f t="shared" si="89"/>
        <v>0</v>
      </c>
      <c r="BL61">
        <f t="shared" si="89"/>
        <v>0</v>
      </c>
      <c r="BM61">
        <f t="shared" si="89"/>
        <v>0</v>
      </c>
      <c r="BN61">
        <f t="shared" si="89"/>
        <v>0</v>
      </c>
      <c r="BO61">
        <f t="shared" si="89"/>
        <v>0</v>
      </c>
      <c r="BP61">
        <f t="shared" ref="BP61:CC61" si="90">BP58/$B61</f>
        <v>0</v>
      </c>
      <c r="BQ61">
        <f t="shared" si="90"/>
        <v>0</v>
      </c>
      <c r="BR61">
        <f t="shared" si="90"/>
        <v>0</v>
      </c>
      <c r="BS61">
        <f t="shared" si="90"/>
        <v>0</v>
      </c>
      <c r="BT61">
        <f t="shared" si="90"/>
        <v>0</v>
      </c>
      <c r="BU61">
        <f t="shared" si="90"/>
        <v>0</v>
      </c>
      <c r="BV61">
        <f t="shared" si="90"/>
        <v>0</v>
      </c>
      <c r="BW61">
        <f t="shared" si="90"/>
        <v>0</v>
      </c>
      <c r="BX61">
        <f t="shared" si="90"/>
        <v>0</v>
      </c>
      <c r="BY61">
        <f t="shared" si="90"/>
        <v>0</v>
      </c>
      <c r="BZ61">
        <f t="shared" si="90"/>
        <v>0</v>
      </c>
      <c r="CA61">
        <f t="shared" si="90"/>
        <v>0</v>
      </c>
      <c r="CB61">
        <f t="shared" si="90"/>
        <v>0</v>
      </c>
      <c r="CC61">
        <f t="shared" si="90"/>
        <v>0</v>
      </c>
    </row>
    <row r="62" spans="1:81" x14ac:dyDescent="0.2">
      <c r="B62" s="67">
        <f>SUM(D66:AJ66)/SUM($D$263:$AJ$263)</f>
        <v>0</v>
      </c>
      <c r="C62" s="9" t="s">
        <v>216</v>
      </c>
      <c r="D62">
        <f t="shared" ref="D62:AI62" si="91">D56-D59</f>
        <v>0</v>
      </c>
      <c r="E62">
        <f t="shared" si="91"/>
        <v>0</v>
      </c>
      <c r="F62">
        <f t="shared" si="91"/>
        <v>0</v>
      </c>
      <c r="G62">
        <f t="shared" si="91"/>
        <v>0</v>
      </c>
      <c r="H62">
        <f t="shared" si="91"/>
        <v>0</v>
      </c>
      <c r="I62">
        <f t="shared" si="91"/>
        <v>0</v>
      </c>
      <c r="J62">
        <f t="shared" si="91"/>
        <v>0</v>
      </c>
      <c r="K62">
        <f t="shared" si="91"/>
        <v>0</v>
      </c>
      <c r="L62">
        <f t="shared" si="91"/>
        <v>0</v>
      </c>
      <c r="M62">
        <f t="shared" si="91"/>
        <v>0</v>
      </c>
      <c r="N62">
        <f t="shared" si="91"/>
        <v>0</v>
      </c>
      <c r="O62">
        <f t="shared" si="91"/>
        <v>0</v>
      </c>
      <c r="P62">
        <f t="shared" si="91"/>
        <v>0</v>
      </c>
      <c r="Q62">
        <f t="shared" si="91"/>
        <v>0</v>
      </c>
      <c r="R62">
        <f t="shared" si="91"/>
        <v>0</v>
      </c>
      <c r="S62">
        <f t="shared" si="91"/>
        <v>0</v>
      </c>
      <c r="T62">
        <f t="shared" si="91"/>
        <v>0</v>
      </c>
      <c r="U62">
        <f t="shared" si="91"/>
        <v>0</v>
      </c>
      <c r="V62">
        <f t="shared" si="91"/>
        <v>0</v>
      </c>
      <c r="W62">
        <f t="shared" si="91"/>
        <v>0</v>
      </c>
      <c r="X62">
        <f t="shared" si="91"/>
        <v>0</v>
      </c>
      <c r="Y62">
        <f t="shared" si="91"/>
        <v>0</v>
      </c>
      <c r="Z62">
        <f t="shared" si="91"/>
        <v>0</v>
      </c>
      <c r="AA62">
        <f t="shared" si="91"/>
        <v>0</v>
      </c>
      <c r="AB62">
        <f t="shared" si="91"/>
        <v>0</v>
      </c>
      <c r="AC62">
        <f t="shared" si="91"/>
        <v>0</v>
      </c>
      <c r="AD62">
        <f t="shared" si="91"/>
        <v>0</v>
      </c>
      <c r="AE62">
        <f t="shared" si="91"/>
        <v>0</v>
      </c>
      <c r="AF62">
        <f t="shared" si="91"/>
        <v>0</v>
      </c>
      <c r="AG62">
        <f t="shared" si="91"/>
        <v>0</v>
      </c>
      <c r="AH62">
        <f t="shared" si="91"/>
        <v>0</v>
      </c>
      <c r="AI62">
        <f t="shared" si="91"/>
        <v>0</v>
      </c>
      <c r="AJ62">
        <f t="shared" ref="AJ62:BO62" si="92">AJ56-AJ59</f>
        <v>0</v>
      </c>
      <c r="AK62">
        <f t="shared" si="92"/>
        <v>0</v>
      </c>
      <c r="AL62">
        <f t="shared" si="92"/>
        <v>0</v>
      </c>
      <c r="AM62">
        <f t="shared" si="92"/>
        <v>0</v>
      </c>
      <c r="AN62">
        <f t="shared" si="92"/>
        <v>0</v>
      </c>
      <c r="AO62">
        <f t="shared" si="92"/>
        <v>0</v>
      </c>
      <c r="AP62">
        <f t="shared" si="92"/>
        <v>0</v>
      </c>
      <c r="AQ62">
        <f t="shared" si="92"/>
        <v>0</v>
      </c>
      <c r="AR62">
        <f t="shared" si="92"/>
        <v>0</v>
      </c>
      <c r="AS62">
        <f t="shared" si="92"/>
        <v>0</v>
      </c>
      <c r="AT62">
        <f t="shared" si="92"/>
        <v>0</v>
      </c>
      <c r="AU62">
        <f t="shared" si="92"/>
        <v>0</v>
      </c>
      <c r="AV62">
        <f t="shared" si="92"/>
        <v>0</v>
      </c>
      <c r="AW62">
        <f t="shared" si="92"/>
        <v>0</v>
      </c>
      <c r="AX62">
        <f t="shared" si="92"/>
        <v>0</v>
      </c>
      <c r="AY62">
        <f t="shared" si="92"/>
        <v>0</v>
      </c>
      <c r="AZ62">
        <f t="shared" si="92"/>
        <v>0</v>
      </c>
      <c r="BA62">
        <f t="shared" si="92"/>
        <v>0</v>
      </c>
      <c r="BB62">
        <f t="shared" si="92"/>
        <v>0</v>
      </c>
      <c r="BC62">
        <f t="shared" si="92"/>
        <v>0</v>
      </c>
      <c r="BD62">
        <f t="shared" si="92"/>
        <v>0</v>
      </c>
      <c r="BE62">
        <f t="shared" si="92"/>
        <v>0</v>
      </c>
      <c r="BF62">
        <f t="shared" si="92"/>
        <v>0</v>
      </c>
      <c r="BG62">
        <f t="shared" si="92"/>
        <v>0</v>
      </c>
      <c r="BH62">
        <f t="shared" si="92"/>
        <v>0</v>
      </c>
      <c r="BI62">
        <f t="shared" si="92"/>
        <v>0</v>
      </c>
      <c r="BJ62">
        <f t="shared" si="92"/>
        <v>0</v>
      </c>
      <c r="BK62">
        <f t="shared" si="92"/>
        <v>0</v>
      </c>
      <c r="BL62">
        <f t="shared" si="92"/>
        <v>0</v>
      </c>
      <c r="BM62">
        <f t="shared" si="92"/>
        <v>0</v>
      </c>
      <c r="BN62">
        <f t="shared" si="92"/>
        <v>0</v>
      </c>
      <c r="BO62">
        <f t="shared" si="92"/>
        <v>0</v>
      </c>
      <c r="BP62">
        <f t="shared" ref="BP62:CC62" si="93">BP56-BP59</f>
        <v>0</v>
      </c>
      <c r="BQ62">
        <f t="shared" si="93"/>
        <v>0</v>
      </c>
      <c r="BR62">
        <f t="shared" si="93"/>
        <v>0</v>
      </c>
      <c r="BS62">
        <f t="shared" si="93"/>
        <v>0</v>
      </c>
      <c r="BT62">
        <f t="shared" si="93"/>
        <v>0</v>
      </c>
      <c r="BU62">
        <f t="shared" si="93"/>
        <v>0</v>
      </c>
      <c r="BV62">
        <f t="shared" si="93"/>
        <v>0</v>
      </c>
      <c r="BW62">
        <f t="shared" si="93"/>
        <v>0</v>
      </c>
      <c r="BX62">
        <f t="shared" si="93"/>
        <v>0</v>
      </c>
      <c r="BY62">
        <f t="shared" si="93"/>
        <v>0</v>
      </c>
      <c r="BZ62">
        <f t="shared" si="93"/>
        <v>0</v>
      </c>
      <c r="CA62">
        <f t="shared" si="93"/>
        <v>0</v>
      </c>
      <c r="CB62">
        <f t="shared" si="93"/>
        <v>0</v>
      </c>
      <c r="CC62">
        <f t="shared" si="93"/>
        <v>0</v>
      </c>
    </row>
    <row r="63" spans="1:81" x14ac:dyDescent="0.2">
      <c r="A63" s="43" t="s">
        <v>296</v>
      </c>
      <c r="B63" s="44" t="s">
        <v>208</v>
      </c>
      <c r="C63" s="9" t="s">
        <v>38</v>
      </c>
      <c r="D63" s="58">
        <f>IFERROR(VLOOKUP(A63,OS!$A:$B,2,0),0)</f>
        <v>200</v>
      </c>
      <c r="E63" s="5">
        <f>(D63+D64-D66)</f>
        <v>200</v>
      </c>
      <c r="F63" s="5">
        <f>(E63+E64-E66)</f>
        <v>200</v>
      </c>
      <c r="G63" s="5">
        <f>(F63+F64-F66)</f>
        <v>200</v>
      </c>
      <c r="H63" s="5">
        <f>(G63+G64-G66)</f>
        <v>200</v>
      </c>
      <c r="I63" s="5">
        <f t="shared" ref="I63:AN63" si="94">(H63+H64-H66+D65)</f>
        <v>200</v>
      </c>
      <c r="J63" s="5">
        <f t="shared" si="94"/>
        <v>200</v>
      </c>
      <c r="K63" s="5">
        <f t="shared" si="94"/>
        <v>200</v>
      </c>
      <c r="L63" s="5">
        <f t="shared" si="94"/>
        <v>200</v>
      </c>
      <c r="M63" s="5">
        <f t="shared" si="94"/>
        <v>200</v>
      </c>
      <c r="N63" s="5">
        <f t="shared" si="94"/>
        <v>200</v>
      </c>
      <c r="O63" s="5">
        <f t="shared" si="94"/>
        <v>200</v>
      </c>
      <c r="P63" s="5">
        <f t="shared" si="94"/>
        <v>200</v>
      </c>
      <c r="Q63" s="5">
        <f t="shared" si="94"/>
        <v>200</v>
      </c>
      <c r="R63" s="5">
        <f t="shared" si="94"/>
        <v>200</v>
      </c>
      <c r="S63" s="5">
        <f t="shared" si="94"/>
        <v>200</v>
      </c>
      <c r="T63" s="5">
        <f t="shared" si="94"/>
        <v>200</v>
      </c>
      <c r="U63" s="5">
        <f t="shared" si="94"/>
        <v>200</v>
      </c>
      <c r="V63" s="5">
        <f t="shared" si="94"/>
        <v>200</v>
      </c>
      <c r="W63" s="5">
        <f t="shared" si="94"/>
        <v>200</v>
      </c>
      <c r="X63" s="5">
        <f t="shared" si="94"/>
        <v>200</v>
      </c>
      <c r="Y63" s="5">
        <f t="shared" si="94"/>
        <v>200</v>
      </c>
      <c r="Z63" s="5">
        <f t="shared" si="94"/>
        <v>200</v>
      </c>
      <c r="AA63" s="5">
        <f t="shared" si="94"/>
        <v>200</v>
      </c>
      <c r="AB63" s="5">
        <f t="shared" si="94"/>
        <v>200</v>
      </c>
      <c r="AC63" s="5">
        <f t="shared" si="94"/>
        <v>200</v>
      </c>
      <c r="AD63" s="5">
        <f t="shared" si="94"/>
        <v>200</v>
      </c>
      <c r="AE63" s="5">
        <f t="shared" si="94"/>
        <v>200</v>
      </c>
      <c r="AF63" s="5">
        <f t="shared" si="94"/>
        <v>200</v>
      </c>
      <c r="AG63" s="5">
        <f t="shared" si="94"/>
        <v>200</v>
      </c>
      <c r="AH63" s="5">
        <f t="shared" si="94"/>
        <v>200</v>
      </c>
      <c r="AI63" s="5">
        <f t="shared" si="94"/>
        <v>200</v>
      </c>
      <c r="AJ63" s="5">
        <f t="shared" si="94"/>
        <v>200</v>
      </c>
      <c r="AK63" s="5">
        <f t="shared" si="94"/>
        <v>200</v>
      </c>
      <c r="AL63" s="5">
        <f t="shared" si="94"/>
        <v>200</v>
      </c>
      <c r="AM63" s="5">
        <f t="shared" si="94"/>
        <v>200</v>
      </c>
      <c r="AN63" s="5">
        <f t="shared" si="94"/>
        <v>200</v>
      </c>
      <c r="AO63" s="5">
        <f t="shared" ref="AO63:BT63" si="95">(AN63+AN64-AN66+AJ65)</f>
        <v>200</v>
      </c>
      <c r="AP63" s="5">
        <f t="shared" si="95"/>
        <v>200</v>
      </c>
      <c r="AQ63" s="5">
        <f t="shared" si="95"/>
        <v>200</v>
      </c>
      <c r="AR63" s="5">
        <f t="shared" si="95"/>
        <v>200</v>
      </c>
      <c r="AS63" s="5">
        <f t="shared" si="95"/>
        <v>200</v>
      </c>
      <c r="AT63" s="5">
        <f t="shared" si="95"/>
        <v>200</v>
      </c>
      <c r="AU63" s="5">
        <f t="shared" si="95"/>
        <v>200</v>
      </c>
      <c r="AV63" s="5">
        <f t="shared" si="95"/>
        <v>200</v>
      </c>
      <c r="AW63" s="5">
        <f t="shared" si="95"/>
        <v>200</v>
      </c>
      <c r="AX63" s="5">
        <f t="shared" si="95"/>
        <v>200</v>
      </c>
      <c r="AY63" s="5">
        <f t="shared" si="95"/>
        <v>200</v>
      </c>
      <c r="AZ63" s="5">
        <f t="shared" si="95"/>
        <v>200</v>
      </c>
      <c r="BA63" s="5">
        <f t="shared" si="95"/>
        <v>200</v>
      </c>
      <c r="BB63" s="5">
        <f t="shared" si="95"/>
        <v>200</v>
      </c>
      <c r="BC63" s="5">
        <f t="shared" si="95"/>
        <v>200</v>
      </c>
      <c r="BD63" s="5">
        <f t="shared" si="95"/>
        <v>200</v>
      </c>
      <c r="BE63" s="5">
        <f t="shared" si="95"/>
        <v>200</v>
      </c>
      <c r="BF63" s="5">
        <f t="shared" si="95"/>
        <v>200</v>
      </c>
      <c r="BG63" s="5">
        <f t="shared" si="95"/>
        <v>200</v>
      </c>
      <c r="BH63" s="5">
        <f t="shared" si="95"/>
        <v>200</v>
      </c>
      <c r="BI63" s="5">
        <f t="shared" si="95"/>
        <v>200</v>
      </c>
      <c r="BJ63" s="5">
        <f t="shared" si="95"/>
        <v>200</v>
      </c>
      <c r="BK63" s="5">
        <f t="shared" si="95"/>
        <v>200</v>
      </c>
      <c r="BL63" s="5">
        <f t="shared" si="95"/>
        <v>200</v>
      </c>
      <c r="BM63" s="5">
        <f t="shared" si="95"/>
        <v>200</v>
      </c>
      <c r="BN63" s="5">
        <f t="shared" si="95"/>
        <v>200</v>
      </c>
      <c r="BO63" s="5">
        <f t="shared" si="95"/>
        <v>200</v>
      </c>
      <c r="BP63" s="5">
        <f t="shared" si="95"/>
        <v>200</v>
      </c>
      <c r="BQ63" s="5">
        <f t="shared" si="95"/>
        <v>200</v>
      </c>
      <c r="BR63" s="5">
        <f t="shared" si="95"/>
        <v>200</v>
      </c>
      <c r="BS63" s="5">
        <f t="shared" si="95"/>
        <v>200</v>
      </c>
      <c r="BT63" s="5">
        <f t="shared" si="95"/>
        <v>200</v>
      </c>
      <c r="BU63" s="5">
        <f t="shared" ref="BU63:CC63" si="96">(BT63+BT64-BT66+BP65)</f>
        <v>200</v>
      </c>
      <c r="BV63" s="5">
        <f t="shared" si="96"/>
        <v>200</v>
      </c>
      <c r="BW63" s="5">
        <f t="shared" si="96"/>
        <v>200</v>
      </c>
      <c r="BX63" s="5">
        <f t="shared" si="96"/>
        <v>200</v>
      </c>
      <c r="BY63" s="5">
        <f t="shared" si="96"/>
        <v>200</v>
      </c>
      <c r="BZ63" s="5">
        <f t="shared" si="96"/>
        <v>200</v>
      </c>
      <c r="CA63" s="5">
        <f t="shared" si="96"/>
        <v>200</v>
      </c>
      <c r="CB63" s="5">
        <f t="shared" si="96"/>
        <v>200</v>
      </c>
      <c r="CC63" s="5">
        <f t="shared" si="96"/>
        <v>200</v>
      </c>
    </row>
    <row r="64" spans="1:81" x14ac:dyDescent="0.2">
      <c r="A64" s="5" t="s">
        <v>209</v>
      </c>
      <c r="B64" s="5">
        <v>8.3162299999999991</v>
      </c>
      <c r="C64" s="45" t="s">
        <v>39</v>
      </c>
      <c r="D64" s="59">
        <f>IFERROR(VLOOKUP(A63,WIP!$A:$B,2,0),0)</f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</row>
    <row r="65" spans="1:81" x14ac:dyDescent="0.2">
      <c r="A65" s="5" t="s">
        <v>210</v>
      </c>
      <c r="B65" s="5">
        <v>0.27100000000000002</v>
      </c>
      <c r="C65" s="9" t="s">
        <v>211</v>
      </c>
      <c r="D65" s="60">
        <f>IFERROR(VLOOKUP($A63,Plan!$A:B,D$4,0),0)</f>
        <v>0</v>
      </c>
      <c r="E65" s="60">
        <f>IFERROR(VLOOKUP($A63,Plan!$A:C,E$4,0),0)</f>
        <v>0</v>
      </c>
      <c r="F65" s="60">
        <f>IFERROR(VLOOKUP($A63,Plan!$A:D,F$4,0),0)</f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 spans="1:81" x14ac:dyDescent="0.2">
      <c r="A66" s="5" t="s">
        <v>212</v>
      </c>
      <c r="B66" s="5">
        <v>0.04</v>
      </c>
      <c r="C66" s="9" t="s">
        <v>213</v>
      </c>
      <c r="D66" s="61">
        <f>IFERROR(VLOOKUP($A63,Sales!$A:B,D$2,0),0)</f>
        <v>0</v>
      </c>
      <c r="E66" s="61">
        <f>IFERROR(VLOOKUP($A63,Sales!$A:C,E$2,0),0)</f>
        <v>0</v>
      </c>
      <c r="F66" s="61">
        <f>IFERROR(VLOOKUP($A63,Sales!$A:D,F$2,0),0)</f>
        <v>0</v>
      </c>
      <c r="G66" s="61">
        <f>IFERROR(VLOOKUP($A63,Sales!$A:E,G$2,0),0)</f>
        <v>0</v>
      </c>
      <c r="H66" s="61">
        <f>IFERROR(VLOOKUP($A63,Sales!$A:F,H$2,0),0)</f>
        <v>0</v>
      </c>
      <c r="I66" s="61">
        <f>IFERROR(VLOOKUP($A63,Sales!$A:G,I$2,0),0)</f>
        <v>0</v>
      </c>
      <c r="J66" s="61">
        <f>IFERROR(VLOOKUP($A63,Sales!$A:H,J$2,0),0)</f>
        <v>0</v>
      </c>
      <c r="K66" s="61">
        <f>IFERROR(VLOOKUP($A63,Sales!$A:I,K$2,0),0)</f>
        <v>0</v>
      </c>
      <c r="L66" s="61">
        <f>IFERROR(VLOOKUP($A63,Sales!$A:J,L$2,0),0)</f>
        <v>0</v>
      </c>
      <c r="M66" s="61">
        <f>IFERROR(VLOOKUP($A63,Sales!$A:K,M$2,0),0)</f>
        <v>0</v>
      </c>
      <c r="N66" s="61">
        <f>IFERROR(VLOOKUP($A63,Sales!$A:L,N$2,0),0)</f>
        <v>0</v>
      </c>
      <c r="O66" s="61">
        <f>IFERROR(VLOOKUP($A63,Sales!$A:M,O$2,0),0)</f>
        <v>0</v>
      </c>
      <c r="P66" s="61">
        <f>IFERROR(VLOOKUP($A63,Sales!$A:N,P$2,0),0)</f>
        <v>0</v>
      </c>
      <c r="Q66" s="61">
        <f>IFERROR(VLOOKUP($A63,Sales!$A:O,Q$2,0),0)</f>
        <v>0</v>
      </c>
      <c r="R66" s="61">
        <f>IFERROR(VLOOKUP($A63,Sales!$A:P,R$2,0),0)</f>
        <v>0</v>
      </c>
      <c r="S66" s="61">
        <f>IFERROR(VLOOKUP($A63,Sales!$A:Q,S$2,0),0)</f>
        <v>0</v>
      </c>
      <c r="T66" s="61">
        <f>IFERROR(VLOOKUP($A63,Sales!$A:R,T$2,0),0)</f>
        <v>0</v>
      </c>
      <c r="U66" s="61">
        <f>IFERROR(VLOOKUP($A63,Sales!$A:S,U$2,0),0)</f>
        <v>0</v>
      </c>
      <c r="V66" s="61">
        <f>IFERROR(VLOOKUP($A63,Sales!$A:T,V$2,0),0)</f>
        <v>0</v>
      </c>
      <c r="W66" s="61">
        <f>IFERROR(VLOOKUP($A63,Sales!$A:U,W$2,0),0)</f>
        <v>0</v>
      </c>
      <c r="X66" s="61">
        <f>IFERROR(VLOOKUP($A63,Sales!$A:V,X$2,0),0)</f>
        <v>0</v>
      </c>
      <c r="Y66" s="61">
        <f>IFERROR(VLOOKUP($A63,Sales!$A:W,Y$2,0),0)</f>
        <v>0</v>
      </c>
      <c r="Z66" s="61">
        <f>IFERROR(VLOOKUP($A63,Sales!$A:X,Z$2,0),0)</f>
        <v>0</v>
      </c>
      <c r="AA66" s="61">
        <f>IFERROR(VLOOKUP($A63,Sales!$A:Y,AA$2,0),0)</f>
        <v>0</v>
      </c>
      <c r="AB66" s="61">
        <f>IFERROR(VLOOKUP($A63,Sales!$A:Z,AB$2,0),0)</f>
        <v>0</v>
      </c>
      <c r="AC66" s="61">
        <f>IFERROR(VLOOKUP($A63,Sales!$A:AA,AC$2,0),0)</f>
        <v>0</v>
      </c>
      <c r="AD66" s="61">
        <f>IFERROR(VLOOKUP($A63,Sales!$A:AB,AD$2,0),0)</f>
        <v>0</v>
      </c>
      <c r="AE66" s="61">
        <f>IFERROR(VLOOKUP($A63,Sales!$A:AC,AE$2,0),0)</f>
        <v>0</v>
      </c>
      <c r="AF66" s="61">
        <f>IFERROR(VLOOKUP($A63,Sales!$A:AD,AF$2,0),0)</f>
        <v>0</v>
      </c>
      <c r="AG66" s="61">
        <f>IFERROR(VLOOKUP($A63,Sales!$A:AE,AG$2,0),0)</f>
        <v>0</v>
      </c>
      <c r="AH66" s="61">
        <f>IFERROR(VLOOKUP($A63,Sales!$A:AF,AH$2,0),0)</f>
        <v>0</v>
      </c>
      <c r="AI66" s="61">
        <f>IFERROR(VLOOKUP($A63,Sales!$A:AG,AI$2,0),0)</f>
        <v>0</v>
      </c>
      <c r="AJ66" s="61">
        <f>IFERROR(VLOOKUP($A63,Sales!$A:AH,AJ$2,0),0)</f>
        <v>0</v>
      </c>
      <c r="AK66" s="74">
        <f t="shared" ref="AK66:CC66" si="97">CEILING(AK$5*$B62,1)</f>
        <v>0</v>
      </c>
      <c r="AL66" s="74">
        <f t="shared" si="97"/>
        <v>0</v>
      </c>
      <c r="AM66" s="74">
        <f t="shared" si="97"/>
        <v>0</v>
      </c>
      <c r="AN66" s="74">
        <f t="shared" si="97"/>
        <v>0</v>
      </c>
      <c r="AO66" s="74">
        <f t="shared" si="97"/>
        <v>0</v>
      </c>
      <c r="AP66" s="74">
        <f t="shared" si="97"/>
        <v>0</v>
      </c>
      <c r="AQ66" s="74">
        <f t="shared" si="97"/>
        <v>0</v>
      </c>
      <c r="AR66" s="74">
        <f t="shared" si="97"/>
        <v>0</v>
      </c>
      <c r="AS66" s="74">
        <f t="shared" si="97"/>
        <v>0</v>
      </c>
      <c r="AT66" s="74">
        <f t="shared" si="97"/>
        <v>0</v>
      </c>
      <c r="AU66" s="74">
        <f t="shared" si="97"/>
        <v>0</v>
      </c>
      <c r="AV66" s="74">
        <f t="shared" si="97"/>
        <v>0</v>
      </c>
      <c r="AW66" s="74">
        <f t="shared" si="97"/>
        <v>0</v>
      </c>
      <c r="AX66" s="74">
        <f t="shared" si="97"/>
        <v>0</v>
      </c>
      <c r="AY66" s="74">
        <f t="shared" si="97"/>
        <v>0</v>
      </c>
      <c r="AZ66" s="74">
        <f t="shared" si="97"/>
        <v>0</v>
      </c>
      <c r="BA66" s="74">
        <f t="shared" si="97"/>
        <v>0</v>
      </c>
      <c r="BB66" s="74">
        <f t="shared" si="97"/>
        <v>0</v>
      </c>
      <c r="BC66" s="74">
        <f t="shared" si="97"/>
        <v>0</v>
      </c>
      <c r="BD66" s="74">
        <f t="shared" si="97"/>
        <v>0</v>
      </c>
      <c r="BE66" s="74">
        <f t="shared" si="97"/>
        <v>0</v>
      </c>
      <c r="BF66" s="74">
        <f t="shared" si="97"/>
        <v>0</v>
      </c>
      <c r="BG66" s="74">
        <f t="shared" si="97"/>
        <v>0</v>
      </c>
      <c r="BH66" s="74">
        <f t="shared" si="97"/>
        <v>0</v>
      </c>
      <c r="BI66" s="74">
        <f t="shared" si="97"/>
        <v>0</v>
      </c>
      <c r="BJ66" s="74">
        <f t="shared" si="97"/>
        <v>0</v>
      </c>
      <c r="BK66" s="74">
        <f t="shared" si="97"/>
        <v>0</v>
      </c>
      <c r="BL66" s="74">
        <f t="shared" si="97"/>
        <v>0</v>
      </c>
      <c r="BM66" s="74">
        <f t="shared" si="97"/>
        <v>0</v>
      </c>
      <c r="BN66" s="74">
        <f t="shared" si="97"/>
        <v>0</v>
      </c>
      <c r="BO66" s="74">
        <f t="shared" si="97"/>
        <v>0</v>
      </c>
      <c r="BP66" s="74">
        <f t="shared" si="97"/>
        <v>0</v>
      </c>
      <c r="BQ66" s="74">
        <f t="shared" si="97"/>
        <v>0</v>
      </c>
      <c r="BR66" s="74">
        <f t="shared" si="97"/>
        <v>0</v>
      </c>
      <c r="BS66" s="74">
        <f t="shared" si="97"/>
        <v>0</v>
      </c>
      <c r="BT66" s="74">
        <f t="shared" si="97"/>
        <v>0</v>
      </c>
      <c r="BU66" s="74">
        <f t="shared" si="97"/>
        <v>0</v>
      </c>
      <c r="BV66" s="74">
        <f t="shared" si="97"/>
        <v>0</v>
      </c>
      <c r="BW66" s="74">
        <f t="shared" si="97"/>
        <v>0</v>
      </c>
      <c r="BX66" s="74">
        <f t="shared" si="97"/>
        <v>0</v>
      </c>
      <c r="BY66" s="74">
        <f t="shared" si="97"/>
        <v>0</v>
      </c>
      <c r="BZ66" s="74">
        <f t="shared" si="97"/>
        <v>0</v>
      </c>
      <c r="CA66" s="74">
        <f t="shared" si="97"/>
        <v>0</v>
      </c>
      <c r="CB66" s="74">
        <f t="shared" si="97"/>
        <v>0</v>
      </c>
      <c r="CC66" s="74">
        <f t="shared" si="97"/>
        <v>0</v>
      </c>
    </row>
    <row r="67" spans="1:81" x14ac:dyDescent="0.2">
      <c r="A67" s="5" t="s">
        <v>214</v>
      </c>
      <c r="B67" s="5">
        <v>0.311</v>
      </c>
      <c r="C67" s="46" t="s">
        <v>215</v>
      </c>
      <c r="D67" s="11">
        <f t="shared" ref="D67:AI67" si="98">IF(D66=0,0, ROUND(D63 * 1/D66* D$13,1))</f>
        <v>0</v>
      </c>
      <c r="E67" s="11">
        <f t="shared" si="98"/>
        <v>0</v>
      </c>
      <c r="F67" s="11">
        <f t="shared" si="98"/>
        <v>0</v>
      </c>
      <c r="G67" s="11">
        <f t="shared" si="98"/>
        <v>0</v>
      </c>
      <c r="H67" s="11">
        <f t="shared" si="98"/>
        <v>0</v>
      </c>
      <c r="I67" s="11">
        <f t="shared" si="98"/>
        <v>0</v>
      </c>
      <c r="J67" s="11">
        <f t="shared" si="98"/>
        <v>0</v>
      </c>
      <c r="K67" s="11">
        <f t="shared" si="98"/>
        <v>0</v>
      </c>
      <c r="L67" s="11">
        <f t="shared" si="98"/>
        <v>0</v>
      </c>
      <c r="M67" s="11">
        <f t="shared" si="98"/>
        <v>0</v>
      </c>
      <c r="N67" s="11">
        <f t="shared" si="98"/>
        <v>0</v>
      </c>
      <c r="O67" s="11">
        <f t="shared" si="98"/>
        <v>0</v>
      </c>
      <c r="P67" s="11">
        <f t="shared" si="98"/>
        <v>0</v>
      </c>
      <c r="Q67" s="11">
        <f t="shared" si="98"/>
        <v>0</v>
      </c>
      <c r="R67" s="11">
        <f t="shared" si="98"/>
        <v>0</v>
      </c>
      <c r="S67" s="11">
        <f t="shared" si="98"/>
        <v>0</v>
      </c>
      <c r="T67" s="11">
        <f t="shared" si="98"/>
        <v>0</v>
      </c>
      <c r="U67" s="11">
        <f t="shared" si="98"/>
        <v>0</v>
      </c>
      <c r="V67" s="11">
        <f t="shared" si="98"/>
        <v>0</v>
      </c>
      <c r="W67" s="11">
        <f t="shared" si="98"/>
        <v>0</v>
      </c>
      <c r="X67" s="11">
        <f t="shared" si="98"/>
        <v>0</v>
      </c>
      <c r="Y67" s="11">
        <f t="shared" si="98"/>
        <v>0</v>
      </c>
      <c r="Z67" s="11">
        <f t="shared" si="98"/>
        <v>0</v>
      </c>
      <c r="AA67" s="11">
        <f t="shared" si="98"/>
        <v>0</v>
      </c>
      <c r="AB67" s="11">
        <f t="shared" si="98"/>
        <v>0</v>
      </c>
      <c r="AC67" s="11">
        <f t="shared" si="98"/>
        <v>0</v>
      </c>
      <c r="AD67" s="11">
        <f t="shared" si="98"/>
        <v>0</v>
      </c>
      <c r="AE67" s="11">
        <f t="shared" si="98"/>
        <v>0</v>
      </c>
      <c r="AF67" s="11">
        <f t="shared" si="98"/>
        <v>0</v>
      </c>
      <c r="AG67" s="11">
        <f t="shared" si="98"/>
        <v>0</v>
      </c>
      <c r="AH67" s="11">
        <f t="shared" si="98"/>
        <v>0</v>
      </c>
      <c r="AI67" s="11">
        <f t="shared" si="98"/>
        <v>0</v>
      </c>
      <c r="AJ67" s="11">
        <f t="shared" ref="AJ67:BO67" si="99">IF(AJ66=0,0, ROUND(AJ63 * 1/AJ66* AJ$13,1))</f>
        <v>0</v>
      </c>
      <c r="AK67" s="11">
        <f t="shared" si="99"/>
        <v>0</v>
      </c>
      <c r="AL67" s="11">
        <f t="shared" si="99"/>
        <v>0</v>
      </c>
      <c r="AM67" s="11">
        <f t="shared" si="99"/>
        <v>0</v>
      </c>
      <c r="AN67" s="11">
        <f t="shared" si="99"/>
        <v>0</v>
      </c>
      <c r="AO67" s="11">
        <f t="shared" si="99"/>
        <v>0</v>
      </c>
      <c r="AP67" s="11">
        <f t="shared" si="99"/>
        <v>0</v>
      </c>
      <c r="AQ67" s="11">
        <f t="shared" si="99"/>
        <v>0</v>
      </c>
      <c r="AR67" s="11">
        <f t="shared" si="99"/>
        <v>0</v>
      </c>
      <c r="AS67" s="11">
        <f t="shared" si="99"/>
        <v>0</v>
      </c>
      <c r="AT67" s="11">
        <f t="shared" si="99"/>
        <v>0</v>
      </c>
      <c r="AU67" s="11">
        <f t="shared" si="99"/>
        <v>0</v>
      </c>
      <c r="AV67" s="11">
        <f t="shared" si="99"/>
        <v>0</v>
      </c>
      <c r="AW67" s="11">
        <f t="shared" si="99"/>
        <v>0</v>
      </c>
      <c r="AX67" s="11">
        <f t="shared" si="99"/>
        <v>0</v>
      </c>
      <c r="AY67" s="11">
        <f t="shared" si="99"/>
        <v>0</v>
      </c>
      <c r="AZ67" s="11">
        <f t="shared" si="99"/>
        <v>0</v>
      </c>
      <c r="BA67" s="11">
        <f t="shared" si="99"/>
        <v>0</v>
      </c>
      <c r="BB67" s="11">
        <f t="shared" si="99"/>
        <v>0</v>
      </c>
      <c r="BC67" s="11">
        <f t="shared" si="99"/>
        <v>0</v>
      </c>
      <c r="BD67" s="11">
        <f t="shared" si="99"/>
        <v>0</v>
      </c>
      <c r="BE67" s="11">
        <f t="shared" si="99"/>
        <v>0</v>
      </c>
      <c r="BF67" s="11">
        <f t="shared" si="99"/>
        <v>0</v>
      </c>
      <c r="BG67" s="11">
        <f t="shared" si="99"/>
        <v>0</v>
      </c>
      <c r="BH67" s="11">
        <f t="shared" si="99"/>
        <v>0</v>
      </c>
      <c r="BI67" s="11">
        <f t="shared" si="99"/>
        <v>0</v>
      </c>
      <c r="BJ67" s="11">
        <f t="shared" si="99"/>
        <v>0</v>
      </c>
      <c r="BK67" s="11">
        <f t="shared" si="99"/>
        <v>0</v>
      </c>
      <c r="BL67" s="11">
        <f t="shared" si="99"/>
        <v>0</v>
      </c>
      <c r="BM67" s="11">
        <f t="shared" si="99"/>
        <v>0</v>
      </c>
      <c r="BN67" s="11">
        <f t="shared" si="99"/>
        <v>0</v>
      </c>
      <c r="BO67" s="11">
        <f t="shared" si="99"/>
        <v>0</v>
      </c>
      <c r="BP67" s="11">
        <f t="shared" ref="BP67:CC67" si="100">IF(BP66=0,0, ROUND(BP63 * 1/BP66* BP$13,1))</f>
        <v>0</v>
      </c>
      <c r="BQ67" s="11">
        <f t="shared" si="100"/>
        <v>0</v>
      </c>
      <c r="BR67" s="11">
        <f t="shared" si="100"/>
        <v>0</v>
      </c>
      <c r="BS67" s="11">
        <f t="shared" si="100"/>
        <v>0</v>
      </c>
      <c r="BT67" s="11">
        <f t="shared" si="100"/>
        <v>0</v>
      </c>
      <c r="BU67" s="11">
        <f t="shared" si="100"/>
        <v>0</v>
      </c>
      <c r="BV67" s="11">
        <f t="shared" si="100"/>
        <v>0</v>
      </c>
      <c r="BW67" s="11">
        <f t="shared" si="100"/>
        <v>0</v>
      </c>
      <c r="BX67" s="11">
        <f t="shared" si="100"/>
        <v>0</v>
      </c>
      <c r="BY67" s="11">
        <f t="shared" si="100"/>
        <v>0</v>
      </c>
      <c r="BZ67" s="11">
        <f t="shared" si="100"/>
        <v>0</v>
      </c>
      <c r="CA67" s="11">
        <f t="shared" si="100"/>
        <v>0</v>
      </c>
      <c r="CB67" s="11">
        <f t="shared" si="100"/>
        <v>0</v>
      </c>
      <c r="CC67" s="11">
        <f t="shared" si="100"/>
        <v>0</v>
      </c>
    </row>
    <row r="68" spans="1:81" x14ac:dyDescent="0.2">
      <c r="A68">
        <v>25</v>
      </c>
      <c r="B68">
        <v>1</v>
      </c>
      <c r="C68" s="8">
        <v>6.2368699999999997</v>
      </c>
      <c r="D68">
        <f t="shared" ref="D68:AI68" si="101">D65/$B68</f>
        <v>0</v>
      </c>
      <c r="E68">
        <f t="shared" si="101"/>
        <v>0</v>
      </c>
      <c r="F68">
        <f t="shared" si="101"/>
        <v>0</v>
      </c>
      <c r="G68">
        <f t="shared" si="101"/>
        <v>0</v>
      </c>
      <c r="H68">
        <f t="shared" si="101"/>
        <v>0</v>
      </c>
      <c r="I68">
        <f t="shared" si="101"/>
        <v>0</v>
      </c>
      <c r="J68">
        <f t="shared" si="101"/>
        <v>0</v>
      </c>
      <c r="K68">
        <f t="shared" si="101"/>
        <v>0</v>
      </c>
      <c r="L68">
        <f t="shared" si="101"/>
        <v>0</v>
      </c>
      <c r="M68">
        <f t="shared" si="101"/>
        <v>0</v>
      </c>
      <c r="N68">
        <f t="shared" si="101"/>
        <v>0</v>
      </c>
      <c r="O68">
        <f t="shared" si="101"/>
        <v>0</v>
      </c>
      <c r="P68">
        <f t="shared" si="101"/>
        <v>0</v>
      </c>
      <c r="Q68">
        <f t="shared" si="101"/>
        <v>0</v>
      </c>
      <c r="R68">
        <f t="shared" si="101"/>
        <v>0</v>
      </c>
      <c r="S68">
        <f t="shared" si="101"/>
        <v>0</v>
      </c>
      <c r="T68">
        <f t="shared" si="101"/>
        <v>0</v>
      </c>
      <c r="U68">
        <f t="shared" si="101"/>
        <v>0</v>
      </c>
      <c r="V68">
        <f t="shared" si="101"/>
        <v>0</v>
      </c>
      <c r="W68">
        <f t="shared" si="101"/>
        <v>0</v>
      </c>
      <c r="X68">
        <f t="shared" si="101"/>
        <v>0</v>
      </c>
      <c r="Y68">
        <f t="shared" si="101"/>
        <v>0</v>
      </c>
      <c r="Z68">
        <f t="shared" si="101"/>
        <v>0</v>
      </c>
      <c r="AA68">
        <f t="shared" si="101"/>
        <v>0</v>
      </c>
      <c r="AB68">
        <f t="shared" si="101"/>
        <v>0</v>
      </c>
      <c r="AC68">
        <f t="shared" si="101"/>
        <v>0</v>
      </c>
      <c r="AD68">
        <f t="shared" si="101"/>
        <v>0</v>
      </c>
      <c r="AE68">
        <f t="shared" si="101"/>
        <v>0</v>
      </c>
      <c r="AF68">
        <f t="shared" si="101"/>
        <v>0</v>
      </c>
      <c r="AG68">
        <f t="shared" si="101"/>
        <v>0</v>
      </c>
      <c r="AH68">
        <f t="shared" si="101"/>
        <v>0</v>
      </c>
      <c r="AI68">
        <f t="shared" si="101"/>
        <v>0</v>
      </c>
      <c r="AJ68">
        <f t="shared" ref="AJ68:BO68" si="102">AJ65/$B68</f>
        <v>0</v>
      </c>
      <c r="AK68">
        <f t="shared" si="102"/>
        <v>0</v>
      </c>
      <c r="AL68">
        <f t="shared" si="102"/>
        <v>0</v>
      </c>
      <c r="AM68">
        <f t="shared" si="102"/>
        <v>0</v>
      </c>
      <c r="AN68">
        <f t="shared" si="102"/>
        <v>0</v>
      </c>
      <c r="AO68">
        <f t="shared" si="102"/>
        <v>0</v>
      </c>
      <c r="AP68">
        <f t="shared" si="102"/>
        <v>0</v>
      </c>
      <c r="AQ68">
        <f t="shared" si="102"/>
        <v>0</v>
      </c>
      <c r="AR68">
        <f t="shared" si="102"/>
        <v>0</v>
      </c>
      <c r="AS68">
        <f t="shared" si="102"/>
        <v>0</v>
      </c>
      <c r="AT68">
        <f t="shared" si="102"/>
        <v>0</v>
      </c>
      <c r="AU68">
        <f t="shared" si="102"/>
        <v>0</v>
      </c>
      <c r="AV68">
        <f t="shared" si="102"/>
        <v>0</v>
      </c>
      <c r="AW68">
        <f t="shared" si="102"/>
        <v>0</v>
      </c>
      <c r="AX68">
        <f t="shared" si="102"/>
        <v>0</v>
      </c>
      <c r="AY68">
        <f t="shared" si="102"/>
        <v>0</v>
      </c>
      <c r="AZ68">
        <f t="shared" si="102"/>
        <v>0</v>
      </c>
      <c r="BA68">
        <f t="shared" si="102"/>
        <v>0</v>
      </c>
      <c r="BB68">
        <f t="shared" si="102"/>
        <v>0</v>
      </c>
      <c r="BC68">
        <f t="shared" si="102"/>
        <v>0</v>
      </c>
      <c r="BD68">
        <f t="shared" si="102"/>
        <v>0</v>
      </c>
      <c r="BE68">
        <f t="shared" si="102"/>
        <v>0</v>
      </c>
      <c r="BF68">
        <f t="shared" si="102"/>
        <v>0</v>
      </c>
      <c r="BG68">
        <f t="shared" si="102"/>
        <v>0</v>
      </c>
      <c r="BH68">
        <f t="shared" si="102"/>
        <v>0</v>
      </c>
      <c r="BI68">
        <f t="shared" si="102"/>
        <v>0</v>
      </c>
      <c r="BJ68">
        <f t="shared" si="102"/>
        <v>0</v>
      </c>
      <c r="BK68">
        <f t="shared" si="102"/>
        <v>0</v>
      </c>
      <c r="BL68">
        <f t="shared" si="102"/>
        <v>0</v>
      </c>
      <c r="BM68">
        <f t="shared" si="102"/>
        <v>0</v>
      </c>
      <c r="BN68">
        <f t="shared" si="102"/>
        <v>0</v>
      </c>
      <c r="BO68">
        <f t="shared" si="102"/>
        <v>0</v>
      </c>
      <c r="BP68">
        <f t="shared" ref="BP68:CC68" si="103">BP65/$B68</f>
        <v>0</v>
      </c>
      <c r="BQ68">
        <f t="shared" si="103"/>
        <v>0</v>
      </c>
      <c r="BR68">
        <f t="shared" si="103"/>
        <v>0</v>
      </c>
      <c r="BS68">
        <f t="shared" si="103"/>
        <v>0</v>
      </c>
      <c r="BT68">
        <f t="shared" si="103"/>
        <v>0</v>
      </c>
      <c r="BU68">
        <f t="shared" si="103"/>
        <v>0</v>
      </c>
      <c r="BV68">
        <f t="shared" si="103"/>
        <v>0</v>
      </c>
      <c r="BW68">
        <f t="shared" si="103"/>
        <v>0</v>
      </c>
      <c r="BX68">
        <f t="shared" si="103"/>
        <v>0</v>
      </c>
      <c r="BY68">
        <f t="shared" si="103"/>
        <v>0</v>
      </c>
      <c r="BZ68">
        <f t="shared" si="103"/>
        <v>0</v>
      </c>
      <c r="CA68">
        <f t="shared" si="103"/>
        <v>0</v>
      </c>
      <c r="CB68">
        <f t="shared" si="103"/>
        <v>0</v>
      </c>
      <c r="CC68">
        <f t="shared" si="103"/>
        <v>0</v>
      </c>
    </row>
    <row r="69" spans="1:81" x14ac:dyDescent="0.2">
      <c r="B69" s="67">
        <f>SUM(D73:AJ73)/SUM($D$263:$AJ$263)</f>
        <v>0</v>
      </c>
      <c r="C69" s="9" t="s">
        <v>216</v>
      </c>
      <c r="D69">
        <f t="shared" ref="D69:AI69" si="104">D63-D66</f>
        <v>200</v>
      </c>
      <c r="E69">
        <f t="shared" si="104"/>
        <v>200</v>
      </c>
      <c r="F69">
        <f t="shared" si="104"/>
        <v>200</v>
      </c>
      <c r="G69">
        <f t="shared" si="104"/>
        <v>200</v>
      </c>
      <c r="H69">
        <f t="shared" si="104"/>
        <v>200</v>
      </c>
      <c r="I69">
        <f t="shared" si="104"/>
        <v>200</v>
      </c>
      <c r="J69">
        <f t="shared" si="104"/>
        <v>200</v>
      </c>
      <c r="K69">
        <f t="shared" si="104"/>
        <v>200</v>
      </c>
      <c r="L69">
        <f t="shared" si="104"/>
        <v>200</v>
      </c>
      <c r="M69">
        <f t="shared" si="104"/>
        <v>200</v>
      </c>
      <c r="N69">
        <f t="shared" si="104"/>
        <v>200</v>
      </c>
      <c r="O69">
        <f t="shared" si="104"/>
        <v>200</v>
      </c>
      <c r="P69">
        <f t="shared" si="104"/>
        <v>200</v>
      </c>
      <c r="Q69">
        <f t="shared" si="104"/>
        <v>200</v>
      </c>
      <c r="R69">
        <f t="shared" si="104"/>
        <v>200</v>
      </c>
      <c r="S69">
        <f t="shared" si="104"/>
        <v>200</v>
      </c>
      <c r="T69">
        <f t="shared" si="104"/>
        <v>200</v>
      </c>
      <c r="U69">
        <f t="shared" si="104"/>
        <v>200</v>
      </c>
      <c r="V69">
        <f t="shared" si="104"/>
        <v>200</v>
      </c>
      <c r="W69">
        <f t="shared" si="104"/>
        <v>200</v>
      </c>
      <c r="X69">
        <f t="shared" si="104"/>
        <v>200</v>
      </c>
      <c r="Y69">
        <f t="shared" si="104"/>
        <v>200</v>
      </c>
      <c r="Z69">
        <f t="shared" si="104"/>
        <v>200</v>
      </c>
      <c r="AA69">
        <f t="shared" si="104"/>
        <v>200</v>
      </c>
      <c r="AB69">
        <f t="shared" si="104"/>
        <v>200</v>
      </c>
      <c r="AC69">
        <f t="shared" si="104"/>
        <v>200</v>
      </c>
      <c r="AD69">
        <f t="shared" si="104"/>
        <v>200</v>
      </c>
      <c r="AE69">
        <f t="shared" si="104"/>
        <v>200</v>
      </c>
      <c r="AF69">
        <f t="shared" si="104"/>
        <v>200</v>
      </c>
      <c r="AG69">
        <f t="shared" si="104"/>
        <v>200</v>
      </c>
      <c r="AH69">
        <f t="shared" si="104"/>
        <v>200</v>
      </c>
      <c r="AI69">
        <f t="shared" si="104"/>
        <v>200</v>
      </c>
      <c r="AJ69">
        <f t="shared" ref="AJ69:BO69" si="105">AJ63-AJ66</f>
        <v>200</v>
      </c>
      <c r="AK69">
        <f t="shared" si="105"/>
        <v>200</v>
      </c>
      <c r="AL69">
        <f t="shared" si="105"/>
        <v>200</v>
      </c>
      <c r="AM69">
        <f t="shared" si="105"/>
        <v>200</v>
      </c>
      <c r="AN69">
        <f t="shared" si="105"/>
        <v>200</v>
      </c>
      <c r="AO69">
        <f t="shared" si="105"/>
        <v>200</v>
      </c>
      <c r="AP69">
        <f t="shared" si="105"/>
        <v>200</v>
      </c>
      <c r="AQ69">
        <f t="shared" si="105"/>
        <v>200</v>
      </c>
      <c r="AR69">
        <f t="shared" si="105"/>
        <v>200</v>
      </c>
      <c r="AS69">
        <f t="shared" si="105"/>
        <v>200</v>
      </c>
      <c r="AT69">
        <f t="shared" si="105"/>
        <v>200</v>
      </c>
      <c r="AU69">
        <f t="shared" si="105"/>
        <v>200</v>
      </c>
      <c r="AV69">
        <f t="shared" si="105"/>
        <v>200</v>
      </c>
      <c r="AW69">
        <f t="shared" si="105"/>
        <v>200</v>
      </c>
      <c r="AX69">
        <f t="shared" si="105"/>
        <v>200</v>
      </c>
      <c r="AY69">
        <f t="shared" si="105"/>
        <v>200</v>
      </c>
      <c r="AZ69">
        <f t="shared" si="105"/>
        <v>200</v>
      </c>
      <c r="BA69">
        <f t="shared" si="105"/>
        <v>200</v>
      </c>
      <c r="BB69">
        <f t="shared" si="105"/>
        <v>200</v>
      </c>
      <c r="BC69">
        <f t="shared" si="105"/>
        <v>200</v>
      </c>
      <c r="BD69">
        <f t="shared" si="105"/>
        <v>200</v>
      </c>
      <c r="BE69">
        <f t="shared" si="105"/>
        <v>200</v>
      </c>
      <c r="BF69">
        <f t="shared" si="105"/>
        <v>200</v>
      </c>
      <c r="BG69">
        <f t="shared" si="105"/>
        <v>200</v>
      </c>
      <c r="BH69">
        <f t="shared" si="105"/>
        <v>200</v>
      </c>
      <c r="BI69">
        <f t="shared" si="105"/>
        <v>200</v>
      </c>
      <c r="BJ69">
        <f t="shared" si="105"/>
        <v>200</v>
      </c>
      <c r="BK69">
        <f t="shared" si="105"/>
        <v>200</v>
      </c>
      <c r="BL69">
        <f t="shared" si="105"/>
        <v>200</v>
      </c>
      <c r="BM69">
        <f t="shared" si="105"/>
        <v>200</v>
      </c>
      <c r="BN69">
        <f t="shared" si="105"/>
        <v>200</v>
      </c>
      <c r="BO69">
        <f t="shared" si="105"/>
        <v>200</v>
      </c>
      <c r="BP69">
        <f t="shared" ref="BP69:CC69" si="106">BP63-BP66</f>
        <v>200</v>
      </c>
      <c r="BQ69">
        <f t="shared" si="106"/>
        <v>200</v>
      </c>
      <c r="BR69">
        <f t="shared" si="106"/>
        <v>200</v>
      </c>
      <c r="BS69">
        <f t="shared" si="106"/>
        <v>200</v>
      </c>
      <c r="BT69">
        <f t="shared" si="106"/>
        <v>200</v>
      </c>
      <c r="BU69">
        <f t="shared" si="106"/>
        <v>200</v>
      </c>
      <c r="BV69">
        <f t="shared" si="106"/>
        <v>200</v>
      </c>
      <c r="BW69">
        <f t="shared" si="106"/>
        <v>200</v>
      </c>
      <c r="BX69">
        <f t="shared" si="106"/>
        <v>200</v>
      </c>
      <c r="BY69">
        <f t="shared" si="106"/>
        <v>200</v>
      </c>
      <c r="BZ69">
        <f t="shared" si="106"/>
        <v>200</v>
      </c>
      <c r="CA69">
        <f t="shared" si="106"/>
        <v>200</v>
      </c>
      <c r="CB69">
        <f t="shared" si="106"/>
        <v>200</v>
      </c>
      <c r="CC69">
        <f t="shared" si="106"/>
        <v>200</v>
      </c>
    </row>
    <row r="70" spans="1:81" x14ac:dyDescent="0.2">
      <c r="A70" s="43" t="s">
        <v>297</v>
      </c>
      <c r="B70" s="44" t="s">
        <v>208</v>
      </c>
      <c r="C70" s="9" t="s">
        <v>38</v>
      </c>
      <c r="D70" s="58">
        <f>IFERROR(VLOOKUP(A70,OS!$A:$B,2,0),0)</f>
        <v>0</v>
      </c>
      <c r="E70" s="5">
        <f>(D70+D71-D73)</f>
        <v>0</v>
      </c>
      <c r="F70" s="5">
        <f>(E70+E71-E73)</f>
        <v>0</v>
      </c>
      <c r="G70" s="5">
        <f>(F70+F71-F73)</f>
        <v>0</v>
      </c>
      <c r="H70" s="5">
        <f>(G70+G71-G73)</f>
        <v>0</v>
      </c>
      <c r="I70" s="5">
        <f t="shared" ref="I70:AN70" si="107">(H70+H71-H73+D72)</f>
        <v>0</v>
      </c>
      <c r="J70" s="5">
        <f t="shared" si="107"/>
        <v>0</v>
      </c>
      <c r="K70" s="5">
        <f t="shared" si="107"/>
        <v>0</v>
      </c>
      <c r="L70" s="5">
        <f t="shared" si="107"/>
        <v>0</v>
      </c>
      <c r="M70" s="5">
        <f t="shared" si="107"/>
        <v>0</v>
      </c>
      <c r="N70" s="5">
        <f t="shared" si="107"/>
        <v>0</v>
      </c>
      <c r="O70" s="5">
        <f t="shared" si="107"/>
        <v>0</v>
      </c>
      <c r="P70" s="5">
        <f t="shared" si="107"/>
        <v>0</v>
      </c>
      <c r="Q70" s="5">
        <f t="shared" si="107"/>
        <v>0</v>
      </c>
      <c r="R70" s="5">
        <f t="shared" si="107"/>
        <v>0</v>
      </c>
      <c r="S70" s="5">
        <f t="shared" si="107"/>
        <v>0</v>
      </c>
      <c r="T70" s="5">
        <f t="shared" si="107"/>
        <v>0</v>
      </c>
      <c r="U70" s="5">
        <f t="shared" si="107"/>
        <v>0</v>
      </c>
      <c r="V70" s="5">
        <f t="shared" si="107"/>
        <v>0</v>
      </c>
      <c r="W70" s="5">
        <f t="shared" si="107"/>
        <v>0</v>
      </c>
      <c r="X70" s="5">
        <f t="shared" si="107"/>
        <v>0</v>
      </c>
      <c r="Y70" s="5">
        <f t="shared" si="107"/>
        <v>0</v>
      </c>
      <c r="Z70" s="5">
        <f t="shared" si="107"/>
        <v>0</v>
      </c>
      <c r="AA70" s="5">
        <f t="shared" si="107"/>
        <v>0</v>
      </c>
      <c r="AB70" s="5">
        <f t="shared" si="107"/>
        <v>0</v>
      </c>
      <c r="AC70" s="5">
        <f t="shared" si="107"/>
        <v>0</v>
      </c>
      <c r="AD70" s="5">
        <f t="shared" si="107"/>
        <v>0</v>
      </c>
      <c r="AE70" s="5">
        <f t="shared" si="107"/>
        <v>0</v>
      </c>
      <c r="AF70" s="5">
        <f t="shared" si="107"/>
        <v>0</v>
      </c>
      <c r="AG70" s="5">
        <f t="shared" si="107"/>
        <v>0</v>
      </c>
      <c r="AH70" s="5">
        <f t="shared" si="107"/>
        <v>0</v>
      </c>
      <c r="AI70" s="5">
        <f t="shared" si="107"/>
        <v>0</v>
      </c>
      <c r="AJ70" s="5">
        <f t="shared" si="107"/>
        <v>0</v>
      </c>
      <c r="AK70" s="5">
        <f t="shared" si="107"/>
        <v>0</v>
      </c>
      <c r="AL70" s="5">
        <f t="shared" si="107"/>
        <v>0</v>
      </c>
      <c r="AM70" s="5">
        <f t="shared" si="107"/>
        <v>0</v>
      </c>
      <c r="AN70" s="5">
        <f t="shared" si="107"/>
        <v>0</v>
      </c>
      <c r="AO70" s="5">
        <f t="shared" ref="AO70:BT70" si="108">(AN70+AN71-AN73+AJ72)</f>
        <v>0</v>
      </c>
      <c r="AP70" s="5">
        <f t="shared" si="108"/>
        <v>0</v>
      </c>
      <c r="AQ70" s="5">
        <f t="shared" si="108"/>
        <v>0</v>
      </c>
      <c r="AR70" s="5">
        <f t="shared" si="108"/>
        <v>0</v>
      </c>
      <c r="AS70" s="5">
        <f t="shared" si="108"/>
        <v>0</v>
      </c>
      <c r="AT70" s="5">
        <f t="shared" si="108"/>
        <v>0</v>
      </c>
      <c r="AU70" s="5">
        <f t="shared" si="108"/>
        <v>0</v>
      </c>
      <c r="AV70" s="5">
        <f t="shared" si="108"/>
        <v>0</v>
      </c>
      <c r="AW70" s="5">
        <f t="shared" si="108"/>
        <v>0</v>
      </c>
      <c r="AX70" s="5">
        <f t="shared" si="108"/>
        <v>0</v>
      </c>
      <c r="AY70" s="5">
        <f t="shared" si="108"/>
        <v>0</v>
      </c>
      <c r="AZ70" s="5">
        <f t="shared" si="108"/>
        <v>0</v>
      </c>
      <c r="BA70" s="5">
        <f t="shared" si="108"/>
        <v>0</v>
      </c>
      <c r="BB70" s="5">
        <f t="shared" si="108"/>
        <v>0</v>
      </c>
      <c r="BC70" s="5">
        <f t="shared" si="108"/>
        <v>0</v>
      </c>
      <c r="BD70" s="5">
        <f t="shared" si="108"/>
        <v>0</v>
      </c>
      <c r="BE70" s="5">
        <f t="shared" si="108"/>
        <v>0</v>
      </c>
      <c r="BF70" s="5">
        <f t="shared" si="108"/>
        <v>0</v>
      </c>
      <c r="BG70" s="5">
        <f t="shared" si="108"/>
        <v>0</v>
      </c>
      <c r="BH70" s="5">
        <f t="shared" si="108"/>
        <v>0</v>
      </c>
      <c r="BI70" s="5">
        <f t="shared" si="108"/>
        <v>0</v>
      </c>
      <c r="BJ70" s="5">
        <f t="shared" si="108"/>
        <v>0</v>
      </c>
      <c r="BK70" s="5">
        <f t="shared" si="108"/>
        <v>0</v>
      </c>
      <c r="BL70" s="5">
        <f t="shared" si="108"/>
        <v>0</v>
      </c>
      <c r="BM70" s="5">
        <f t="shared" si="108"/>
        <v>0</v>
      </c>
      <c r="BN70" s="5">
        <f t="shared" si="108"/>
        <v>0</v>
      </c>
      <c r="BO70" s="5">
        <f t="shared" si="108"/>
        <v>0</v>
      </c>
      <c r="BP70" s="5">
        <f t="shared" si="108"/>
        <v>0</v>
      </c>
      <c r="BQ70" s="5">
        <f t="shared" si="108"/>
        <v>0</v>
      </c>
      <c r="BR70" s="5">
        <f t="shared" si="108"/>
        <v>0</v>
      </c>
      <c r="BS70" s="5">
        <f t="shared" si="108"/>
        <v>0</v>
      </c>
      <c r="BT70" s="5">
        <f t="shared" si="108"/>
        <v>0</v>
      </c>
      <c r="BU70" s="5">
        <f t="shared" ref="BU70:CC70" si="109">(BT70+BT71-BT73+BP72)</f>
        <v>0</v>
      </c>
      <c r="BV70" s="5">
        <f t="shared" si="109"/>
        <v>0</v>
      </c>
      <c r="BW70" s="5">
        <f t="shared" si="109"/>
        <v>0</v>
      </c>
      <c r="BX70" s="5">
        <f t="shared" si="109"/>
        <v>0</v>
      </c>
      <c r="BY70" s="5">
        <f t="shared" si="109"/>
        <v>0</v>
      </c>
      <c r="BZ70" s="5">
        <f t="shared" si="109"/>
        <v>0</v>
      </c>
      <c r="CA70" s="5">
        <f t="shared" si="109"/>
        <v>0</v>
      </c>
      <c r="CB70" s="5">
        <f t="shared" si="109"/>
        <v>0</v>
      </c>
      <c r="CC70" s="5">
        <f t="shared" si="109"/>
        <v>0</v>
      </c>
    </row>
    <row r="71" spans="1:81" x14ac:dyDescent="0.2">
      <c r="A71" s="5" t="s">
        <v>209</v>
      </c>
      <c r="B71" s="5">
        <v>11.7714</v>
      </c>
      <c r="C71" s="45" t="s">
        <v>39</v>
      </c>
      <c r="D71" s="59">
        <f>IFERROR(VLOOKUP(A70,WIP!$A:$B,2,0),0)</f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1" x14ac:dyDescent="0.2">
      <c r="A72" s="5" t="s">
        <v>210</v>
      </c>
      <c r="B72" s="5">
        <v>0.21</v>
      </c>
      <c r="C72" s="9" t="s">
        <v>211</v>
      </c>
      <c r="D72" s="60">
        <f>IFERROR(VLOOKUP($A70,Plan!$A:B,D$4,0),0)</f>
        <v>0</v>
      </c>
      <c r="E72" s="60">
        <f>IFERROR(VLOOKUP($A70,Plan!$A:C,E$4,0),0)</f>
        <v>0</v>
      </c>
      <c r="F72" s="60">
        <f>IFERROR(VLOOKUP($A70,Plan!$A:D,F$4,0),0)</f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1" x14ac:dyDescent="0.2">
      <c r="A73" s="5" t="s">
        <v>212</v>
      </c>
      <c r="B73" s="5">
        <v>2.9000000000000001E-2</v>
      </c>
      <c r="C73" s="9" t="s">
        <v>213</v>
      </c>
      <c r="D73" s="61">
        <f>IFERROR(VLOOKUP($A70,Sales!$A:B,D$2,0),0)</f>
        <v>0</v>
      </c>
      <c r="E73" s="61">
        <f>IFERROR(VLOOKUP($A70,Sales!$A:C,E$2,0),0)</f>
        <v>0</v>
      </c>
      <c r="F73" s="61">
        <f>IFERROR(VLOOKUP($A70,Sales!$A:D,F$2,0),0)</f>
        <v>0</v>
      </c>
      <c r="G73" s="61">
        <f>IFERROR(VLOOKUP($A70,Sales!$A:E,G$2,0),0)</f>
        <v>0</v>
      </c>
      <c r="H73" s="61">
        <f>IFERROR(VLOOKUP($A70,Sales!$A:F,H$2,0),0)</f>
        <v>0</v>
      </c>
      <c r="I73" s="61">
        <f>IFERROR(VLOOKUP($A70,Sales!$A:G,I$2,0),0)</f>
        <v>0</v>
      </c>
      <c r="J73" s="61">
        <f>IFERROR(VLOOKUP($A70,Sales!$A:H,J$2,0),0)</f>
        <v>0</v>
      </c>
      <c r="K73" s="61">
        <f>IFERROR(VLOOKUP($A70,Sales!$A:I,K$2,0),0)</f>
        <v>0</v>
      </c>
      <c r="L73" s="61">
        <f>IFERROR(VLOOKUP($A70,Sales!$A:J,L$2,0),0)</f>
        <v>0</v>
      </c>
      <c r="M73" s="61">
        <f>IFERROR(VLOOKUP($A70,Sales!$A:K,M$2,0),0)</f>
        <v>0</v>
      </c>
      <c r="N73" s="61">
        <f>IFERROR(VLOOKUP($A70,Sales!$A:L,N$2,0),0)</f>
        <v>0</v>
      </c>
      <c r="O73" s="61">
        <f>IFERROR(VLOOKUP($A70,Sales!$A:M,O$2,0),0)</f>
        <v>0</v>
      </c>
      <c r="P73" s="61">
        <f>IFERROR(VLOOKUP($A70,Sales!$A:N,P$2,0),0)</f>
        <v>0</v>
      </c>
      <c r="Q73" s="61">
        <f>IFERROR(VLOOKUP($A70,Sales!$A:O,Q$2,0),0)</f>
        <v>0</v>
      </c>
      <c r="R73" s="61">
        <f>IFERROR(VLOOKUP($A70,Sales!$A:P,R$2,0),0)</f>
        <v>0</v>
      </c>
      <c r="S73" s="61">
        <f>IFERROR(VLOOKUP($A70,Sales!$A:Q,S$2,0),0)</f>
        <v>0</v>
      </c>
      <c r="T73" s="61">
        <f>IFERROR(VLOOKUP($A70,Sales!$A:R,T$2,0),0)</f>
        <v>0</v>
      </c>
      <c r="U73" s="61">
        <f>IFERROR(VLOOKUP($A70,Sales!$A:S,U$2,0),0)</f>
        <v>0</v>
      </c>
      <c r="V73" s="61">
        <f>IFERROR(VLOOKUP($A70,Sales!$A:T,V$2,0),0)</f>
        <v>0</v>
      </c>
      <c r="W73" s="61">
        <f>IFERROR(VLOOKUP($A70,Sales!$A:U,W$2,0),0)</f>
        <v>0</v>
      </c>
      <c r="X73" s="61">
        <f>IFERROR(VLOOKUP($A70,Sales!$A:V,X$2,0),0)</f>
        <v>0</v>
      </c>
      <c r="Y73" s="61">
        <f>IFERROR(VLOOKUP($A70,Sales!$A:W,Y$2,0),0)</f>
        <v>0</v>
      </c>
      <c r="Z73" s="61">
        <f>IFERROR(VLOOKUP($A70,Sales!$A:X,Z$2,0),0)</f>
        <v>0</v>
      </c>
      <c r="AA73" s="61">
        <f>IFERROR(VLOOKUP($A70,Sales!$A:Y,AA$2,0),0)</f>
        <v>0</v>
      </c>
      <c r="AB73" s="61">
        <f>IFERROR(VLOOKUP($A70,Sales!$A:Z,AB$2,0),0)</f>
        <v>0</v>
      </c>
      <c r="AC73" s="61">
        <f>IFERROR(VLOOKUP($A70,Sales!$A:AA,AC$2,0),0)</f>
        <v>0</v>
      </c>
      <c r="AD73" s="61">
        <f>IFERROR(VLOOKUP($A70,Sales!$A:AB,AD$2,0),0)</f>
        <v>0</v>
      </c>
      <c r="AE73" s="61">
        <f>IFERROR(VLOOKUP($A70,Sales!$A:AC,AE$2,0),0)</f>
        <v>0</v>
      </c>
      <c r="AF73" s="61">
        <f>IFERROR(VLOOKUP($A70,Sales!$A:AD,AF$2,0),0)</f>
        <v>0</v>
      </c>
      <c r="AG73" s="61">
        <f>IFERROR(VLOOKUP($A70,Sales!$A:AE,AG$2,0),0)</f>
        <v>0</v>
      </c>
      <c r="AH73" s="61">
        <f>IFERROR(VLOOKUP($A70,Sales!$A:AF,AH$2,0),0)</f>
        <v>0</v>
      </c>
      <c r="AI73" s="61">
        <f>IFERROR(VLOOKUP($A70,Sales!$A:AG,AI$2,0),0)</f>
        <v>0</v>
      </c>
      <c r="AJ73" s="61">
        <f>IFERROR(VLOOKUP($A70,Sales!$A:AH,AJ$2,0),0)</f>
        <v>0</v>
      </c>
      <c r="AK73" s="74">
        <f t="shared" ref="AK73:CC73" si="110">CEILING(AK$5*$B69,1)</f>
        <v>0</v>
      </c>
      <c r="AL73" s="74">
        <f t="shared" si="110"/>
        <v>0</v>
      </c>
      <c r="AM73" s="74">
        <f t="shared" si="110"/>
        <v>0</v>
      </c>
      <c r="AN73" s="74">
        <f t="shared" si="110"/>
        <v>0</v>
      </c>
      <c r="AO73" s="74">
        <f t="shared" si="110"/>
        <v>0</v>
      </c>
      <c r="AP73" s="74">
        <f t="shared" si="110"/>
        <v>0</v>
      </c>
      <c r="AQ73" s="74">
        <f t="shared" si="110"/>
        <v>0</v>
      </c>
      <c r="AR73" s="74">
        <f t="shared" si="110"/>
        <v>0</v>
      </c>
      <c r="AS73" s="74">
        <f t="shared" si="110"/>
        <v>0</v>
      </c>
      <c r="AT73" s="74">
        <f t="shared" si="110"/>
        <v>0</v>
      </c>
      <c r="AU73" s="74">
        <f t="shared" si="110"/>
        <v>0</v>
      </c>
      <c r="AV73" s="74">
        <f t="shared" si="110"/>
        <v>0</v>
      </c>
      <c r="AW73" s="74">
        <f t="shared" si="110"/>
        <v>0</v>
      </c>
      <c r="AX73" s="74">
        <f t="shared" si="110"/>
        <v>0</v>
      </c>
      <c r="AY73" s="74">
        <f t="shared" si="110"/>
        <v>0</v>
      </c>
      <c r="AZ73" s="74">
        <f t="shared" si="110"/>
        <v>0</v>
      </c>
      <c r="BA73" s="74">
        <f t="shared" si="110"/>
        <v>0</v>
      </c>
      <c r="BB73" s="74">
        <f t="shared" si="110"/>
        <v>0</v>
      </c>
      <c r="BC73" s="74">
        <f t="shared" si="110"/>
        <v>0</v>
      </c>
      <c r="BD73" s="74">
        <f t="shared" si="110"/>
        <v>0</v>
      </c>
      <c r="BE73" s="74">
        <f t="shared" si="110"/>
        <v>0</v>
      </c>
      <c r="BF73" s="74">
        <f t="shared" si="110"/>
        <v>0</v>
      </c>
      <c r="BG73" s="74">
        <f t="shared" si="110"/>
        <v>0</v>
      </c>
      <c r="BH73" s="74">
        <f t="shared" si="110"/>
        <v>0</v>
      </c>
      <c r="BI73" s="74">
        <f t="shared" si="110"/>
        <v>0</v>
      </c>
      <c r="BJ73" s="74">
        <f t="shared" si="110"/>
        <v>0</v>
      </c>
      <c r="BK73" s="74">
        <f t="shared" si="110"/>
        <v>0</v>
      </c>
      <c r="BL73" s="74">
        <f t="shared" si="110"/>
        <v>0</v>
      </c>
      <c r="BM73" s="74">
        <f t="shared" si="110"/>
        <v>0</v>
      </c>
      <c r="BN73" s="74">
        <f t="shared" si="110"/>
        <v>0</v>
      </c>
      <c r="BO73" s="74">
        <f t="shared" si="110"/>
        <v>0</v>
      </c>
      <c r="BP73" s="74">
        <f t="shared" si="110"/>
        <v>0</v>
      </c>
      <c r="BQ73" s="74">
        <f t="shared" si="110"/>
        <v>0</v>
      </c>
      <c r="BR73" s="74">
        <f t="shared" si="110"/>
        <v>0</v>
      </c>
      <c r="BS73" s="74">
        <f t="shared" si="110"/>
        <v>0</v>
      </c>
      <c r="BT73" s="74">
        <f t="shared" si="110"/>
        <v>0</v>
      </c>
      <c r="BU73" s="74">
        <f t="shared" si="110"/>
        <v>0</v>
      </c>
      <c r="BV73" s="74">
        <f t="shared" si="110"/>
        <v>0</v>
      </c>
      <c r="BW73" s="74">
        <f t="shared" si="110"/>
        <v>0</v>
      </c>
      <c r="BX73" s="74">
        <f t="shared" si="110"/>
        <v>0</v>
      </c>
      <c r="BY73" s="74">
        <f t="shared" si="110"/>
        <v>0</v>
      </c>
      <c r="BZ73" s="74">
        <f t="shared" si="110"/>
        <v>0</v>
      </c>
      <c r="CA73" s="74">
        <f t="shared" si="110"/>
        <v>0</v>
      </c>
      <c r="CB73" s="74">
        <f t="shared" si="110"/>
        <v>0</v>
      </c>
      <c r="CC73" s="74">
        <f t="shared" si="110"/>
        <v>0</v>
      </c>
    </row>
    <row r="74" spans="1:81" x14ac:dyDescent="0.2">
      <c r="A74" s="5" t="s">
        <v>214</v>
      </c>
      <c r="B74" s="5">
        <v>0.23899999999999999</v>
      </c>
      <c r="C74" s="46" t="s">
        <v>215</v>
      </c>
      <c r="D74" s="11">
        <f t="shared" ref="D74:AI74" si="111">IF(D73=0,0, ROUND(D70 * 1/D73* D$13,1))</f>
        <v>0</v>
      </c>
      <c r="E74" s="11">
        <f t="shared" si="111"/>
        <v>0</v>
      </c>
      <c r="F74" s="11">
        <f t="shared" si="111"/>
        <v>0</v>
      </c>
      <c r="G74" s="11">
        <f t="shared" si="111"/>
        <v>0</v>
      </c>
      <c r="H74" s="11">
        <f t="shared" si="111"/>
        <v>0</v>
      </c>
      <c r="I74" s="11">
        <f t="shared" si="111"/>
        <v>0</v>
      </c>
      <c r="J74" s="11">
        <f t="shared" si="111"/>
        <v>0</v>
      </c>
      <c r="K74" s="11">
        <f t="shared" si="111"/>
        <v>0</v>
      </c>
      <c r="L74" s="11">
        <f t="shared" si="111"/>
        <v>0</v>
      </c>
      <c r="M74" s="11">
        <f t="shared" si="111"/>
        <v>0</v>
      </c>
      <c r="N74" s="11">
        <f t="shared" si="111"/>
        <v>0</v>
      </c>
      <c r="O74" s="11">
        <f t="shared" si="111"/>
        <v>0</v>
      </c>
      <c r="P74" s="11">
        <f t="shared" si="111"/>
        <v>0</v>
      </c>
      <c r="Q74" s="11">
        <f t="shared" si="111"/>
        <v>0</v>
      </c>
      <c r="R74" s="11">
        <f t="shared" si="111"/>
        <v>0</v>
      </c>
      <c r="S74" s="11">
        <f t="shared" si="111"/>
        <v>0</v>
      </c>
      <c r="T74" s="11">
        <f t="shared" si="111"/>
        <v>0</v>
      </c>
      <c r="U74" s="11">
        <f t="shared" si="111"/>
        <v>0</v>
      </c>
      <c r="V74" s="11">
        <f t="shared" si="111"/>
        <v>0</v>
      </c>
      <c r="W74" s="11">
        <f t="shared" si="111"/>
        <v>0</v>
      </c>
      <c r="X74" s="11">
        <f t="shared" si="111"/>
        <v>0</v>
      </c>
      <c r="Y74" s="11">
        <f t="shared" si="111"/>
        <v>0</v>
      </c>
      <c r="Z74" s="11">
        <f t="shared" si="111"/>
        <v>0</v>
      </c>
      <c r="AA74" s="11">
        <f t="shared" si="111"/>
        <v>0</v>
      </c>
      <c r="AB74" s="11">
        <f t="shared" si="111"/>
        <v>0</v>
      </c>
      <c r="AC74" s="11">
        <f t="shared" si="111"/>
        <v>0</v>
      </c>
      <c r="AD74" s="11">
        <f t="shared" si="111"/>
        <v>0</v>
      </c>
      <c r="AE74" s="11">
        <f t="shared" si="111"/>
        <v>0</v>
      </c>
      <c r="AF74" s="11">
        <f t="shared" si="111"/>
        <v>0</v>
      </c>
      <c r="AG74" s="11">
        <f t="shared" si="111"/>
        <v>0</v>
      </c>
      <c r="AH74" s="11">
        <f t="shared" si="111"/>
        <v>0</v>
      </c>
      <c r="AI74" s="11">
        <f t="shared" si="111"/>
        <v>0</v>
      </c>
      <c r="AJ74" s="11">
        <f t="shared" ref="AJ74:BO74" si="112">IF(AJ73=0,0, ROUND(AJ70 * 1/AJ73* AJ$13,1))</f>
        <v>0</v>
      </c>
      <c r="AK74" s="11">
        <f t="shared" si="112"/>
        <v>0</v>
      </c>
      <c r="AL74" s="11">
        <f t="shared" si="112"/>
        <v>0</v>
      </c>
      <c r="AM74" s="11">
        <f t="shared" si="112"/>
        <v>0</v>
      </c>
      <c r="AN74" s="11">
        <f t="shared" si="112"/>
        <v>0</v>
      </c>
      <c r="AO74" s="11">
        <f t="shared" si="112"/>
        <v>0</v>
      </c>
      <c r="AP74" s="11">
        <f t="shared" si="112"/>
        <v>0</v>
      </c>
      <c r="AQ74" s="11">
        <f t="shared" si="112"/>
        <v>0</v>
      </c>
      <c r="AR74" s="11">
        <f t="shared" si="112"/>
        <v>0</v>
      </c>
      <c r="AS74" s="11">
        <f t="shared" si="112"/>
        <v>0</v>
      </c>
      <c r="AT74" s="11">
        <f t="shared" si="112"/>
        <v>0</v>
      </c>
      <c r="AU74" s="11">
        <f t="shared" si="112"/>
        <v>0</v>
      </c>
      <c r="AV74" s="11">
        <f t="shared" si="112"/>
        <v>0</v>
      </c>
      <c r="AW74" s="11">
        <f t="shared" si="112"/>
        <v>0</v>
      </c>
      <c r="AX74" s="11">
        <f t="shared" si="112"/>
        <v>0</v>
      </c>
      <c r="AY74" s="11">
        <f t="shared" si="112"/>
        <v>0</v>
      </c>
      <c r="AZ74" s="11">
        <f t="shared" si="112"/>
        <v>0</v>
      </c>
      <c r="BA74" s="11">
        <f t="shared" si="112"/>
        <v>0</v>
      </c>
      <c r="BB74" s="11">
        <f t="shared" si="112"/>
        <v>0</v>
      </c>
      <c r="BC74" s="11">
        <f t="shared" si="112"/>
        <v>0</v>
      </c>
      <c r="BD74" s="11">
        <f t="shared" si="112"/>
        <v>0</v>
      </c>
      <c r="BE74" s="11">
        <f t="shared" si="112"/>
        <v>0</v>
      </c>
      <c r="BF74" s="11">
        <f t="shared" si="112"/>
        <v>0</v>
      </c>
      <c r="BG74" s="11">
        <f t="shared" si="112"/>
        <v>0</v>
      </c>
      <c r="BH74" s="11">
        <f t="shared" si="112"/>
        <v>0</v>
      </c>
      <c r="BI74" s="11">
        <f t="shared" si="112"/>
        <v>0</v>
      </c>
      <c r="BJ74" s="11">
        <f t="shared" si="112"/>
        <v>0</v>
      </c>
      <c r="BK74" s="11">
        <f t="shared" si="112"/>
        <v>0</v>
      </c>
      <c r="BL74" s="11">
        <f t="shared" si="112"/>
        <v>0</v>
      </c>
      <c r="BM74" s="11">
        <f t="shared" si="112"/>
        <v>0</v>
      </c>
      <c r="BN74" s="11">
        <f t="shared" si="112"/>
        <v>0</v>
      </c>
      <c r="BO74" s="11">
        <f t="shared" si="112"/>
        <v>0</v>
      </c>
      <c r="BP74" s="11">
        <f t="shared" ref="BP74:CC74" si="113">IF(BP73=0,0, ROUND(BP70 * 1/BP73* BP$13,1))</f>
        <v>0</v>
      </c>
      <c r="BQ74" s="11">
        <f t="shared" si="113"/>
        <v>0</v>
      </c>
      <c r="BR74" s="11">
        <f t="shared" si="113"/>
        <v>0</v>
      </c>
      <c r="BS74" s="11">
        <f t="shared" si="113"/>
        <v>0</v>
      </c>
      <c r="BT74" s="11">
        <f t="shared" si="113"/>
        <v>0</v>
      </c>
      <c r="BU74" s="11">
        <f t="shared" si="113"/>
        <v>0</v>
      </c>
      <c r="BV74" s="11">
        <f t="shared" si="113"/>
        <v>0</v>
      </c>
      <c r="BW74" s="11">
        <f t="shared" si="113"/>
        <v>0</v>
      </c>
      <c r="BX74" s="11">
        <f t="shared" si="113"/>
        <v>0</v>
      </c>
      <c r="BY74" s="11">
        <f t="shared" si="113"/>
        <v>0</v>
      </c>
      <c r="BZ74" s="11">
        <f t="shared" si="113"/>
        <v>0</v>
      </c>
      <c r="CA74" s="11">
        <f t="shared" si="113"/>
        <v>0</v>
      </c>
      <c r="CB74" s="11">
        <f t="shared" si="113"/>
        <v>0</v>
      </c>
      <c r="CC74" s="11">
        <f t="shared" si="113"/>
        <v>0</v>
      </c>
    </row>
    <row r="75" spans="1:81" x14ac:dyDescent="0.2">
      <c r="A75">
        <v>16</v>
      </c>
      <c r="B75">
        <v>1</v>
      </c>
      <c r="C75" s="8">
        <v>4.7457900000000004</v>
      </c>
      <c r="D75">
        <f t="shared" ref="D75:AI75" si="114">D72/$B75</f>
        <v>0</v>
      </c>
      <c r="E75">
        <f t="shared" si="114"/>
        <v>0</v>
      </c>
      <c r="F75">
        <f t="shared" si="114"/>
        <v>0</v>
      </c>
      <c r="G75">
        <f t="shared" si="114"/>
        <v>0</v>
      </c>
      <c r="H75">
        <f t="shared" si="114"/>
        <v>0</v>
      </c>
      <c r="I75">
        <f t="shared" si="114"/>
        <v>0</v>
      </c>
      <c r="J75">
        <f t="shared" si="114"/>
        <v>0</v>
      </c>
      <c r="K75">
        <f t="shared" si="114"/>
        <v>0</v>
      </c>
      <c r="L75">
        <f t="shared" si="114"/>
        <v>0</v>
      </c>
      <c r="M75">
        <f t="shared" si="114"/>
        <v>0</v>
      </c>
      <c r="N75">
        <f t="shared" si="114"/>
        <v>0</v>
      </c>
      <c r="O75">
        <f t="shared" si="114"/>
        <v>0</v>
      </c>
      <c r="P75">
        <f t="shared" si="114"/>
        <v>0</v>
      </c>
      <c r="Q75">
        <f t="shared" si="114"/>
        <v>0</v>
      </c>
      <c r="R75">
        <f t="shared" si="114"/>
        <v>0</v>
      </c>
      <c r="S75">
        <f t="shared" si="114"/>
        <v>0</v>
      </c>
      <c r="T75">
        <f t="shared" si="114"/>
        <v>0</v>
      </c>
      <c r="U75">
        <f t="shared" si="114"/>
        <v>0</v>
      </c>
      <c r="V75">
        <f t="shared" si="114"/>
        <v>0</v>
      </c>
      <c r="W75">
        <f t="shared" si="114"/>
        <v>0</v>
      </c>
      <c r="X75">
        <f t="shared" si="114"/>
        <v>0</v>
      </c>
      <c r="Y75">
        <f t="shared" si="114"/>
        <v>0</v>
      </c>
      <c r="Z75">
        <f t="shared" si="114"/>
        <v>0</v>
      </c>
      <c r="AA75">
        <f t="shared" si="114"/>
        <v>0</v>
      </c>
      <c r="AB75">
        <f t="shared" si="114"/>
        <v>0</v>
      </c>
      <c r="AC75">
        <f t="shared" si="114"/>
        <v>0</v>
      </c>
      <c r="AD75">
        <f t="shared" si="114"/>
        <v>0</v>
      </c>
      <c r="AE75">
        <f t="shared" si="114"/>
        <v>0</v>
      </c>
      <c r="AF75">
        <f t="shared" si="114"/>
        <v>0</v>
      </c>
      <c r="AG75">
        <f t="shared" si="114"/>
        <v>0</v>
      </c>
      <c r="AH75">
        <f t="shared" si="114"/>
        <v>0</v>
      </c>
      <c r="AI75">
        <f t="shared" si="114"/>
        <v>0</v>
      </c>
      <c r="AJ75">
        <f t="shared" ref="AJ75:BO75" si="115">AJ72/$B75</f>
        <v>0</v>
      </c>
      <c r="AK75">
        <f t="shared" si="115"/>
        <v>0</v>
      </c>
      <c r="AL75">
        <f t="shared" si="115"/>
        <v>0</v>
      </c>
      <c r="AM75">
        <f t="shared" si="115"/>
        <v>0</v>
      </c>
      <c r="AN75">
        <f t="shared" si="115"/>
        <v>0</v>
      </c>
      <c r="AO75">
        <f t="shared" si="115"/>
        <v>0</v>
      </c>
      <c r="AP75">
        <f t="shared" si="115"/>
        <v>0</v>
      </c>
      <c r="AQ75">
        <f t="shared" si="115"/>
        <v>0</v>
      </c>
      <c r="AR75">
        <f t="shared" si="115"/>
        <v>0</v>
      </c>
      <c r="AS75">
        <f t="shared" si="115"/>
        <v>0</v>
      </c>
      <c r="AT75">
        <f t="shared" si="115"/>
        <v>0</v>
      </c>
      <c r="AU75">
        <f t="shared" si="115"/>
        <v>0</v>
      </c>
      <c r="AV75">
        <f t="shared" si="115"/>
        <v>0</v>
      </c>
      <c r="AW75">
        <f t="shared" si="115"/>
        <v>0</v>
      </c>
      <c r="AX75">
        <f t="shared" si="115"/>
        <v>0</v>
      </c>
      <c r="AY75">
        <f t="shared" si="115"/>
        <v>0</v>
      </c>
      <c r="AZ75">
        <f t="shared" si="115"/>
        <v>0</v>
      </c>
      <c r="BA75">
        <f t="shared" si="115"/>
        <v>0</v>
      </c>
      <c r="BB75">
        <f t="shared" si="115"/>
        <v>0</v>
      </c>
      <c r="BC75">
        <f t="shared" si="115"/>
        <v>0</v>
      </c>
      <c r="BD75">
        <f t="shared" si="115"/>
        <v>0</v>
      </c>
      <c r="BE75">
        <f t="shared" si="115"/>
        <v>0</v>
      </c>
      <c r="BF75">
        <f t="shared" si="115"/>
        <v>0</v>
      </c>
      <c r="BG75">
        <f t="shared" si="115"/>
        <v>0</v>
      </c>
      <c r="BH75">
        <f t="shared" si="115"/>
        <v>0</v>
      </c>
      <c r="BI75">
        <f t="shared" si="115"/>
        <v>0</v>
      </c>
      <c r="BJ75">
        <f t="shared" si="115"/>
        <v>0</v>
      </c>
      <c r="BK75">
        <f t="shared" si="115"/>
        <v>0</v>
      </c>
      <c r="BL75">
        <f t="shared" si="115"/>
        <v>0</v>
      </c>
      <c r="BM75">
        <f t="shared" si="115"/>
        <v>0</v>
      </c>
      <c r="BN75">
        <f t="shared" si="115"/>
        <v>0</v>
      </c>
      <c r="BO75">
        <f t="shared" si="115"/>
        <v>0</v>
      </c>
      <c r="BP75">
        <f t="shared" ref="BP75:CC75" si="116">BP72/$B75</f>
        <v>0</v>
      </c>
      <c r="BQ75">
        <f t="shared" si="116"/>
        <v>0</v>
      </c>
      <c r="BR75">
        <f t="shared" si="116"/>
        <v>0</v>
      </c>
      <c r="BS75">
        <f t="shared" si="116"/>
        <v>0</v>
      </c>
      <c r="BT75">
        <f t="shared" si="116"/>
        <v>0</v>
      </c>
      <c r="BU75">
        <f t="shared" si="116"/>
        <v>0</v>
      </c>
      <c r="BV75">
        <f t="shared" si="116"/>
        <v>0</v>
      </c>
      <c r="BW75">
        <f t="shared" si="116"/>
        <v>0</v>
      </c>
      <c r="BX75">
        <f t="shared" si="116"/>
        <v>0</v>
      </c>
      <c r="BY75">
        <f t="shared" si="116"/>
        <v>0</v>
      </c>
      <c r="BZ75">
        <f t="shared" si="116"/>
        <v>0</v>
      </c>
      <c r="CA75">
        <f t="shared" si="116"/>
        <v>0</v>
      </c>
      <c r="CB75">
        <f t="shared" si="116"/>
        <v>0</v>
      </c>
      <c r="CC75">
        <f t="shared" si="116"/>
        <v>0</v>
      </c>
    </row>
    <row r="76" spans="1:81" x14ac:dyDescent="0.2">
      <c r="B76" s="67">
        <f>SUM(D80:AJ80)/SUM($D$263:$AJ$263)</f>
        <v>0.17922830085309541</v>
      </c>
      <c r="C76" s="9" t="s">
        <v>216</v>
      </c>
      <c r="D76">
        <f t="shared" ref="D76:AI76" si="117">D70-D73</f>
        <v>0</v>
      </c>
      <c r="E76">
        <f t="shared" si="117"/>
        <v>0</v>
      </c>
      <c r="F76">
        <f t="shared" si="117"/>
        <v>0</v>
      </c>
      <c r="G76">
        <f t="shared" si="117"/>
        <v>0</v>
      </c>
      <c r="H76">
        <f t="shared" si="117"/>
        <v>0</v>
      </c>
      <c r="I76">
        <f t="shared" si="117"/>
        <v>0</v>
      </c>
      <c r="J76">
        <f t="shared" si="117"/>
        <v>0</v>
      </c>
      <c r="K76">
        <f t="shared" si="117"/>
        <v>0</v>
      </c>
      <c r="L76">
        <f t="shared" si="117"/>
        <v>0</v>
      </c>
      <c r="M76">
        <f t="shared" si="117"/>
        <v>0</v>
      </c>
      <c r="N76">
        <f t="shared" si="117"/>
        <v>0</v>
      </c>
      <c r="O76">
        <f t="shared" si="117"/>
        <v>0</v>
      </c>
      <c r="P76">
        <f t="shared" si="117"/>
        <v>0</v>
      </c>
      <c r="Q76">
        <f t="shared" si="117"/>
        <v>0</v>
      </c>
      <c r="R76">
        <f t="shared" si="117"/>
        <v>0</v>
      </c>
      <c r="S76">
        <f t="shared" si="117"/>
        <v>0</v>
      </c>
      <c r="T76">
        <f t="shared" si="117"/>
        <v>0</v>
      </c>
      <c r="U76">
        <f t="shared" si="117"/>
        <v>0</v>
      </c>
      <c r="V76">
        <f t="shared" si="117"/>
        <v>0</v>
      </c>
      <c r="W76">
        <f t="shared" si="117"/>
        <v>0</v>
      </c>
      <c r="X76">
        <f t="shared" si="117"/>
        <v>0</v>
      </c>
      <c r="Y76">
        <f t="shared" si="117"/>
        <v>0</v>
      </c>
      <c r="Z76">
        <f t="shared" si="117"/>
        <v>0</v>
      </c>
      <c r="AA76">
        <f t="shared" si="117"/>
        <v>0</v>
      </c>
      <c r="AB76">
        <f t="shared" si="117"/>
        <v>0</v>
      </c>
      <c r="AC76">
        <f t="shared" si="117"/>
        <v>0</v>
      </c>
      <c r="AD76">
        <f t="shared" si="117"/>
        <v>0</v>
      </c>
      <c r="AE76">
        <f t="shared" si="117"/>
        <v>0</v>
      </c>
      <c r="AF76">
        <f t="shared" si="117"/>
        <v>0</v>
      </c>
      <c r="AG76">
        <f t="shared" si="117"/>
        <v>0</v>
      </c>
      <c r="AH76">
        <f t="shared" si="117"/>
        <v>0</v>
      </c>
      <c r="AI76">
        <f t="shared" si="117"/>
        <v>0</v>
      </c>
      <c r="AJ76">
        <f t="shared" ref="AJ76:BO76" si="118">AJ70-AJ73</f>
        <v>0</v>
      </c>
      <c r="AK76">
        <f t="shared" si="118"/>
        <v>0</v>
      </c>
      <c r="AL76">
        <f t="shared" si="118"/>
        <v>0</v>
      </c>
      <c r="AM76">
        <f t="shared" si="118"/>
        <v>0</v>
      </c>
      <c r="AN76">
        <f t="shared" si="118"/>
        <v>0</v>
      </c>
      <c r="AO76">
        <f t="shared" si="118"/>
        <v>0</v>
      </c>
      <c r="AP76">
        <f t="shared" si="118"/>
        <v>0</v>
      </c>
      <c r="AQ76">
        <f t="shared" si="118"/>
        <v>0</v>
      </c>
      <c r="AR76">
        <f t="shared" si="118"/>
        <v>0</v>
      </c>
      <c r="AS76">
        <f t="shared" si="118"/>
        <v>0</v>
      </c>
      <c r="AT76">
        <f t="shared" si="118"/>
        <v>0</v>
      </c>
      <c r="AU76">
        <f t="shared" si="118"/>
        <v>0</v>
      </c>
      <c r="AV76">
        <f t="shared" si="118"/>
        <v>0</v>
      </c>
      <c r="AW76">
        <f t="shared" si="118"/>
        <v>0</v>
      </c>
      <c r="AX76">
        <f t="shared" si="118"/>
        <v>0</v>
      </c>
      <c r="AY76">
        <f t="shared" si="118"/>
        <v>0</v>
      </c>
      <c r="AZ76">
        <f t="shared" si="118"/>
        <v>0</v>
      </c>
      <c r="BA76">
        <f t="shared" si="118"/>
        <v>0</v>
      </c>
      <c r="BB76">
        <f t="shared" si="118"/>
        <v>0</v>
      </c>
      <c r="BC76">
        <f t="shared" si="118"/>
        <v>0</v>
      </c>
      <c r="BD76">
        <f t="shared" si="118"/>
        <v>0</v>
      </c>
      <c r="BE76">
        <f t="shared" si="118"/>
        <v>0</v>
      </c>
      <c r="BF76">
        <f t="shared" si="118"/>
        <v>0</v>
      </c>
      <c r="BG76">
        <f t="shared" si="118"/>
        <v>0</v>
      </c>
      <c r="BH76">
        <f t="shared" si="118"/>
        <v>0</v>
      </c>
      <c r="BI76">
        <f t="shared" si="118"/>
        <v>0</v>
      </c>
      <c r="BJ76">
        <f t="shared" si="118"/>
        <v>0</v>
      </c>
      <c r="BK76">
        <f t="shared" si="118"/>
        <v>0</v>
      </c>
      <c r="BL76">
        <f t="shared" si="118"/>
        <v>0</v>
      </c>
      <c r="BM76">
        <f t="shared" si="118"/>
        <v>0</v>
      </c>
      <c r="BN76">
        <f t="shared" si="118"/>
        <v>0</v>
      </c>
      <c r="BO76">
        <f t="shared" si="118"/>
        <v>0</v>
      </c>
      <c r="BP76">
        <f t="shared" ref="BP76:CC76" si="119">BP70-BP73</f>
        <v>0</v>
      </c>
      <c r="BQ76">
        <f t="shared" si="119"/>
        <v>0</v>
      </c>
      <c r="BR76">
        <f t="shared" si="119"/>
        <v>0</v>
      </c>
      <c r="BS76">
        <f t="shared" si="119"/>
        <v>0</v>
      </c>
      <c r="BT76">
        <f t="shared" si="119"/>
        <v>0</v>
      </c>
      <c r="BU76">
        <f t="shared" si="119"/>
        <v>0</v>
      </c>
      <c r="BV76">
        <f t="shared" si="119"/>
        <v>0</v>
      </c>
      <c r="BW76">
        <f t="shared" si="119"/>
        <v>0</v>
      </c>
      <c r="BX76">
        <f t="shared" si="119"/>
        <v>0</v>
      </c>
      <c r="BY76">
        <f t="shared" si="119"/>
        <v>0</v>
      </c>
      <c r="BZ76">
        <f t="shared" si="119"/>
        <v>0</v>
      </c>
      <c r="CA76">
        <f t="shared" si="119"/>
        <v>0</v>
      </c>
      <c r="CB76">
        <f t="shared" si="119"/>
        <v>0</v>
      </c>
      <c r="CC76">
        <f t="shared" si="119"/>
        <v>0</v>
      </c>
    </row>
    <row r="77" spans="1:81" x14ac:dyDescent="0.2">
      <c r="A77" s="43" t="s">
        <v>298</v>
      </c>
      <c r="B77" s="44" t="s">
        <v>208</v>
      </c>
      <c r="C77" s="9" t="s">
        <v>38</v>
      </c>
      <c r="D77" s="58">
        <f>IFERROR(VLOOKUP(A77,OS!$A:$B,2,0),0)</f>
        <v>2480</v>
      </c>
      <c r="E77" s="5">
        <f>(D77+D78-D80)</f>
        <v>3320</v>
      </c>
      <c r="F77" s="5">
        <f>(E77+E78-E80)</f>
        <v>2520</v>
      </c>
      <c r="G77" s="5">
        <f>(F77+F78-F80)</f>
        <v>1720</v>
      </c>
      <c r="H77" s="5">
        <f>(G77+G78-G80)</f>
        <v>840</v>
      </c>
      <c r="I77" s="5">
        <f t="shared" ref="I77:AN77" si="120">(H77+H78-H80+D79)</f>
        <v>1400</v>
      </c>
      <c r="J77" s="5">
        <f t="shared" si="120"/>
        <v>1880</v>
      </c>
      <c r="K77" s="5">
        <f t="shared" si="120"/>
        <v>1640</v>
      </c>
      <c r="L77" s="5">
        <f t="shared" si="120"/>
        <v>840</v>
      </c>
      <c r="M77" s="5">
        <f t="shared" si="120"/>
        <v>-200</v>
      </c>
      <c r="N77" s="5">
        <f t="shared" si="120"/>
        <v>-1080</v>
      </c>
      <c r="O77" s="5">
        <f t="shared" si="120"/>
        <v>-1080</v>
      </c>
      <c r="P77" s="5">
        <f t="shared" si="120"/>
        <v>-1080</v>
      </c>
      <c r="Q77" s="5">
        <f t="shared" si="120"/>
        <v>-1080</v>
      </c>
      <c r="R77" s="5">
        <f t="shared" si="120"/>
        <v>-1080</v>
      </c>
      <c r="S77" s="5">
        <f t="shared" si="120"/>
        <v>-1640</v>
      </c>
      <c r="T77" s="5">
        <f t="shared" si="120"/>
        <v>-2200</v>
      </c>
      <c r="U77" s="5">
        <f t="shared" si="120"/>
        <v>-2840</v>
      </c>
      <c r="V77" s="5">
        <f t="shared" si="120"/>
        <v>-3480</v>
      </c>
      <c r="W77" s="5">
        <f t="shared" si="120"/>
        <v>-4120</v>
      </c>
      <c r="X77" s="5">
        <f t="shared" si="120"/>
        <v>-4760</v>
      </c>
      <c r="Y77" s="5">
        <f t="shared" si="120"/>
        <v>-5400</v>
      </c>
      <c r="Z77" s="5">
        <f t="shared" si="120"/>
        <v>-5840</v>
      </c>
      <c r="AA77" s="5">
        <f t="shared" si="120"/>
        <v>-6280</v>
      </c>
      <c r="AB77" s="5">
        <f t="shared" si="120"/>
        <v>-6720</v>
      </c>
      <c r="AC77" s="5">
        <f t="shared" si="120"/>
        <v>-7160</v>
      </c>
      <c r="AD77" s="5">
        <f t="shared" si="120"/>
        <v>-7740</v>
      </c>
      <c r="AE77" s="5">
        <f t="shared" si="120"/>
        <v>-8320</v>
      </c>
      <c r="AF77" s="5">
        <f t="shared" si="120"/>
        <v>-8900</v>
      </c>
      <c r="AG77" s="5">
        <f t="shared" si="120"/>
        <v>-9480</v>
      </c>
      <c r="AH77" s="5">
        <f t="shared" si="120"/>
        <v>-10040</v>
      </c>
      <c r="AI77" s="5">
        <f t="shared" si="120"/>
        <v>-10960</v>
      </c>
      <c r="AJ77" s="5">
        <f t="shared" si="120"/>
        <v>-11880</v>
      </c>
      <c r="AK77" s="5">
        <f t="shared" si="120"/>
        <v>-11880</v>
      </c>
      <c r="AL77" s="5">
        <f t="shared" si="120"/>
        <v>-11880</v>
      </c>
      <c r="AM77" s="5">
        <f t="shared" si="120"/>
        <v>-11880</v>
      </c>
      <c r="AN77" s="5">
        <f t="shared" si="120"/>
        <v>-11880</v>
      </c>
      <c r="AO77" s="5">
        <f t="shared" ref="AO77:BT77" si="121">(AN77+AN78-AN80+AJ79)</f>
        <v>-12366</v>
      </c>
      <c r="AP77" s="5">
        <f t="shared" si="121"/>
        <v>-12852</v>
      </c>
      <c r="AQ77" s="5">
        <f t="shared" si="121"/>
        <v>-13338</v>
      </c>
      <c r="AR77" s="5">
        <f t="shared" si="121"/>
        <v>-13925</v>
      </c>
      <c r="AS77" s="5">
        <f t="shared" si="121"/>
        <v>-14512</v>
      </c>
      <c r="AT77" s="5">
        <f t="shared" si="121"/>
        <v>-14982</v>
      </c>
      <c r="AU77" s="5">
        <f t="shared" si="121"/>
        <v>-15569</v>
      </c>
      <c r="AV77" s="5">
        <f t="shared" si="121"/>
        <v>-16127</v>
      </c>
      <c r="AW77" s="5">
        <f t="shared" si="121"/>
        <v>-16685</v>
      </c>
      <c r="AX77" s="5">
        <f t="shared" si="121"/>
        <v>-17243</v>
      </c>
      <c r="AY77" s="5">
        <f t="shared" si="121"/>
        <v>-17801</v>
      </c>
      <c r="AZ77" s="5">
        <f t="shared" si="121"/>
        <v>-18247</v>
      </c>
      <c r="BA77" s="5">
        <f t="shared" si="121"/>
        <v>-18644</v>
      </c>
      <c r="BB77" s="5">
        <f t="shared" si="121"/>
        <v>-19041</v>
      </c>
      <c r="BC77" s="5">
        <f t="shared" si="121"/>
        <v>-19438</v>
      </c>
      <c r="BD77" s="5">
        <f t="shared" si="121"/>
        <v>-19884</v>
      </c>
      <c r="BE77" s="5">
        <f t="shared" si="121"/>
        <v>-20330</v>
      </c>
      <c r="BF77" s="5">
        <f t="shared" si="121"/>
        <v>-20776</v>
      </c>
      <c r="BG77" s="5">
        <f t="shared" si="121"/>
        <v>-21222</v>
      </c>
      <c r="BH77" s="5">
        <f t="shared" si="121"/>
        <v>-21668</v>
      </c>
      <c r="BI77" s="5">
        <f t="shared" si="121"/>
        <v>-22114</v>
      </c>
      <c r="BJ77" s="5">
        <f t="shared" si="121"/>
        <v>-22560</v>
      </c>
      <c r="BK77" s="5">
        <f t="shared" si="121"/>
        <v>-23006</v>
      </c>
      <c r="BL77" s="5">
        <f t="shared" si="121"/>
        <v>-23452</v>
      </c>
      <c r="BM77" s="5">
        <f t="shared" si="121"/>
        <v>-23896</v>
      </c>
      <c r="BN77" s="5">
        <f t="shared" si="121"/>
        <v>-24340</v>
      </c>
      <c r="BO77" s="5">
        <f t="shared" si="121"/>
        <v>-25150</v>
      </c>
      <c r="BP77" s="5">
        <f t="shared" si="121"/>
        <v>-25150</v>
      </c>
      <c r="BQ77" s="5">
        <f t="shared" si="121"/>
        <v>-25150</v>
      </c>
      <c r="BR77" s="5">
        <f t="shared" si="121"/>
        <v>-25150</v>
      </c>
      <c r="BS77" s="5">
        <f t="shared" si="121"/>
        <v>-25150</v>
      </c>
      <c r="BT77" s="5">
        <f t="shared" si="121"/>
        <v>-25516</v>
      </c>
      <c r="BU77" s="5">
        <f t="shared" ref="BU77:CC77" si="122">(BT77+BT78-BT80+BP79)</f>
        <v>-25882</v>
      </c>
      <c r="BV77" s="5">
        <f t="shared" si="122"/>
        <v>-26248</v>
      </c>
      <c r="BW77" s="5">
        <f t="shared" si="122"/>
        <v>-26614</v>
      </c>
      <c r="BX77" s="5">
        <f t="shared" si="122"/>
        <v>-26980</v>
      </c>
      <c r="BY77" s="5">
        <f t="shared" si="122"/>
        <v>-27346</v>
      </c>
      <c r="BZ77" s="5">
        <f t="shared" si="122"/>
        <v>-27712</v>
      </c>
      <c r="CA77" s="5">
        <f t="shared" si="122"/>
        <v>-28078</v>
      </c>
      <c r="CB77" s="5">
        <f t="shared" si="122"/>
        <v>-28444</v>
      </c>
      <c r="CC77" s="5">
        <f t="shared" si="122"/>
        <v>-28810</v>
      </c>
    </row>
    <row r="78" spans="1:81" x14ac:dyDescent="0.2">
      <c r="A78" s="5" t="s">
        <v>209</v>
      </c>
      <c r="B78" s="5">
        <v>6.7491899999999996</v>
      </c>
      <c r="C78" s="45" t="s">
        <v>39</v>
      </c>
      <c r="D78" s="59">
        <f>IFERROR(VLOOKUP(A77,WIP!$A:$B,2,0),0)</f>
        <v>840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 spans="1:81" x14ac:dyDescent="0.2">
      <c r="A79" s="5" t="s">
        <v>210</v>
      </c>
      <c r="B79" s="5">
        <v>0.219</v>
      </c>
      <c r="C79" s="9" t="s">
        <v>211</v>
      </c>
      <c r="D79" s="60">
        <f>IFERROR(VLOOKUP($A77,Plan!$A:B,D$4,0),0)</f>
        <v>1360</v>
      </c>
      <c r="E79" s="60">
        <f>IFERROR(VLOOKUP($A77,Plan!$A:C,E$4,0),0)</f>
        <v>1200</v>
      </c>
      <c r="F79" s="60">
        <f>IFERROR(VLOOKUP($A77,Plan!$A:D,F$4,0),0)</f>
        <v>560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 spans="1:81" x14ac:dyDescent="0.2">
      <c r="A80" s="5" t="s">
        <v>212</v>
      </c>
      <c r="B80" s="5">
        <v>3.4000000000000002E-2</v>
      </c>
      <c r="C80" s="9" t="s">
        <v>213</v>
      </c>
      <c r="D80" s="61">
        <f>IFERROR(VLOOKUP($A77,Sales!$A:B,D$2,0),0)</f>
        <v>0</v>
      </c>
      <c r="E80" s="61">
        <f>IFERROR(VLOOKUP($A77,Sales!$A:C,E$2,0),0)</f>
        <v>800</v>
      </c>
      <c r="F80" s="61">
        <f>IFERROR(VLOOKUP($A77,Sales!$A:D,F$2,0),0)</f>
        <v>800</v>
      </c>
      <c r="G80" s="61">
        <f>IFERROR(VLOOKUP($A77,Sales!$A:E,G$2,0),0)</f>
        <v>880</v>
      </c>
      <c r="H80" s="61">
        <f>IFERROR(VLOOKUP($A77,Sales!$A:F,H$2,0),0)</f>
        <v>800</v>
      </c>
      <c r="I80" s="61">
        <f>IFERROR(VLOOKUP($A77,Sales!$A:G,I$2,0),0)</f>
        <v>720</v>
      </c>
      <c r="J80" s="61">
        <f>IFERROR(VLOOKUP($A77,Sales!$A:H,J$2,0),0)</f>
        <v>800</v>
      </c>
      <c r="K80" s="61">
        <f>IFERROR(VLOOKUP($A77,Sales!$A:I,K$2,0),0)</f>
        <v>800</v>
      </c>
      <c r="L80" s="61">
        <f>IFERROR(VLOOKUP($A77,Sales!$A:J,L$2,0),0)</f>
        <v>1040</v>
      </c>
      <c r="M80" s="61">
        <f>IFERROR(VLOOKUP($A77,Sales!$A:K,M$2,0),0)</f>
        <v>880</v>
      </c>
      <c r="N80" s="61">
        <f>IFERROR(VLOOKUP($A77,Sales!$A:L,N$2,0),0)</f>
        <v>0</v>
      </c>
      <c r="O80" s="61">
        <f>IFERROR(VLOOKUP($A77,Sales!$A:M,O$2,0),0)</f>
        <v>0</v>
      </c>
      <c r="P80" s="61">
        <f>IFERROR(VLOOKUP($A77,Sales!$A:N,P$2,0),0)</f>
        <v>0</v>
      </c>
      <c r="Q80" s="61">
        <f>IFERROR(VLOOKUP($A77,Sales!$A:O,Q$2,0),0)</f>
        <v>0</v>
      </c>
      <c r="R80" s="61">
        <f>IFERROR(VLOOKUP($A77,Sales!$A:P,R$2,0),0)</f>
        <v>560</v>
      </c>
      <c r="S80" s="61">
        <f>IFERROR(VLOOKUP($A77,Sales!$A:Q,S$2,0),0)</f>
        <v>560</v>
      </c>
      <c r="T80" s="61">
        <f>IFERROR(VLOOKUP($A77,Sales!$A:R,T$2,0),0)</f>
        <v>640</v>
      </c>
      <c r="U80" s="61">
        <f>IFERROR(VLOOKUP($A77,Sales!$A:S,U$2,0),0)</f>
        <v>640</v>
      </c>
      <c r="V80" s="61">
        <f>IFERROR(VLOOKUP($A77,Sales!$A:T,V$2,0),0)</f>
        <v>640</v>
      </c>
      <c r="W80" s="61">
        <f>IFERROR(VLOOKUP($A77,Sales!$A:U,W$2,0),0)</f>
        <v>640</v>
      </c>
      <c r="X80" s="61">
        <f>IFERROR(VLOOKUP($A77,Sales!$A:V,X$2,0),0)</f>
        <v>640</v>
      </c>
      <c r="Y80" s="61">
        <f>IFERROR(VLOOKUP($A77,Sales!$A:W,Y$2,0),0)</f>
        <v>440</v>
      </c>
      <c r="Z80" s="61">
        <f>IFERROR(VLOOKUP($A77,Sales!$A:X,Z$2,0),0)</f>
        <v>440</v>
      </c>
      <c r="AA80" s="61">
        <f>IFERROR(VLOOKUP($A77,Sales!$A:Y,AA$2,0),0)</f>
        <v>440</v>
      </c>
      <c r="AB80" s="61">
        <f>IFERROR(VLOOKUP($A77,Sales!$A:Z,AB$2,0),0)</f>
        <v>440</v>
      </c>
      <c r="AC80" s="61">
        <f>IFERROR(VLOOKUP($A77,Sales!$A:AA,AC$2,0),0)</f>
        <v>580</v>
      </c>
      <c r="AD80" s="61">
        <f>IFERROR(VLOOKUP($A77,Sales!$A:AB,AD$2,0),0)</f>
        <v>580</v>
      </c>
      <c r="AE80" s="61">
        <f>IFERROR(VLOOKUP($A77,Sales!$A:AC,AE$2,0),0)</f>
        <v>580</v>
      </c>
      <c r="AF80" s="61">
        <f>IFERROR(VLOOKUP($A77,Sales!$A:AD,AF$2,0),0)</f>
        <v>580</v>
      </c>
      <c r="AG80" s="61">
        <f>IFERROR(VLOOKUP($A77,Sales!$A:AE,AG$2,0),0)</f>
        <v>560</v>
      </c>
      <c r="AH80" s="61">
        <f>IFERROR(VLOOKUP($A77,Sales!$A:AF,AH$2,0),0)</f>
        <v>920</v>
      </c>
      <c r="AI80" s="61">
        <f>IFERROR(VLOOKUP($A77,Sales!$A:AG,AI$2,0),0)</f>
        <v>920</v>
      </c>
      <c r="AJ80" s="61">
        <f>IFERROR(VLOOKUP($A77,Sales!$A:AH,AJ$2,0),0)</f>
        <v>0</v>
      </c>
      <c r="AK80" s="74">
        <f t="shared" ref="AK80:CC80" si="123">CEILING(AK$5*$B76,1)</f>
        <v>0</v>
      </c>
      <c r="AL80" s="74">
        <f t="shared" si="123"/>
        <v>0</v>
      </c>
      <c r="AM80" s="74">
        <f t="shared" si="123"/>
        <v>0</v>
      </c>
      <c r="AN80" s="74">
        <f t="shared" si="123"/>
        <v>486</v>
      </c>
      <c r="AO80" s="74">
        <f t="shared" si="123"/>
        <v>486</v>
      </c>
      <c r="AP80" s="74">
        <f t="shared" si="123"/>
        <v>486</v>
      </c>
      <c r="AQ80" s="74">
        <f t="shared" si="123"/>
        <v>587</v>
      </c>
      <c r="AR80" s="74">
        <f t="shared" si="123"/>
        <v>587</v>
      </c>
      <c r="AS80" s="74">
        <f t="shared" si="123"/>
        <v>470</v>
      </c>
      <c r="AT80" s="74">
        <f t="shared" si="123"/>
        <v>587</v>
      </c>
      <c r="AU80" s="74">
        <f t="shared" si="123"/>
        <v>558</v>
      </c>
      <c r="AV80" s="74">
        <f t="shared" si="123"/>
        <v>558</v>
      </c>
      <c r="AW80" s="74">
        <f t="shared" si="123"/>
        <v>558</v>
      </c>
      <c r="AX80" s="74">
        <f t="shared" si="123"/>
        <v>558</v>
      </c>
      <c r="AY80" s="74">
        <f t="shared" si="123"/>
        <v>446</v>
      </c>
      <c r="AZ80" s="74">
        <f t="shared" si="123"/>
        <v>397</v>
      </c>
      <c r="BA80" s="74">
        <f t="shared" si="123"/>
        <v>397</v>
      </c>
      <c r="BB80" s="74">
        <f t="shared" si="123"/>
        <v>397</v>
      </c>
      <c r="BC80" s="74">
        <f t="shared" si="123"/>
        <v>446</v>
      </c>
      <c r="BD80" s="74">
        <f t="shared" si="123"/>
        <v>446</v>
      </c>
      <c r="BE80" s="74">
        <f t="shared" si="123"/>
        <v>446</v>
      </c>
      <c r="BF80" s="74">
        <f t="shared" si="123"/>
        <v>446</v>
      </c>
      <c r="BG80" s="74">
        <f t="shared" si="123"/>
        <v>446</v>
      </c>
      <c r="BH80" s="74">
        <f t="shared" si="123"/>
        <v>446</v>
      </c>
      <c r="BI80" s="74">
        <f t="shared" si="123"/>
        <v>446</v>
      </c>
      <c r="BJ80" s="74">
        <f t="shared" si="123"/>
        <v>446</v>
      </c>
      <c r="BK80" s="74">
        <f t="shared" si="123"/>
        <v>446</v>
      </c>
      <c r="BL80" s="74">
        <f t="shared" si="123"/>
        <v>444</v>
      </c>
      <c r="BM80" s="74">
        <f t="shared" si="123"/>
        <v>444</v>
      </c>
      <c r="BN80" s="74">
        <f t="shared" si="123"/>
        <v>810</v>
      </c>
      <c r="BO80" s="74">
        <f t="shared" si="123"/>
        <v>0</v>
      </c>
      <c r="BP80" s="74">
        <f t="shared" si="123"/>
        <v>0</v>
      </c>
      <c r="BQ80" s="74">
        <f t="shared" si="123"/>
        <v>0</v>
      </c>
      <c r="BR80" s="74">
        <f t="shared" si="123"/>
        <v>0</v>
      </c>
      <c r="BS80" s="74">
        <f t="shared" si="123"/>
        <v>366</v>
      </c>
      <c r="BT80" s="74">
        <f t="shared" si="123"/>
        <v>366</v>
      </c>
      <c r="BU80" s="74">
        <f t="shared" si="123"/>
        <v>366</v>
      </c>
      <c r="BV80" s="74">
        <f t="shared" si="123"/>
        <v>366</v>
      </c>
      <c r="BW80" s="74">
        <f t="shared" si="123"/>
        <v>366</v>
      </c>
      <c r="BX80" s="74">
        <f t="shared" si="123"/>
        <v>366</v>
      </c>
      <c r="BY80" s="74">
        <f t="shared" si="123"/>
        <v>366</v>
      </c>
      <c r="BZ80" s="74">
        <f t="shared" si="123"/>
        <v>366</v>
      </c>
      <c r="CA80" s="74">
        <f t="shared" si="123"/>
        <v>366</v>
      </c>
      <c r="CB80" s="74">
        <f t="shared" si="123"/>
        <v>366</v>
      </c>
      <c r="CC80" s="74">
        <f t="shared" si="123"/>
        <v>366</v>
      </c>
    </row>
    <row r="81" spans="1:81" x14ac:dyDescent="0.2">
      <c r="A81" s="5" t="s">
        <v>214</v>
      </c>
      <c r="B81" s="5">
        <v>0.253</v>
      </c>
      <c r="C81" s="46" t="s">
        <v>215</v>
      </c>
      <c r="D81" s="11">
        <f t="shared" ref="D81:AI81" si="124">IF(D80=0,0, ROUND(D77 * 1/D80* D$13,1))</f>
        <v>0</v>
      </c>
      <c r="E81" s="11">
        <f t="shared" si="124"/>
        <v>20.8</v>
      </c>
      <c r="F81" s="11">
        <f t="shared" si="124"/>
        <v>15.8</v>
      </c>
      <c r="G81" s="11">
        <f t="shared" si="124"/>
        <v>9.8000000000000007</v>
      </c>
      <c r="H81" s="11">
        <f t="shared" si="124"/>
        <v>5.3</v>
      </c>
      <c r="I81" s="11">
        <f t="shared" si="124"/>
        <v>9.6999999999999993</v>
      </c>
      <c r="J81" s="11">
        <f t="shared" si="124"/>
        <v>11.8</v>
      </c>
      <c r="K81" s="11">
        <f t="shared" si="124"/>
        <v>10.3</v>
      </c>
      <c r="L81" s="11">
        <f t="shared" si="124"/>
        <v>4</v>
      </c>
      <c r="M81" s="11">
        <f t="shared" si="124"/>
        <v>-1.1000000000000001</v>
      </c>
      <c r="N81" s="11">
        <f t="shared" si="124"/>
        <v>0</v>
      </c>
      <c r="O81" s="11">
        <f t="shared" si="124"/>
        <v>0</v>
      </c>
      <c r="P81" s="11">
        <f t="shared" si="124"/>
        <v>0</v>
      </c>
      <c r="Q81" s="11">
        <f t="shared" si="124"/>
        <v>0</v>
      </c>
      <c r="R81" s="11">
        <f t="shared" si="124"/>
        <v>-9.6</v>
      </c>
      <c r="S81" s="11">
        <f t="shared" si="124"/>
        <v>-14.6</v>
      </c>
      <c r="T81" s="11">
        <f t="shared" si="124"/>
        <v>-17.2</v>
      </c>
      <c r="U81" s="11">
        <f t="shared" si="124"/>
        <v>-22.2</v>
      </c>
      <c r="V81" s="11">
        <f t="shared" si="124"/>
        <v>-27.2</v>
      </c>
      <c r="W81" s="11">
        <f t="shared" si="124"/>
        <v>-32.200000000000003</v>
      </c>
      <c r="X81" s="11">
        <f t="shared" si="124"/>
        <v>-37.200000000000003</v>
      </c>
      <c r="Y81" s="11">
        <f t="shared" si="124"/>
        <v>-61.4</v>
      </c>
      <c r="Z81" s="11">
        <f t="shared" si="124"/>
        <v>-66.400000000000006</v>
      </c>
      <c r="AA81" s="11">
        <f t="shared" si="124"/>
        <v>-71.400000000000006</v>
      </c>
      <c r="AB81" s="11">
        <f t="shared" si="124"/>
        <v>-76.400000000000006</v>
      </c>
      <c r="AC81" s="11">
        <f t="shared" si="124"/>
        <v>-61.7</v>
      </c>
      <c r="AD81" s="11">
        <f t="shared" si="124"/>
        <v>-66.7</v>
      </c>
      <c r="AE81" s="11">
        <f t="shared" si="124"/>
        <v>-71.7</v>
      </c>
      <c r="AF81" s="11">
        <f t="shared" si="124"/>
        <v>-76.7</v>
      </c>
      <c r="AG81" s="11">
        <f t="shared" si="124"/>
        <v>-84.6</v>
      </c>
      <c r="AH81" s="11">
        <f t="shared" si="124"/>
        <v>-54.6</v>
      </c>
      <c r="AI81" s="11">
        <f t="shared" si="124"/>
        <v>-59.6</v>
      </c>
      <c r="AJ81" s="11">
        <f t="shared" ref="AJ81:BO81" si="125">IF(AJ80=0,0, ROUND(AJ77 * 1/AJ80* AJ$13,1))</f>
        <v>0</v>
      </c>
      <c r="AK81" s="11">
        <f t="shared" si="125"/>
        <v>0</v>
      </c>
      <c r="AL81" s="11">
        <f t="shared" si="125"/>
        <v>0</v>
      </c>
      <c r="AM81" s="11">
        <f t="shared" si="125"/>
        <v>0</v>
      </c>
      <c r="AN81" s="11">
        <f t="shared" si="125"/>
        <v>-122.2</v>
      </c>
      <c r="AO81" s="11">
        <f t="shared" si="125"/>
        <v>-127.2</v>
      </c>
      <c r="AP81" s="11">
        <f t="shared" si="125"/>
        <v>-132.19999999999999</v>
      </c>
      <c r="AQ81" s="11">
        <f t="shared" si="125"/>
        <v>-113.6</v>
      </c>
      <c r="AR81" s="11">
        <f t="shared" si="125"/>
        <v>-118.6</v>
      </c>
      <c r="AS81" s="11">
        <f t="shared" si="125"/>
        <v>-154.4</v>
      </c>
      <c r="AT81" s="11">
        <f t="shared" si="125"/>
        <v>-127.6</v>
      </c>
      <c r="AU81" s="11">
        <f t="shared" si="125"/>
        <v>-139.5</v>
      </c>
      <c r="AV81" s="11">
        <f t="shared" si="125"/>
        <v>-144.5</v>
      </c>
      <c r="AW81" s="11">
        <f t="shared" si="125"/>
        <v>-149.5</v>
      </c>
      <c r="AX81" s="11">
        <f t="shared" si="125"/>
        <v>-154.5</v>
      </c>
      <c r="AY81" s="11">
        <f t="shared" si="125"/>
        <v>-199.6</v>
      </c>
      <c r="AZ81" s="11">
        <f t="shared" si="125"/>
        <v>-229.8</v>
      </c>
      <c r="BA81" s="11">
        <f t="shared" si="125"/>
        <v>-234.8</v>
      </c>
      <c r="BB81" s="11">
        <f t="shared" si="125"/>
        <v>-239.8</v>
      </c>
      <c r="BC81" s="11">
        <f t="shared" si="125"/>
        <v>-217.9</v>
      </c>
      <c r="BD81" s="11">
        <f t="shared" si="125"/>
        <v>-222.9</v>
      </c>
      <c r="BE81" s="11">
        <f t="shared" si="125"/>
        <v>-227.9</v>
      </c>
      <c r="BF81" s="11">
        <f t="shared" si="125"/>
        <v>-232.9</v>
      </c>
      <c r="BG81" s="11">
        <f t="shared" si="125"/>
        <v>-237.9</v>
      </c>
      <c r="BH81" s="11">
        <f t="shared" si="125"/>
        <v>-242.9</v>
      </c>
      <c r="BI81" s="11">
        <f t="shared" si="125"/>
        <v>-247.9</v>
      </c>
      <c r="BJ81" s="11">
        <f t="shared" si="125"/>
        <v>-252.9</v>
      </c>
      <c r="BK81" s="11">
        <f t="shared" si="125"/>
        <v>-257.89999999999998</v>
      </c>
      <c r="BL81" s="11">
        <f t="shared" si="125"/>
        <v>-264.10000000000002</v>
      </c>
      <c r="BM81" s="11">
        <f t="shared" si="125"/>
        <v>-269.10000000000002</v>
      </c>
      <c r="BN81" s="11">
        <f t="shared" si="125"/>
        <v>-150.19999999999999</v>
      </c>
      <c r="BO81" s="11">
        <f t="shared" si="125"/>
        <v>0</v>
      </c>
      <c r="BP81" s="11">
        <f t="shared" ref="BP81:CC81" si="126">IF(BP80=0,0, ROUND(BP77 * 1/BP80* BP$13,1))</f>
        <v>0</v>
      </c>
      <c r="BQ81" s="11">
        <f t="shared" si="126"/>
        <v>0</v>
      </c>
      <c r="BR81" s="11">
        <f t="shared" si="126"/>
        <v>0</v>
      </c>
      <c r="BS81" s="11">
        <f t="shared" si="126"/>
        <v>-343.6</v>
      </c>
      <c r="BT81" s="11">
        <f t="shared" si="126"/>
        <v>-348.6</v>
      </c>
      <c r="BU81" s="11">
        <f t="shared" si="126"/>
        <v>-353.6</v>
      </c>
      <c r="BV81" s="11">
        <f t="shared" si="126"/>
        <v>-358.6</v>
      </c>
      <c r="BW81" s="11">
        <f t="shared" si="126"/>
        <v>-363.6</v>
      </c>
      <c r="BX81" s="11">
        <f t="shared" si="126"/>
        <v>-368.6</v>
      </c>
      <c r="BY81" s="11">
        <f t="shared" si="126"/>
        <v>-373.6</v>
      </c>
      <c r="BZ81" s="11">
        <f t="shared" si="126"/>
        <v>-378.6</v>
      </c>
      <c r="CA81" s="11">
        <f t="shared" si="126"/>
        <v>-383.6</v>
      </c>
      <c r="CB81" s="11">
        <f t="shared" si="126"/>
        <v>-388.6</v>
      </c>
      <c r="CC81" s="11">
        <f t="shared" si="126"/>
        <v>-393.6</v>
      </c>
    </row>
    <row r="82" spans="1:81" x14ac:dyDescent="0.2">
      <c r="A82">
        <v>18</v>
      </c>
      <c r="B82">
        <v>1</v>
      </c>
      <c r="C82" s="8">
        <v>5.0554899999999998</v>
      </c>
      <c r="D82">
        <f t="shared" ref="D82:AI82" si="127">D79/$B82</f>
        <v>1360</v>
      </c>
      <c r="E82">
        <f t="shared" si="127"/>
        <v>1200</v>
      </c>
      <c r="F82">
        <f t="shared" si="127"/>
        <v>560</v>
      </c>
      <c r="G82">
        <f t="shared" si="127"/>
        <v>0</v>
      </c>
      <c r="H82">
        <f t="shared" si="127"/>
        <v>0</v>
      </c>
      <c r="I82">
        <f t="shared" si="127"/>
        <v>0</v>
      </c>
      <c r="J82">
        <f t="shared" si="127"/>
        <v>0</v>
      </c>
      <c r="K82">
        <f t="shared" si="127"/>
        <v>0</v>
      </c>
      <c r="L82">
        <f t="shared" si="127"/>
        <v>0</v>
      </c>
      <c r="M82">
        <f t="shared" si="127"/>
        <v>0</v>
      </c>
      <c r="N82">
        <f t="shared" si="127"/>
        <v>0</v>
      </c>
      <c r="O82">
        <f t="shared" si="127"/>
        <v>0</v>
      </c>
      <c r="P82">
        <f t="shared" si="127"/>
        <v>0</v>
      </c>
      <c r="Q82">
        <f t="shared" si="127"/>
        <v>0</v>
      </c>
      <c r="R82">
        <f t="shared" si="127"/>
        <v>0</v>
      </c>
      <c r="S82">
        <f t="shared" si="127"/>
        <v>0</v>
      </c>
      <c r="T82">
        <f t="shared" si="127"/>
        <v>0</v>
      </c>
      <c r="U82">
        <f t="shared" si="127"/>
        <v>0</v>
      </c>
      <c r="V82">
        <f t="shared" si="127"/>
        <v>0</v>
      </c>
      <c r="W82">
        <f t="shared" si="127"/>
        <v>0</v>
      </c>
      <c r="X82">
        <f t="shared" si="127"/>
        <v>0</v>
      </c>
      <c r="Y82">
        <f t="shared" si="127"/>
        <v>0</v>
      </c>
      <c r="Z82">
        <f t="shared" si="127"/>
        <v>0</v>
      </c>
      <c r="AA82">
        <f t="shared" si="127"/>
        <v>0</v>
      </c>
      <c r="AB82">
        <f t="shared" si="127"/>
        <v>0</v>
      </c>
      <c r="AC82">
        <f t="shared" si="127"/>
        <v>0</v>
      </c>
      <c r="AD82">
        <f t="shared" si="127"/>
        <v>0</v>
      </c>
      <c r="AE82">
        <f t="shared" si="127"/>
        <v>0</v>
      </c>
      <c r="AF82">
        <f t="shared" si="127"/>
        <v>0</v>
      </c>
      <c r="AG82">
        <f t="shared" si="127"/>
        <v>0</v>
      </c>
      <c r="AH82">
        <f t="shared" si="127"/>
        <v>0</v>
      </c>
      <c r="AI82">
        <f t="shared" si="127"/>
        <v>0</v>
      </c>
      <c r="AJ82">
        <f t="shared" ref="AJ82:BO82" si="128">AJ79/$B82</f>
        <v>0</v>
      </c>
      <c r="AK82">
        <f t="shared" si="128"/>
        <v>0</v>
      </c>
      <c r="AL82">
        <f t="shared" si="128"/>
        <v>0</v>
      </c>
      <c r="AM82">
        <f t="shared" si="128"/>
        <v>0</v>
      </c>
      <c r="AN82">
        <f t="shared" si="128"/>
        <v>0</v>
      </c>
      <c r="AO82">
        <f t="shared" si="128"/>
        <v>0</v>
      </c>
      <c r="AP82">
        <f t="shared" si="128"/>
        <v>0</v>
      </c>
      <c r="AQ82">
        <f t="shared" si="128"/>
        <v>0</v>
      </c>
      <c r="AR82">
        <f t="shared" si="128"/>
        <v>0</v>
      </c>
      <c r="AS82">
        <f t="shared" si="128"/>
        <v>0</v>
      </c>
      <c r="AT82">
        <f t="shared" si="128"/>
        <v>0</v>
      </c>
      <c r="AU82">
        <f t="shared" si="128"/>
        <v>0</v>
      </c>
      <c r="AV82">
        <f t="shared" si="128"/>
        <v>0</v>
      </c>
      <c r="AW82">
        <f t="shared" si="128"/>
        <v>0</v>
      </c>
      <c r="AX82">
        <f t="shared" si="128"/>
        <v>0</v>
      </c>
      <c r="AY82">
        <f t="shared" si="128"/>
        <v>0</v>
      </c>
      <c r="AZ82">
        <f t="shared" si="128"/>
        <v>0</v>
      </c>
      <c r="BA82">
        <f t="shared" si="128"/>
        <v>0</v>
      </c>
      <c r="BB82">
        <f t="shared" si="128"/>
        <v>0</v>
      </c>
      <c r="BC82">
        <f t="shared" si="128"/>
        <v>0</v>
      </c>
      <c r="BD82">
        <f t="shared" si="128"/>
        <v>0</v>
      </c>
      <c r="BE82">
        <f t="shared" si="128"/>
        <v>0</v>
      </c>
      <c r="BF82">
        <f t="shared" si="128"/>
        <v>0</v>
      </c>
      <c r="BG82">
        <f t="shared" si="128"/>
        <v>0</v>
      </c>
      <c r="BH82">
        <f t="shared" si="128"/>
        <v>0</v>
      </c>
      <c r="BI82">
        <f t="shared" si="128"/>
        <v>0</v>
      </c>
      <c r="BJ82">
        <f t="shared" si="128"/>
        <v>0</v>
      </c>
      <c r="BK82">
        <f t="shared" si="128"/>
        <v>0</v>
      </c>
      <c r="BL82">
        <f t="shared" si="128"/>
        <v>0</v>
      </c>
      <c r="BM82">
        <f t="shared" si="128"/>
        <v>0</v>
      </c>
      <c r="BN82">
        <f t="shared" si="128"/>
        <v>0</v>
      </c>
      <c r="BO82">
        <f t="shared" si="128"/>
        <v>0</v>
      </c>
      <c r="BP82">
        <f t="shared" ref="BP82:CC82" si="129">BP79/$B82</f>
        <v>0</v>
      </c>
      <c r="BQ82">
        <f t="shared" si="129"/>
        <v>0</v>
      </c>
      <c r="BR82">
        <f t="shared" si="129"/>
        <v>0</v>
      </c>
      <c r="BS82">
        <f t="shared" si="129"/>
        <v>0</v>
      </c>
      <c r="BT82">
        <f t="shared" si="129"/>
        <v>0</v>
      </c>
      <c r="BU82">
        <f t="shared" si="129"/>
        <v>0</v>
      </c>
      <c r="BV82">
        <f t="shared" si="129"/>
        <v>0</v>
      </c>
      <c r="BW82">
        <f t="shared" si="129"/>
        <v>0</v>
      </c>
      <c r="BX82">
        <f t="shared" si="129"/>
        <v>0</v>
      </c>
      <c r="BY82">
        <f t="shared" si="129"/>
        <v>0</v>
      </c>
      <c r="BZ82">
        <f t="shared" si="129"/>
        <v>0</v>
      </c>
      <c r="CA82">
        <f t="shared" si="129"/>
        <v>0</v>
      </c>
      <c r="CB82">
        <f t="shared" si="129"/>
        <v>0</v>
      </c>
      <c r="CC82">
        <f t="shared" si="129"/>
        <v>0</v>
      </c>
    </row>
    <row r="83" spans="1:81" x14ac:dyDescent="0.2">
      <c r="B83" s="67">
        <f>SUM(D87:AJ87)/SUM($D$263:$AJ$263)</f>
        <v>0.19175080222274399</v>
      </c>
      <c r="C83" s="9" t="s">
        <v>216</v>
      </c>
      <c r="D83">
        <f t="shared" ref="D83:AI83" si="130">D77-D80</f>
        <v>2480</v>
      </c>
      <c r="E83">
        <f t="shared" si="130"/>
        <v>2520</v>
      </c>
      <c r="F83">
        <f t="shared" si="130"/>
        <v>1720</v>
      </c>
      <c r="G83">
        <f t="shared" si="130"/>
        <v>840</v>
      </c>
      <c r="H83">
        <f t="shared" si="130"/>
        <v>40</v>
      </c>
      <c r="I83">
        <f t="shared" si="130"/>
        <v>680</v>
      </c>
      <c r="J83">
        <f t="shared" si="130"/>
        <v>1080</v>
      </c>
      <c r="K83">
        <f t="shared" si="130"/>
        <v>840</v>
      </c>
      <c r="L83">
        <f t="shared" si="130"/>
        <v>-200</v>
      </c>
      <c r="M83">
        <f t="shared" si="130"/>
        <v>-1080</v>
      </c>
      <c r="N83">
        <f t="shared" si="130"/>
        <v>-1080</v>
      </c>
      <c r="O83">
        <f t="shared" si="130"/>
        <v>-1080</v>
      </c>
      <c r="P83">
        <f t="shared" si="130"/>
        <v>-1080</v>
      </c>
      <c r="Q83">
        <f t="shared" si="130"/>
        <v>-1080</v>
      </c>
      <c r="R83">
        <f t="shared" si="130"/>
        <v>-1640</v>
      </c>
      <c r="S83">
        <f t="shared" si="130"/>
        <v>-2200</v>
      </c>
      <c r="T83">
        <f t="shared" si="130"/>
        <v>-2840</v>
      </c>
      <c r="U83">
        <f t="shared" si="130"/>
        <v>-3480</v>
      </c>
      <c r="V83">
        <f t="shared" si="130"/>
        <v>-4120</v>
      </c>
      <c r="W83">
        <f t="shared" si="130"/>
        <v>-4760</v>
      </c>
      <c r="X83">
        <f t="shared" si="130"/>
        <v>-5400</v>
      </c>
      <c r="Y83">
        <f t="shared" si="130"/>
        <v>-5840</v>
      </c>
      <c r="Z83">
        <f t="shared" si="130"/>
        <v>-6280</v>
      </c>
      <c r="AA83">
        <f t="shared" si="130"/>
        <v>-6720</v>
      </c>
      <c r="AB83">
        <f t="shared" si="130"/>
        <v>-7160</v>
      </c>
      <c r="AC83">
        <f t="shared" si="130"/>
        <v>-7740</v>
      </c>
      <c r="AD83">
        <f t="shared" si="130"/>
        <v>-8320</v>
      </c>
      <c r="AE83">
        <f t="shared" si="130"/>
        <v>-8900</v>
      </c>
      <c r="AF83">
        <f t="shared" si="130"/>
        <v>-9480</v>
      </c>
      <c r="AG83">
        <f t="shared" si="130"/>
        <v>-10040</v>
      </c>
      <c r="AH83">
        <f t="shared" si="130"/>
        <v>-10960</v>
      </c>
      <c r="AI83">
        <f t="shared" si="130"/>
        <v>-11880</v>
      </c>
      <c r="AJ83">
        <f t="shared" ref="AJ83:BO83" si="131">AJ77-AJ80</f>
        <v>-11880</v>
      </c>
      <c r="AK83">
        <f t="shared" si="131"/>
        <v>-11880</v>
      </c>
      <c r="AL83">
        <f t="shared" si="131"/>
        <v>-11880</v>
      </c>
      <c r="AM83">
        <f t="shared" si="131"/>
        <v>-11880</v>
      </c>
      <c r="AN83">
        <f t="shared" si="131"/>
        <v>-12366</v>
      </c>
      <c r="AO83">
        <f t="shared" si="131"/>
        <v>-12852</v>
      </c>
      <c r="AP83">
        <f t="shared" si="131"/>
        <v>-13338</v>
      </c>
      <c r="AQ83">
        <f t="shared" si="131"/>
        <v>-13925</v>
      </c>
      <c r="AR83">
        <f t="shared" si="131"/>
        <v>-14512</v>
      </c>
      <c r="AS83">
        <f t="shared" si="131"/>
        <v>-14982</v>
      </c>
      <c r="AT83">
        <f t="shared" si="131"/>
        <v>-15569</v>
      </c>
      <c r="AU83">
        <f t="shared" si="131"/>
        <v>-16127</v>
      </c>
      <c r="AV83">
        <f t="shared" si="131"/>
        <v>-16685</v>
      </c>
      <c r="AW83">
        <f t="shared" si="131"/>
        <v>-17243</v>
      </c>
      <c r="AX83">
        <f t="shared" si="131"/>
        <v>-17801</v>
      </c>
      <c r="AY83">
        <f t="shared" si="131"/>
        <v>-18247</v>
      </c>
      <c r="AZ83">
        <f t="shared" si="131"/>
        <v>-18644</v>
      </c>
      <c r="BA83">
        <f t="shared" si="131"/>
        <v>-19041</v>
      </c>
      <c r="BB83">
        <f t="shared" si="131"/>
        <v>-19438</v>
      </c>
      <c r="BC83">
        <f t="shared" si="131"/>
        <v>-19884</v>
      </c>
      <c r="BD83">
        <f t="shared" si="131"/>
        <v>-20330</v>
      </c>
      <c r="BE83">
        <f t="shared" si="131"/>
        <v>-20776</v>
      </c>
      <c r="BF83">
        <f t="shared" si="131"/>
        <v>-21222</v>
      </c>
      <c r="BG83">
        <f t="shared" si="131"/>
        <v>-21668</v>
      </c>
      <c r="BH83">
        <f t="shared" si="131"/>
        <v>-22114</v>
      </c>
      <c r="BI83">
        <f t="shared" si="131"/>
        <v>-22560</v>
      </c>
      <c r="BJ83">
        <f t="shared" si="131"/>
        <v>-23006</v>
      </c>
      <c r="BK83">
        <f t="shared" si="131"/>
        <v>-23452</v>
      </c>
      <c r="BL83">
        <f t="shared" si="131"/>
        <v>-23896</v>
      </c>
      <c r="BM83">
        <f t="shared" si="131"/>
        <v>-24340</v>
      </c>
      <c r="BN83">
        <f t="shared" si="131"/>
        <v>-25150</v>
      </c>
      <c r="BO83">
        <f t="shared" si="131"/>
        <v>-25150</v>
      </c>
      <c r="BP83">
        <f t="shared" ref="BP83:CC83" si="132">BP77-BP80</f>
        <v>-25150</v>
      </c>
      <c r="BQ83">
        <f t="shared" si="132"/>
        <v>-25150</v>
      </c>
      <c r="BR83">
        <f t="shared" si="132"/>
        <v>-25150</v>
      </c>
      <c r="BS83">
        <f t="shared" si="132"/>
        <v>-25516</v>
      </c>
      <c r="BT83">
        <f t="shared" si="132"/>
        <v>-25882</v>
      </c>
      <c r="BU83">
        <f t="shared" si="132"/>
        <v>-26248</v>
      </c>
      <c r="BV83">
        <f t="shared" si="132"/>
        <v>-26614</v>
      </c>
      <c r="BW83">
        <f t="shared" si="132"/>
        <v>-26980</v>
      </c>
      <c r="BX83">
        <f t="shared" si="132"/>
        <v>-27346</v>
      </c>
      <c r="BY83">
        <f t="shared" si="132"/>
        <v>-27712</v>
      </c>
      <c r="BZ83">
        <f t="shared" si="132"/>
        <v>-28078</v>
      </c>
      <c r="CA83">
        <f t="shared" si="132"/>
        <v>-28444</v>
      </c>
      <c r="CB83">
        <f t="shared" si="132"/>
        <v>-28810</v>
      </c>
      <c r="CC83">
        <f t="shared" si="132"/>
        <v>-29176</v>
      </c>
    </row>
    <row r="84" spans="1:81" x14ac:dyDescent="0.2">
      <c r="A84" s="43" t="s">
        <v>299</v>
      </c>
      <c r="B84" s="44" t="s">
        <v>208</v>
      </c>
      <c r="C84" s="9" t="s">
        <v>38</v>
      </c>
      <c r="D84" s="58">
        <f>IFERROR(VLOOKUP(A84,OS!$A:$B,2,0),0)</f>
        <v>4400</v>
      </c>
      <c r="E84" s="5">
        <f>(D84+D85-D87)</f>
        <v>4880</v>
      </c>
      <c r="F84" s="5">
        <f>(E84+E85-E87)</f>
        <v>3920</v>
      </c>
      <c r="G84" s="5">
        <f>(F84+F85-F87)</f>
        <v>3040</v>
      </c>
      <c r="H84" s="5">
        <f>(G84+G85-G87)</f>
        <v>2080</v>
      </c>
      <c r="I84" s="5">
        <f t="shared" ref="I84:AN84" si="133">(H84+H85-H87+D86)</f>
        <v>2880</v>
      </c>
      <c r="J84" s="5">
        <f t="shared" si="133"/>
        <v>2960</v>
      </c>
      <c r="K84" s="5">
        <f t="shared" si="133"/>
        <v>2840</v>
      </c>
      <c r="L84" s="5">
        <f t="shared" si="133"/>
        <v>2120</v>
      </c>
      <c r="M84" s="5">
        <f t="shared" si="133"/>
        <v>1080</v>
      </c>
      <c r="N84" s="5">
        <f t="shared" si="133"/>
        <v>-360</v>
      </c>
      <c r="O84" s="5">
        <f t="shared" si="133"/>
        <v>-360</v>
      </c>
      <c r="P84" s="5">
        <f t="shared" si="133"/>
        <v>-360</v>
      </c>
      <c r="Q84" s="5">
        <f t="shared" si="133"/>
        <v>-360</v>
      </c>
      <c r="R84" s="5">
        <f t="shared" si="133"/>
        <v>-360</v>
      </c>
      <c r="S84" s="5">
        <f t="shared" si="133"/>
        <v>-1160</v>
      </c>
      <c r="T84" s="5">
        <f t="shared" si="133"/>
        <v>-1880</v>
      </c>
      <c r="U84" s="5">
        <f t="shared" si="133"/>
        <v>-2600</v>
      </c>
      <c r="V84" s="5">
        <f t="shared" si="133"/>
        <v>-3280</v>
      </c>
      <c r="W84" s="5">
        <f t="shared" si="133"/>
        <v>-3960</v>
      </c>
      <c r="X84" s="5">
        <f t="shared" si="133"/>
        <v>-4640</v>
      </c>
      <c r="Y84" s="5">
        <f t="shared" si="133"/>
        <v>-5320</v>
      </c>
      <c r="Z84" s="5">
        <f t="shared" si="133"/>
        <v>-5700</v>
      </c>
      <c r="AA84" s="5">
        <f t="shared" si="133"/>
        <v>-6080</v>
      </c>
      <c r="AB84" s="5">
        <f t="shared" si="133"/>
        <v>-6460</v>
      </c>
      <c r="AC84" s="5">
        <f t="shared" si="133"/>
        <v>-6840</v>
      </c>
      <c r="AD84" s="5">
        <f t="shared" si="133"/>
        <v>-7520</v>
      </c>
      <c r="AE84" s="5">
        <f t="shared" si="133"/>
        <v>-8200</v>
      </c>
      <c r="AF84" s="5">
        <f t="shared" si="133"/>
        <v>-8880</v>
      </c>
      <c r="AG84" s="5">
        <f t="shared" si="133"/>
        <v>-9560</v>
      </c>
      <c r="AH84" s="5">
        <f t="shared" si="133"/>
        <v>-10200</v>
      </c>
      <c r="AI84" s="5">
        <f t="shared" si="133"/>
        <v>-10920</v>
      </c>
      <c r="AJ84" s="5">
        <f t="shared" si="133"/>
        <v>-11640</v>
      </c>
      <c r="AK84" s="5">
        <f t="shared" si="133"/>
        <v>-11640</v>
      </c>
      <c r="AL84" s="5">
        <f t="shared" si="133"/>
        <v>-11640</v>
      </c>
      <c r="AM84" s="5">
        <f t="shared" si="133"/>
        <v>-11640</v>
      </c>
      <c r="AN84" s="5">
        <f t="shared" si="133"/>
        <v>-11640</v>
      </c>
      <c r="AO84" s="5">
        <f t="shared" ref="AO84:BT84" si="134">(AN84+AN85-AN87+AJ86)</f>
        <v>-12160</v>
      </c>
      <c r="AP84" s="5">
        <f t="shared" si="134"/>
        <v>-12680</v>
      </c>
      <c r="AQ84" s="5">
        <f t="shared" si="134"/>
        <v>-13200</v>
      </c>
      <c r="AR84" s="5">
        <f t="shared" si="134"/>
        <v>-13828</v>
      </c>
      <c r="AS84" s="5">
        <f t="shared" si="134"/>
        <v>-14456</v>
      </c>
      <c r="AT84" s="5">
        <f t="shared" si="134"/>
        <v>-14958</v>
      </c>
      <c r="AU84" s="5">
        <f t="shared" si="134"/>
        <v>-15586</v>
      </c>
      <c r="AV84" s="5">
        <f t="shared" si="134"/>
        <v>-16182</v>
      </c>
      <c r="AW84" s="5">
        <f t="shared" si="134"/>
        <v>-16778</v>
      </c>
      <c r="AX84" s="5">
        <f t="shared" si="134"/>
        <v>-17374</v>
      </c>
      <c r="AY84" s="5">
        <f t="shared" si="134"/>
        <v>-17970</v>
      </c>
      <c r="AZ84" s="5">
        <f t="shared" si="134"/>
        <v>-18447</v>
      </c>
      <c r="BA84" s="5">
        <f t="shared" si="134"/>
        <v>-18872</v>
      </c>
      <c r="BB84" s="5">
        <f t="shared" si="134"/>
        <v>-19297</v>
      </c>
      <c r="BC84" s="5">
        <f t="shared" si="134"/>
        <v>-19722</v>
      </c>
      <c r="BD84" s="5">
        <f t="shared" si="134"/>
        <v>-20199</v>
      </c>
      <c r="BE84" s="5">
        <f t="shared" si="134"/>
        <v>-20676</v>
      </c>
      <c r="BF84" s="5">
        <f t="shared" si="134"/>
        <v>-21153</v>
      </c>
      <c r="BG84" s="5">
        <f t="shared" si="134"/>
        <v>-21630</v>
      </c>
      <c r="BH84" s="5">
        <f t="shared" si="134"/>
        <v>-22107</v>
      </c>
      <c r="BI84" s="5">
        <f t="shared" si="134"/>
        <v>-22584</v>
      </c>
      <c r="BJ84" s="5">
        <f t="shared" si="134"/>
        <v>-23061</v>
      </c>
      <c r="BK84" s="5">
        <f t="shared" si="134"/>
        <v>-23538</v>
      </c>
      <c r="BL84" s="5">
        <f t="shared" si="134"/>
        <v>-24015</v>
      </c>
      <c r="BM84" s="5">
        <f t="shared" si="134"/>
        <v>-24490</v>
      </c>
      <c r="BN84" s="5">
        <f t="shared" si="134"/>
        <v>-24965</v>
      </c>
      <c r="BO84" s="5">
        <f t="shared" si="134"/>
        <v>-25831</v>
      </c>
      <c r="BP84" s="5">
        <f t="shared" si="134"/>
        <v>-25831</v>
      </c>
      <c r="BQ84" s="5">
        <f t="shared" si="134"/>
        <v>-25831</v>
      </c>
      <c r="BR84" s="5">
        <f t="shared" si="134"/>
        <v>-25831</v>
      </c>
      <c r="BS84" s="5">
        <f t="shared" si="134"/>
        <v>-25831</v>
      </c>
      <c r="BT84" s="5">
        <f t="shared" si="134"/>
        <v>-26223</v>
      </c>
      <c r="BU84" s="5">
        <f t="shared" ref="BU84:CC84" si="135">(BT84+BT85-BT87+BP86)</f>
        <v>-26615</v>
      </c>
      <c r="BV84" s="5">
        <f t="shared" si="135"/>
        <v>-27007</v>
      </c>
      <c r="BW84" s="5">
        <f t="shared" si="135"/>
        <v>-27399</v>
      </c>
      <c r="BX84" s="5">
        <f t="shared" si="135"/>
        <v>-27791</v>
      </c>
      <c r="BY84" s="5">
        <f t="shared" si="135"/>
        <v>-28183</v>
      </c>
      <c r="BZ84" s="5">
        <f t="shared" si="135"/>
        <v>-28575</v>
      </c>
      <c r="CA84" s="5">
        <f t="shared" si="135"/>
        <v>-28967</v>
      </c>
      <c r="CB84" s="5">
        <f t="shared" si="135"/>
        <v>-29359</v>
      </c>
      <c r="CC84" s="5">
        <f t="shared" si="135"/>
        <v>-29751</v>
      </c>
    </row>
    <row r="85" spans="1:81" x14ac:dyDescent="0.2">
      <c r="A85" s="5" t="s">
        <v>209</v>
      </c>
      <c r="B85" s="5">
        <v>11.676159999999999</v>
      </c>
      <c r="C85" s="45" t="s">
        <v>39</v>
      </c>
      <c r="D85" s="59">
        <f>IFERROR(VLOOKUP(A84,WIP!$A:$B,2,0),0)</f>
        <v>480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</row>
    <row r="86" spans="1:81" x14ac:dyDescent="0.2">
      <c r="A86" s="5" t="s">
        <v>210</v>
      </c>
      <c r="B86" s="5">
        <v>0.34599999999999997</v>
      </c>
      <c r="C86" s="9" t="s">
        <v>211</v>
      </c>
      <c r="D86" s="60">
        <f>IFERROR(VLOOKUP($A84,Plan!$A:B,D$4,0),0)</f>
        <v>1680</v>
      </c>
      <c r="E86" s="60">
        <f>IFERROR(VLOOKUP($A84,Plan!$A:C,E$4,0),0)</f>
        <v>800</v>
      </c>
      <c r="F86" s="60">
        <f>IFERROR(VLOOKUP($A84,Plan!$A:D,F$4,0),0)</f>
        <v>600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</row>
    <row r="87" spans="1:81" x14ac:dyDescent="0.2">
      <c r="A87" s="5" t="s">
        <v>212</v>
      </c>
      <c r="B87" s="5">
        <v>8.4000000000000005E-2</v>
      </c>
      <c r="C87" s="9" t="s">
        <v>213</v>
      </c>
      <c r="D87" s="61">
        <f>IFERROR(VLOOKUP($A84,Sales!$A:B,D$2,0),0)</f>
        <v>0</v>
      </c>
      <c r="E87" s="61">
        <f>IFERROR(VLOOKUP($A84,Sales!$A:C,E$2,0),0)</f>
        <v>960</v>
      </c>
      <c r="F87" s="61">
        <f>IFERROR(VLOOKUP($A84,Sales!$A:D,F$2,0),0)</f>
        <v>880</v>
      </c>
      <c r="G87" s="61">
        <f>IFERROR(VLOOKUP($A84,Sales!$A:E,G$2,0),0)</f>
        <v>960</v>
      </c>
      <c r="H87" s="61">
        <f>IFERROR(VLOOKUP($A84,Sales!$A:F,H$2,0),0)</f>
        <v>880</v>
      </c>
      <c r="I87" s="61">
        <f>IFERROR(VLOOKUP($A84,Sales!$A:G,I$2,0),0)</f>
        <v>720</v>
      </c>
      <c r="J87" s="61">
        <f>IFERROR(VLOOKUP($A84,Sales!$A:H,J$2,0),0)</f>
        <v>720</v>
      </c>
      <c r="K87" s="61">
        <f>IFERROR(VLOOKUP($A84,Sales!$A:I,K$2,0),0)</f>
        <v>720</v>
      </c>
      <c r="L87" s="61">
        <f>IFERROR(VLOOKUP($A84,Sales!$A:J,L$2,0),0)</f>
        <v>1040</v>
      </c>
      <c r="M87" s="61">
        <f>IFERROR(VLOOKUP($A84,Sales!$A:K,M$2,0),0)</f>
        <v>1440</v>
      </c>
      <c r="N87" s="61">
        <f>IFERROR(VLOOKUP($A84,Sales!$A:L,N$2,0),0)</f>
        <v>0</v>
      </c>
      <c r="O87" s="61">
        <f>IFERROR(VLOOKUP($A84,Sales!$A:M,O$2,0),0)</f>
        <v>0</v>
      </c>
      <c r="P87" s="61">
        <f>IFERROR(VLOOKUP($A84,Sales!$A:N,P$2,0),0)</f>
        <v>0</v>
      </c>
      <c r="Q87" s="61">
        <f>IFERROR(VLOOKUP($A84,Sales!$A:O,Q$2,0),0)</f>
        <v>0</v>
      </c>
      <c r="R87" s="61">
        <f>IFERROR(VLOOKUP($A84,Sales!$A:P,R$2,0),0)</f>
        <v>800</v>
      </c>
      <c r="S87" s="61">
        <f>IFERROR(VLOOKUP($A84,Sales!$A:Q,S$2,0),0)</f>
        <v>720</v>
      </c>
      <c r="T87" s="61">
        <f>IFERROR(VLOOKUP($A84,Sales!$A:R,T$2,0),0)</f>
        <v>720</v>
      </c>
      <c r="U87" s="61">
        <f>IFERROR(VLOOKUP($A84,Sales!$A:S,U$2,0),0)</f>
        <v>680</v>
      </c>
      <c r="V87" s="61">
        <f>IFERROR(VLOOKUP($A84,Sales!$A:T,V$2,0),0)</f>
        <v>680</v>
      </c>
      <c r="W87" s="61">
        <f>IFERROR(VLOOKUP($A84,Sales!$A:U,W$2,0),0)</f>
        <v>680</v>
      </c>
      <c r="X87" s="61">
        <f>IFERROR(VLOOKUP($A84,Sales!$A:V,X$2,0),0)</f>
        <v>680</v>
      </c>
      <c r="Y87" s="61">
        <f>IFERROR(VLOOKUP($A84,Sales!$A:W,Y$2,0),0)</f>
        <v>380</v>
      </c>
      <c r="Z87" s="61">
        <f>IFERROR(VLOOKUP($A84,Sales!$A:X,Z$2,0),0)</f>
        <v>380</v>
      </c>
      <c r="AA87" s="61">
        <f>IFERROR(VLOOKUP($A84,Sales!$A:Y,AA$2,0),0)</f>
        <v>380</v>
      </c>
      <c r="AB87" s="61">
        <f>IFERROR(VLOOKUP($A84,Sales!$A:Z,AB$2,0),0)</f>
        <v>380</v>
      </c>
      <c r="AC87" s="61">
        <f>IFERROR(VLOOKUP($A84,Sales!$A:AA,AC$2,0),0)</f>
        <v>680</v>
      </c>
      <c r="AD87" s="61">
        <f>IFERROR(VLOOKUP($A84,Sales!$A:AB,AD$2,0),0)</f>
        <v>680</v>
      </c>
      <c r="AE87" s="61">
        <f>IFERROR(VLOOKUP($A84,Sales!$A:AC,AE$2,0),0)</f>
        <v>680</v>
      </c>
      <c r="AF87" s="61">
        <f>IFERROR(VLOOKUP($A84,Sales!$A:AD,AF$2,0),0)</f>
        <v>680</v>
      </c>
      <c r="AG87" s="61">
        <f>IFERROR(VLOOKUP($A84,Sales!$A:AE,AG$2,0),0)</f>
        <v>640</v>
      </c>
      <c r="AH87" s="61">
        <f>IFERROR(VLOOKUP($A84,Sales!$A:AF,AH$2,0),0)</f>
        <v>720</v>
      </c>
      <c r="AI87" s="61">
        <f>IFERROR(VLOOKUP($A84,Sales!$A:AG,AI$2,0),0)</f>
        <v>720</v>
      </c>
      <c r="AJ87" s="61">
        <f>IFERROR(VLOOKUP($A84,Sales!$A:AH,AJ$2,0),0)</f>
        <v>0</v>
      </c>
      <c r="AK87" s="74">
        <f t="shared" ref="AK87:CC87" si="136">CEILING(AK$5*$B83,1)</f>
        <v>0</v>
      </c>
      <c r="AL87" s="74">
        <f t="shared" si="136"/>
        <v>0</v>
      </c>
      <c r="AM87" s="74">
        <f t="shared" si="136"/>
        <v>0</v>
      </c>
      <c r="AN87" s="74">
        <f t="shared" si="136"/>
        <v>520</v>
      </c>
      <c r="AO87" s="74">
        <f t="shared" si="136"/>
        <v>520</v>
      </c>
      <c r="AP87" s="74">
        <f t="shared" si="136"/>
        <v>520</v>
      </c>
      <c r="AQ87" s="74">
        <f t="shared" si="136"/>
        <v>628</v>
      </c>
      <c r="AR87" s="74">
        <f t="shared" si="136"/>
        <v>628</v>
      </c>
      <c r="AS87" s="74">
        <f t="shared" si="136"/>
        <v>502</v>
      </c>
      <c r="AT87" s="74">
        <f t="shared" si="136"/>
        <v>628</v>
      </c>
      <c r="AU87" s="74">
        <f t="shared" si="136"/>
        <v>596</v>
      </c>
      <c r="AV87" s="74">
        <f t="shared" si="136"/>
        <v>596</v>
      </c>
      <c r="AW87" s="74">
        <f t="shared" si="136"/>
        <v>596</v>
      </c>
      <c r="AX87" s="74">
        <f t="shared" si="136"/>
        <v>596</v>
      </c>
      <c r="AY87" s="74">
        <f t="shared" si="136"/>
        <v>477</v>
      </c>
      <c r="AZ87" s="74">
        <f t="shared" si="136"/>
        <v>425</v>
      </c>
      <c r="BA87" s="74">
        <f t="shared" si="136"/>
        <v>425</v>
      </c>
      <c r="BB87" s="74">
        <f t="shared" si="136"/>
        <v>425</v>
      </c>
      <c r="BC87" s="74">
        <f t="shared" si="136"/>
        <v>477</v>
      </c>
      <c r="BD87" s="74">
        <f t="shared" si="136"/>
        <v>477</v>
      </c>
      <c r="BE87" s="74">
        <f t="shared" si="136"/>
        <v>477</v>
      </c>
      <c r="BF87" s="74">
        <f t="shared" si="136"/>
        <v>477</v>
      </c>
      <c r="BG87" s="74">
        <f t="shared" si="136"/>
        <v>477</v>
      </c>
      <c r="BH87" s="74">
        <f t="shared" si="136"/>
        <v>477</v>
      </c>
      <c r="BI87" s="74">
        <f t="shared" si="136"/>
        <v>477</v>
      </c>
      <c r="BJ87" s="74">
        <f t="shared" si="136"/>
        <v>477</v>
      </c>
      <c r="BK87" s="74">
        <f t="shared" si="136"/>
        <v>477</v>
      </c>
      <c r="BL87" s="74">
        <f t="shared" si="136"/>
        <v>475</v>
      </c>
      <c r="BM87" s="74">
        <f t="shared" si="136"/>
        <v>475</v>
      </c>
      <c r="BN87" s="74">
        <f t="shared" si="136"/>
        <v>866</v>
      </c>
      <c r="BO87" s="74">
        <f t="shared" si="136"/>
        <v>0</v>
      </c>
      <c r="BP87" s="74">
        <f t="shared" si="136"/>
        <v>0</v>
      </c>
      <c r="BQ87" s="74">
        <f t="shared" si="136"/>
        <v>0</v>
      </c>
      <c r="BR87" s="74">
        <f t="shared" si="136"/>
        <v>0</v>
      </c>
      <c r="BS87" s="74">
        <f t="shared" si="136"/>
        <v>392</v>
      </c>
      <c r="BT87" s="74">
        <f t="shared" si="136"/>
        <v>392</v>
      </c>
      <c r="BU87" s="74">
        <f t="shared" si="136"/>
        <v>392</v>
      </c>
      <c r="BV87" s="74">
        <f t="shared" si="136"/>
        <v>392</v>
      </c>
      <c r="BW87" s="74">
        <f t="shared" si="136"/>
        <v>392</v>
      </c>
      <c r="BX87" s="74">
        <f t="shared" si="136"/>
        <v>392</v>
      </c>
      <c r="BY87" s="74">
        <f t="shared" si="136"/>
        <v>392</v>
      </c>
      <c r="BZ87" s="74">
        <f t="shared" si="136"/>
        <v>392</v>
      </c>
      <c r="CA87" s="74">
        <f t="shared" si="136"/>
        <v>392</v>
      </c>
      <c r="CB87" s="74">
        <f t="shared" si="136"/>
        <v>392</v>
      </c>
      <c r="CC87" s="74">
        <f t="shared" si="136"/>
        <v>392</v>
      </c>
    </row>
    <row r="88" spans="1:81" x14ac:dyDescent="0.2">
      <c r="A88" s="5" t="s">
        <v>214</v>
      </c>
      <c r="B88" s="5">
        <v>0.43</v>
      </c>
      <c r="C88" s="46" t="s">
        <v>215</v>
      </c>
      <c r="D88" s="11">
        <f t="shared" ref="D88:AI88" si="137">IF(D87=0,0, ROUND(D84 * 1/D87* D$13,1))</f>
        <v>0</v>
      </c>
      <c r="E88" s="11">
        <f t="shared" si="137"/>
        <v>25.4</v>
      </c>
      <c r="F88" s="11">
        <f t="shared" si="137"/>
        <v>22.3</v>
      </c>
      <c r="G88" s="11">
        <f t="shared" si="137"/>
        <v>15.8</v>
      </c>
      <c r="H88" s="11">
        <f t="shared" si="137"/>
        <v>11.8</v>
      </c>
      <c r="I88" s="11">
        <f t="shared" si="137"/>
        <v>20</v>
      </c>
      <c r="J88" s="11">
        <f t="shared" si="137"/>
        <v>20.6</v>
      </c>
      <c r="K88" s="11">
        <f t="shared" si="137"/>
        <v>19.7</v>
      </c>
      <c r="L88" s="11">
        <f t="shared" si="137"/>
        <v>10.199999999999999</v>
      </c>
      <c r="M88" s="11">
        <f t="shared" si="137"/>
        <v>3.8</v>
      </c>
      <c r="N88" s="11">
        <f t="shared" si="137"/>
        <v>0</v>
      </c>
      <c r="O88" s="11">
        <f t="shared" si="137"/>
        <v>0</v>
      </c>
      <c r="P88" s="11">
        <f t="shared" si="137"/>
        <v>0</v>
      </c>
      <c r="Q88" s="11">
        <f t="shared" si="137"/>
        <v>0</v>
      </c>
      <c r="R88" s="11">
        <f t="shared" si="137"/>
        <v>-2.2999999999999998</v>
      </c>
      <c r="S88" s="11">
        <f t="shared" si="137"/>
        <v>-8.1</v>
      </c>
      <c r="T88" s="11">
        <f t="shared" si="137"/>
        <v>-13.1</v>
      </c>
      <c r="U88" s="11">
        <f t="shared" si="137"/>
        <v>-19.100000000000001</v>
      </c>
      <c r="V88" s="11">
        <f t="shared" si="137"/>
        <v>-24.1</v>
      </c>
      <c r="W88" s="11">
        <f t="shared" si="137"/>
        <v>-29.1</v>
      </c>
      <c r="X88" s="11">
        <f t="shared" si="137"/>
        <v>-34.1</v>
      </c>
      <c r="Y88" s="11">
        <f t="shared" si="137"/>
        <v>-70</v>
      </c>
      <c r="Z88" s="11">
        <f t="shared" si="137"/>
        <v>-75</v>
      </c>
      <c r="AA88" s="11">
        <f t="shared" si="137"/>
        <v>-80</v>
      </c>
      <c r="AB88" s="11">
        <f t="shared" si="137"/>
        <v>-85</v>
      </c>
      <c r="AC88" s="11">
        <f t="shared" si="137"/>
        <v>-50.3</v>
      </c>
      <c r="AD88" s="11">
        <f t="shared" si="137"/>
        <v>-55.3</v>
      </c>
      <c r="AE88" s="11">
        <f t="shared" si="137"/>
        <v>-60.3</v>
      </c>
      <c r="AF88" s="11">
        <f t="shared" si="137"/>
        <v>-65.3</v>
      </c>
      <c r="AG88" s="11">
        <f t="shared" si="137"/>
        <v>-74.7</v>
      </c>
      <c r="AH88" s="11">
        <f t="shared" si="137"/>
        <v>-70.8</v>
      </c>
      <c r="AI88" s="11">
        <f t="shared" si="137"/>
        <v>-75.8</v>
      </c>
      <c r="AJ88" s="11">
        <f t="shared" ref="AJ88:BO88" si="138">IF(AJ87=0,0, ROUND(AJ84 * 1/AJ87* AJ$13,1))</f>
        <v>0</v>
      </c>
      <c r="AK88" s="11">
        <f t="shared" si="138"/>
        <v>0</v>
      </c>
      <c r="AL88" s="11">
        <f t="shared" si="138"/>
        <v>0</v>
      </c>
      <c r="AM88" s="11">
        <f t="shared" si="138"/>
        <v>0</v>
      </c>
      <c r="AN88" s="11">
        <f t="shared" si="138"/>
        <v>-111.9</v>
      </c>
      <c r="AO88" s="11">
        <f t="shared" si="138"/>
        <v>-116.9</v>
      </c>
      <c r="AP88" s="11">
        <f t="shared" si="138"/>
        <v>-121.9</v>
      </c>
      <c r="AQ88" s="11">
        <f t="shared" si="138"/>
        <v>-105.1</v>
      </c>
      <c r="AR88" s="11">
        <f t="shared" si="138"/>
        <v>-110.1</v>
      </c>
      <c r="AS88" s="11">
        <f t="shared" si="138"/>
        <v>-144</v>
      </c>
      <c r="AT88" s="11">
        <f t="shared" si="138"/>
        <v>-119.1</v>
      </c>
      <c r="AU88" s="11">
        <f t="shared" si="138"/>
        <v>-130.80000000000001</v>
      </c>
      <c r="AV88" s="11">
        <f t="shared" si="138"/>
        <v>-135.80000000000001</v>
      </c>
      <c r="AW88" s="11">
        <f t="shared" si="138"/>
        <v>-140.80000000000001</v>
      </c>
      <c r="AX88" s="11">
        <f t="shared" si="138"/>
        <v>-145.80000000000001</v>
      </c>
      <c r="AY88" s="11">
        <f t="shared" si="138"/>
        <v>-188.4</v>
      </c>
      <c r="AZ88" s="11">
        <f t="shared" si="138"/>
        <v>-217</v>
      </c>
      <c r="BA88" s="11">
        <f t="shared" si="138"/>
        <v>-222</v>
      </c>
      <c r="BB88" s="11">
        <f t="shared" si="138"/>
        <v>-227</v>
      </c>
      <c r="BC88" s="11">
        <f t="shared" si="138"/>
        <v>-206.7</v>
      </c>
      <c r="BD88" s="11">
        <f t="shared" si="138"/>
        <v>-211.7</v>
      </c>
      <c r="BE88" s="11">
        <f t="shared" si="138"/>
        <v>-216.7</v>
      </c>
      <c r="BF88" s="11">
        <f t="shared" si="138"/>
        <v>-221.7</v>
      </c>
      <c r="BG88" s="11">
        <f t="shared" si="138"/>
        <v>-226.7</v>
      </c>
      <c r="BH88" s="11">
        <f t="shared" si="138"/>
        <v>-231.7</v>
      </c>
      <c r="BI88" s="11">
        <f t="shared" si="138"/>
        <v>-236.7</v>
      </c>
      <c r="BJ88" s="11">
        <f t="shared" si="138"/>
        <v>-241.7</v>
      </c>
      <c r="BK88" s="11">
        <f t="shared" si="138"/>
        <v>-246.7</v>
      </c>
      <c r="BL88" s="11">
        <f t="shared" si="138"/>
        <v>-252.8</v>
      </c>
      <c r="BM88" s="11">
        <f t="shared" si="138"/>
        <v>-257.8</v>
      </c>
      <c r="BN88" s="11">
        <f t="shared" si="138"/>
        <v>-144.1</v>
      </c>
      <c r="BO88" s="11">
        <f t="shared" si="138"/>
        <v>0</v>
      </c>
      <c r="BP88" s="11">
        <f t="shared" ref="BP88:CC88" si="139">IF(BP87=0,0, ROUND(BP84 * 1/BP87* BP$13,1))</f>
        <v>0</v>
      </c>
      <c r="BQ88" s="11">
        <f t="shared" si="139"/>
        <v>0</v>
      </c>
      <c r="BR88" s="11">
        <f t="shared" si="139"/>
        <v>0</v>
      </c>
      <c r="BS88" s="11">
        <f t="shared" si="139"/>
        <v>-329.5</v>
      </c>
      <c r="BT88" s="11">
        <f t="shared" si="139"/>
        <v>-334.5</v>
      </c>
      <c r="BU88" s="11">
        <f t="shared" si="139"/>
        <v>-339.5</v>
      </c>
      <c r="BV88" s="11">
        <f t="shared" si="139"/>
        <v>-344.5</v>
      </c>
      <c r="BW88" s="11">
        <f t="shared" si="139"/>
        <v>-349.5</v>
      </c>
      <c r="BX88" s="11">
        <f t="shared" si="139"/>
        <v>-354.5</v>
      </c>
      <c r="BY88" s="11">
        <f t="shared" si="139"/>
        <v>-359.5</v>
      </c>
      <c r="BZ88" s="11">
        <f t="shared" si="139"/>
        <v>-364.5</v>
      </c>
      <c r="CA88" s="11">
        <f t="shared" si="139"/>
        <v>-369.5</v>
      </c>
      <c r="CB88" s="11">
        <f t="shared" si="139"/>
        <v>-374.5</v>
      </c>
      <c r="CC88" s="11">
        <f t="shared" si="139"/>
        <v>-379.5</v>
      </c>
    </row>
    <row r="89" spans="1:81" x14ac:dyDescent="0.2">
      <c r="A89">
        <v>47</v>
      </c>
      <c r="B89">
        <v>1</v>
      </c>
      <c r="C89" s="8">
        <v>8.7786000000000008</v>
      </c>
      <c r="D89">
        <f t="shared" ref="D89:AI89" si="140">D86/$B89</f>
        <v>1680</v>
      </c>
      <c r="E89">
        <f t="shared" si="140"/>
        <v>800</v>
      </c>
      <c r="F89">
        <f t="shared" si="140"/>
        <v>600</v>
      </c>
      <c r="G89">
        <f t="shared" si="140"/>
        <v>0</v>
      </c>
      <c r="H89">
        <f t="shared" si="140"/>
        <v>0</v>
      </c>
      <c r="I89">
        <f t="shared" si="140"/>
        <v>0</v>
      </c>
      <c r="J89">
        <f t="shared" si="140"/>
        <v>0</v>
      </c>
      <c r="K89">
        <f t="shared" si="140"/>
        <v>0</v>
      </c>
      <c r="L89">
        <f t="shared" si="140"/>
        <v>0</v>
      </c>
      <c r="M89">
        <f t="shared" si="140"/>
        <v>0</v>
      </c>
      <c r="N89">
        <f t="shared" si="140"/>
        <v>0</v>
      </c>
      <c r="O89">
        <f t="shared" si="140"/>
        <v>0</v>
      </c>
      <c r="P89">
        <f t="shared" si="140"/>
        <v>0</v>
      </c>
      <c r="Q89">
        <f t="shared" si="140"/>
        <v>0</v>
      </c>
      <c r="R89">
        <f t="shared" si="140"/>
        <v>0</v>
      </c>
      <c r="S89">
        <f t="shared" si="140"/>
        <v>0</v>
      </c>
      <c r="T89">
        <f t="shared" si="140"/>
        <v>0</v>
      </c>
      <c r="U89">
        <f t="shared" si="140"/>
        <v>0</v>
      </c>
      <c r="V89">
        <f t="shared" si="140"/>
        <v>0</v>
      </c>
      <c r="W89">
        <f t="shared" si="140"/>
        <v>0</v>
      </c>
      <c r="X89">
        <f t="shared" si="140"/>
        <v>0</v>
      </c>
      <c r="Y89">
        <f t="shared" si="140"/>
        <v>0</v>
      </c>
      <c r="Z89">
        <f t="shared" si="140"/>
        <v>0</v>
      </c>
      <c r="AA89">
        <f t="shared" si="140"/>
        <v>0</v>
      </c>
      <c r="AB89">
        <f t="shared" si="140"/>
        <v>0</v>
      </c>
      <c r="AC89">
        <f t="shared" si="140"/>
        <v>0</v>
      </c>
      <c r="AD89">
        <f t="shared" si="140"/>
        <v>0</v>
      </c>
      <c r="AE89">
        <f t="shared" si="140"/>
        <v>0</v>
      </c>
      <c r="AF89">
        <f t="shared" si="140"/>
        <v>0</v>
      </c>
      <c r="AG89">
        <f t="shared" si="140"/>
        <v>0</v>
      </c>
      <c r="AH89">
        <f t="shared" si="140"/>
        <v>0</v>
      </c>
      <c r="AI89">
        <f t="shared" si="140"/>
        <v>0</v>
      </c>
      <c r="AJ89">
        <f t="shared" ref="AJ89:BO89" si="141">AJ86/$B89</f>
        <v>0</v>
      </c>
      <c r="AK89">
        <f t="shared" si="141"/>
        <v>0</v>
      </c>
      <c r="AL89">
        <f t="shared" si="141"/>
        <v>0</v>
      </c>
      <c r="AM89">
        <f t="shared" si="141"/>
        <v>0</v>
      </c>
      <c r="AN89">
        <f t="shared" si="141"/>
        <v>0</v>
      </c>
      <c r="AO89">
        <f t="shared" si="141"/>
        <v>0</v>
      </c>
      <c r="AP89">
        <f t="shared" si="141"/>
        <v>0</v>
      </c>
      <c r="AQ89">
        <f t="shared" si="141"/>
        <v>0</v>
      </c>
      <c r="AR89">
        <f t="shared" si="141"/>
        <v>0</v>
      </c>
      <c r="AS89">
        <f t="shared" si="141"/>
        <v>0</v>
      </c>
      <c r="AT89">
        <f t="shared" si="141"/>
        <v>0</v>
      </c>
      <c r="AU89">
        <f t="shared" si="141"/>
        <v>0</v>
      </c>
      <c r="AV89">
        <f t="shared" si="141"/>
        <v>0</v>
      </c>
      <c r="AW89">
        <f t="shared" si="141"/>
        <v>0</v>
      </c>
      <c r="AX89">
        <f t="shared" si="141"/>
        <v>0</v>
      </c>
      <c r="AY89">
        <f t="shared" si="141"/>
        <v>0</v>
      </c>
      <c r="AZ89">
        <f t="shared" si="141"/>
        <v>0</v>
      </c>
      <c r="BA89">
        <f t="shared" si="141"/>
        <v>0</v>
      </c>
      <c r="BB89">
        <f t="shared" si="141"/>
        <v>0</v>
      </c>
      <c r="BC89">
        <f t="shared" si="141"/>
        <v>0</v>
      </c>
      <c r="BD89">
        <f t="shared" si="141"/>
        <v>0</v>
      </c>
      <c r="BE89">
        <f t="shared" si="141"/>
        <v>0</v>
      </c>
      <c r="BF89">
        <f t="shared" si="141"/>
        <v>0</v>
      </c>
      <c r="BG89">
        <f t="shared" si="141"/>
        <v>0</v>
      </c>
      <c r="BH89">
        <f t="shared" si="141"/>
        <v>0</v>
      </c>
      <c r="BI89">
        <f t="shared" si="141"/>
        <v>0</v>
      </c>
      <c r="BJ89">
        <f t="shared" si="141"/>
        <v>0</v>
      </c>
      <c r="BK89">
        <f t="shared" si="141"/>
        <v>0</v>
      </c>
      <c r="BL89">
        <f t="shared" si="141"/>
        <v>0</v>
      </c>
      <c r="BM89">
        <f t="shared" si="141"/>
        <v>0</v>
      </c>
      <c r="BN89">
        <f t="shared" si="141"/>
        <v>0</v>
      </c>
      <c r="BO89">
        <f t="shared" si="141"/>
        <v>0</v>
      </c>
      <c r="BP89">
        <f t="shared" ref="BP89:CC89" si="142">BP86/$B89</f>
        <v>0</v>
      </c>
      <c r="BQ89">
        <f t="shared" si="142"/>
        <v>0</v>
      </c>
      <c r="BR89">
        <f t="shared" si="142"/>
        <v>0</v>
      </c>
      <c r="BS89">
        <f t="shared" si="142"/>
        <v>0</v>
      </c>
      <c r="BT89">
        <f t="shared" si="142"/>
        <v>0</v>
      </c>
      <c r="BU89">
        <f t="shared" si="142"/>
        <v>0</v>
      </c>
      <c r="BV89">
        <f t="shared" si="142"/>
        <v>0</v>
      </c>
      <c r="BW89">
        <f t="shared" si="142"/>
        <v>0</v>
      </c>
      <c r="BX89">
        <f t="shared" si="142"/>
        <v>0</v>
      </c>
      <c r="BY89">
        <f t="shared" si="142"/>
        <v>0</v>
      </c>
      <c r="BZ89">
        <f t="shared" si="142"/>
        <v>0</v>
      </c>
      <c r="CA89">
        <f t="shared" si="142"/>
        <v>0</v>
      </c>
      <c r="CB89">
        <f t="shared" si="142"/>
        <v>0</v>
      </c>
      <c r="CC89">
        <f t="shared" si="142"/>
        <v>0</v>
      </c>
    </row>
    <row r="90" spans="1:81" x14ac:dyDescent="0.2">
      <c r="B90" s="67">
        <f>SUM(D94:AJ94)/SUM($D$263:$AJ$263)</f>
        <v>1.4087814040854661E-2</v>
      </c>
      <c r="C90" s="9" t="s">
        <v>216</v>
      </c>
      <c r="D90">
        <f t="shared" ref="D90:AI90" si="143">D84-D87</f>
        <v>4400</v>
      </c>
      <c r="E90">
        <f t="shared" si="143"/>
        <v>3920</v>
      </c>
      <c r="F90">
        <f t="shared" si="143"/>
        <v>3040</v>
      </c>
      <c r="G90">
        <f t="shared" si="143"/>
        <v>2080</v>
      </c>
      <c r="H90">
        <f t="shared" si="143"/>
        <v>1200</v>
      </c>
      <c r="I90">
        <f t="shared" si="143"/>
        <v>2160</v>
      </c>
      <c r="J90">
        <f t="shared" si="143"/>
        <v>2240</v>
      </c>
      <c r="K90">
        <f t="shared" si="143"/>
        <v>2120</v>
      </c>
      <c r="L90">
        <f t="shared" si="143"/>
        <v>1080</v>
      </c>
      <c r="M90">
        <f t="shared" si="143"/>
        <v>-360</v>
      </c>
      <c r="N90">
        <f t="shared" si="143"/>
        <v>-360</v>
      </c>
      <c r="O90">
        <f t="shared" si="143"/>
        <v>-360</v>
      </c>
      <c r="P90">
        <f t="shared" si="143"/>
        <v>-360</v>
      </c>
      <c r="Q90">
        <f t="shared" si="143"/>
        <v>-360</v>
      </c>
      <c r="R90">
        <f t="shared" si="143"/>
        <v>-1160</v>
      </c>
      <c r="S90">
        <f t="shared" si="143"/>
        <v>-1880</v>
      </c>
      <c r="T90">
        <f t="shared" si="143"/>
        <v>-2600</v>
      </c>
      <c r="U90">
        <f t="shared" si="143"/>
        <v>-3280</v>
      </c>
      <c r="V90">
        <f t="shared" si="143"/>
        <v>-3960</v>
      </c>
      <c r="W90">
        <f t="shared" si="143"/>
        <v>-4640</v>
      </c>
      <c r="X90">
        <f t="shared" si="143"/>
        <v>-5320</v>
      </c>
      <c r="Y90">
        <f t="shared" si="143"/>
        <v>-5700</v>
      </c>
      <c r="Z90">
        <f t="shared" si="143"/>
        <v>-6080</v>
      </c>
      <c r="AA90">
        <f t="shared" si="143"/>
        <v>-6460</v>
      </c>
      <c r="AB90">
        <f t="shared" si="143"/>
        <v>-6840</v>
      </c>
      <c r="AC90">
        <f t="shared" si="143"/>
        <v>-7520</v>
      </c>
      <c r="AD90">
        <f t="shared" si="143"/>
        <v>-8200</v>
      </c>
      <c r="AE90">
        <f t="shared" si="143"/>
        <v>-8880</v>
      </c>
      <c r="AF90">
        <f t="shared" si="143"/>
        <v>-9560</v>
      </c>
      <c r="AG90">
        <f t="shared" si="143"/>
        <v>-10200</v>
      </c>
      <c r="AH90">
        <f t="shared" si="143"/>
        <v>-10920</v>
      </c>
      <c r="AI90">
        <f t="shared" si="143"/>
        <v>-11640</v>
      </c>
      <c r="AJ90">
        <f t="shared" ref="AJ90:BO90" si="144">AJ84-AJ87</f>
        <v>-11640</v>
      </c>
      <c r="AK90">
        <f t="shared" si="144"/>
        <v>-11640</v>
      </c>
      <c r="AL90">
        <f t="shared" si="144"/>
        <v>-11640</v>
      </c>
      <c r="AM90">
        <f t="shared" si="144"/>
        <v>-11640</v>
      </c>
      <c r="AN90">
        <f t="shared" si="144"/>
        <v>-12160</v>
      </c>
      <c r="AO90">
        <f t="shared" si="144"/>
        <v>-12680</v>
      </c>
      <c r="AP90">
        <f t="shared" si="144"/>
        <v>-13200</v>
      </c>
      <c r="AQ90">
        <f t="shared" si="144"/>
        <v>-13828</v>
      </c>
      <c r="AR90">
        <f t="shared" si="144"/>
        <v>-14456</v>
      </c>
      <c r="AS90">
        <f t="shared" si="144"/>
        <v>-14958</v>
      </c>
      <c r="AT90">
        <f t="shared" si="144"/>
        <v>-15586</v>
      </c>
      <c r="AU90">
        <f t="shared" si="144"/>
        <v>-16182</v>
      </c>
      <c r="AV90">
        <f t="shared" si="144"/>
        <v>-16778</v>
      </c>
      <c r="AW90">
        <f t="shared" si="144"/>
        <v>-17374</v>
      </c>
      <c r="AX90">
        <f t="shared" si="144"/>
        <v>-17970</v>
      </c>
      <c r="AY90">
        <f t="shared" si="144"/>
        <v>-18447</v>
      </c>
      <c r="AZ90">
        <f t="shared" si="144"/>
        <v>-18872</v>
      </c>
      <c r="BA90">
        <f t="shared" si="144"/>
        <v>-19297</v>
      </c>
      <c r="BB90">
        <f t="shared" si="144"/>
        <v>-19722</v>
      </c>
      <c r="BC90">
        <f t="shared" si="144"/>
        <v>-20199</v>
      </c>
      <c r="BD90">
        <f t="shared" si="144"/>
        <v>-20676</v>
      </c>
      <c r="BE90">
        <f t="shared" si="144"/>
        <v>-21153</v>
      </c>
      <c r="BF90">
        <f t="shared" si="144"/>
        <v>-21630</v>
      </c>
      <c r="BG90">
        <f t="shared" si="144"/>
        <v>-22107</v>
      </c>
      <c r="BH90">
        <f t="shared" si="144"/>
        <v>-22584</v>
      </c>
      <c r="BI90">
        <f t="shared" si="144"/>
        <v>-23061</v>
      </c>
      <c r="BJ90">
        <f t="shared" si="144"/>
        <v>-23538</v>
      </c>
      <c r="BK90">
        <f t="shared" si="144"/>
        <v>-24015</v>
      </c>
      <c r="BL90">
        <f t="shared" si="144"/>
        <v>-24490</v>
      </c>
      <c r="BM90">
        <f t="shared" si="144"/>
        <v>-24965</v>
      </c>
      <c r="BN90">
        <f t="shared" si="144"/>
        <v>-25831</v>
      </c>
      <c r="BO90">
        <f t="shared" si="144"/>
        <v>-25831</v>
      </c>
      <c r="BP90">
        <f t="shared" ref="BP90:CC90" si="145">BP84-BP87</f>
        <v>-25831</v>
      </c>
      <c r="BQ90">
        <f t="shared" si="145"/>
        <v>-25831</v>
      </c>
      <c r="BR90">
        <f t="shared" si="145"/>
        <v>-25831</v>
      </c>
      <c r="BS90">
        <f t="shared" si="145"/>
        <v>-26223</v>
      </c>
      <c r="BT90">
        <f t="shared" si="145"/>
        <v>-26615</v>
      </c>
      <c r="BU90">
        <f t="shared" si="145"/>
        <v>-27007</v>
      </c>
      <c r="BV90">
        <f t="shared" si="145"/>
        <v>-27399</v>
      </c>
      <c r="BW90">
        <f t="shared" si="145"/>
        <v>-27791</v>
      </c>
      <c r="BX90">
        <f t="shared" si="145"/>
        <v>-28183</v>
      </c>
      <c r="BY90">
        <f t="shared" si="145"/>
        <v>-28575</v>
      </c>
      <c r="BZ90">
        <f t="shared" si="145"/>
        <v>-28967</v>
      </c>
      <c r="CA90">
        <f t="shared" si="145"/>
        <v>-29359</v>
      </c>
      <c r="CB90">
        <f t="shared" si="145"/>
        <v>-29751</v>
      </c>
      <c r="CC90">
        <f t="shared" si="145"/>
        <v>-30143</v>
      </c>
    </row>
    <row r="91" spans="1:81" x14ac:dyDescent="0.2">
      <c r="A91" s="43" t="s">
        <v>300</v>
      </c>
      <c r="B91" s="44" t="s">
        <v>208</v>
      </c>
      <c r="C91" s="9" t="s">
        <v>38</v>
      </c>
      <c r="D91" s="58">
        <f>IFERROR(VLOOKUP(A91,OS!$A:$B,2,0),0)</f>
        <v>400</v>
      </c>
      <c r="E91" s="5">
        <f>(D91+D92-D94)</f>
        <v>400</v>
      </c>
      <c r="F91" s="5">
        <f>(E91+E92-E94)</f>
        <v>320</v>
      </c>
      <c r="G91" s="5">
        <f>(F91+F92-F94)</f>
        <v>320</v>
      </c>
      <c r="H91" s="5">
        <f>(G91+G92-G94)</f>
        <v>320</v>
      </c>
      <c r="I91" s="5">
        <f t="shared" ref="I91:AN91" si="146">(H91+H92-H94+D93)</f>
        <v>240</v>
      </c>
      <c r="J91" s="5">
        <f t="shared" si="146"/>
        <v>160</v>
      </c>
      <c r="K91" s="5">
        <f t="shared" si="146"/>
        <v>480</v>
      </c>
      <c r="L91" s="5">
        <f t="shared" si="146"/>
        <v>480</v>
      </c>
      <c r="M91" s="5">
        <f t="shared" si="146"/>
        <v>400</v>
      </c>
      <c r="N91" s="5">
        <f t="shared" si="146"/>
        <v>320</v>
      </c>
      <c r="O91" s="5">
        <f t="shared" si="146"/>
        <v>320</v>
      </c>
      <c r="P91" s="5">
        <f t="shared" si="146"/>
        <v>320</v>
      </c>
      <c r="Q91" s="5">
        <f t="shared" si="146"/>
        <v>320</v>
      </c>
      <c r="R91" s="5">
        <f t="shared" si="146"/>
        <v>320</v>
      </c>
      <c r="S91" s="5">
        <f t="shared" si="146"/>
        <v>240</v>
      </c>
      <c r="T91" s="5">
        <f t="shared" si="146"/>
        <v>240</v>
      </c>
      <c r="U91" s="5">
        <f t="shared" si="146"/>
        <v>160</v>
      </c>
      <c r="V91" s="5">
        <f t="shared" si="146"/>
        <v>120</v>
      </c>
      <c r="W91" s="5">
        <f t="shared" si="146"/>
        <v>80</v>
      </c>
      <c r="X91" s="5">
        <f t="shared" si="146"/>
        <v>40</v>
      </c>
      <c r="Y91" s="5">
        <f t="shared" si="146"/>
        <v>0</v>
      </c>
      <c r="Z91" s="5">
        <f t="shared" si="146"/>
        <v>-40</v>
      </c>
      <c r="AA91" s="5">
        <f t="shared" si="146"/>
        <v>-80</v>
      </c>
      <c r="AB91" s="5">
        <f t="shared" si="146"/>
        <v>-120</v>
      </c>
      <c r="AC91" s="5">
        <f t="shared" si="146"/>
        <v>-160</v>
      </c>
      <c r="AD91" s="5">
        <f t="shared" si="146"/>
        <v>-230</v>
      </c>
      <c r="AE91" s="5">
        <f t="shared" si="146"/>
        <v>-300</v>
      </c>
      <c r="AF91" s="5">
        <f t="shared" si="146"/>
        <v>-370</v>
      </c>
      <c r="AG91" s="5">
        <f t="shared" si="146"/>
        <v>-440</v>
      </c>
      <c r="AH91" s="5">
        <f t="shared" si="146"/>
        <v>-480</v>
      </c>
      <c r="AI91" s="5">
        <f t="shared" si="146"/>
        <v>-560</v>
      </c>
      <c r="AJ91" s="5">
        <f t="shared" si="146"/>
        <v>-640</v>
      </c>
      <c r="AK91" s="5">
        <f t="shared" si="146"/>
        <v>-640</v>
      </c>
      <c r="AL91" s="5">
        <f t="shared" si="146"/>
        <v>-640</v>
      </c>
      <c r="AM91" s="5">
        <f t="shared" si="146"/>
        <v>-640</v>
      </c>
      <c r="AN91" s="5">
        <f t="shared" si="146"/>
        <v>-640</v>
      </c>
      <c r="AO91" s="5">
        <f t="shared" ref="AO91:BT91" si="147">(AN91+AN92-AN94+AJ93)</f>
        <v>-679</v>
      </c>
      <c r="AP91" s="5">
        <f t="shared" si="147"/>
        <v>-718</v>
      </c>
      <c r="AQ91" s="5">
        <f t="shared" si="147"/>
        <v>-757</v>
      </c>
      <c r="AR91" s="5">
        <f t="shared" si="147"/>
        <v>-804</v>
      </c>
      <c r="AS91" s="5">
        <f t="shared" si="147"/>
        <v>-851</v>
      </c>
      <c r="AT91" s="5">
        <f t="shared" si="147"/>
        <v>-888</v>
      </c>
      <c r="AU91" s="5">
        <f t="shared" si="147"/>
        <v>-935</v>
      </c>
      <c r="AV91" s="5">
        <f t="shared" si="147"/>
        <v>-979</v>
      </c>
      <c r="AW91" s="5">
        <f t="shared" si="147"/>
        <v>-1023</v>
      </c>
      <c r="AX91" s="5">
        <f t="shared" si="147"/>
        <v>-1067</v>
      </c>
      <c r="AY91" s="5">
        <f t="shared" si="147"/>
        <v>-1111</v>
      </c>
      <c r="AZ91" s="5">
        <f t="shared" si="147"/>
        <v>-1147</v>
      </c>
      <c r="BA91" s="5">
        <f t="shared" si="147"/>
        <v>-1179</v>
      </c>
      <c r="BB91" s="5">
        <f t="shared" si="147"/>
        <v>-1211</v>
      </c>
      <c r="BC91" s="5">
        <f t="shared" si="147"/>
        <v>-1243</v>
      </c>
      <c r="BD91" s="5">
        <f t="shared" si="147"/>
        <v>-1279</v>
      </c>
      <c r="BE91" s="5">
        <f t="shared" si="147"/>
        <v>-1315</v>
      </c>
      <c r="BF91" s="5">
        <f t="shared" si="147"/>
        <v>-1351</v>
      </c>
      <c r="BG91" s="5">
        <f t="shared" si="147"/>
        <v>-1387</v>
      </c>
      <c r="BH91" s="5">
        <f t="shared" si="147"/>
        <v>-1423</v>
      </c>
      <c r="BI91" s="5">
        <f t="shared" si="147"/>
        <v>-1459</v>
      </c>
      <c r="BJ91" s="5">
        <f t="shared" si="147"/>
        <v>-1495</v>
      </c>
      <c r="BK91" s="5">
        <f t="shared" si="147"/>
        <v>-1531</v>
      </c>
      <c r="BL91" s="5">
        <f t="shared" si="147"/>
        <v>-1567</v>
      </c>
      <c r="BM91" s="5">
        <f t="shared" si="147"/>
        <v>-1602</v>
      </c>
      <c r="BN91" s="5">
        <f t="shared" si="147"/>
        <v>-1637</v>
      </c>
      <c r="BO91" s="5">
        <f t="shared" si="147"/>
        <v>-1701</v>
      </c>
      <c r="BP91" s="5">
        <f t="shared" si="147"/>
        <v>-1701</v>
      </c>
      <c r="BQ91" s="5">
        <f t="shared" si="147"/>
        <v>-1701</v>
      </c>
      <c r="BR91" s="5">
        <f t="shared" si="147"/>
        <v>-1701</v>
      </c>
      <c r="BS91" s="5">
        <f t="shared" si="147"/>
        <v>-1701</v>
      </c>
      <c r="BT91" s="5">
        <f t="shared" si="147"/>
        <v>-1730</v>
      </c>
      <c r="BU91" s="5">
        <f t="shared" ref="BU91:CC91" si="148">(BT91+BT92-BT94+BP93)</f>
        <v>-1759</v>
      </c>
      <c r="BV91" s="5">
        <f t="shared" si="148"/>
        <v>-1788</v>
      </c>
      <c r="BW91" s="5">
        <f t="shared" si="148"/>
        <v>-1817</v>
      </c>
      <c r="BX91" s="5">
        <f t="shared" si="148"/>
        <v>-1846</v>
      </c>
      <c r="BY91" s="5">
        <f t="shared" si="148"/>
        <v>-1875</v>
      </c>
      <c r="BZ91" s="5">
        <f t="shared" si="148"/>
        <v>-1904</v>
      </c>
      <c r="CA91" s="5">
        <f t="shared" si="148"/>
        <v>-1933</v>
      </c>
      <c r="CB91" s="5">
        <f t="shared" si="148"/>
        <v>-1962</v>
      </c>
      <c r="CC91" s="5">
        <f t="shared" si="148"/>
        <v>-1991</v>
      </c>
    </row>
    <row r="92" spans="1:81" x14ac:dyDescent="0.2">
      <c r="A92" s="5" t="s">
        <v>209</v>
      </c>
      <c r="B92" s="5">
        <v>10.68445</v>
      </c>
      <c r="C92" s="45" t="s">
        <v>39</v>
      </c>
      <c r="D92" s="59">
        <f>IFERROR(VLOOKUP(A91,WIP!$A:$B,2,0),0)</f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1" x14ac:dyDescent="0.2">
      <c r="A93" s="5" t="s">
        <v>210</v>
      </c>
      <c r="B93" s="5">
        <v>0.312</v>
      </c>
      <c r="C93" s="9" t="s">
        <v>211</v>
      </c>
      <c r="D93" s="60">
        <f>IFERROR(VLOOKUP($A91,Plan!$A:B,D$4,0),0)</f>
        <v>0</v>
      </c>
      <c r="E93" s="60">
        <f>IFERROR(VLOOKUP($A91,Plan!$A:C,E$4,0),0)</f>
        <v>0</v>
      </c>
      <c r="F93" s="60">
        <f>IFERROR(VLOOKUP($A91,Plan!$A:D,F$4,0),0)</f>
        <v>400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</row>
    <row r="94" spans="1:81" x14ac:dyDescent="0.2">
      <c r="A94" s="5" t="s">
        <v>212</v>
      </c>
      <c r="B94" s="5">
        <v>7.8E-2</v>
      </c>
      <c r="C94" s="9" t="s">
        <v>213</v>
      </c>
      <c r="D94" s="61">
        <f>IFERROR(VLOOKUP($A91,Sales!$A:B,D$2,0),0)</f>
        <v>0</v>
      </c>
      <c r="E94" s="61">
        <f>IFERROR(VLOOKUP($A91,Sales!$A:C,E$2,0),0)</f>
        <v>80</v>
      </c>
      <c r="F94" s="61">
        <f>IFERROR(VLOOKUP($A91,Sales!$A:D,F$2,0),0)</f>
        <v>0</v>
      </c>
      <c r="G94" s="61">
        <f>IFERROR(VLOOKUP($A91,Sales!$A:E,G$2,0),0)</f>
        <v>0</v>
      </c>
      <c r="H94" s="61">
        <f>IFERROR(VLOOKUP($A91,Sales!$A:F,H$2,0),0)</f>
        <v>80</v>
      </c>
      <c r="I94" s="61">
        <f>IFERROR(VLOOKUP($A91,Sales!$A:G,I$2,0),0)</f>
        <v>80</v>
      </c>
      <c r="J94" s="61">
        <f>IFERROR(VLOOKUP($A91,Sales!$A:H,J$2,0),0)</f>
        <v>80</v>
      </c>
      <c r="K94" s="61">
        <f>IFERROR(VLOOKUP($A91,Sales!$A:I,K$2,0),0)</f>
        <v>0</v>
      </c>
      <c r="L94" s="61">
        <f>IFERROR(VLOOKUP($A91,Sales!$A:J,L$2,0),0)</f>
        <v>80</v>
      </c>
      <c r="M94" s="61">
        <f>IFERROR(VLOOKUP($A91,Sales!$A:K,M$2,0),0)</f>
        <v>80</v>
      </c>
      <c r="N94" s="61">
        <f>IFERROR(VLOOKUP($A91,Sales!$A:L,N$2,0),0)</f>
        <v>0</v>
      </c>
      <c r="O94" s="61">
        <f>IFERROR(VLOOKUP($A91,Sales!$A:M,O$2,0),0)</f>
        <v>0</v>
      </c>
      <c r="P94" s="61">
        <f>IFERROR(VLOOKUP($A91,Sales!$A:N,P$2,0),0)</f>
        <v>0</v>
      </c>
      <c r="Q94" s="61">
        <f>IFERROR(VLOOKUP($A91,Sales!$A:O,Q$2,0),0)</f>
        <v>0</v>
      </c>
      <c r="R94" s="61">
        <f>IFERROR(VLOOKUP($A91,Sales!$A:P,R$2,0),0)</f>
        <v>80</v>
      </c>
      <c r="S94" s="61">
        <f>IFERROR(VLOOKUP($A91,Sales!$A:Q,S$2,0),0)</f>
        <v>0</v>
      </c>
      <c r="T94" s="61">
        <f>IFERROR(VLOOKUP($A91,Sales!$A:R,T$2,0),0)</f>
        <v>80</v>
      </c>
      <c r="U94" s="61">
        <f>IFERROR(VLOOKUP($A91,Sales!$A:S,U$2,0),0)</f>
        <v>40</v>
      </c>
      <c r="V94" s="61">
        <f>IFERROR(VLOOKUP($A91,Sales!$A:T,V$2,0),0)</f>
        <v>40</v>
      </c>
      <c r="W94" s="61">
        <f>IFERROR(VLOOKUP($A91,Sales!$A:U,W$2,0),0)</f>
        <v>40</v>
      </c>
      <c r="X94" s="61">
        <f>IFERROR(VLOOKUP($A91,Sales!$A:V,X$2,0),0)</f>
        <v>40</v>
      </c>
      <c r="Y94" s="61">
        <f>IFERROR(VLOOKUP($A91,Sales!$A:W,Y$2,0),0)</f>
        <v>40</v>
      </c>
      <c r="Z94" s="61">
        <f>IFERROR(VLOOKUP($A91,Sales!$A:X,Z$2,0),0)</f>
        <v>40</v>
      </c>
      <c r="AA94" s="61">
        <f>IFERROR(VLOOKUP($A91,Sales!$A:Y,AA$2,0),0)</f>
        <v>40</v>
      </c>
      <c r="AB94" s="61">
        <f>IFERROR(VLOOKUP($A91,Sales!$A:Z,AB$2,0),0)</f>
        <v>40</v>
      </c>
      <c r="AC94" s="61">
        <f>IFERROR(VLOOKUP($A91,Sales!$A:AA,AC$2,0),0)</f>
        <v>70</v>
      </c>
      <c r="AD94" s="61">
        <f>IFERROR(VLOOKUP($A91,Sales!$A:AB,AD$2,0),0)</f>
        <v>70</v>
      </c>
      <c r="AE94" s="61">
        <f>IFERROR(VLOOKUP($A91,Sales!$A:AC,AE$2,0),0)</f>
        <v>70</v>
      </c>
      <c r="AF94" s="61">
        <f>IFERROR(VLOOKUP($A91,Sales!$A:AD,AF$2,0),0)</f>
        <v>70</v>
      </c>
      <c r="AG94" s="61">
        <f>IFERROR(VLOOKUP($A91,Sales!$A:AE,AG$2,0),0)</f>
        <v>40</v>
      </c>
      <c r="AH94" s="61">
        <f>IFERROR(VLOOKUP($A91,Sales!$A:AF,AH$2,0),0)</f>
        <v>80</v>
      </c>
      <c r="AI94" s="61">
        <f>IFERROR(VLOOKUP($A91,Sales!$A:AG,AI$2,0),0)</f>
        <v>80</v>
      </c>
      <c r="AJ94" s="61">
        <f>IFERROR(VLOOKUP($A91,Sales!$A:AH,AJ$2,0),0)</f>
        <v>0</v>
      </c>
      <c r="AK94" s="74">
        <f t="shared" ref="AK94:CC94" si="149">CEILING(AK$5*$B90,1)</f>
        <v>0</v>
      </c>
      <c r="AL94" s="74">
        <f t="shared" si="149"/>
        <v>0</v>
      </c>
      <c r="AM94" s="74">
        <f t="shared" si="149"/>
        <v>0</v>
      </c>
      <c r="AN94" s="74">
        <f t="shared" si="149"/>
        <v>39</v>
      </c>
      <c r="AO94" s="74">
        <f t="shared" si="149"/>
        <v>39</v>
      </c>
      <c r="AP94" s="74">
        <f t="shared" si="149"/>
        <v>39</v>
      </c>
      <c r="AQ94" s="74">
        <f t="shared" si="149"/>
        <v>47</v>
      </c>
      <c r="AR94" s="74">
        <f t="shared" si="149"/>
        <v>47</v>
      </c>
      <c r="AS94" s="74">
        <f t="shared" si="149"/>
        <v>37</v>
      </c>
      <c r="AT94" s="74">
        <f t="shared" si="149"/>
        <v>47</v>
      </c>
      <c r="AU94" s="74">
        <f t="shared" si="149"/>
        <v>44</v>
      </c>
      <c r="AV94" s="74">
        <f t="shared" si="149"/>
        <v>44</v>
      </c>
      <c r="AW94" s="74">
        <f t="shared" si="149"/>
        <v>44</v>
      </c>
      <c r="AX94" s="74">
        <f t="shared" si="149"/>
        <v>44</v>
      </c>
      <c r="AY94" s="74">
        <f t="shared" si="149"/>
        <v>36</v>
      </c>
      <c r="AZ94" s="74">
        <f t="shared" si="149"/>
        <v>32</v>
      </c>
      <c r="BA94" s="74">
        <f t="shared" si="149"/>
        <v>32</v>
      </c>
      <c r="BB94" s="74">
        <f t="shared" si="149"/>
        <v>32</v>
      </c>
      <c r="BC94" s="74">
        <f t="shared" si="149"/>
        <v>36</v>
      </c>
      <c r="BD94" s="74">
        <f t="shared" si="149"/>
        <v>36</v>
      </c>
      <c r="BE94" s="74">
        <f t="shared" si="149"/>
        <v>36</v>
      </c>
      <c r="BF94" s="74">
        <f t="shared" si="149"/>
        <v>36</v>
      </c>
      <c r="BG94" s="74">
        <f t="shared" si="149"/>
        <v>36</v>
      </c>
      <c r="BH94" s="74">
        <f t="shared" si="149"/>
        <v>36</v>
      </c>
      <c r="BI94" s="74">
        <f t="shared" si="149"/>
        <v>36</v>
      </c>
      <c r="BJ94" s="74">
        <f t="shared" si="149"/>
        <v>36</v>
      </c>
      <c r="BK94" s="74">
        <f t="shared" si="149"/>
        <v>36</v>
      </c>
      <c r="BL94" s="74">
        <f t="shared" si="149"/>
        <v>35</v>
      </c>
      <c r="BM94" s="74">
        <f t="shared" si="149"/>
        <v>35</v>
      </c>
      <c r="BN94" s="74">
        <f t="shared" si="149"/>
        <v>64</v>
      </c>
      <c r="BO94" s="74">
        <f t="shared" si="149"/>
        <v>0</v>
      </c>
      <c r="BP94" s="74">
        <f t="shared" si="149"/>
        <v>0</v>
      </c>
      <c r="BQ94" s="74">
        <f t="shared" si="149"/>
        <v>0</v>
      </c>
      <c r="BR94" s="74">
        <f t="shared" si="149"/>
        <v>0</v>
      </c>
      <c r="BS94" s="74">
        <f t="shared" si="149"/>
        <v>29</v>
      </c>
      <c r="BT94" s="74">
        <f t="shared" si="149"/>
        <v>29</v>
      </c>
      <c r="BU94" s="74">
        <f t="shared" si="149"/>
        <v>29</v>
      </c>
      <c r="BV94" s="74">
        <f t="shared" si="149"/>
        <v>29</v>
      </c>
      <c r="BW94" s="74">
        <f t="shared" si="149"/>
        <v>29</v>
      </c>
      <c r="BX94" s="74">
        <f t="shared" si="149"/>
        <v>29</v>
      </c>
      <c r="BY94" s="74">
        <f t="shared" si="149"/>
        <v>29</v>
      </c>
      <c r="BZ94" s="74">
        <f t="shared" si="149"/>
        <v>29</v>
      </c>
      <c r="CA94" s="74">
        <f t="shared" si="149"/>
        <v>29</v>
      </c>
      <c r="CB94" s="74">
        <f t="shared" si="149"/>
        <v>29</v>
      </c>
      <c r="CC94" s="74">
        <f t="shared" si="149"/>
        <v>29</v>
      </c>
    </row>
    <row r="95" spans="1:81" x14ac:dyDescent="0.2">
      <c r="A95" s="5" t="s">
        <v>214</v>
      </c>
      <c r="B95" s="5">
        <v>0.39</v>
      </c>
      <c r="C95" s="46" t="s">
        <v>215</v>
      </c>
      <c r="D95" s="11">
        <f t="shared" ref="D95:AI95" si="150">IF(D94=0,0, ROUND(D91 * 1/D94* D$13,1))</f>
        <v>0</v>
      </c>
      <c r="E95" s="11">
        <f t="shared" si="150"/>
        <v>25</v>
      </c>
      <c r="F95" s="11">
        <f t="shared" si="150"/>
        <v>0</v>
      </c>
      <c r="G95" s="11">
        <f t="shared" si="150"/>
        <v>0</v>
      </c>
      <c r="H95" s="11">
        <f t="shared" si="150"/>
        <v>20</v>
      </c>
      <c r="I95" s="11">
        <f t="shared" si="150"/>
        <v>15</v>
      </c>
      <c r="J95" s="11">
        <f t="shared" si="150"/>
        <v>10</v>
      </c>
      <c r="K95" s="11">
        <f t="shared" si="150"/>
        <v>0</v>
      </c>
      <c r="L95" s="11">
        <f t="shared" si="150"/>
        <v>30</v>
      </c>
      <c r="M95" s="11">
        <f t="shared" si="150"/>
        <v>25</v>
      </c>
      <c r="N95" s="11">
        <f t="shared" si="150"/>
        <v>0</v>
      </c>
      <c r="O95" s="11">
        <f t="shared" si="150"/>
        <v>0</v>
      </c>
      <c r="P95" s="11">
        <f t="shared" si="150"/>
        <v>0</v>
      </c>
      <c r="Q95" s="11">
        <f t="shared" si="150"/>
        <v>0</v>
      </c>
      <c r="R95" s="11">
        <f t="shared" si="150"/>
        <v>20</v>
      </c>
      <c r="S95" s="11">
        <f t="shared" si="150"/>
        <v>0</v>
      </c>
      <c r="T95" s="11">
        <f t="shared" si="150"/>
        <v>15</v>
      </c>
      <c r="U95" s="11">
        <f t="shared" si="150"/>
        <v>20</v>
      </c>
      <c r="V95" s="11">
        <f t="shared" si="150"/>
        <v>15</v>
      </c>
      <c r="W95" s="11">
        <f t="shared" si="150"/>
        <v>10</v>
      </c>
      <c r="X95" s="11">
        <f t="shared" si="150"/>
        <v>5</v>
      </c>
      <c r="Y95" s="11">
        <f t="shared" si="150"/>
        <v>0</v>
      </c>
      <c r="Z95" s="11">
        <f t="shared" si="150"/>
        <v>-5</v>
      </c>
      <c r="AA95" s="11">
        <f t="shared" si="150"/>
        <v>-10</v>
      </c>
      <c r="AB95" s="11">
        <f t="shared" si="150"/>
        <v>-15</v>
      </c>
      <c r="AC95" s="11">
        <f t="shared" si="150"/>
        <v>-11.4</v>
      </c>
      <c r="AD95" s="11">
        <f t="shared" si="150"/>
        <v>-16.399999999999999</v>
      </c>
      <c r="AE95" s="11">
        <f t="shared" si="150"/>
        <v>-21.4</v>
      </c>
      <c r="AF95" s="11">
        <f t="shared" si="150"/>
        <v>-26.4</v>
      </c>
      <c r="AG95" s="11">
        <f t="shared" si="150"/>
        <v>-55</v>
      </c>
      <c r="AH95" s="11">
        <f t="shared" si="150"/>
        <v>-30</v>
      </c>
      <c r="AI95" s="11">
        <f t="shared" si="150"/>
        <v>-35</v>
      </c>
      <c r="AJ95" s="11">
        <f t="shared" ref="AJ95:BO95" si="151">IF(AJ94=0,0, ROUND(AJ91 * 1/AJ94* AJ$13,1))</f>
        <v>0</v>
      </c>
      <c r="AK95" s="11">
        <f t="shared" si="151"/>
        <v>0</v>
      </c>
      <c r="AL95" s="11">
        <f t="shared" si="151"/>
        <v>0</v>
      </c>
      <c r="AM95" s="11">
        <f t="shared" si="151"/>
        <v>0</v>
      </c>
      <c r="AN95" s="11">
        <f t="shared" si="151"/>
        <v>-82.1</v>
      </c>
      <c r="AO95" s="11">
        <f t="shared" si="151"/>
        <v>-87.1</v>
      </c>
      <c r="AP95" s="11">
        <f t="shared" si="151"/>
        <v>-92.1</v>
      </c>
      <c r="AQ95" s="11">
        <f t="shared" si="151"/>
        <v>-80.5</v>
      </c>
      <c r="AR95" s="11">
        <f t="shared" si="151"/>
        <v>-85.5</v>
      </c>
      <c r="AS95" s="11">
        <f t="shared" si="151"/>
        <v>-115</v>
      </c>
      <c r="AT95" s="11">
        <f t="shared" si="151"/>
        <v>-94.5</v>
      </c>
      <c r="AU95" s="11">
        <f t="shared" si="151"/>
        <v>-106.3</v>
      </c>
      <c r="AV95" s="11">
        <f t="shared" si="151"/>
        <v>-111.3</v>
      </c>
      <c r="AW95" s="11">
        <f t="shared" si="151"/>
        <v>-116.3</v>
      </c>
      <c r="AX95" s="11">
        <f t="shared" si="151"/>
        <v>-121.3</v>
      </c>
      <c r="AY95" s="11">
        <f t="shared" si="151"/>
        <v>-154.30000000000001</v>
      </c>
      <c r="AZ95" s="11">
        <f t="shared" si="151"/>
        <v>-179.2</v>
      </c>
      <c r="BA95" s="11">
        <f t="shared" si="151"/>
        <v>-184.2</v>
      </c>
      <c r="BB95" s="11">
        <f t="shared" si="151"/>
        <v>-189.2</v>
      </c>
      <c r="BC95" s="11">
        <f t="shared" si="151"/>
        <v>-172.6</v>
      </c>
      <c r="BD95" s="11">
        <f t="shared" si="151"/>
        <v>-177.6</v>
      </c>
      <c r="BE95" s="11">
        <f t="shared" si="151"/>
        <v>-182.6</v>
      </c>
      <c r="BF95" s="11">
        <f t="shared" si="151"/>
        <v>-187.6</v>
      </c>
      <c r="BG95" s="11">
        <f t="shared" si="151"/>
        <v>-192.6</v>
      </c>
      <c r="BH95" s="11">
        <f t="shared" si="151"/>
        <v>-197.6</v>
      </c>
      <c r="BI95" s="11">
        <f t="shared" si="151"/>
        <v>-202.6</v>
      </c>
      <c r="BJ95" s="11">
        <f t="shared" si="151"/>
        <v>-207.6</v>
      </c>
      <c r="BK95" s="11">
        <f t="shared" si="151"/>
        <v>-212.6</v>
      </c>
      <c r="BL95" s="11">
        <f t="shared" si="151"/>
        <v>-223.9</v>
      </c>
      <c r="BM95" s="11">
        <f t="shared" si="151"/>
        <v>-228.9</v>
      </c>
      <c r="BN95" s="11">
        <f t="shared" si="151"/>
        <v>-127.9</v>
      </c>
      <c r="BO95" s="11">
        <f t="shared" si="151"/>
        <v>0</v>
      </c>
      <c r="BP95" s="11">
        <f t="shared" ref="BP95:CC95" si="152">IF(BP94=0,0, ROUND(BP91 * 1/BP94* BP$13,1))</f>
        <v>0</v>
      </c>
      <c r="BQ95" s="11">
        <f t="shared" si="152"/>
        <v>0</v>
      </c>
      <c r="BR95" s="11">
        <f t="shared" si="152"/>
        <v>0</v>
      </c>
      <c r="BS95" s="11">
        <f t="shared" si="152"/>
        <v>-293.3</v>
      </c>
      <c r="BT95" s="11">
        <f t="shared" si="152"/>
        <v>-298.3</v>
      </c>
      <c r="BU95" s="11">
        <f t="shared" si="152"/>
        <v>-303.3</v>
      </c>
      <c r="BV95" s="11">
        <f t="shared" si="152"/>
        <v>-308.3</v>
      </c>
      <c r="BW95" s="11">
        <f t="shared" si="152"/>
        <v>-313.3</v>
      </c>
      <c r="BX95" s="11">
        <f t="shared" si="152"/>
        <v>-318.3</v>
      </c>
      <c r="BY95" s="11">
        <f t="shared" si="152"/>
        <v>-323.3</v>
      </c>
      <c r="BZ95" s="11">
        <f t="shared" si="152"/>
        <v>-328.3</v>
      </c>
      <c r="CA95" s="11">
        <f t="shared" si="152"/>
        <v>-333.3</v>
      </c>
      <c r="CB95" s="11">
        <f t="shared" si="152"/>
        <v>-338.3</v>
      </c>
      <c r="CC95" s="11">
        <f t="shared" si="152"/>
        <v>-343.3</v>
      </c>
    </row>
    <row r="96" spans="1:81" x14ac:dyDescent="0.2">
      <c r="A96">
        <v>42</v>
      </c>
      <c r="B96">
        <v>1</v>
      </c>
      <c r="C96" s="8">
        <v>8.0458499999999997</v>
      </c>
      <c r="D96">
        <f t="shared" ref="D96:AI96" si="153">D93/$B96</f>
        <v>0</v>
      </c>
      <c r="E96">
        <f t="shared" si="153"/>
        <v>0</v>
      </c>
      <c r="F96">
        <f t="shared" si="153"/>
        <v>400</v>
      </c>
      <c r="G96">
        <f t="shared" si="153"/>
        <v>0</v>
      </c>
      <c r="H96">
        <f t="shared" si="153"/>
        <v>0</v>
      </c>
      <c r="I96">
        <f t="shared" si="153"/>
        <v>0</v>
      </c>
      <c r="J96">
        <f t="shared" si="153"/>
        <v>0</v>
      </c>
      <c r="K96">
        <f t="shared" si="153"/>
        <v>0</v>
      </c>
      <c r="L96">
        <f t="shared" si="153"/>
        <v>0</v>
      </c>
      <c r="M96">
        <f t="shared" si="153"/>
        <v>0</v>
      </c>
      <c r="N96">
        <f t="shared" si="153"/>
        <v>0</v>
      </c>
      <c r="O96">
        <f t="shared" si="153"/>
        <v>0</v>
      </c>
      <c r="P96">
        <f t="shared" si="153"/>
        <v>0</v>
      </c>
      <c r="Q96">
        <f t="shared" si="153"/>
        <v>0</v>
      </c>
      <c r="R96">
        <f t="shared" si="153"/>
        <v>0</v>
      </c>
      <c r="S96">
        <f t="shared" si="153"/>
        <v>0</v>
      </c>
      <c r="T96">
        <f t="shared" si="153"/>
        <v>0</v>
      </c>
      <c r="U96">
        <f t="shared" si="153"/>
        <v>0</v>
      </c>
      <c r="V96">
        <f t="shared" si="153"/>
        <v>0</v>
      </c>
      <c r="W96">
        <f t="shared" si="153"/>
        <v>0</v>
      </c>
      <c r="X96">
        <f t="shared" si="153"/>
        <v>0</v>
      </c>
      <c r="Y96">
        <f t="shared" si="153"/>
        <v>0</v>
      </c>
      <c r="Z96">
        <f t="shared" si="153"/>
        <v>0</v>
      </c>
      <c r="AA96">
        <f t="shared" si="153"/>
        <v>0</v>
      </c>
      <c r="AB96">
        <f t="shared" si="153"/>
        <v>0</v>
      </c>
      <c r="AC96">
        <f t="shared" si="153"/>
        <v>0</v>
      </c>
      <c r="AD96">
        <f t="shared" si="153"/>
        <v>0</v>
      </c>
      <c r="AE96">
        <f t="shared" si="153"/>
        <v>0</v>
      </c>
      <c r="AF96">
        <f t="shared" si="153"/>
        <v>0</v>
      </c>
      <c r="AG96">
        <f t="shared" si="153"/>
        <v>0</v>
      </c>
      <c r="AH96">
        <f t="shared" si="153"/>
        <v>0</v>
      </c>
      <c r="AI96">
        <f t="shared" si="153"/>
        <v>0</v>
      </c>
      <c r="AJ96">
        <f t="shared" ref="AJ96:BO96" si="154">AJ93/$B96</f>
        <v>0</v>
      </c>
      <c r="AK96">
        <f t="shared" si="154"/>
        <v>0</v>
      </c>
      <c r="AL96">
        <f t="shared" si="154"/>
        <v>0</v>
      </c>
      <c r="AM96">
        <f t="shared" si="154"/>
        <v>0</v>
      </c>
      <c r="AN96">
        <f t="shared" si="154"/>
        <v>0</v>
      </c>
      <c r="AO96">
        <f t="shared" si="154"/>
        <v>0</v>
      </c>
      <c r="AP96">
        <f t="shared" si="154"/>
        <v>0</v>
      </c>
      <c r="AQ96">
        <f t="shared" si="154"/>
        <v>0</v>
      </c>
      <c r="AR96">
        <f t="shared" si="154"/>
        <v>0</v>
      </c>
      <c r="AS96">
        <f t="shared" si="154"/>
        <v>0</v>
      </c>
      <c r="AT96">
        <f t="shared" si="154"/>
        <v>0</v>
      </c>
      <c r="AU96">
        <f t="shared" si="154"/>
        <v>0</v>
      </c>
      <c r="AV96">
        <f t="shared" si="154"/>
        <v>0</v>
      </c>
      <c r="AW96">
        <f t="shared" si="154"/>
        <v>0</v>
      </c>
      <c r="AX96">
        <f t="shared" si="154"/>
        <v>0</v>
      </c>
      <c r="AY96">
        <f t="shared" si="154"/>
        <v>0</v>
      </c>
      <c r="AZ96">
        <f t="shared" si="154"/>
        <v>0</v>
      </c>
      <c r="BA96">
        <f t="shared" si="154"/>
        <v>0</v>
      </c>
      <c r="BB96">
        <f t="shared" si="154"/>
        <v>0</v>
      </c>
      <c r="BC96">
        <f t="shared" si="154"/>
        <v>0</v>
      </c>
      <c r="BD96">
        <f t="shared" si="154"/>
        <v>0</v>
      </c>
      <c r="BE96">
        <f t="shared" si="154"/>
        <v>0</v>
      </c>
      <c r="BF96">
        <f t="shared" si="154"/>
        <v>0</v>
      </c>
      <c r="BG96">
        <f t="shared" si="154"/>
        <v>0</v>
      </c>
      <c r="BH96">
        <f t="shared" si="154"/>
        <v>0</v>
      </c>
      <c r="BI96">
        <f t="shared" si="154"/>
        <v>0</v>
      </c>
      <c r="BJ96">
        <f t="shared" si="154"/>
        <v>0</v>
      </c>
      <c r="BK96">
        <f t="shared" si="154"/>
        <v>0</v>
      </c>
      <c r="BL96">
        <f t="shared" si="154"/>
        <v>0</v>
      </c>
      <c r="BM96">
        <f t="shared" si="154"/>
        <v>0</v>
      </c>
      <c r="BN96">
        <f t="shared" si="154"/>
        <v>0</v>
      </c>
      <c r="BO96">
        <f t="shared" si="154"/>
        <v>0</v>
      </c>
      <c r="BP96">
        <f t="shared" ref="BP96:CC96" si="155">BP93/$B96</f>
        <v>0</v>
      </c>
      <c r="BQ96">
        <f t="shared" si="155"/>
        <v>0</v>
      </c>
      <c r="BR96">
        <f t="shared" si="155"/>
        <v>0</v>
      </c>
      <c r="BS96">
        <f t="shared" si="155"/>
        <v>0</v>
      </c>
      <c r="BT96">
        <f t="shared" si="155"/>
        <v>0</v>
      </c>
      <c r="BU96">
        <f t="shared" si="155"/>
        <v>0</v>
      </c>
      <c r="BV96">
        <f t="shared" si="155"/>
        <v>0</v>
      </c>
      <c r="BW96">
        <f t="shared" si="155"/>
        <v>0</v>
      </c>
      <c r="BX96">
        <f t="shared" si="155"/>
        <v>0</v>
      </c>
      <c r="BY96">
        <f t="shared" si="155"/>
        <v>0</v>
      </c>
      <c r="BZ96">
        <f t="shared" si="155"/>
        <v>0</v>
      </c>
      <c r="CA96">
        <f t="shared" si="155"/>
        <v>0</v>
      </c>
      <c r="CB96">
        <f t="shared" si="155"/>
        <v>0</v>
      </c>
      <c r="CC96">
        <f t="shared" si="155"/>
        <v>0</v>
      </c>
    </row>
    <row r="97" spans="1:81" x14ac:dyDescent="0.2">
      <c r="B97" s="67">
        <f>SUM(D101:AJ101)/SUM($D$263:$AJ$263)</f>
        <v>7.8265633560303674E-4</v>
      </c>
      <c r="C97" s="9" t="s">
        <v>216</v>
      </c>
      <c r="D97">
        <f t="shared" ref="D97:AI97" si="156">D91-D94</f>
        <v>400</v>
      </c>
      <c r="E97">
        <f t="shared" si="156"/>
        <v>320</v>
      </c>
      <c r="F97">
        <f t="shared" si="156"/>
        <v>320</v>
      </c>
      <c r="G97">
        <f t="shared" si="156"/>
        <v>320</v>
      </c>
      <c r="H97">
        <f t="shared" si="156"/>
        <v>240</v>
      </c>
      <c r="I97">
        <f t="shared" si="156"/>
        <v>160</v>
      </c>
      <c r="J97">
        <f t="shared" si="156"/>
        <v>80</v>
      </c>
      <c r="K97">
        <f t="shared" si="156"/>
        <v>480</v>
      </c>
      <c r="L97">
        <f t="shared" si="156"/>
        <v>400</v>
      </c>
      <c r="M97">
        <f t="shared" si="156"/>
        <v>320</v>
      </c>
      <c r="N97">
        <f t="shared" si="156"/>
        <v>320</v>
      </c>
      <c r="O97">
        <f t="shared" si="156"/>
        <v>320</v>
      </c>
      <c r="P97">
        <f t="shared" si="156"/>
        <v>320</v>
      </c>
      <c r="Q97">
        <f t="shared" si="156"/>
        <v>320</v>
      </c>
      <c r="R97">
        <f t="shared" si="156"/>
        <v>240</v>
      </c>
      <c r="S97">
        <f t="shared" si="156"/>
        <v>240</v>
      </c>
      <c r="T97">
        <f t="shared" si="156"/>
        <v>160</v>
      </c>
      <c r="U97">
        <f t="shared" si="156"/>
        <v>120</v>
      </c>
      <c r="V97">
        <f t="shared" si="156"/>
        <v>80</v>
      </c>
      <c r="W97">
        <f t="shared" si="156"/>
        <v>40</v>
      </c>
      <c r="X97">
        <f t="shared" si="156"/>
        <v>0</v>
      </c>
      <c r="Y97">
        <f t="shared" si="156"/>
        <v>-40</v>
      </c>
      <c r="Z97">
        <f t="shared" si="156"/>
        <v>-80</v>
      </c>
      <c r="AA97">
        <f t="shared" si="156"/>
        <v>-120</v>
      </c>
      <c r="AB97">
        <f t="shared" si="156"/>
        <v>-160</v>
      </c>
      <c r="AC97">
        <f t="shared" si="156"/>
        <v>-230</v>
      </c>
      <c r="AD97">
        <f t="shared" si="156"/>
        <v>-300</v>
      </c>
      <c r="AE97">
        <f t="shared" si="156"/>
        <v>-370</v>
      </c>
      <c r="AF97">
        <f t="shared" si="156"/>
        <v>-440</v>
      </c>
      <c r="AG97">
        <f t="shared" si="156"/>
        <v>-480</v>
      </c>
      <c r="AH97">
        <f t="shared" si="156"/>
        <v>-560</v>
      </c>
      <c r="AI97">
        <f t="shared" si="156"/>
        <v>-640</v>
      </c>
      <c r="AJ97">
        <f t="shared" ref="AJ97:BO97" si="157">AJ91-AJ94</f>
        <v>-640</v>
      </c>
      <c r="AK97">
        <f t="shared" si="157"/>
        <v>-640</v>
      </c>
      <c r="AL97">
        <f t="shared" si="157"/>
        <v>-640</v>
      </c>
      <c r="AM97">
        <f t="shared" si="157"/>
        <v>-640</v>
      </c>
      <c r="AN97">
        <f t="shared" si="157"/>
        <v>-679</v>
      </c>
      <c r="AO97">
        <f t="shared" si="157"/>
        <v>-718</v>
      </c>
      <c r="AP97">
        <f t="shared" si="157"/>
        <v>-757</v>
      </c>
      <c r="AQ97">
        <f t="shared" si="157"/>
        <v>-804</v>
      </c>
      <c r="AR97">
        <f t="shared" si="157"/>
        <v>-851</v>
      </c>
      <c r="AS97">
        <f t="shared" si="157"/>
        <v>-888</v>
      </c>
      <c r="AT97">
        <f t="shared" si="157"/>
        <v>-935</v>
      </c>
      <c r="AU97">
        <f t="shared" si="157"/>
        <v>-979</v>
      </c>
      <c r="AV97">
        <f t="shared" si="157"/>
        <v>-1023</v>
      </c>
      <c r="AW97">
        <f t="shared" si="157"/>
        <v>-1067</v>
      </c>
      <c r="AX97">
        <f t="shared" si="157"/>
        <v>-1111</v>
      </c>
      <c r="AY97">
        <f t="shared" si="157"/>
        <v>-1147</v>
      </c>
      <c r="AZ97">
        <f t="shared" si="157"/>
        <v>-1179</v>
      </c>
      <c r="BA97">
        <f t="shared" si="157"/>
        <v>-1211</v>
      </c>
      <c r="BB97">
        <f t="shared" si="157"/>
        <v>-1243</v>
      </c>
      <c r="BC97">
        <f t="shared" si="157"/>
        <v>-1279</v>
      </c>
      <c r="BD97">
        <f t="shared" si="157"/>
        <v>-1315</v>
      </c>
      <c r="BE97">
        <f t="shared" si="157"/>
        <v>-1351</v>
      </c>
      <c r="BF97">
        <f t="shared" si="157"/>
        <v>-1387</v>
      </c>
      <c r="BG97">
        <f t="shared" si="157"/>
        <v>-1423</v>
      </c>
      <c r="BH97">
        <f t="shared" si="157"/>
        <v>-1459</v>
      </c>
      <c r="BI97">
        <f t="shared" si="157"/>
        <v>-1495</v>
      </c>
      <c r="BJ97">
        <f t="shared" si="157"/>
        <v>-1531</v>
      </c>
      <c r="BK97">
        <f t="shared" si="157"/>
        <v>-1567</v>
      </c>
      <c r="BL97">
        <f t="shared" si="157"/>
        <v>-1602</v>
      </c>
      <c r="BM97">
        <f t="shared" si="157"/>
        <v>-1637</v>
      </c>
      <c r="BN97">
        <f t="shared" si="157"/>
        <v>-1701</v>
      </c>
      <c r="BO97">
        <f t="shared" si="157"/>
        <v>-1701</v>
      </c>
      <c r="BP97">
        <f t="shared" ref="BP97:CC97" si="158">BP91-BP94</f>
        <v>-1701</v>
      </c>
      <c r="BQ97">
        <f t="shared" si="158"/>
        <v>-1701</v>
      </c>
      <c r="BR97">
        <f t="shared" si="158"/>
        <v>-1701</v>
      </c>
      <c r="BS97">
        <f t="shared" si="158"/>
        <v>-1730</v>
      </c>
      <c r="BT97">
        <f t="shared" si="158"/>
        <v>-1759</v>
      </c>
      <c r="BU97">
        <f t="shared" si="158"/>
        <v>-1788</v>
      </c>
      <c r="BV97">
        <f t="shared" si="158"/>
        <v>-1817</v>
      </c>
      <c r="BW97">
        <f t="shared" si="158"/>
        <v>-1846</v>
      </c>
      <c r="BX97">
        <f t="shared" si="158"/>
        <v>-1875</v>
      </c>
      <c r="BY97">
        <f t="shared" si="158"/>
        <v>-1904</v>
      </c>
      <c r="BZ97">
        <f t="shared" si="158"/>
        <v>-1933</v>
      </c>
      <c r="CA97">
        <f t="shared" si="158"/>
        <v>-1962</v>
      </c>
      <c r="CB97">
        <f t="shared" si="158"/>
        <v>-1991</v>
      </c>
      <c r="CC97">
        <f t="shared" si="158"/>
        <v>-2020</v>
      </c>
    </row>
    <row r="98" spans="1:81" x14ac:dyDescent="0.2">
      <c r="A98" s="43" t="s">
        <v>301</v>
      </c>
      <c r="B98" s="44" t="s">
        <v>208</v>
      </c>
      <c r="C98" s="9" t="s">
        <v>38</v>
      </c>
      <c r="D98" s="58">
        <f>IFERROR(VLOOKUP(A98,OS!$A:$B,2,0),0)</f>
        <v>480</v>
      </c>
      <c r="E98" s="5">
        <f>(D98+D99-D101)</f>
        <v>480</v>
      </c>
      <c r="F98" s="5">
        <f>(E98+E99-E101)</f>
        <v>480</v>
      </c>
      <c r="G98" s="5">
        <f>(F98+F99-F101)</f>
        <v>480</v>
      </c>
      <c r="H98" s="5">
        <f>(G98+G99-G101)</f>
        <v>480</v>
      </c>
      <c r="I98" s="5">
        <f t="shared" ref="I98:AN98" si="159">(H98+H99-H101+D100)</f>
        <v>480</v>
      </c>
      <c r="J98" s="5">
        <f t="shared" si="159"/>
        <v>480</v>
      </c>
      <c r="K98" s="5">
        <f t="shared" si="159"/>
        <v>480</v>
      </c>
      <c r="L98" s="5">
        <f t="shared" si="159"/>
        <v>480</v>
      </c>
      <c r="M98" s="5">
        <f t="shared" si="159"/>
        <v>480</v>
      </c>
      <c r="N98" s="5">
        <f t="shared" si="159"/>
        <v>480</v>
      </c>
      <c r="O98" s="5">
        <f t="shared" si="159"/>
        <v>480</v>
      </c>
      <c r="P98" s="5">
        <f t="shared" si="159"/>
        <v>480</v>
      </c>
      <c r="Q98" s="5">
        <f t="shared" si="159"/>
        <v>480</v>
      </c>
      <c r="R98" s="5">
        <f t="shared" si="159"/>
        <v>480</v>
      </c>
      <c r="S98" s="5">
        <f t="shared" si="159"/>
        <v>480</v>
      </c>
      <c r="T98" s="5">
        <f t="shared" si="159"/>
        <v>480</v>
      </c>
      <c r="U98" s="5">
        <f t="shared" si="159"/>
        <v>480</v>
      </c>
      <c r="V98" s="5">
        <f t="shared" si="159"/>
        <v>480</v>
      </c>
      <c r="W98" s="5">
        <f t="shared" si="159"/>
        <v>480</v>
      </c>
      <c r="X98" s="5">
        <f t="shared" si="159"/>
        <v>480</v>
      </c>
      <c r="Y98" s="5">
        <f t="shared" si="159"/>
        <v>480</v>
      </c>
      <c r="Z98" s="5">
        <f t="shared" si="159"/>
        <v>460</v>
      </c>
      <c r="AA98" s="5">
        <f t="shared" si="159"/>
        <v>440</v>
      </c>
      <c r="AB98" s="5">
        <f t="shared" si="159"/>
        <v>420</v>
      </c>
      <c r="AC98" s="5">
        <f t="shared" si="159"/>
        <v>400</v>
      </c>
      <c r="AD98" s="5">
        <f t="shared" si="159"/>
        <v>400</v>
      </c>
      <c r="AE98" s="5">
        <f t="shared" si="159"/>
        <v>400</v>
      </c>
      <c r="AF98" s="5">
        <f t="shared" si="159"/>
        <v>400</v>
      </c>
      <c r="AG98" s="5">
        <f t="shared" si="159"/>
        <v>400</v>
      </c>
      <c r="AH98" s="5">
        <f t="shared" si="159"/>
        <v>400</v>
      </c>
      <c r="AI98" s="5">
        <f t="shared" si="159"/>
        <v>400</v>
      </c>
      <c r="AJ98" s="5">
        <f t="shared" si="159"/>
        <v>400</v>
      </c>
      <c r="AK98" s="5">
        <f t="shared" si="159"/>
        <v>400</v>
      </c>
      <c r="AL98" s="5">
        <f t="shared" si="159"/>
        <v>400</v>
      </c>
      <c r="AM98" s="5">
        <f t="shared" si="159"/>
        <v>400</v>
      </c>
      <c r="AN98" s="5">
        <f t="shared" si="159"/>
        <v>400</v>
      </c>
      <c r="AO98" s="5">
        <f t="shared" ref="AO98:BT98" si="160">(AN98+AN99-AN101+AJ100)</f>
        <v>397</v>
      </c>
      <c r="AP98" s="5">
        <f t="shared" si="160"/>
        <v>394</v>
      </c>
      <c r="AQ98" s="5">
        <f t="shared" si="160"/>
        <v>391</v>
      </c>
      <c r="AR98" s="5">
        <f t="shared" si="160"/>
        <v>388</v>
      </c>
      <c r="AS98" s="5">
        <f t="shared" si="160"/>
        <v>385</v>
      </c>
      <c r="AT98" s="5">
        <f t="shared" si="160"/>
        <v>382</v>
      </c>
      <c r="AU98" s="5">
        <f t="shared" si="160"/>
        <v>379</v>
      </c>
      <c r="AV98" s="5">
        <f t="shared" si="160"/>
        <v>376</v>
      </c>
      <c r="AW98" s="5">
        <f t="shared" si="160"/>
        <v>373</v>
      </c>
      <c r="AX98" s="5">
        <f t="shared" si="160"/>
        <v>370</v>
      </c>
      <c r="AY98" s="5">
        <f t="shared" si="160"/>
        <v>367</v>
      </c>
      <c r="AZ98" s="5">
        <f t="shared" si="160"/>
        <v>365</v>
      </c>
      <c r="BA98" s="5">
        <f t="shared" si="160"/>
        <v>363</v>
      </c>
      <c r="BB98" s="5">
        <f t="shared" si="160"/>
        <v>361</v>
      </c>
      <c r="BC98" s="5">
        <f t="shared" si="160"/>
        <v>359</v>
      </c>
      <c r="BD98" s="5">
        <f t="shared" si="160"/>
        <v>357</v>
      </c>
      <c r="BE98" s="5">
        <f t="shared" si="160"/>
        <v>355</v>
      </c>
      <c r="BF98" s="5">
        <f t="shared" si="160"/>
        <v>353</v>
      </c>
      <c r="BG98" s="5">
        <f t="shared" si="160"/>
        <v>351</v>
      </c>
      <c r="BH98" s="5">
        <f t="shared" si="160"/>
        <v>349</v>
      </c>
      <c r="BI98" s="5">
        <f t="shared" si="160"/>
        <v>347</v>
      </c>
      <c r="BJ98" s="5">
        <f t="shared" si="160"/>
        <v>345</v>
      </c>
      <c r="BK98" s="5">
        <f t="shared" si="160"/>
        <v>343</v>
      </c>
      <c r="BL98" s="5">
        <f t="shared" si="160"/>
        <v>341</v>
      </c>
      <c r="BM98" s="5">
        <f t="shared" si="160"/>
        <v>339</v>
      </c>
      <c r="BN98" s="5">
        <f t="shared" si="160"/>
        <v>337</v>
      </c>
      <c r="BO98" s="5">
        <f t="shared" si="160"/>
        <v>333</v>
      </c>
      <c r="BP98" s="5">
        <f t="shared" si="160"/>
        <v>333</v>
      </c>
      <c r="BQ98" s="5">
        <f t="shared" si="160"/>
        <v>333</v>
      </c>
      <c r="BR98" s="5">
        <f t="shared" si="160"/>
        <v>333</v>
      </c>
      <c r="BS98" s="5">
        <f t="shared" si="160"/>
        <v>333</v>
      </c>
      <c r="BT98" s="5">
        <f t="shared" si="160"/>
        <v>331</v>
      </c>
      <c r="BU98" s="5">
        <f t="shared" ref="BU98:CC98" si="161">(BT98+BT99-BT101+BP100)</f>
        <v>329</v>
      </c>
      <c r="BV98" s="5">
        <f t="shared" si="161"/>
        <v>327</v>
      </c>
      <c r="BW98" s="5">
        <f t="shared" si="161"/>
        <v>325</v>
      </c>
      <c r="BX98" s="5">
        <f t="shared" si="161"/>
        <v>323</v>
      </c>
      <c r="BY98" s="5">
        <f t="shared" si="161"/>
        <v>321</v>
      </c>
      <c r="BZ98" s="5">
        <f t="shared" si="161"/>
        <v>319</v>
      </c>
      <c r="CA98" s="5">
        <f t="shared" si="161"/>
        <v>317</v>
      </c>
      <c r="CB98" s="5">
        <f t="shared" si="161"/>
        <v>315</v>
      </c>
      <c r="CC98" s="5">
        <f t="shared" si="161"/>
        <v>313</v>
      </c>
    </row>
    <row r="99" spans="1:81" x14ac:dyDescent="0.2">
      <c r="A99" s="5" t="s">
        <v>209</v>
      </c>
      <c r="B99" s="5">
        <v>12.029540000000001</v>
      </c>
      <c r="C99" s="45" t="s">
        <v>39</v>
      </c>
      <c r="D99" s="59">
        <f>IFERROR(VLOOKUP(A98,WIP!$A:$B,2,0),0)</f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 spans="1:81" x14ac:dyDescent="0.2">
      <c r="A100" s="5" t="s">
        <v>210</v>
      </c>
      <c r="B100" s="5">
        <v>0.35799999999999998</v>
      </c>
      <c r="C100" s="9" t="s">
        <v>211</v>
      </c>
      <c r="D100" s="60">
        <f>IFERROR(VLOOKUP($A98,Plan!$A:B,D$4,0),0)</f>
        <v>0</v>
      </c>
      <c r="E100" s="60">
        <f>IFERROR(VLOOKUP($A98,Plan!$A:C,E$4,0),0)</f>
        <v>0</v>
      </c>
      <c r="F100" s="60">
        <f>IFERROR(VLOOKUP($A98,Plan!$A:D,F$4,0),0)</f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</row>
    <row r="101" spans="1:81" x14ac:dyDescent="0.2">
      <c r="A101" s="5" t="s">
        <v>212</v>
      </c>
      <c r="B101" s="5">
        <v>8.7999999999999995E-2</v>
      </c>
      <c r="C101" s="9" t="s">
        <v>213</v>
      </c>
      <c r="D101" s="61">
        <f>IFERROR(VLOOKUP($A98,Sales!$A:B,D$2,0),0)</f>
        <v>0</v>
      </c>
      <c r="E101" s="61">
        <f>IFERROR(VLOOKUP($A98,Sales!$A:C,E$2,0),0)</f>
        <v>0</v>
      </c>
      <c r="F101" s="61">
        <f>IFERROR(VLOOKUP($A98,Sales!$A:D,F$2,0),0)</f>
        <v>0</v>
      </c>
      <c r="G101" s="61">
        <f>IFERROR(VLOOKUP($A98,Sales!$A:E,G$2,0),0)</f>
        <v>0</v>
      </c>
      <c r="H101" s="61">
        <f>IFERROR(VLOOKUP($A98,Sales!$A:F,H$2,0),0)</f>
        <v>0</v>
      </c>
      <c r="I101" s="61">
        <f>IFERROR(VLOOKUP($A98,Sales!$A:G,I$2,0),0)</f>
        <v>0</v>
      </c>
      <c r="J101" s="61">
        <f>IFERROR(VLOOKUP($A98,Sales!$A:H,J$2,0),0)</f>
        <v>0</v>
      </c>
      <c r="K101" s="61">
        <f>IFERROR(VLOOKUP($A98,Sales!$A:I,K$2,0),0)</f>
        <v>0</v>
      </c>
      <c r="L101" s="61">
        <f>IFERROR(VLOOKUP($A98,Sales!$A:J,L$2,0),0)</f>
        <v>0</v>
      </c>
      <c r="M101" s="61">
        <f>IFERROR(VLOOKUP($A98,Sales!$A:K,M$2,0),0)</f>
        <v>0</v>
      </c>
      <c r="N101" s="61">
        <f>IFERROR(VLOOKUP($A98,Sales!$A:L,N$2,0),0)</f>
        <v>0</v>
      </c>
      <c r="O101" s="61">
        <f>IFERROR(VLOOKUP($A98,Sales!$A:M,O$2,0),0)</f>
        <v>0</v>
      </c>
      <c r="P101" s="61">
        <f>IFERROR(VLOOKUP($A98,Sales!$A:N,P$2,0),0)</f>
        <v>0</v>
      </c>
      <c r="Q101" s="61">
        <f>IFERROR(VLOOKUP($A98,Sales!$A:O,Q$2,0),0)</f>
        <v>0</v>
      </c>
      <c r="R101" s="61">
        <f>IFERROR(VLOOKUP($A98,Sales!$A:P,R$2,0),0)</f>
        <v>0</v>
      </c>
      <c r="S101" s="61">
        <f>IFERROR(VLOOKUP($A98,Sales!$A:Q,S$2,0),0)</f>
        <v>0</v>
      </c>
      <c r="T101" s="61">
        <f>IFERROR(VLOOKUP($A98,Sales!$A:R,T$2,0),0)</f>
        <v>0</v>
      </c>
      <c r="U101" s="61">
        <f>IFERROR(VLOOKUP($A98,Sales!$A:S,U$2,0),0)</f>
        <v>0</v>
      </c>
      <c r="V101" s="61">
        <f>IFERROR(VLOOKUP($A98,Sales!$A:T,V$2,0),0)</f>
        <v>0</v>
      </c>
      <c r="W101" s="61">
        <f>IFERROR(VLOOKUP($A98,Sales!$A:U,W$2,0),0)</f>
        <v>0</v>
      </c>
      <c r="X101" s="61">
        <f>IFERROR(VLOOKUP($A98,Sales!$A:V,X$2,0),0)</f>
        <v>0</v>
      </c>
      <c r="Y101" s="61">
        <f>IFERROR(VLOOKUP($A98,Sales!$A:W,Y$2,0),0)</f>
        <v>20</v>
      </c>
      <c r="Z101" s="61">
        <f>IFERROR(VLOOKUP($A98,Sales!$A:X,Z$2,0),0)</f>
        <v>20</v>
      </c>
      <c r="AA101" s="61">
        <f>IFERROR(VLOOKUP($A98,Sales!$A:Y,AA$2,0),0)</f>
        <v>20</v>
      </c>
      <c r="AB101" s="61">
        <f>IFERROR(VLOOKUP($A98,Sales!$A:Z,AB$2,0),0)</f>
        <v>20</v>
      </c>
      <c r="AC101" s="61">
        <f>IFERROR(VLOOKUP($A98,Sales!$A:AA,AC$2,0),0)</f>
        <v>0</v>
      </c>
      <c r="AD101" s="61">
        <f>IFERROR(VLOOKUP($A98,Sales!$A:AB,AD$2,0),0)</f>
        <v>0</v>
      </c>
      <c r="AE101" s="61">
        <f>IFERROR(VLOOKUP($A98,Sales!$A:AC,AE$2,0),0)</f>
        <v>0</v>
      </c>
      <c r="AF101" s="61">
        <f>IFERROR(VLOOKUP($A98,Sales!$A:AD,AF$2,0),0)</f>
        <v>0</v>
      </c>
      <c r="AG101" s="61">
        <f>IFERROR(VLOOKUP($A98,Sales!$A:AE,AG$2,0),0)</f>
        <v>0</v>
      </c>
      <c r="AH101" s="61">
        <f>IFERROR(VLOOKUP($A98,Sales!$A:AF,AH$2,0),0)</f>
        <v>0</v>
      </c>
      <c r="AI101" s="61">
        <f>IFERROR(VLOOKUP($A98,Sales!$A:AG,AI$2,0),0)</f>
        <v>0</v>
      </c>
      <c r="AJ101" s="61">
        <f>IFERROR(VLOOKUP($A98,Sales!$A:AH,AJ$2,0),0)</f>
        <v>0</v>
      </c>
      <c r="AK101" s="74">
        <f t="shared" ref="AK101:CC101" si="162">CEILING(AK$5*$B97,1)</f>
        <v>0</v>
      </c>
      <c r="AL101" s="74">
        <f t="shared" si="162"/>
        <v>0</v>
      </c>
      <c r="AM101" s="74">
        <f t="shared" si="162"/>
        <v>0</v>
      </c>
      <c r="AN101" s="74">
        <f t="shared" si="162"/>
        <v>3</v>
      </c>
      <c r="AO101" s="74">
        <f t="shared" si="162"/>
        <v>3</v>
      </c>
      <c r="AP101" s="74">
        <f t="shared" si="162"/>
        <v>3</v>
      </c>
      <c r="AQ101" s="74">
        <f t="shared" si="162"/>
        <v>3</v>
      </c>
      <c r="AR101" s="74">
        <f t="shared" si="162"/>
        <v>3</v>
      </c>
      <c r="AS101" s="74">
        <f t="shared" si="162"/>
        <v>3</v>
      </c>
      <c r="AT101" s="74">
        <f t="shared" si="162"/>
        <v>3</v>
      </c>
      <c r="AU101" s="74">
        <f t="shared" si="162"/>
        <v>3</v>
      </c>
      <c r="AV101" s="74">
        <f t="shared" si="162"/>
        <v>3</v>
      </c>
      <c r="AW101" s="74">
        <f t="shared" si="162"/>
        <v>3</v>
      </c>
      <c r="AX101" s="74">
        <f t="shared" si="162"/>
        <v>3</v>
      </c>
      <c r="AY101" s="74">
        <f t="shared" si="162"/>
        <v>2</v>
      </c>
      <c r="AZ101" s="74">
        <f t="shared" si="162"/>
        <v>2</v>
      </c>
      <c r="BA101" s="74">
        <f t="shared" si="162"/>
        <v>2</v>
      </c>
      <c r="BB101" s="74">
        <f t="shared" si="162"/>
        <v>2</v>
      </c>
      <c r="BC101" s="74">
        <f t="shared" si="162"/>
        <v>2</v>
      </c>
      <c r="BD101" s="74">
        <f t="shared" si="162"/>
        <v>2</v>
      </c>
      <c r="BE101" s="74">
        <f t="shared" si="162"/>
        <v>2</v>
      </c>
      <c r="BF101" s="74">
        <f t="shared" si="162"/>
        <v>2</v>
      </c>
      <c r="BG101" s="74">
        <f t="shared" si="162"/>
        <v>2</v>
      </c>
      <c r="BH101" s="74">
        <f t="shared" si="162"/>
        <v>2</v>
      </c>
      <c r="BI101" s="74">
        <f t="shared" si="162"/>
        <v>2</v>
      </c>
      <c r="BJ101" s="74">
        <f t="shared" si="162"/>
        <v>2</v>
      </c>
      <c r="BK101" s="74">
        <f t="shared" si="162"/>
        <v>2</v>
      </c>
      <c r="BL101" s="74">
        <f t="shared" si="162"/>
        <v>2</v>
      </c>
      <c r="BM101" s="74">
        <f t="shared" si="162"/>
        <v>2</v>
      </c>
      <c r="BN101" s="74">
        <f t="shared" si="162"/>
        <v>4</v>
      </c>
      <c r="BO101" s="74">
        <f t="shared" si="162"/>
        <v>0</v>
      </c>
      <c r="BP101" s="74">
        <f t="shared" si="162"/>
        <v>0</v>
      </c>
      <c r="BQ101" s="74">
        <f t="shared" si="162"/>
        <v>0</v>
      </c>
      <c r="BR101" s="74">
        <f t="shared" si="162"/>
        <v>0</v>
      </c>
      <c r="BS101" s="74">
        <f t="shared" si="162"/>
        <v>2</v>
      </c>
      <c r="BT101" s="74">
        <f t="shared" si="162"/>
        <v>2</v>
      </c>
      <c r="BU101" s="74">
        <f t="shared" si="162"/>
        <v>2</v>
      </c>
      <c r="BV101" s="74">
        <f t="shared" si="162"/>
        <v>2</v>
      </c>
      <c r="BW101" s="74">
        <f t="shared" si="162"/>
        <v>2</v>
      </c>
      <c r="BX101" s="74">
        <f t="shared" si="162"/>
        <v>2</v>
      </c>
      <c r="BY101" s="74">
        <f t="shared" si="162"/>
        <v>2</v>
      </c>
      <c r="BZ101" s="74">
        <f t="shared" si="162"/>
        <v>2</v>
      </c>
      <c r="CA101" s="74">
        <f t="shared" si="162"/>
        <v>2</v>
      </c>
      <c r="CB101" s="74">
        <f t="shared" si="162"/>
        <v>2</v>
      </c>
      <c r="CC101" s="74">
        <f t="shared" si="162"/>
        <v>2</v>
      </c>
    </row>
    <row r="102" spans="1:81" x14ac:dyDescent="0.2">
      <c r="A102" s="5" t="s">
        <v>214</v>
      </c>
      <c r="B102" s="5">
        <v>0.44600000000000001</v>
      </c>
      <c r="C102" s="46" t="s">
        <v>215</v>
      </c>
      <c r="D102" s="11">
        <f t="shared" ref="D102:AI102" si="163">IF(D101=0,0, ROUND(D98 * 1/D101* D$13,1))</f>
        <v>0</v>
      </c>
      <c r="E102" s="11">
        <f t="shared" si="163"/>
        <v>0</v>
      </c>
      <c r="F102" s="11">
        <f t="shared" si="163"/>
        <v>0</v>
      </c>
      <c r="G102" s="11">
        <f t="shared" si="163"/>
        <v>0</v>
      </c>
      <c r="H102" s="11">
        <f t="shared" si="163"/>
        <v>0</v>
      </c>
      <c r="I102" s="11">
        <f t="shared" si="163"/>
        <v>0</v>
      </c>
      <c r="J102" s="11">
        <f t="shared" si="163"/>
        <v>0</v>
      </c>
      <c r="K102" s="11">
        <f t="shared" si="163"/>
        <v>0</v>
      </c>
      <c r="L102" s="11">
        <f t="shared" si="163"/>
        <v>0</v>
      </c>
      <c r="M102" s="11">
        <f t="shared" si="163"/>
        <v>0</v>
      </c>
      <c r="N102" s="11">
        <f t="shared" si="163"/>
        <v>0</v>
      </c>
      <c r="O102" s="11">
        <f t="shared" si="163"/>
        <v>0</v>
      </c>
      <c r="P102" s="11">
        <f t="shared" si="163"/>
        <v>0</v>
      </c>
      <c r="Q102" s="11">
        <f t="shared" si="163"/>
        <v>0</v>
      </c>
      <c r="R102" s="11">
        <f t="shared" si="163"/>
        <v>0</v>
      </c>
      <c r="S102" s="11">
        <f t="shared" si="163"/>
        <v>0</v>
      </c>
      <c r="T102" s="11">
        <f t="shared" si="163"/>
        <v>0</v>
      </c>
      <c r="U102" s="11">
        <f t="shared" si="163"/>
        <v>0</v>
      </c>
      <c r="V102" s="11">
        <f t="shared" si="163"/>
        <v>0</v>
      </c>
      <c r="W102" s="11">
        <f t="shared" si="163"/>
        <v>0</v>
      </c>
      <c r="X102" s="11">
        <f t="shared" si="163"/>
        <v>0</v>
      </c>
      <c r="Y102" s="11">
        <f t="shared" si="163"/>
        <v>120</v>
      </c>
      <c r="Z102" s="11">
        <f t="shared" si="163"/>
        <v>115</v>
      </c>
      <c r="AA102" s="11">
        <f t="shared" si="163"/>
        <v>110</v>
      </c>
      <c r="AB102" s="11">
        <f t="shared" si="163"/>
        <v>105</v>
      </c>
      <c r="AC102" s="11">
        <f t="shared" si="163"/>
        <v>0</v>
      </c>
      <c r="AD102" s="11">
        <f t="shared" si="163"/>
        <v>0</v>
      </c>
      <c r="AE102" s="11">
        <f t="shared" si="163"/>
        <v>0</v>
      </c>
      <c r="AF102" s="11">
        <f t="shared" si="163"/>
        <v>0</v>
      </c>
      <c r="AG102" s="11">
        <f t="shared" si="163"/>
        <v>0</v>
      </c>
      <c r="AH102" s="11">
        <f t="shared" si="163"/>
        <v>0</v>
      </c>
      <c r="AI102" s="11">
        <f t="shared" si="163"/>
        <v>0</v>
      </c>
      <c r="AJ102" s="11">
        <f t="shared" ref="AJ102:BO102" si="164">IF(AJ101=0,0, ROUND(AJ98 * 1/AJ101* AJ$13,1))</f>
        <v>0</v>
      </c>
      <c r="AK102" s="11">
        <f t="shared" si="164"/>
        <v>0</v>
      </c>
      <c r="AL102" s="11">
        <f t="shared" si="164"/>
        <v>0</v>
      </c>
      <c r="AM102" s="11">
        <f t="shared" si="164"/>
        <v>0</v>
      </c>
      <c r="AN102" s="11">
        <f t="shared" si="164"/>
        <v>666.7</v>
      </c>
      <c r="AO102" s="11">
        <f t="shared" si="164"/>
        <v>661.7</v>
      </c>
      <c r="AP102" s="11">
        <f t="shared" si="164"/>
        <v>656.7</v>
      </c>
      <c r="AQ102" s="11">
        <f t="shared" si="164"/>
        <v>651.70000000000005</v>
      </c>
      <c r="AR102" s="11">
        <f t="shared" si="164"/>
        <v>646.70000000000005</v>
      </c>
      <c r="AS102" s="11">
        <f t="shared" si="164"/>
        <v>641.70000000000005</v>
      </c>
      <c r="AT102" s="11">
        <f t="shared" si="164"/>
        <v>636.70000000000005</v>
      </c>
      <c r="AU102" s="11">
        <f t="shared" si="164"/>
        <v>631.70000000000005</v>
      </c>
      <c r="AV102" s="11">
        <f t="shared" si="164"/>
        <v>626.70000000000005</v>
      </c>
      <c r="AW102" s="11">
        <f t="shared" si="164"/>
        <v>621.70000000000005</v>
      </c>
      <c r="AX102" s="11">
        <f t="shared" si="164"/>
        <v>616.70000000000005</v>
      </c>
      <c r="AY102" s="11">
        <f t="shared" si="164"/>
        <v>917.5</v>
      </c>
      <c r="AZ102" s="11">
        <f t="shared" si="164"/>
        <v>912.5</v>
      </c>
      <c r="BA102" s="11">
        <f t="shared" si="164"/>
        <v>907.5</v>
      </c>
      <c r="BB102" s="11">
        <f t="shared" si="164"/>
        <v>902.5</v>
      </c>
      <c r="BC102" s="11">
        <f t="shared" si="164"/>
        <v>897.5</v>
      </c>
      <c r="BD102" s="11">
        <f t="shared" si="164"/>
        <v>892.5</v>
      </c>
      <c r="BE102" s="11">
        <f t="shared" si="164"/>
        <v>887.5</v>
      </c>
      <c r="BF102" s="11">
        <f t="shared" si="164"/>
        <v>882.5</v>
      </c>
      <c r="BG102" s="11">
        <f t="shared" si="164"/>
        <v>877.5</v>
      </c>
      <c r="BH102" s="11">
        <f t="shared" si="164"/>
        <v>872.5</v>
      </c>
      <c r="BI102" s="11">
        <f t="shared" si="164"/>
        <v>867.5</v>
      </c>
      <c r="BJ102" s="11">
        <f t="shared" si="164"/>
        <v>862.5</v>
      </c>
      <c r="BK102" s="11">
        <f t="shared" si="164"/>
        <v>857.5</v>
      </c>
      <c r="BL102" s="11">
        <f t="shared" si="164"/>
        <v>852.5</v>
      </c>
      <c r="BM102" s="11">
        <f t="shared" si="164"/>
        <v>847.5</v>
      </c>
      <c r="BN102" s="11">
        <f t="shared" si="164"/>
        <v>421.3</v>
      </c>
      <c r="BO102" s="11">
        <f t="shared" si="164"/>
        <v>0</v>
      </c>
      <c r="BP102" s="11">
        <f t="shared" ref="BP102:CC102" si="165">IF(BP101=0,0, ROUND(BP98 * 1/BP101* BP$13,1))</f>
        <v>0</v>
      </c>
      <c r="BQ102" s="11">
        <f t="shared" si="165"/>
        <v>0</v>
      </c>
      <c r="BR102" s="11">
        <f t="shared" si="165"/>
        <v>0</v>
      </c>
      <c r="BS102" s="11">
        <f t="shared" si="165"/>
        <v>832.5</v>
      </c>
      <c r="BT102" s="11">
        <f t="shared" si="165"/>
        <v>827.5</v>
      </c>
      <c r="BU102" s="11">
        <f t="shared" si="165"/>
        <v>822.5</v>
      </c>
      <c r="BV102" s="11">
        <f t="shared" si="165"/>
        <v>817.5</v>
      </c>
      <c r="BW102" s="11">
        <f t="shared" si="165"/>
        <v>812.5</v>
      </c>
      <c r="BX102" s="11">
        <f t="shared" si="165"/>
        <v>807.5</v>
      </c>
      <c r="BY102" s="11">
        <f t="shared" si="165"/>
        <v>802.5</v>
      </c>
      <c r="BZ102" s="11">
        <f t="shared" si="165"/>
        <v>797.5</v>
      </c>
      <c r="CA102" s="11">
        <f t="shared" si="165"/>
        <v>792.5</v>
      </c>
      <c r="CB102" s="11">
        <f t="shared" si="165"/>
        <v>787.5</v>
      </c>
      <c r="CC102" s="11">
        <f t="shared" si="165"/>
        <v>782.5</v>
      </c>
    </row>
    <row r="103" spans="1:81" x14ac:dyDescent="0.2">
      <c r="A103">
        <v>49</v>
      </c>
      <c r="B103">
        <v>1</v>
      </c>
      <c r="C103" s="8">
        <v>9.0321899999999999</v>
      </c>
      <c r="D103">
        <f t="shared" ref="D103:AI103" si="166">D100/$B103</f>
        <v>0</v>
      </c>
      <c r="E103">
        <f t="shared" si="166"/>
        <v>0</v>
      </c>
      <c r="F103">
        <f t="shared" si="166"/>
        <v>0</v>
      </c>
      <c r="G103">
        <f t="shared" si="166"/>
        <v>0</v>
      </c>
      <c r="H103">
        <f t="shared" si="166"/>
        <v>0</v>
      </c>
      <c r="I103">
        <f t="shared" si="166"/>
        <v>0</v>
      </c>
      <c r="J103">
        <f t="shared" si="166"/>
        <v>0</v>
      </c>
      <c r="K103">
        <f t="shared" si="166"/>
        <v>0</v>
      </c>
      <c r="L103">
        <f t="shared" si="166"/>
        <v>0</v>
      </c>
      <c r="M103">
        <f t="shared" si="166"/>
        <v>0</v>
      </c>
      <c r="N103">
        <f t="shared" si="166"/>
        <v>0</v>
      </c>
      <c r="O103">
        <f t="shared" si="166"/>
        <v>0</v>
      </c>
      <c r="P103">
        <f t="shared" si="166"/>
        <v>0</v>
      </c>
      <c r="Q103">
        <f t="shared" si="166"/>
        <v>0</v>
      </c>
      <c r="R103">
        <f t="shared" si="166"/>
        <v>0</v>
      </c>
      <c r="S103">
        <f t="shared" si="166"/>
        <v>0</v>
      </c>
      <c r="T103">
        <f t="shared" si="166"/>
        <v>0</v>
      </c>
      <c r="U103">
        <f t="shared" si="166"/>
        <v>0</v>
      </c>
      <c r="V103">
        <f t="shared" si="166"/>
        <v>0</v>
      </c>
      <c r="W103">
        <f t="shared" si="166"/>
        <v>0</v>
      </c>
      <c r="X103">
        <f t="shared" si="166"/>
        <v>0</v>
      </c>
      <c r="Y103">
        <f t="shared" si="166"/>
        <v>0</v>
      </c>
      <c r="Z103">
        <f t="shared" si="166"/>
        <v>0</v>
      </c>
      <c r="AA103">
        <f t="shared" si="166"/>
        <v>0</v>
      </c>
      <c r="AB103">
        <f t="shared" si="166"/>
        <v>0</v>
      </c>
      <c r="AC103">
        <f t="shared" si="166"/>
        <v>0</v>
      </c>
      <c r="AD103">
        <f t="shared" si="166"/>
        <v>0</v>
      </c>
      <c r="AE103">
        <f t="shared" si="166"/>
        <v>0</v>
      </c>
      <c r="AF103">
        <f t="shared" si="166"/>
        <v>0</v>
      </c>
      <c r="AG103">
        <f t="shared" si="166"/>
        <v>0</v>
      </c>
      <c r="AH103">
        <f t="shared" si="166"/>
        <v>0</v>
      </c>
      <c r="AI103">
        <f t="shared" si="166"/>
        <v>0</v>
      </c>
      <c r="AJ103">
        <f t="shared" ref="AJ103:BO103" si="167">AJ100/$B103</f>
        <v>0</v>
      </c>
      <c r="AK103">
        <f t="shared" si="167"/>
        <v>0</v>
      </c>
      <c r="AL103">
        <f t="shared" si="167"/>
        <v>0</v>
      </c>
      <c r="AM103">
        <f t="shared" si="167"/>
        <v>0</v>
      </c>
      <c r="AN103">
        <f t="shared" si="167"/>
        <v>0</v>
      </c>
      <c r="AO103">
        <f t="shared" si="167"/>
        <v>0</v>
      </c>
      <c r="AP103">
        <f t="shared" si="167"/>
        <v>0</v>
      </c>
      <c r="AQ103">
        <f t="shared" si="167"/>
        <v>0</v>
      </c>
      <c r="AR103">
        <f t="shared" si="167"/>
        <v>0</v>
      </c>
      <c r="AS103">
        <f t="shared" si="167"/>
        <v>0</v>
      </c>
      <c r="AT103">
        <f t="shared" si="167"/>
        <v>0</v>
      </c>
      <c r="AU103">
        <f t="shared" si="167"/>
        <v>0</v>
      </c>
      <c r="AV103">
        <f t="shared" si="167"/>
        <v>0</v>
      </c>
      <c r="AW103">
        <f t="shared" si="167"/>
        <v>0</v>
      </c>
      <c r="AX103">
        <f t="shared" si="167"/>
        <v>0</v>
      </c>
      <c r="AY103">
        <f t="shared" si="167"/>
        <v>0</v>
      </c>
      <c r="AZ103">
        <f t="shared" si="167"/>
        <v>0</v>
      </c>
      <c r="BA103">
        <f t="shared" si="167"/>
        <v>0</v>
      </c>
      <c r="BB103">
        <f t="shared" si="167"/>
        <v>0</v>
      </c>
      <c r="BC103">
        <f t="shared" si="167"/>
        <v>0</v>
      </c>
      <c r="BD103">
        <f t="shared" si="167"/>
        <v>0</v>
      </c>
      <c r="BE103">
        <f t="shared" si="167"/>
        <v>0</v>
      </c>
      <c r="BF103">
        <f t="shared" si="167"/>
        <v>0</v>
      </c>
      <c r="BG103">
        <f t="shared" si="167"/>
        <v>0</v>
      </c>
      <c r="BH103">
        <f t="shared" si="167"/>
        <v>0</v>
      </c>
      <c r="BI103">
        <f t="shared" si="167"/>
        <v>0</v>
      </c>
      <c r="BJ103">
        <f t="shared" si="167"/>
        <v>0</v>
      </c>
      <c r="BK103">
        <f t="shared" si="167"/>
        <v>0</v>
      </c>
      <c r="BL103">
        <f t="shared" si="167"/>
        <v>0</v>
      </c>
      <c r="BM103">
        <f t="shared" si="167"/>
        <v>0</v>
      </c>
      <c r="BN103">
        <f t="shared" si="167"/>
        <v>0</v>
      </c>
      <c r="BO103">
        <f t="shared" si="167"/>
        <v>0</v>
      </c>
      <c r="BP103">
        <f t="shared" ref="BP103:CC103" si="168">BP100/$B103</f>
        <v>0</v>
      </c>
      <c r="BQ103">
        <f t="shared" si="168"/>
        <v>0</v>
      </c>
      <c r="BR103">
        <f t="shared" si="168"/>
        <v>0</v>
      </c>
      <c r="BS103">
        <f t="shared" si="168"/>
        <v>0</v>
      </c>
      <c r="BT103">
        <f t="shared" si="168"/>
        <v>0</v>
      </c>
      <c r="BU103">
        <f t="shared" si="168"/>
        <v>0</v>
      </c>
      <c r="BV103">
        <f t="shared" si="168"/>
        <v>0</v>
      </c>
      <c r="BW103">
        <f t="shared" si="168"/>
        <v>0</v>
      </c>
      <c r="BX103">
        <f t="shared" si="168"/>
        <v>0</v>
      </c>
      <c r="BY103">
        <f t="shared" si="168"/>
        <v>0</v>
      </c>
      <c r="BZ103">
        <f t="shared" si="168"/>
        <v>0</v>
      </c>
      <c r="CA103">
        <f t="shared" si="168"/>
        <v>0</v>
      </c>
      <c r="CB103">
        <f t="shared" si="168"/>
        <v>0</v>
      </c>
      <c r="CC103">
        <f t="shared" si="168"/>
        <v>0</v>
      </c>
    </row>
    <row r="104" spans="1:81" x14ac:dyDescent="0.2">
      <c r="B104" s="67">
        <f>SUM(D108:AJ108)/SUM($D$263:$AJ$263)</f>
        <v>0.17766298818188933</v>
      </c>
      <c r="C104" s="9" t="s">
        <v>216</v>
      </c>
      <c r="D104">
        <f t="shared" ref="D104:AI104" si="169">D98-D101</f>
        <v>480</v>
      </c>
      <c r="E104">
        <f t="shared" si="169"/>
        <v>480</v>
      </c>
      <c r="F104">
        <f t="shared" si="169"/>
        <v>480</v>
      </c>
      <c r="G104">
        <f t="shared" si="169"/>
        <v>480</v>
      </c>
      <c r="H104">
        <f t="shared" si="169"/>
        <v>480</v>
      </c>
      <c r="I104">
        <f t="shared" si="169"/>
        <v>480</v>
      </c>
      <c r="J104">
        <f t="shared" si="169"/>
        <v>480</v>
      </c>
      <c r="K104">
        <f t="shared" si="169"/>
        <v>480</v>
      </c>
      <c r="L104">
        <f t="shared" si="169"/>
        <v>480</v>
      </c>
      <c r="M104">
        <f t="shared" si="169"/>
        <v>480</v>
      </c>
      <c r="N104">
        <f t="shared" si="169"/>
        <v>480</v>
      </c>
      <c r="O104">
        <f t="shared" si="169"/>
        <v>480</v>
      </c>
      <c r="P104">
        <f t="shared" si="169"/>
        <v>480</v>
      </c>
      <c r="Q104">
        <f t="shared" si="169"/>
        <v>480</v>
      </c>
      <c r="R104">
        <f t="shared" si="169"/>
        <v>480</v>
      </c>
      <c r="S104">
        <f t="shared" si="169"/>
        <v>480</v>
      </c>
      <c r="T104">
        <f t="shared" si="169"/>
        <v>480</v>
      </c>
      <c r="U104">
        <f t="shared" si="169"/>
        <v>480</v>
      </c>
      <c r="V104">
        <f t="shared" si="169"/>
        <v>480</v>
      </c>
      <c r="W104">
        <f t="shared" si="169"/>
        <v>480</v>
      </c>
      <c r="X104">
        <f t="shared" si="169"/>
        <v>480</v>
      </c>
      <c r="Y104">
        <f t="shared" si="169"/>
        <v>460</v>
      </c>
      <c r="Z104">
        <f t="shared" si="169"/>
        <v>440</v>
      </c>
      <c r="AA104">
        <f t="shared" si="169"/>
        <v>420</v>
      </c>
      <c r="AB104">
        <f t="shared" si="169"/>
        <v>400</v>
      </c>
      <c r="AC104">
        <f t="shared" si="169"/>
        <v>400</v>
      </c>
      <c r="AD104">
        <f t="shared" si="169"/>
        <v>400</v>
      </c>
      <c r="AE104">
        <f t="shared" si="169"/>
        <v>400</v>
      </c>
      <c r="AF104">
        <f t="shared" si="169"/>
        <v>400</v>
      </c>
      <c r="AG104">
        <f t="shared" si="169"/>
        <v>400</v>
      </c>
      <c r="AH104">
        <f t="shared" si="169"/>
        <v>400</v>
      </c>
      <c r="AI104">
        <f t="shared" si="169"/>
        <v>400</v>
      </c>
      <c r="AJ104">
        <f t="shared" ref="AJ104:BO104" si="170">AJ98-AJ101</f>
        <v>400</v>
      </c>
      <c r="AK104">
        <f t="shared" si="170"/>
        <v>400</v>
      </c>
      <c r="AL104">
        <f t="shared" si="170"/>
        <v>400</v>
      </c>
      <c r="AM104">
        <f t="shared" si="170"/>
        <v>400</v>
      </c>
      <c r="AN104">
        <f t="shared" si="170"/>
        <v>397</v>
      </c>
      <c r="AO104">
        <f t="shared" si="170"/>
        <v>394</v>
      </c>
      <c r="AP104">
        <f t="shared" si="170"/>
        <v>391</v>
      </c>
      <c r="AQ104">
        <f t="shared" si="170"/>
        <v>388</v>
      </c>
      <c r="AR104">
        <f t="shared" si="170"/>
        <v>385</v>
      </c>
      <c r="AS104">
        <f t="shared" si="170"/>
        <v>382</v>
      </c>
      <c r="AT104">
        <f t="shared" si="170"/>
        <v>379</v>
      </c>
      <c r="AU104">
        <f t="shared" si="170"/>
        <v>376</v>
      </c>
      <c r="AV104">
        <f t="shared" si="170"/>
        <v>373</v>
      </c>
      <c r="AW104">
        <f t="shared" si="170"/>
        <v>370</v>
      </c>
      <c r="AX104">
        <f t="shared" si="170"/>
        <v>367</v>
      </c>
      <c r="AY104">
        <f t="shared" si="170"/>
        <v>365</v>
      </c>
      <c r="AZ104">
        <f t="shared" si="170"/>
        <v>363</v>
      </c>
      <c r="BA104">
        <f t="shared" si="170"/>
        <v>361</v>
      </c>
      <c r="BB104">
        <f t="shared" si="170"/>
        <v>359</v>
      </c>
      <c r="BC104">
        <f t="shared" si="170"/>
        <v>357</v>
      </c>
      <c r="BD104">
        <f t="shared" si="170"/>
        <v>355</v>
      </c>
      <c r="BE104">
        <f t="shared" si="170"/>
        <v>353</v>
      </c>
      <c r="BF104">
        <f t="shared" si="170"/>
        <v>351</v>
      </c>
      <c r="BG104">
        <f t="shared" si="170"/>
        <v>349</v>
      </c>
      <c r="BH104">
        <f t="shared" si="170"/>
        <v>347</v>
      </c>
      <c r="BI104">
        <f t="shared" si="170"/>
        <v>345</v>
      </c>
      <c r="BJ104">
        <f t="shared" si="170"/>
        <v>343</v>
      </c>
      <c r="BK104">
        <f t="shared" si="170"/>
        <v>341</v>
      </c>
      <c r="BL104">
        <f t="shared" si="170"/>
        <v>339</v>
      </c>
      <c r="BM104">
        <f t="shared" si="170"/>
        <v>337</v>
      </c>
      <c r="BN104">
        <f t="shared" si="170"/>
        <v>333</v>
      </c>
      <c r="BO104">
        <f t="shared" si="170"/>
        <v>333</v>
      </c>
      <c r="BP104">
        <f t="shared" ref="BP104:CC104" si="171">BP98-BP101</f>
        <v>333</v>
      </c>
      <c r="BQ104">
        <f t="shared" si="171"/>
        <v>333</v>
      </c>
      <c r="BR104">
        <f t="shared" si="171"/>
        <v>333</v>
      </c>
      <c r="BS104">
        <f t="shared" si="171"/>
        <v>331</v>
      </c>
      <c r="BT104">
        <f t="shared" si="171"/>
        <v>329</v>
      </c>
      <c r="BU104">
        <f t="shared" si="171"/>
        <v>327</v>
      </c>
      <c r="BV104">
        <f t="shared" si="171"/>
        <v>325</v>
      </c>
      <c r="BW104">
        <f t="shared" si="171"/>
        <v>323</v>
      </c>
      <c r="BX104">
        <f t="shared" si="171"/>
        <v>321</v>
      </c>
      <c r="BY104">
        <f t="shared" si="171"/>
        <v>319</v>
      </c>
      <c r="BZ104">
        <f t="shared" si="171"/>
        <v>317</v>
      </c>
      <c r="CA104">
        <f t="shared" si="171"/>
        <v>315</v>
      </c>
      <c r="CB104">
        <f t="shared" si="171"/>
        <v>313</v>
      </c>
      <c r="CC104">
        <f t="shared" si="171"/>
        <v>311</v>
      </c>
    </row>
    <row r="105" spans="1:81" x14ac:dyDescent="0.2">
      <c r="A105" s="43" t="s">
        <v>302</v>
      </c>
      <c r="B105" s="44" t="s">
        <v>208</v>
      </c>
      <c r="C105" s="9" t="s">
        <v>38</v>
      </c>
      <c r="D105" s="58">
        <f>IFERROR(VLOOKUP(A105,OS!$A:$B,2,0),0)</f>
        <v>4800</v>
      </c>
      <c r="E105" s="5">
        <f>(D105+D106-D108)</f>
        <v>5520</v>
      </c>
      <c r="F105" s="5">
        <f>(E105+E106-E108)</f>
        <v>4480</v>
      </c>
      <c r="G105" s="5">
        <f>(F105+F106-F108)</f>
        <v>3440</v>
      </c>
      <c r="H105" s="5">
        <f>(G105+G106-G108)</f>
        <v>2640</v>
      </c>
      <c r="I105" s="5">
        <f t="shared" ref="I105:AN105" si="172">(H105+H106-H108+D107)</f>
        <v>3260</v>
      </c>
      <c r="J105" s="5">
        <f t="shared" si="172"/>
        <v>2540</v>
      </c>
      <c r="K105" s="5">
        <f t="shared" si="172"/>
        <v>1900</v>
      </c>
      <c r="L105" s="5">
        <f t="shared" si="172"/>
        <v>1260</v>
      </c>
      <c r="M105" s="5">
        <f t="shared" si="172"/>
        <v>380</v>
      </c>
      <c r="N105" s="5">
        <f t="shared" si="172"/>
        <v>-820</v>
      </c>
      <c r="O105" s="5">
        <f t="shared" si="172"/>
        <v>-820</v>
      </c>
      <c r="P105" s="5">
        <f t="shared" si="172"/>
        <v>-820</v>
      </c>
      <c r="Q105" s="5">
        <f t="shared" si="172"/>
        <v>-820</v>
      </c>
      <c r="R105" s="5">
        <f t="shared" si="172"/>
        <v>-820</v>
      </c>
      <c r="S105" s="5">
        <f t="shared" si="172"/>
        <v>-1460</v>
      </c>
      <c r="T105" s="5">
        <f t="shared" si="172"/>
        <v>-2100</v>
      </c>
      <c r="U105" s="5">
        <f t="shared" si="172"/>
        <v>-2660</v>
      </c>
      <c r="V105" s="5">
        <f t="shared" si="172"/>
        <v>-3360</v>
      </c>
      <c r="W105" s="5">
        <f t="shared" si="172"/>
        <v>-4060</v>
      </c>
      <c r="X105" s="5">
        <f t="shared" si="172"/>
        <v>-4760</v>
      </c>
      <c r="Y105" s="5">
        <f t="shared" si="172"/>
        <v>-5460</v>
      </c>
      <c r="Z105" s="5">
        <f t="shared" si="172"/>
        <v>-6000</v>
      </c>
      <c r="AA105" s="5">
        <f t="shared" si="172"/>
        <v>-6540</v>
      </c>
      <c r="AB105" s="5">
        <f t="shared" si="172"/>
        <v>-7080</v>
      </c>
      <c r="AC105" s="5">
        <f t="shared" si="172"/>
        <v>-7620</v>
      </c>
      <c r="AD105" s="5">
        <f t="shared" si="172"/>
        <v>-8170</v>
      </c>
      <c r="AE105" s="5">
        <f t="shared" si="172"/>
        <v>-8720</v>
      </c>
      <c r="AF105" s="5">
        <f t="shared" si="172"/>
        <v>-9270</v>
      </c>
      <c r="AG105" s="5">
        <f t="shared" si="172"/>
        <v>-9820</v>
      </c>
      <c r="AH105" s="5">
        <f t="shared" si="172"/>
        <v>-10340</v>
      </c>
      <c r="AI105" s="5">
        <f t="shared" si="172"/>
        <v>-10740</v>
      </c>
      <c r="AJ105" s="5">
        <f t="shared" si="172"/>
        <v>-11140</v>
      </c>
      <c r="AK105" s="5">
        <f t="shared" si="172"/>
        <v>-11140</v>
      </c>
      <c r="AL105" s="5">
        <f t="shared" si="172"/>
        <v>-11140</v>
      </c>
      <c r="AM105" s="5">
        <f t="shared" si="172"/>
        <v>-11140</v>
      </c>
      <c r="AN105" s="5">
        <f t="shared" si="172"/>
        <v>-11140</v>
      </c>
      <c r="AO105" s="5">
        <f t="shared" ref="AO105:BT105" si="173">(AN105+AN106-AN108+AJ107)</f>
        <v>-11622</v>
      </c>
      <c r="AP105" s="5">
        <f t="shared" si="173"/>
        <v>-12104</v>
      </c>
      <c r="AQ105" s="5">
        <f t="shared" si="173"/>
        <v>-12586</v>
      </c>
      <c r="AR105" s="5">
        <f t="shared" si="173"/>
        <v>-13168</v>
      </c>
      <c r="AS105" s="5">
        <f t="shared" si="173"/>
        <v>-13750</v>
      </c>
      <c r="AT105" s="5">
        <f t="shared" si="173"/>
        <v>-14215</v>
      </c>
      <c r="AU105" s="5">
        <f t="shared" si="173"/>
        <v>-14797</v>
      </c>
      <c r="AV105" s="5">
        <f t="shared" si="173"/>
        <v>-15350</v>
      </c>
      <c r="AW105" s="5">
        <f t="shared" si="173"/>
        <v>-15903</v>
      </c>
      <c r="AX105" s="5">
        <f t="shared" si="173"/>
        <v>-16456</v>
      </c>
      <c r="AY105" s="5">
        <f t="shared" si="173"/>
        <v>-17009</v>
      </c>
      <c r="AZ105" s="5">
        <f t="shared" si="173"/>
        <v>-17451</v>
      </c>
      <c r="BA105" s="5">
        <f t="shared" si="173"/>
        <v>-17845</v>
      </c>
      <c r="BB105" s="5">
        <f t="shared" si="173"/>
        <v>-18239</v>
      </c>
      <c r="BC105" s="5">
        <f t="shared" si="173"/>
        <v>-18633</v>
      </c>
      <c r="BD105" s="5">
        <f t="shared" si="173"/>
        <v>-19075</v>
      </c>
      <c r="BE105" s="5">
        <f t="shared" si="173"/>
        <v>-19517</v>
      </c>
      <c r="BF105" s="5">
        <f t="shared" si="173"/>
        <v>-19959</v>
      </c>
      <c r="BG105" s="5">
        <f t="shared" si="173"/>
        <v>-20401</v>
      </c>
      <c r="BH105" s="5">
        <f t="shared" si="173"/>
        <v>-20843</v>
      </c>
      <c r="BI105" s="5">
        <f t="shared" si="173"/>
        <v>-21285</v>
      </c>
      <c r="BJ105" s="5">
        <f t="shared" si="173"/>
        <v>-21727</v>
      </c>
      <c r="BK105" s="5">
        <f t="shared" si="173"/>
        <v>-22169</v>
      </c>
      <c r="BL105" s="5">
        <f t="shared" si="173"/>
        <v>-22611</v>
      </c>
      <c r="BM105" s="5">
        <f t="shared" si="173"/>
        <v>-23051</v>
      </c>
      <c r="BN105" s="5">
        <f t="shared" si="173"/>
        <v>-23491</v>
      </c>
      <c r="BO105" s="5">
        <f t="shared" si="173"/>
        <v>-24293</v>
      </c>
      <c r="BP105" s="5">
        <f t="shared" si="173"/>
        <v>-24293</v>
      </c>
      <c r="BQ105" s="5">
        <f t="shared" si="173"/>
        <v>-24293</v>
      </c>
      <c r="BR105" s="5">
        <f t="shared" si="173"/>
        <v>-24293</v>
      </c>
      <c r="BS105" s="5">
        <f t="shared" si="173"/>
        <v>-24293</v>
      </c>
      <c r="BT105" s="5">
        <f t="shared" si="173"/>
        <v>-24656</v>
      </c>
      <c r="BU105" s="5">
        <f t="shared" ref="BU105:CC105" si="174">(BT105+BT106-BT108+BP107)</f>
        <v>-25019</v>
      </c>
      <c r="BV105" s="5">
        <f t="shared" si="174"/>
        <v>-25382</v>
      </c>
      <c r="BW105" s="5">
        <f t="shared" si="174"/>
        <v>-25745</v>
      </c>
      <c r="BX105" s="5">
        <f t="shared" si="174"/>
        <v>-26108</v>
      </c>
      <c r="BY105" s="5">
        <f t="shared" si="174"/>
        <v>-26471</v>
      </c>
      <c r="BZ105" s="5">
        <f t="shared" si="174"/>
        <v>-26834</v>
      </c>
      <c r="CA105" s="5">
        <f t="shared" si="174"/>
        <v>-27197</v>
      </c>
      <c r="CB105" s="5">
        <f t="shared" si="174"/>
        <v>-27560</v>
      </c>
      <c r="CC105" s="5">
        <f t="shared" si="174"/>
        <v>-27923</v>
      </c>
    </row>
    <row r="106" spans="1:81" x14ac:dyDescent="0.2">
      <c r="A106" s="5" t="s">
        <v>209</v>
      </c>
      <c r="B106" s="5">
        <v>11.3184</v>
      </c>
      <c r="C106" s="45" t="s">
        <v>39</v>
      </c>
      <c r="D106" s="59">
        <f>IFERROR(VLOOKUP(A105,WIP!$A:$B,2,0),0)</f>
        <v>880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</row>
    <row r="107" spans="1:81" x14ac:dyDescent="0.2">
      <c r="A107" s="5" t="s">
        <v>210</v>
      </c>
      <c r="B107" s="5">
        <v>0.33200000000000002</v>
      </c>
      <c r="C107" s="9" t="s">
        <v>211</v>
      </c>
      <c r="D107" s="60">
        <f>IFERROR(VLOOKUP($A105,Plan!$A:B,D$4,0),0)</f>
        <v>1340</v>
      </c>
      <c r="E107" s="60">
        <f>IFERROR(VLOOKUP($A105,Plan!$A:C,E$4,0),0)</f>
        <v>0</v>
      </c>
      <c r="F107" s="60">
        <f>IFERROR(VLOOKUP($A105,Plan!$A:D,F$4,0),0)</f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</row>
    <row r="108" spans="1:81" x14ac:dyDescent="0.2">
      <c r="A108" s="5" t="s">
        <v>212</v>
      </c>
      <c r="B108" s="5">
        <v>8.2000000000000003E-2</v>
      </c>
      <c r="C108" s="9" t="s">
        <v>213</v>
      </c>
      <c r="D108" s="61">
        <f>IFERROR(VLOOKUP($A105,Sales!$A:B,D$2,0),0)</f>
        <v>160</v>
      </c>
      <c r="E108" s="61">
        <f>IFERROR(VLOOKUP($A105,Sales!$A:C,E$2,0),0)</f>
        <v>1040</v>
      </c>
      <c r="F108" s="61">
        <f>IFERROR(VLOOKUP($A105,Sales!$A:D,F$2,0),0)</f>
        <v>1040</v>
      </c>
      <c r="G108" s="61">
        <f>IFERROR(VLOOKUP($A105,Sales!$A:E,G$2,0),0)</f>
        <v>800</v>
      </c>
      <c r="H108" s="61">
        <f>IFERROR(VLOOKUP($A105,Sales!$A:F,H$2,0),0)</f>
        <v>720</v>
      </c>
      <c r="I108" s="61">
        <f>IFERROR(VLOOKUP($A105,Sales!$A:G,I$2,0),0)</f>
        <v>720</v>
      </c>
      <c r="J108" s="61">
        <f>IFERROR(VLOOKUP($A105,Sales!$A:H,J$2,0),0)</f>
        <v>640</v>
      </c>
      <c r="K108" s="61">
        <f>IFERROR(VLOOKUP($A105,Sales!$A:I,K$2,0),0)</f>
        <v>640</v>
      </c>
      <c r="L108" s="61">
        <f>IFERROR(VLOOKUP($A105,Sales!$A:J,L$2,0),0)</f>
        <v>880</v>
      </c>
      <c r="M108" s="61">
        <f>IFERROR(VLOOKUP($A105,Sales!$A:K,M$2,0),0)</f>
        <v>1200</v>
      </c>
      <c r="N108" s="61">
        <f>IFERROR(VLOOKUP($A105,Sales!$A:L,N$2,0),0)</f>
        <v>0</v>
      </c>
      <c r="O108" s="61">
        <f>IFERROR(VLOOKUP($A105,Sales!$A:M,O$2,0),0)</f>
        <v>0</v>
      </c>
      <c r="P108" s="61">
        <f>IFERROR(VLOOKUP($A105,Sales!$A:N,P$2,0),0)</f>
        <v>0</v>
      </c>
      <c r="Q108" s="61">
        <f>IFERROR(VLOOKUP($A105,Sales!$A:O,Q$2,0),0)</f>
        <v>0</v>
      </c>
      <c r="R108" s="61">
        <f>IFERROR(VLOOKUP($A105,Sales!$A:P,R$2,0),0)</f>
        <v>640</v>
      </c>
      <c r="S108" s="61">
        <f>IFERROR(VLOOKUP($A105,Sales!$A:Q,S$2,0),0)</f>
        <v>640</v>
      </c>
      <c r="T108" s="61">
        <f>IFERROR(VLOOKUP($A105,Sales!$A:R,T$2,0),0)</f>
        <v>560</v>
      </c>
      <c r="U108" s="61">
        <f>IFERROR(VLOOKUP($A105,Sales!$A:S,U$2,0),0)</f>
        <v>700</v>
      </c>
      <c r="V108" s="61">
        <f>IFERROR(VLOOKUP($A105,Sales!$A:T,V$2,0),0)</f>
        <v>700</v>
      </c>
      <c r="W108" s="61">
        <f>IFERROR(VLOOKUP($A105,Sales!$A:U,W$2,0),0)</f>
        <v>700</v>
      </c>
      <c r="X108" s="61">
        <f>IFERROR(VLOOKUP($A105,Sales!$A:V,X$2,0),0)</f>
        <v>700</v>
      </c>
      <c r="Y108" s="61">
        <f>IFERROR(VLOOKUP($A105,Sales!$A:W,Y$2,0),0)</f>
        <v>540</v>
      </c>
      <c r="Z108" s="61">
        <f>IFERROR(VLOOKUP($A105,Sales!$A:X,Z$2,0),0)</f>
        <v>540</v>
      </c>
      <c r="AA108" s="61">
        <f>IFERROR(VLOOKUP($A105,Sales!$A:Y,AA$2,0),0)</f>
        <v>540</v>
      </c>
      <c r="AB108" s="61">
        <f>IFERROR(VLOOKUP($A105,Sales!$A:Z,AB$2,0),0)</f>
        <v>540</v>
      </c>
      <c r="AC108" s="61">
        <f>IFERROR(VLOOKUP($A105,Sales!$A:AA,AC$2,0),0)</f>
        <v>550</v>
      </c>
      <c r="AD108" s="61">
        <f>IFERROR(VLOOKUP($A105,Sales!$A:AB,AD$2,0),0)</f>
        <v>550</v>
      </c>
      <c r="AE108" s="61">
        <f>IFERROR(VLOOKUP($A105,Sales!$A:AC,AE$2,0),0)</f>
        <v>550</v>
      </c>
      <c r="AF108" s="61">
        <f>IFERROR(VLOOKUP($A105,Sales!$A:AD,AF$2,0),0)</f>
        <v>550</v>
      </c>
      <c r="AG108" s="61">
        <f>IFERROR(VLOOKUP($A105,Sales!$A:AE,AG$2,0),0)</f>
        <v>520</v>
      </c>
      <c r="AH108" s="61">
        <f>IFERROR(VLOOKUP($A105,Sales!$A:AF,AH$2,0),0)</f>
        <v>400</v>
      </c>
      <c r="AI108" s="61">
        <f>IFERROR(VLOOKUP($A105,Sales!$A:AG,AI$2,0),0)</f>
        <v>400</v>
      </c>
      <c r="AJ108" s="61">
        <f>IFERROR(VLOOKUP($A105,Sales!$A:AH,AJ$2,0),0)</f>
        <v>0</v>
      </c>
      <c r="AK108" s="74">
        <f t="shared" ref="AK108:CC108" si="175">CEILING(AK$5*$B104,1)</f>
        <v>0</v>
      </c>
      <c r="AL108" s="74">
        <f t="shared" si="175"/>
        <v>0</v>
      </c>
      <c r="AM108" s="74">
        <f t="shared" si="175"/>
        <v>0</v>
      </c>
      <c r="AN108" s="74">
        <f t="shared" si="175"/>
        <v>482</v>
      </c>
      <c r="AO108" s="74">
        <f t="shared" si="175"/>
        <v>482</v>
      </c>
      <c r="AP108" s="74">
        <f t="shared" si="175"/>
        <v>482</v>
      </c>
      <c r="AQ108" s="74">
        <f t="shared" si="175"/>
        <v>582</v>
      </c>
      <c r="AR108" s="74">
        <f t="shared" si="175"/>
        <v>582</v>
      </c>
      <c r="AS108" s="74">
        <f t="shared" si="175"/>
        <v>465</v>
      </c>
      <c r="AT108" s="74">
        <f t="shared" si="175"/>
        <v>582</v>
      </c>
      <c r="AU108" s="74">
        <f t="shared" si="175"/>
        <v>553</v>
      </c>
      <c r="AV108" s="74">
        <f t="shared" si="175"/>
        <v>553</v>
      </c>
      <c r="AW108" s="74">
        <f t="shared" si="175"/>
        <v>553</v>
      </c>
      <c r="AX108" s="74">
        <f t="shared" si="175"/>
        <v>553</v>
      </c>
      <c r="AY108" s="74">
        <f t="shared" si="175"/>
        <v>442</v>
      </c>
      <c r="AZ108" s="74">
        <f t="shared" si="175"/>
        <v>394</v>
      </c>
      <c r="BA108" s="74">
        <f t="shared" si="175"/>
        <v>394</v>
      </c>
      <c r="BB108" s="74">
        <f t="shared" si="175"/>
        <v>394</v>
      </c>
      <c r="BC108" s="74">
        <f t="shared" si="175"/>
        <v>442</v>
      </c>
      <c r="BD108" s="74">
        <f t="shared" si="175"/>
        <v>442</v>
      </c>
      <c r="BE108" s="74">
        <f t="shared" si="175"/>
        <v>442</v>
      </c>
      <c r="BF108" s="74">
        <f t="shared" si="175"/>
        <v>442</v>
      </c>
      <c r="BG108" s="74">
        <f t="shared" si="175"/>
        <v>442</v>
      </c>
      <c r="BH108" s="74">
        <f t="shared" si="175"/>
        <v>442</v>
      </c>
      <c r="BI108" s="74">
        <f t="shared" si="175"/>
        <v>442</v>
      </c>
      <c r="BJ108" s="74">
        <f t="shared" si="175"/>
        <v>442</v>
      </c>
      <c r="BK108" s="74">
        <f t="shared" si="175"/>
        <v>442</v>
      </c>
      <c r="BL108" s="74">
        <f t="shared" si="175"/>
        <v>440</v>
      </c>
      <c r="BM108" s="74">
        <f t="shared" si="175"/>
        <v>440</v>
      </c>
      <c r="BN108" s="74">
        <f t="shared" si="175"/>
        <v>802</v>
      </c>
      <c r="BO108" s="74">
        <f t="shared" si="175"/>
        <v>0</v>
      </c>
      <c r="BP108" s="74">
        <f t="shared" si="175"/>
        <v>0</v>
      </c>
      <c r="BQ108" s="74">
        <f t="shared" si="175"/>
        <v>0</v>
      </c>
      <c r="BR108" s="74">
        <f t="shared" si="175"/>
        <v>0</v>
      </c>
      <c r="BS108" s="74">
        <f t="shared" si="175"/>
        <v>363</v>
      </c>
      <c r="BT108" s="74">
        <f t="shared" si="175"/>
        <v>363</v>
      </c>
      <c r="BU108" s="74">
        <f t="shared" si="175"/>
        <v>363</v>
      </c>
      <c r="BV108" s="74">
        <f t="shared" si="175"/>
        <v>363</v>
      </c>
      <c r="BW108" s="74">
        <f t="shared" si="175"/>
        <v>363</v>
      </c>
      <c r="BX108" s="74">
        <f t="shared" si="175"/>
        <v>363</v>
      </c>
      <c r="BY108" s="74">
        <f t="shared" si="175"/>
        <v>363</v>
      </c>
      <c r="BZ108" s="74">
        <f t="shared" si="175"/>
        <v>363</v>
      </c>
      <c r="CA108" s="74">
        <f t="shared" si="175"/>
        <v>363</v>
      </c>
      <c r="CB108" s="74">
        <f t="shared" si="175"/>
        <v>363</v>
      </c>
      <c r="CC108" s="74">
        <f t="shared" si="175"/>
        <v>363</v>
      </c>
    </row>
    <row r="109" spans="1:81" x14ac:dyDescent="0.2">
      <c r="A109" s="5" t="s">
        <v>214</v>
      </c>
      <c r="B109" s="5">
        <v>0.41399999999999998</v>
      </c>
      <c r="C109" s="46" t="s">
        <v>215</v>
      </c>
      <c r="D109" s="11">
        <f t="shared" ref="D109:AI109" si="176">IF(D108=0,0, ROUND(D105 * 1/D108* D$13,1))</f>
        <v>150</v>
      </c>
      <c r="E109" s="11">
        <f t="shared" si="176"/>
        <v>26.5</v>
      </c>
      <c r="F109" s="11">
        <f t="shared" si="176"/>
        <v>21.5</v>
      </c>
      <c r="G109" s="11">
        <f t="shared" si="176"/>
        <v>21.5</v>
      </c>
      <c r="H109" s="11">
        <f t="shared" si="176"/>
        <v>18.3</v>
      </c>
      <c r="I109" s="11">
        <f t="shared" si="176"/>
        <v>22.6</v>
      </c>
      <c r="J109" s="11">
        <f t="shared" si="176"/>
        <v>19.8</v>
      </c>
      <c r="K109" s="11">
        <f t="shared" si="176"/>
        <v>14.8</v>
      </c>
      <c r="L109" s="11">
        <f t="shared" si="176"/>
        <v>7.2</v>
      </c>
      <c r="M109" s="11">
        <f t="shared" si="176"/>
        <v>1.6</v>
      </c>
      <c r="N109" s="11">
        <f t="shared" si="176"/>
        <v>0</v>
      </c>
      <c r="O109" s="11">
        <f t="shared" si="176"/>
        <v>0</v>
      </c>
      <c r="P109" s="11">
        <f t="shared" si="176"/>
        <v>0</v>
      </c>
      <c r="Q109" s="11">
        <f t="shared" si="176"/>
        <v>0</v>
      </c>
      <c r="R109" s="11">
        <f t="shared" si="176"/>
        <v>-6.4</v>
      </c>
      <c r="S109" s="11">
        <f t="shared" si="176"/>
        <v>-11.4</v>
      </c>
      <c r="T109" s="11">
        <f t="shared" si="176"/>
        <v>-18.8</v>
      </c>
      <c r="U109" s="11">
        <f t="shared" si="176"/>
        <v>-19</v>
      </c>
      <c r="V109" s="11">
        <f t="shared" si="176"/>
        <v>-24</v>
      </c>
      <c r="W109" s="11">
        <f t="shared" si="176"/>
        <v>-29</v>
      </c>
      <c r="X109" s="11">
        <f t="shared" si="176"/>
        <v>-34</v>
      </c>
      <c r="Y109" s="11">
        <f t="shared" si="176"/>
        <v>-50.6</v>
      </c>
      <c r="Z109" s="11">
        <f t="shared" si="176"/>
        <v>-55.6</v>
      </c>
      <c r="AA109" s="11">
        <f t="shared" si="176"/>
        <v>-60.6</v>
      </c>
      <c r="AB109" s="11">
        <f t="shared" si="176"/>
        <v>-65.599999999999994</v>
      </c>
      <c r="AC109" s="11">
        <f t="shared" si="176"/>
        <v>-69.3</v>
      </c>
      <c r="AD109" s="11">
        <f t="shared" si="176"/>
        <v>-74.3</v>
      </c>
      <c r="AE109" s="11">
        <f t="shared" si="176"/>
        <v>-79.3</v>
      </c>
      <c r="AF109" s="11">
        <f t="shared" si="176"/>
        <v>-84.3</v>
      </c>
      <c r="AG109" s="11">
        <f t="shared" si="176"/>
        <v>-94.4</v>
      </c>
      <c r="AH109" s="11">
        <f t="shared" si="176"/>
        <v>-129.30000000000001</v>
      </c>
      <c r="AI109" s="11">
        <f t="shared" si="176"/>
        <v>-134.30000000000001</v>
      </c>
      <c r="AJ109" s="11">
        <f t="shared" ref="AJ109:BO109" si="177">IF(AJ108=0,0, ROUND(AJ105 * 1/AJ108* AJ$13,1))</f>
        <v>0</v>
      </c>
      <c r="AK109" s="11">
        <f t="shared" si="177"/>
        <v>0</v>
      </c>
      <c r="AL109" s="11">
        <f t="shared" si="177"/>
        <v>0</v>
      </c>
      <c r="AM109" s="11">
        <f t="shared" si="177"/>
        <v>0</v>
      </c>
      <c r="AN109" s="11">
        <f t="shared" si="177"/>
        <v>-115.6</v>
      </c>
      <c r="AO109" s="11">
        <f t="shared" si="177"/>
        <v>-120.6</v>
      </c>
      <c r="AP109" s="11">
        <f t="shared" si="177"/>
        <v>-125.6</v>
      </c>
      <c r="AQ109" s="11">
        <f t="shared" si="177"/>
        <v>-108.1</v>
      </c>
      <c r="AR109" s="11">
        <f t="shared" si="177"/>
        <v>-113.1</v>
      </c>
      <c r="AS109" s="11">
        <f t="shared" si="177"/>
        <v>-147.80000000000001</v>
      </c>
      <c r="AT109" s="11">
        <f t="shared" si="177"/>
        <v>-122.1</v>
      </c>
      <c r="AU109" s="11">
        <f t="shared" si="177"/>
        <v>-133.80000000000001</v>
      </c>
      <c r="AV109" s="11">
        <f t="shared" si="177"/>
        <v>-138.80000000000001</v>
      </c>
      <c r="AW109" s="11">
        <f t="shared" si="177"/>
        <v>-143.80000000000001</v>
      </c>
      <c r="AX109" s="11">
        <f t="shared" si="177"/>
        <v>-148.80000000000001</v>
      </c>
      <c r="AY109" s="11">
        <f t="shared" si="177"/>
        <v>-192.4</v>
      </c>
      <c r="AZ109" s="11">
        <f t="shared" si="177"/>
        <v>-221.5</v>
      </c>
      <c r="BA109" s="11">
        <f t="shared" si="177"/>
        <v>-226.5</v>
      </c>
      <c r="BB109" s="11">
        <f t="shared" si="177"/>
        <v>-231.5</v>
      </c>
      <c r="BC109" s="11">
        <f t="shared" si="177"/>
        <v>-210.8</v>
      </c>
      <c r="BD109" s="11">
        <f t="shared" si="177"/>
        <v>-215.8</v>
      </c>
      <c r="BE109" s="11">
        <f t="shared" si="177"/>
        <v>-220.8</v>
      </c>
      <c r="BF109" s="11">
        <f t="shared" si="177"/>
        <v>-225.8</v>
      </c>
      <c r="BG109" s="11">
        <f t="shared" si="177"/>
        <v>-230.8</v>
      </c>
      <c r="BH109" s="11">
        <f t="shared" si="177"/>
        <v>-235.8</v>
      </c>
      <c r="BI109" s="11">
        <f t="shared" si="177"/>
        <v>-240.8</v>
      </c>
      <c r="BJ109" s="11">
        <f t="shared" si="177"/>
        <v>-245.8</v>
      </c>
      <c r="BK109" s="11">
        <f t="shared" si="177"/>
        <v>-250.8</v>
      </c>
      <c r="BL109" s="11">
        <f t="shared" si="177"/>
        <v>-256.89999999999998</v>
      </c>
      <c r="BM109" s="11">
        <f t="shared" si="177"/>
        <v>-261.89999999999998</v>
      </c>
      <c r="BN109" s="11">
        <f t="shared" si="177"/>
        <v>-146.5</v>
      </c>
      <c r="BO109" s="11">
        <f t="shared" si="177"/>
        <v>0</v>
      </c>
      <c r="BP109" s="11">
        <f t="shared" ref="BP109:CC109" si="178">IF(BP108=0,0, ROUND(BP105 * 1/BP108* BP$13,1))</f>
        <v>0</v>
      </c>
      <c r="BQ109" s="11">
        <f t="shared" si="178"/>
        <v>0</v>
      </c>
      <c r="BR109" s="11">
        <f t="shared" si="178"/>
        <v>0</v>
      </c>
      <c r="BS109" s="11">
        <f t="shared" si="178"/>
        <v>-334.6</v>
      </c>
      <c r="BT109" s="11">
        <f t="shared" si="178"/>
        <v>-339.6</v>
      </c>
      <c r="BU109" s="11">
        <f t="shared" si="178"/>
        <v>-344.6</v>
      </c>
      <c r="BV109" s="11">
        <f t="shared" si="178"/>
        <v>-349.6</v>
      </c>
      <c r="BW109" s="11">
        <f t="shared" si="178"/>
        <v>-354.6</v>
      </c>
      <c r="BX109" s="11">
        <f t="shared" si="178"/>
        <v>-359.6</v>
      </c>
      <c r="BY109" s="11">
        <f t="shared" si="178"/>
        <v>-364.6</v>
      </c>
      <c r="BZ109" s="11">
        <f t="shared" si="178"/>
        <v>-369.6</v>
      </c>
      <c r="CA109" s="11">
        <f t="shared" si="178"/>
        <v>-374.6</v>
      </c>
      <c r="CB109" s="11">
        <f t="shared" si="178"/>
        <v>-379.6</v>
      </c>
      <c r="CC109" s="11">
        <f t="shared" si="178"/>
        <v>-384.6</v>
      </c>
    </row>
    <row r="110" spans="1:81" x14ac:dyDescent="0.2">
      <c r="A110">
        <v>45</v>
      </c>
      <c r="B110">
        <v>1</v>
      </c>
      <c r="C110" s="8">
        <v>8.5212500000000002</v>
      </c>
      <c r="D110">
        <f t="shared" ref="D110:AI110" si="179">D107/$B110</f>
        <v>1340</v>
      </c>
      <c r="E110">
        <f t="shared" si="179"/>
        <v>0</v>
      </c>
      <c r="F110">
        <f t="shared" si="179"/>
        <v>0</v>
      </c>
      <c r="G110">
        <f t="shared" si="179"/>
        <v>0</v>
      </c>
      <c r="H110">
        <f t="shared" si="179"/>
        <v>0</v>
      </c>
      <c r="I110">
        <f t="shared" si="179"/>
        <v>0</v>
      </c>
      <c r="J110">
        <f t="shared" si="179"/>
        <v>0</v>
      </c>
      <c r="K110">
        <f t="shared" si="179"/>
        <v>0</v>
      </c>
      <c r="L110">
        <f t="shared" si="179"/>
        <v>0</v>
      </c>
      <c r="M110">
        <f t="shared" si="179"/>
        <v>0</v>
      </c>
      <c r="N110">
        <f t="shared" si="179"/>
        <v>0</v>
      </c>
      <c r="O110">
        <f t="shared" si="179"/>
        <v>0</v>
      </c>
      <c r="P110">
        <f t="shared" si="179"/>
        <v>0</v>
      </c>
      <c r="Q110">
        <f t="shared" si="179"/>
        <v>0</v>
      </c>
      <c r="R110">
        <f t="shared" si="179"/>
        <v>0</v>
      </c>
      <c r="S110">
        <f t="shared" si="179"/>
        <v>0</v>
      </c>
      <c r="T110">
        <f t="shared" si="179"/>
        <v>0</v>
      </c>
      <c r="U110">
        <f t="shared" si="179"/>
        <v>0</v>
      </c>
      <c r="V110">
        <f t="shared" si="179"/>
        <v>0</v>
      </c>
      <c r="W110">
        <f t="shared" si="179"/>
        <v>0</v>
      </c>
      <c r="X110">
        <f t="shared" si="179"/>
        <v>0</v>
      </c>
      <c r="Y110">
        <f t="shared" si="179"/>
        <v>0</v>
      </c>
      <c r="Z110">
        <f t="shared" si="179"/>
        <v>0</v>
      </c>
      <c r="AA110">
        <f t="shared" si="179"/>
        <v>0</v>
      </c>
      <c r="AB110">
        <f t="shared" si="179"/>
        <v>0</v>
      </c>
      <c r="AC110">
        <f t="shared" si="179"/>
        <v>0</v>
      </c>
      <c r="AD110">
        <f t="shared" si="179"/>
        <v>0</v>
      </c>
      <c r="AE110">
        <f t="shared" si="179"/>
        <v>0</v>
      </c>
      <c r="AF110">
        <f t="shared" si="179"/>
        <v>0</v>
      </c>
      <c r="AG110">
        <f t="shared" si="179"/>
        <v>0</v>
      </c>
      <c r="AH110">
        <f t="shared" si="179"/>
        <v>0</v>
      </c>
      <c r="AI110">
        <f t="shared" si="179"/>
        <v>0</v>
      </c>
      <c r="AJ110">
        <f t="shared" ref="AJ110:BO110" si="180">AJ107/$B110</f>
        <v>0</v>
      </c>
      <c r="AK110">
        <f t="shared" si="180"/>
        <v>0</v>
      </c>
      <c r="AL110">
        <f t="shared" si="180"/>
        <v>0</v>
      </c>
      <c r="AM110">
        <f t="shared" si="180"/>
        <v>0</v>
      </c>
      <c r="AN110">
        <f t="shared" si="180"/>
        <v>0</v>
      </c>
      <c r="AO110">
        <f t="shared" si="180"/>
        <v>0</v>
      </c>
      <c r="AP110">
        <f t="shared" si="180"/>
        <v>0</v>
      </c>
      <c r="AQ110">
        <f t="shared" si="180"/>
        <v>0</v>
      </c>
      <c r="AR110">
        <f t="shared" si="180"/>
        <v>0</v>
      </c>
      <c r="AS110">
        <f t="shared" si="180"/>
        <v>0</v>
      </c>
      <c r="AT110">
        <f t="shared" si="180"/>
        <v>0</v>
      </c>
      <c r="AU110">
        <f t="shared" si="180"/>
        <v>0</v>
      </c>
      <c r="AV110">
        <f t="shared" si="180"/>
        <v>0</v>
      </c>
      <c r="AW110">
        <f t="shared" si="180"/>
        <v>0</v>
      </c>
      <c r="AX110">
        <f t="shared" si="180"/>
        <v>0</v>
      </c>
      <c r="AY110">
        <f t="shared" si="180"/>
        <v>0</v>
      </c>
      <c r="AZ110">
        <f t="shared" si="180"/>
        <v>0</v>
      </c>
      <c r="BA110">
        <f t="shared" si="180"/>
        <v>0</v>
      </c>
      <c r="BB110">
        <f t="shared" si="180"/>
        <v>0</v>
      </c>
      <c r="BC110">
        <f t="shared" si="180"/>
        <v>0</v>
      </c>
      <c r="BD110">
        <f t="shared" si="180"/>
        <v>0</v>
      </c>
      <c r="BE110">
        <f t="shared" si="180"/>
        <v>0</v>
      </c>
      <c r="BF110">
        <f t="shared" si="180"/>
        <v>0</v>
      </c>
      <c r="BG110">
        <f t="shared" si="180"/>
        <v>0</v>
      </c>
      <c r="BH110">
        <f t="shared" si="180"/>
        <v>0</v>
      </c>
      <c r="BI110">
        <f t="shared" si="180"/>
        <v>0</v>
      </c>
      <c r="BJ110">
        <f t="shared" si="180"/>
        <v>0</v>
      </c>
      <c r="BK110">
        <f t="shared" si="180"/>
        <v>0</v>
      </c>
      <c r="BL110">
        <f t="shared" si="180"/>
        <v>0</v>
      </c>
      <c r="BM110">
        <f t="shared" si="180"/>
        <v>0</v>
      </c>
      <c r="BN110">
        <f t="shared" si="180"/>
        <v>0</v>
      </c>
      <c r="BO110">
        <f t="shared" si="180"/>
        <v>0</v>
      </c>
      <c r="BP110">
        <f t="shared" ref="BP110:CC110" si="181">BP107/$B110</f>
        <v>0</v>
      </c>
      <c r="BQ110">
        <f t="shared" si="181"/>
        <v>0</v>
      </c>
      <c r="BR110">
        <f t="shared" si="181"/>
        <v>0</v>
      </c>
      <c r="BS110">
        <f t="shared" si="181"/>
        <v>0</v>
      </c>
      <c r="BT110">
        <f t="shared" si="181"/>
        <v>0</v>
      </c>
      <c r="BU110">
        <f t="shared" si="181"/>
        <v>0</v>
      </c>
      <c r="BV110">
        <f t="shared" si="181"/>
        <v>0</v>
      </c>
      <c r="BW110">
        <f t="shared" si="181"/>
        <v>0</v>
      </c>
      <c r="BX110">
        <f t="shared" si="181"/>
        <v>0</v>
      </c>
      <c r="BY110">
        <f t="shared" si="181"/>
        <v>0</v>
      </c>
      <c r="BZ110">
        <f t="shared" si="181"/>
        <v>0</v>
      </c>
      <c r="CA110">
        <f t="shared" si="181"/>
        <v>0</v>
      </c>
      <c r="CB110">
        <f t="shared" si="181"/>
        <v>0</v>
      </c>
      <c r="CC110">
        <f t="shared" si="181"/>
        <v>0</v>
      </c>
    </row>
    <row r="111" spans="1:81" x14ac:dyDescent="0.2">
      <c r="B111" s="67">
        <f>SUM(D115:AJ115)/SUM($D$263:$AJ$263)</f>
        <v>4.7742036471785237E-2</v>
      </c>
      <c r="C111" s="9" t="s">
        <v>216</v>
      </c>
      <c r="D111">
        <f t="shared" ref="D111:AI111" si="182">D105-D108</f>
        <v>4640</v>
      </c>
      <c r="E111">
        <f t="shared" si="182"/>
        <v>4480</v>
      </c>
      <c r="F111">
        <f t="shared" si="182"/>
        <v>3440</v>
      </c>
      <c r="G111">
        <f t="shared" si="182"/>
        <v>2640</v>
      </c>
      <c r="H111">
        <f t="shared" si="182"/>
        <v>1920</v>
      </c>
      <c r="I111">
        <f t="shared" si="182"/>
        <v>2540</v>
      </c>
      <c r="J111">
        <f t="shared" si="182"/>
        <v>1900</v>
      </c>
      <c r="K111">
        <f t="shared" si="182"/>
        <v>1260</v>
      </c>
      <c r="L111">
        <f t="shared" si="182"/>
        <v>380</v>
      </c>
      <c r="M111">
        <f t="shared" si="182"/>
        <v>-820</v>
      </c>
      <c r="N111">
        <f t="shared" si="182"/>
        <v>-820</v>
      </c>
      <c r="O111">
        <f t="shared" si="182"/>
        <v>-820</v>
      </c>
      <c r="P111">
        <f t="shared" si="182"/>
        <v>-820</v>
      </c>
      <c r="Q111">
        <f t="shared" si="182"/>
        <v>-820</v>
      </c>
      <c r="R111">
        <f t="shared" si="182"/>
        <v>-1460</v>
      </c>
      <c r="S111">
        <f t="shared" si="182"/>
        <v>-2100</v>
      </c>
      <c r="T111">
        <f t="shared" si="182"/>
        <v>-2660</v>
      </c>
      <c r="U111">
        <f t="shared" si="182"/>
        <v>-3360</v>
      </c>
      <c r="V111">
        <f t="shared" si="182"/>
        <v>-4060</v>
      </c>
      <c r="W111">
        <f t="shared" si="182"/>
        <v>-4760</v>
      </c>
      <c r="X111">
        <f t="shared" si="182"/>
        <v>-5460</v>
      </c>
      <c r="Y111">
        <f t="shared" si="182"/>
        <v>-6000</v>
      </c>
      <c r="Z111">
        <f t="shared" si="182"/>
        <v>-6540</v>
      </c>
      <c r="AA111">
        <f t="shared" si="182"/>
        <v>-7080</v>
      </c>
      <c r="AB111">
        <f t="shared" si="182"/>
        <v>-7620</v>
      </c>
      <c r="AC111">
        <f t="shared" si="182"/>
        <v>-8170</v>
      </c>
      <c r="AD111">
        <f t="shared" si="182"/>
        <v>-8720</v>
      </c>
      <c r="AE111">
        <f t="shared" si="182"/>
        <v>-9270</v>
      </c>
      <c r="AF111">
        <f t="shared" si="182"/>
        <v>-9820</v>
      </c>
      <c r="AG111">
        <f t="shared" si="182"/>
        <v>-10340</v>
      </c>
      <c r="AH111">
        <f t="shared" si="182"/>
        <v>-10740</v>
      </c>
      <c r="AI111">
        <f t="shared" si="182"/>
        <v>-11140</v>
      </c>
      <c r="AJ111">
        <f t="shared" ref="AJ111:BO111" si="183">AJ105-AJ108</f>
        <v>-11140</v>
      </c>
      <c r="AK111">
        <f t="shared" si="183"/>
        <v>-11140</v>
      </c>
      <c r="AL111">
        <f t="shared" si="183"/>
        <v>-11140</v>
      </c>
      <c r="AM111">
        <f t="shared" si="183"/>
        <v>-11140</v>
      </c>
      <c r="AN111">
        <f t="shared" si="183"/>
        <v>-11622</v>
      </c>
      <c r="AO111">
        <f t="shared" si="183"/>
        <v>-12104</v>
      </c>
      <c r="AP111">
        <f t="shared" si="183"/>
        <v>-12586</v>
      </c>
      <c r="AQ111">
        <f t="shared" si="183"/>
        <v>-13168</v>
      </c>
      <c r="AR111">
        <f t="shared" si="183"/>
        <v>-13750</v>
      </c>
      <c r="AS111">
        <f t="shared" si="183"/>
        <v>-14215</v>
      </c>
      <c r="AT111">
        <f t="shared" si="183"/>
        <v>-14797</v>
      </c>
      <c r="AU111">
        <f t="shared" si="183"/>
        <v>-15350</v>
      </c>
      <c r="AV111">
        <f t="shared" si="183"/>
        <v>-15903</v>
      </c>
      <c r="AW111">
        <f t="shared" si="183"/>
        <v>-16456</v>
      </c>
      <c r="AX111">
        <f t="shared" si="183"/>
        <v>-17009</v>
      </c>
      <c r="AY111">
        <f t="shared" si="183"/>
        <v>-17451</v>
      </c>
      <c r="AZ111">
        <f t="shared" si="183"/>
        <v>-17845</v>
      </c>
      <c r="BA111">
        <f t="shared" si="183"/>
        <v>-18239</v>
      </c>
      <c r="BB111">
        <f t="shared" si="183"/>
        <v>-18633</v>
      </c>
      <c r="BC111">
        <f t="shared" si="183"/>
        <v>-19075</v>
      </c>
      <c r="BD111">
        <f t="shared" si="183"/>
        <v>-19517</v>
      </c>
      <c r="BE111">
        <f t="shared" si="183"/>
        <v>-19959</v>
      </c>
      <c r="BF111">
        <f t="shared" si="183"/>
        <v>-20401</v>
      </c>
      <c r="BG111">
        <f t="shared" si="183"/>
        <v>-20843</v>
      </c>
      <c r="BH111">
        <f t="shared" si="183"/>
        <v>-21285</v>
      </c>
      <c r="BI111">
        <f t="shared" si="183"/>
        <v>-21727</v>
      </c>
      <c r="BJ111">
        <f t="shared" si="183"/>
        <v>-22169</v>
      </c>
      <c r="BK111">
        <f t="shared" si="183"/>
        <v>-22611</v>
      </c>
      <c r="BL111">
        <f t="shared" si="183"/>
        <v>-23051</v>
      </c>
      <c r="BM111">
        <f t="shared" si="183"/>
        <v>-23491</v>
      </c>
      <c r="BN111">
        <f t="shared" si="183"/>
        <v>-24293</v>
      </c>
      <c r="BO111">
        <f t="shared" si="183"/>
        <v>-24293</v>
      </c>
      <c r="BP111">
        <f t="shared" ref="BP111:CC111" si="184">BP105-BP108</f>
        <v>-24293</v>
      </c>
      <c r="BQ111">
        <f t="shared" si="184"/>
        <v>-24293</v>
      </c>
      <c r="BR111">
        <f t="shared" si="184"/>
        <v>-24293</v>
      </c>
      <c r="BS111">
        <f t="shared" si="184"/>
        <v>-24656</v>
      </c>
      <c r="BT111">
        <f t="shared" si="184"/>
        <v>-25019</v>
      </c>
      <c r="BU111">
        <f t="shared" si="184"/>
        <v>-25382</v>
      </c>
      <c r="BV111">
        <f t="shared" si="184"/>
        <v>-25745</v>
      </c>
      <c r="BW111">
        <f t="shared" si="184"/>
        <v>-26108</v>
      </c>
      <c r="BX111">
        <f t="shared" si="184"/>
        <v>-26471</v>
      </c>
      <c r="BY111">
        <f t="shared" si="184"/>
        <v>-26834</v>
      </c>
      <c r="BZ111">
        <f t="shared" si="184"/>
        <v>-27197</v>
      </c>
      <c r="CA111">
        <f t="shared" si="184"/>
        <v>-27560</v>
      </c>
      <c r="CB111">
        <f t="shared" si="184"/>
        <v>-27923</v>
      </c>
      <c r="CC111">
        <f t="shared" si="184"/>
        <v>-28286</v>
      </c>
    </row>
    <row r="112" spans="1:81" x14ac:dyDescent="0.2">
      <c r="A112" s="43" t="s">
        <v>303</v>
      </c>
      <c r="B112" s="44" t="s">
        <v>208</v>
      </c>
      <c r="C112" s="9" t="s">
        <v>38</v>
      </c>
      <c r="D112" s="58">
        <f>IFERROR(VLOOKUP(A112,OS!$A:$B,2,0),0)</f>
        <v>500</v>
      </c>
      <c r="E112" s="5">
        <f>(D112+D113-D115)</f>
        <v>620</v>
      </c>
      <c r="F112" s="5">
        <f>(E112+E113-E115)</f>
        <v>540</v>
      </c>
      <c r="G112" s="5">
        <f>(F112+F113-F115)</f>
        <v>540</v>
      </c>
      <c r="H112" s="5">
        <f>(G112+G113-G115)</f>
        <v>460</v>
      </c>
      <c r="I112" s="5">
        <f t="shared" ref="I112:AN112" si="185">(H112+H113-H115+D114)</f>
        <v>380</v>
      </c>
      <c r="J112" s="5">
        <f t="shared" si="185"/>
        <v>680</v>
      </c>
      <c r="K112" s="5">
        <f t="shared" si="185"/>
        <v>600</v>
      </c>
      <c r="L112" s="5">
        <f t="shared" si="185"/>
        <v>520</v>
      </c>
      <c r="M112" s="5">
        <f t="shared" si="185"/>
        <v>360</v>
      </c>
      <c r="N112" s="5">
        <f t="shared" si="185"/>
        <v>40</v>
      </c>
      <c r="O112" s="5">
        <f t="shared" si="185"/>
        <v>40</v>
      </c>
      <c r="P112" s="5">
        <f t="shared" si="185"/>
        <v>40</v>
      </c>
      <c r="Q112" s="5">
        <f t="shared" si="185"/>
        <v>40</v>
      </c>
      <c r="R112" s="5">
        <f t="shared" si="185"/>
        <v>40</v>
      </c>
      <c r="S112" s="5">
        <f t="shared" si="185"/>
        <v>-40</v>
      </c>
      <c r="T112" s="5">
        <f t="shared" si="185"/>
        <v>-200</v>
      </c>
      <c r="U112" s="5">
        <f t="shared" si="185"/>
        <v>-280</v>
      </c>
      <c r="V112" s="5">
        <f t="shared" si="185"/>
        <v>-400</v>
      </c>
      <c r="W112" s="5">
        <f t="shared" si="185"/>
        <v>-520</v>
      </c>
      <c r="X112" s="5">
        <f t="shared" si="185"/>
        <v>-640</v>
      </c>
      <c r="Y112" s="5">
        <f t="shared" si="185"/>
        <v>-760</v>
      </c>
      <c r="Z112" s="5">
        <f t="shared" si="185"/>
        <v>-900</v>
      </c>
      <c r="AA112" s="5">
        <f t="shared" si="185"/>
        <v>-1040</v>
      </c>
      <c r="AB112" s="5">
        <f t="shared" si="185"/>
        <v>-1180</v>
      </c>
      <c r="AC112" s="5">
        <f t="shared" si="185"/>
        <v>-1320</v>
      </c>
      <c r="AD112" s="5">
        <f t="shared" si="185"/>
        <v>-1710</v>
      </c>
      <c r="AE112" s="5">
        <f t="shared" si="185"/>
        <v>-2100</v>
      </c>
      <c r="AF112" s="5">
        <f t="shared" si="185"/>
        <v>-2490</v>
      </c>
      <c r="AG112" s="5">
        <f t="shared" si="185"/>
        <v>-2880</v>
      </c>
      <c r="AH112" s="5">
        <f t="shared" si="185"/>
        <v>-3240</v>
      </c>
      <c r="AI112" s="5">
        <f t="shared" si="185"/>
        <v>-3520</v>
      </c>
      <c r="AJ112" s="5">
        <f t="shared" si="185"/>
        <v>-3800</v>
      </c>
      <c r="AK112" s="5">
        <f t="shared" si="185"/>
        <v>-3800</v>
      </c>
      <c r="AL112" s="5">
        <f t="shared" si="185"/>
        <v>-3800</v>
      </c>
      <c r="AM112" s="5">
        <f t="shared" si="185"/>
        <v>-3800</v>
      </c>
      <c r="AN112" s="5">
        <f t="shared" si="185"/>
        <v>-3800</v>
      </c>
      <c r="AO112" s="5">
        <f t="shared" ref="AO112:BT112" si="186">(AN112+AN113-AN115+AJ114)</f>
        <v>-3930</v>
      </c>
      <c r="AP112" s="5">
        <f t="shared" si="186"/>
        <v>-4060</v>
      </c>
      <c r="AQ112" s="5">
        <f t="shared" si="186"/>
        <v>-4190</v>
      </c>
      <c r="AR112" s="5">
        <f t="shared" si="186"/>
        <v>-4347</v>
      </c>
      <c r="AS112" s="5">
        <f t="shared" si="186"/>
        <v>-4504</v>
      </c>
      <c r="AT112" s="5">
        <f t="shared" si="186"/>
        <v>-4629</v>
      </c>
      <c r="AU112" s="5">
        <f t="shared" si="186"/>
        <v>-4786</v>
      </c>
      <c r="AV112" s="5">
        <f t="shared" si="186"/>
        <v>-4935</v>
      </c>
      <c r="AW112" s="5">
        <f t="shared" si="186"/>
        <v>-5084</v>
      </c>
      <c r="AX112" s="5">
        <f t="shared" si="186"/>
        <v>-5233</v>
      </c>
      <c r="AY112" s="5">
        <f t="shared" si="186"/>
        <v>-5382</v>
      </c>
      <c r="AZ112" s="5">
        <f t="shared" si="186"/>
        <v>-5501</v>
      </c>
      <c r="BA112" s="5">
        <f t="shared" si="186"/>
        <v>-5607</v>
      </c>
      <c r="BB112" s="5">
        <f t="shared" si="186"/>
        <v>-5713</v>
      </c>
      <c r="BC112" s="5">
        <f t="shared" si="186"/>
        <v>-5819</v>
      </c>
      <c r="BD112" s="5">
        <f t="shared" si="186"/>
        <v>-5938</v>
      </c>
      <c r="BE112" s="5">
        <f t="shared" si="186"/>
        <v>-6057</v>
      </c>
      <c r="BF112" s="5">
        <f t="shared" si="186"/>
        <v>-6176</v>
      </c>
      <c r="BG112" s="5">
        <f t="shared" si="186"/>
        <v>-6295</v>
      </c>
      <c r="BH112" s="5">
        <f t="shared" si="186"/>
        <v>-6414</v>
      </c>
      <c r="BI112" s="5">
        <f t="shared" si="186"/>
        <v>-6533</v>
      </c>
      <c r="BJ112" s="5">
        <f t="shared" si="186"/>
        <v>-6652</v>
      </c>
      <c r="BK112" s="5">
        <f t="shared" si="186"/>
        <v>-6771</v>
      </c>
      <c r="BL112" s="5">
        <f t="shared" si="186"/>
        <v>-6890</v>
      </c>
      <c r="BM112" s="5">
        <f t="shared" si="186"/>
        <v>-7009</v>
      </c>
      <c r="BN112" s="5">
        <f t="shared" si="186"/>
        <v>-7128</v>
      </c>
      <c r="BO112" s="5">
        <f t="shared" si="186"/>
        <v>-7344</v>
      </c>
      <c r="BP112" s="5">
        <f t="shared" si="186"/>
        <v>-7344</v>
      </c>
      <c r="BQ112" s="5">
        <f t="shared" si="186"/>
        <v>-7344</v>
      </c>
      <c r="BR112" s="5">
        <f t="shared" si="186"/>
        <v>-7344</v>
      </c>
      <c r="BS112" s="5">
        <f t="shared" si="186"/>
        <v>-7344</v>
      </c>
      <c r="BT112" s="5">
        <f t="shared" si="186"/>
        <v>-7442</v>
      </c>
      <c r="BU112" s="5">
        <f t="shared" ref="BU112:CC112" si="187">(BT112+BT113-BT115+BP114)</f>
        <v>-7540</v>
      </c>
      <c r="BV112" s="5">
        <f t="shared" si="187"/>
        <v>-7638</v>
      </c>
      <c r="BW112" s="5">
        <f t="shared" si="187"/>
        <v>-7736</v>
      </c>
      <c r="BX112" s="5">
        <f t="shared" si="187"/>
        <v>-7834</v>
      </c>
      <c r="BY112" s="5">
        <f t="shared" si="187"/>
        <v>-7932</v>
      </c>
      <c r="BZ112" s="5">
        <f t="shared" si="187"/>
        <v>-8030</v>
      </c>
      <c r="CA112" s="5">
        <f t="shared" si="187"/>
        <v>-8128</v>
      </c>
      <c r="CB112" s="5">
        <f t="shared" si="187"/>
        <v>-8226</v>
      </c>
      <c r="CC112" s="5">
        <f t="shared" si="187"/>
        <v>-8324</v>
      </c>
    </row>
    <row r="113" spans="1:81" x14ac:dyDescent="0.2">
      <c r="A113" s="5" t="s">
        <v>209</v>
      </c>
      <c r="B113" s="5">
        <v>10.326969999999999</v>
      </c>
      <c r="C113" s="45" t="s">
        <v>39</v>
      </c>
      <c r="D113" s="59">
        <f>IFERROR(VLOOKUP(A112,WIP!$A:$B,2,0),0)</f>
        <v>200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</row>
    <row r="114" spans="1:81" x14ac:dyDescent="0.2">
      <c r="A114" s="5" t="s">
        <v>210</v>
      </c>
      <c r="B114" s="5">
        <v>0.29699999999999999</v>
      </c>
      <c r="C114" s="9" t="s">
        <v>211</v>
      </c>
      <c r="D114" s="60">
        <f>IFERROR(VLOOKUP($A112,Plan!$A:B,D$4,0),0)</f>
        <v>0</v>
      </c>
      <c r="E114" s="60">
        <f>IFERROR(VLOOKUP($A112,Plan!$A:C,E$4,0),0)</f>
        <v>380</v>
      </c>
      <c r="F114" s="60">
        <f>IFERROR(VLOOKUP($A112,Plan!$A:D,F$4,0),0)</f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</row>
    <row r="115" spans="1:81" x14ac:dyDescent="0.2">
      <c r="A115" s="5" t="s">
        <v>212</v>
      </c>
      <c r="B115" s="5">
        <v>7.6999999999999999E-2</v>
      </c>
      <c r="C115" s="9" t="s">
        <v>213</v>
      </c>
      <c r="D115" s="61">
        <f>IFERROR(VLOOKUP($A112,Sales!$A:B,D$2,0),0)</f>
        <v>80</v>
      </c>
      <c r="E115" s="61">
        <f>IFERROR(VLOOKUP($A112,Sales!$A:C,E$2,0),0)</f>
        <v>80</v>
      </c>
      <c r="F115" s="61">
        <f>IFERROR(VLOOKUP($A112,Sales!$A:D,F$2,0),0)</f>
        <v>0</v>
      </c>
      <c r="G115" s="61">
        <f>IFERROR(VLOOKUP($A112,Sales!$A:E,G$2,0),0)</f>
        <v>80</v>
      </c>
      <c r="H115" s="61">
        <f>IFERROR(VLOOKUP($A112,Sales!$A:F,H$2,0),0)</f>
        <v>80</v>
      </c>
      <c r="I115" s="61">
        <f>IFERROR(VLOOKUP($A112,Sales!$A:G,I$2,0),0)</f>
        <v>80</v>
      </c>
      <c r="J115" s="61">
        <f>IFERROR(VLOOKUP($A112,Sales!$A:H,J$2,0),0)</f>
        <v>80</v>
      </c>
      <c r="K115" s="61">
        <f>IFERROR(VLOOKUP($A112,Sales!$A:I,K$2,0),0)</f>
        <v>80</v>
      </c>
      <c r="L115" s="61">
        <f>IFERROR(VLOOKUP($A112,Sales!$A:J,L$2,0),0)</f>
        <v>160</v>
      </c>
      <c r="M115" s="61">
        <f>IFERROR(VLOOKUP($A112,Sales!$A:K,M$2,0),0)</f>
        <v>320</v>
      </c>
      <c r="N115" s="61">
        <f>IFERROR(VLOOKUP($A112,Sales!$A:L,N$2,0),0)</f>
        <v>0</v>
      </c>
      <c r="O115" s="61">
        <f>IFERROR(VLOOKUP($A112,Sales!$A:M,O$2,0),0)</f>
        <v>0</v>
      </c>
      <c r="P115" s="61">
        <f>IFERROR(VLOOKUP($A112,Sales!$A:N,P$2,0),0)</f>
        <v>0</v>
      </c>
      <c r="Q115" s="61">
        <f>IFERROR(VLOOKUP($A112,Sales!$A:O,Q$2,0),0)</f>
        <v>0</v>
      </c>
      <c r="R115" s="61">
        <f>IFERROR(VLOOKUP($A112,Sales!$A:P,R$2,0),0)</f>
        <v>80</v>
      </c>
      <c r="S115" s="61">
        <f>IFERROR(VLOOKUP($A112,Sales!$A:Q,S$2,0),0)</f>
        <v>160</v>
      </c>
      <c r="T115" s="61">
        <f>IFERROR(VLOOKUP($A112,Sales!$A:R,T$2,0),0)</f>
        <v>80</v>
      </c>
      <c r="U115" s="61">
        <f>IFERROR(VLOOKUP($A112,Sales!$A:S,U$2,0),0)</f>
        <v>120</v>
      </c>
      <c r="V115" s="61">
        <f>IFERROR(VLOOKUP($A112,Sales!$A:T,V$2,0),0)</f>
        <v>120</v>
      </c>
      <c r="W115" s="61">
        <f>IFERROR(VLOOKUP($A112,Sales!$A:U,W$2,0),0)</f>
        <v>120</v>
      </c>
      <c r="X115" s="61">
        <f>IFERROR(VLOOKUP($A112,Sales!$A:V,X$2,0),0)</f>
        <v>120</v>
      </c>
      <c r="Y115" s="61">
        <f>IFERROR(VLOOKUP($A112,Sales!$A:W,Y$2,0),0)</f>
        <v>140</v>
      </c>
      <c r="Z115" s="61">
        <f>IFERROR(VLOOKUP($A112,Sales!$A:X,Z$2,0),0)</f>
        <v>140</v>
      </c>
      <c r="AA115" s="61">
        <f>IFERROR(VLOOKUP($A112,Sales!$A:Y,AA$2,0),0)</f>
        <v>140</v>
      </c>
      <c r="AB115" s="61">
        <f>IFERROR(VLOOKUP($A112,Sales!$A:Z,AB$2,0),0)</f>
        <v>140</v>
      </c>
      <c r="AC115" s="61">
        <f>IFERROR(VLOOKUP($A112,Sales!$A:AA,AC$2,0),0)</f>
        <v>390</v>
      </c>
      <c r="AD115" s="61">
        <f>IFERROR(VLOOKUP($A112,Sales!$A:AB,AD$2,0),0)</f>
        <v>390</v>
      </c>
      <c r="AE115" s="61">
        <f>IFERROR(VLOOKUP($A112,Sales!$A:AC,AE$2,0),0)</f>
        <v>390</v>
      </c>
      <c r="AF115" s="61">
        <f>IFERROR(VLOOKUP($A112,Sales!$A:AD,AF$2,0),0)</f>
        <v>390</v>
      </c>
      <c r="AG115" s="61">
        <f>IFERROR(VLOOKUP($A112,Sales!$A:AE,AG$2,0),0)</f>
        <v>360</v>
      </c>
      <c r="AH115" s="61">
        <f>IFERROR(VLOOKUP($A112,Sales!$A:AF,AH$2,0),0)</f>
        <v>280</v>
      </c>
      <c r="AI115" s="61">
        <f>IFERROR(VLOOKUP($A112,Sales!$A:AG,AI$2,0),0)</f>
        <v>280</v>
      </c>
      <c r="AJ115" s="61">
        <f>IFERROR(VLOOKUP($A112,Sales!$A:AH,AJ$2,0),0)</f>
        <v>0</v>
      </c>
      <c r="AK115" s="74">
        <f t="shared" ref="AK115:CC115" si="188">CEILING(AK$5*$B111,1)</f>
        <v>0</v>
      </c>
      <c r="AL115" s="74">
        <f t="shared" si="188"/>
        <v>0</v>
      </c>
      <c r="AM115" s="74">
        <f t="shared" si="188"/>
        <v>0</v>
      </c>
      <c r="AN115" s="74">
        <f t="shared" si="188"/>
        <v>130</v>
      </c>
      <c r="AO115" s="74">
        <f t="shared" si="188"/>
        <v>130</v>
      </c>
      <c r="AP115" s="74">
        <f t="shared" si="188"/>
        <v>130</v>
      </c>
      <c r="AQ115" s="74">
        <f t="shared" si="188"/>
        <v>157</v>
      </c>
      <c r="AR115" s="74">
        <f t="shared" si="188"/>
        <v>157</v>
      </c>
      <c r="AS115" s="74">
        <f t="shared" si="188"/>
        <v>125</v>
      </c>
      <c r="AT115" s="74">
        <f t="shared" si="188"/>
        <v>157</v>
      </c>
      <c r="AU115" s="74">
        <f t="shared" si="188"/>
        <v>149</v>
      </c>
      <c r="AV115" s="74">
        <f t="shared" si="188"/>
        <v>149</v>
      </c>
      <c r="AW115" s="74">
        <f t="shared" si="188"/>
        <v>149</v>
      </c>
      <c r="AX115" s="74">
        <f t="shared" si="188"/>
        <v>149</v>
      </c>
      <c r="AY115" s="74">
        <f t="shared" si="188"/>
        <v>119</v>
      </c>
      <c r="AZ115" s="74">
        <f t="shared" si="188"/>
        <v>106</v>
      </c>
      <c r="BA115" s="74">
        <f t="shared" si="188"/>
        <v>106</v>
      </c>
      <c r="BB115" s="74">
        <f t="shared" si="188"/>
        <v>106</v>
      </c>
      <c r="BC115" s="74">
        <f t="shared" si="188"/>
        <v>119</v>
      </c>
      <c r="BD115" s="74">
        <f t="shared" si="188"/>
        <v>119</v>
      </c>
      <c r="BE115" s="74">
        <f t="shared" si="188"/>
        <v>119</v>
      </c>
      <c r="BF115" s="74">
        <f t="shared" si="188"/>
        <v>119</v>
      </c>
      <c r="BG115" s="74">
        <f t="shared" si="188"/>
        <v>119</v>
      </c>
      <c r="BH115" s="74">
        <f t="shared" si="188"/>
        <v>119</v>
      </c>
      <c r="BI115" s="74">
        <f t="shared" si="188"/>
        <v>119</v>
      </c>
      <c r="BJ115" s="74">
        <f t="shared" si="188"/>
        <v>119</v>
      </c>
      <c r="BK115" s="74">
        <f t="shared" si="188"/>
        <v>119</v>
      </c>
      <c r="BL115" s="74">
        <f t="shared" si="188"/>
        <v>119</v>
      </c>
      <c r="BM115" s="74">
        <f t="shared" si="188"/>
        <v>119</v>
      </c>
      <c r="BN115" s="74">
        <f t="shared" si="188"/>
        <v>216</v>
      </c>
      <c r="BO115" s="74">
        <f t="shared" si="188"/>
        <v>0</v>
      </c>
      <c r="BP115" s="74">
        <f t="shared" si="188"/>
        <v>0</v>
      </c>
      <c r="BQ115" s="74">
        <f t="shared" si="188"/>
        <v>0</v>
      </c>
      <c r="BR115" s="74">
        <f t="shared" si="188"/>
        <v>0</v>
      </c>
      <c r="BS115" s="74">
        <f t="shared" si="188"/>
        <v>98</v>
      </c>
      <c r="BT115" s="74">
        <f t="shared" si="188"/>
        <v>98</v>
      </c>
      <c r="BU115" s="74">
        <f t="shared" si="188"/>
        <v>98</v>
      </c>
      <c r="BV115" s="74">
        <f t="shared" si="188"/>
        <v>98</v>
      </c>
      <c r="BW115" s="74">
        <f t="shared" si="188"/>
        <v>98</v>
      </c>
      <c r="BX115" s="74">
        <f t="shared" si="188"/>
        <v>98</v>
      </c>
      <c r="BY115" s="74">
        <f t="shared" si="188"/>
        <v>98</v>
      </c>
      <c r="BZ115" s="74">
        <f t="shared" si="188"/>
        <v>98</v>
      </c>
      <c r="CA115" s="74">
        <f t="shared" si="188"/>
        <v>98</v>
      </c>
      <c r="CB115" s="74">
        <f t="shared" si="188"/>
        <v>98</v>
      </c>
      <c r="CC115" s="74">
        <f t="shared" si="188"/>
        <v>98</v>
      </c>
    </row>
    <row r="116" spans="1:81" x14ac:dyDescent="0.2">
      <c r="A116" s="5" t="s">
        <v>214</v>
      </c>
      <c r="B116" s="5">
        <v>0.374</v>
      </c>
      <c r="C116" s="46" t="s">
        <v>215</v>
      </c>
      <c r="D116" s="11">
        <f t="shared" ref="D116:AI116" si="189">IF(D115=0,0, ROUND(D112 * 1/D115* D$13,1))</f>
        <v>31.3</v>
      </c>
      <c r="E116" s="11">
        <f t="shared" si="189"/>
        <v>38.799999999999997</v>
      </c>
      <c r="F116" s="11">
        <f t="shared" si="189"/>
        <v>0</v>
      </c>
      <c r="G116" s="11">
        <f t="shared" si="189"/>
        <v>33.799999999999997</v>
      </c>
      <c r="H116" s="11">
        <f t="shared" si="189"/>
        <v>28.8</v>
      </c>
      <c r="I116" s="11">
        <f t="shared" si="189"/>
        <v>23.8</v>
      </c>
      <c r="J116" s="11">
        <f t="shared" si="189"/>
        <v>42.5</v>
      </c>
      <c r="K116" s="11">
        <f t="shared" si="189"/>
        <v>37.5</v>
      </c>
      <c r="L116" s="11">
        <f t="shared" si="189"/>
        <v>16.3</v>
      </c>
      <c r="M116" s="11">
        <f t="shared" si="189"/>
        <v>5.6</v>
      </c>
      <c r="N116" s="11">
        <f t="shared" si="189"/>
        <v>0</v>
      </c>
      <c r="O116" s="11">
        <f t="shared" si="189"/>
        <v>0</v>
      </c>
      <c r="P116" s="11">
        <f t="shared" si="189"/>
        <v>0</v>
      </c>
      <c r="Q116" s="11">
        <f t="shared" si="189"/>
        <v>0</v>
      </c>
      <c r="R116" s="11">
        <f t="shared" si="189"/>
        <v>2.5</v>
      </c>
      <c r="S116" s="11">
        <f t="shared" si="189"/>
        <v>-1.3</v>
      </c>
      <c r="T116" s="11">
        <f t="shared" si="189"/>
        <v>-12.5</v>
      </c>
      <c r="U116" s="11">
        <f t="shared" si="189"/>
        <v>-11.7</v>
      </c>
      <c r="V116" s="11">
        <f t="shared" si="189"/>
        <v>-16.7</v>
      </c>
      <c r="W116" s="11">
        <f t="shared" si="189"/>
        <v>-21.7</v>
      </c>
      <c r="X116" s="11">
        <f t="shared" si="189"/>
        <v>-26.7</v>
      </c>
      <c r="Y116" s="11">
        <f t="shared" si="189"/>
        <v>-27.1</v>
      </c>
      <c r="Z116" s="11">
        <f t="shared" si="189"/>
        <v>-32.1</v>
      </c>
      <c r="AA116" s="11">
        <f t="shared" si="189"/>
        <v>-37.1</v>
      </c>
      <c r="AB116" s="11">
        <f t="shared" si="189"/>
        <v>-42.1</v>
      </c>
      <c r="AC116" s="11">
        <f t="shared" si="189"/>
        <v>-16.899999999999999</v>
      </c>
      <c r="AD116" s="11">
        <f t="shared" si="189"/>
        <v>-21.9</v>
      </c>
      <c r="AE116" s="11">
        <f t="shared" si="189"/>
        <v>-26.9</v>
      </c>
      <c r="AF116" s="11">
        <f t="shared" si="189"/>
        <v>-31.9</v>
      </c>
      <c r="AG116" s="11">
        <f t="shared" si="189"/>
        <v>-40</v>
      </c>
      <c r="AH116" s="11">
        <f t="shared" si="189"/>
        <v>-57.9</v>
      </c>
      <c r="AI116" s="11">
        <f t="shared" si="189"/>
        <v>-62.9</v>
      </c>
      <c r="AJ116" s="11">
        <f t="shared" ref="AJ116:BO116" si="190">IF(AJ115=0,0, ROUND(AJ112 * 1/AJ115* AJ$13,1))</f>
        <v>0</v>
      </c>
      <c r="AK116" s="11">
        <f t="shared" si="190"/>
        <v>0</v>
      </c>
      <c r="AL116" s="11">
        <f t="shared" si="190"/>
        <v>0</v>
      </c>
      <c r="AM116" s="11">
        <f t="shared" si="190"/>
        <v>0</v>
      </c>
      <c r="AN116" s="11">
        <f t="shared" si="190"/>
        <v>-146.19999999999999</v>
      </c>
      <c r="AO116" s="11">
        <f t="shared" si="190"/>
        <v>-151.19999999999999</v>
      </c>
      <c r="AP116" s="11">
        <f t="shared" si="190"/>
        <v>-156.19999999999999</v>
      </c>
      <c r="AQ116" s="11">
        <f t="shared" si="190"/>
        <v>-133.4</v>
      </c>
      <c r="AR116" s="11">
        <f t="shared" si="190"/>
        <v>-138.4</v>
      </c>
      <c r="AS116" s="11">
        <f t="shared" si="190"/>
        <v>-180.2</v>
      </c>
      <c r="AT116" s="11">
        <f t="shared" si="190"/>
        <v>-147.4</v>
      </c>
      <c r="AU116" s="11">
        <f t="shared" si="190"/>
        <v>-160.6</v>
      </c>
      <c r="AV116" s="11">
        <f t="shared" si="190"/>
        <v>-165.6</v>
      </c>
      <c r="AW116" s="11">
        <f t="shared" si="190"/>
        <v>-170.6</v>
      </c>
      <c r="AX116" s="11">
        <f t="shared" si="190"/>
        <v>-175.6</v>
      </c>
      <c r="AY116" s="11">
        <f t="shared" si="190"/>
        <v>-226.1</v>
      </c>
      <c r="AZ116" s="11">
        <f t="shared" si="190"/>
        <v>-259.5</v>
      </c>
      <c r="BA116" s="11">
        <f t="shared" si="190"/>
        <v>-264.5</v>
      </c>
      <c r="BB116" s="11">
        <f t="shared" si="190"/>
        <v>-269.5</v>
      </c>
      <c r="BC116" s="11">
        <f t="shared" si="190"/>
        <v>-244.5</v>
      </c>
      <c r="BD116" s="11">
        <f t="shared" si="190"/>
        <v>-249.5</v>
      </c>
      <c r="BE116" s="11">
        <f t="shared" si="190"/>
        <v>-254.5</v>
      </c>
      <c r="BF116" s="11">
        <f t="shared" si="190"/>
        <v>-259.5</v>
      </c>
      <c r="BG116" s="11">
        <f t="shared" si="190"/>
        <v>-264.5</v>
      </c>
      <c r="BH116" s="11">
        <f t="shared" si="190"/>
        <v>-269.5</v>
      </c>
      <c r="BI116" s="11">
        <f t="shared" si="190"/>
        <v>-274.5</v>
      </c>
      <c r="BJ116" s="11">
        <f t="shared" si="190"/>
        <v>-279.5</v>
      </c>
      <c r="BK116" s="11">
        <f t="shared" si="190"/>
        <v>-284.5</v>
      </c>
      <c r="BL116" s="11">
        <f t="shared" si="190"/>
        <v>-289.5</v>
      </c>
      <c r="BM116" s="11">
        <f t="shared" si="190"/>
        <v>-294.5</v>
      </c>
      <c r="BN116" s="11">
        <f t="shared" si="190"/>
        <v>-165</v>
      </c>
      <c r="BO116" s="11">
        <f t="shared" si="190"/>
        <v>0</v>
      </c>
      <c r="BP116" s="11">
        <f t="shared" ref="BP116:CC116" si="191">IF(BP115=0,0, ROUND(BP112 * 1/BP115* BP$13,1))</f>
        <v>0</v>
      </c>
      <c r="BQ116" s="11">
        <f t="shared" si="191"/>
        <v>0</v>
      </c>
      <c r="BR116" s="11">
        <f t="shared" si="191"/>
        <v>0</v>
      </c>
      <c r="BS116" s="11">
        <f t="shared" si="191"/>
        <v>-374.7</v>
      </c>
      <c r="BT116" s="11">
        <f t="shared" si="191"/>
        <v>-379.7</v>
      </c>
      <c r="BU116" s="11">
        <f t="shared" si="191"/>
        <v>-384.7</v>
      </c>
      <c r="BV116" s="11">
        <f t="shared" si="191"/>
        <v>-389.7</v>
      </c>
      <c r="BW116" s="11">
        <f t="shared" si="191"/>
        <v>-394.7</v>
      </c>
      <c r="BX116" s="11">
        <f t="shared" si="191"/>
        <v>-399.7</v>
      </c>
      <c r="BY116" s="11">
        <f t="shared" si="191"/>
        <v>-404.7</v>
      </c>
      <c r="BZ116" s="11">
        <f t="shared" si="191"/>
        <v>-409.7</v>
      </c>
      <c r="CA116" s="11">
        <f t="shared" si="191"/>
        <v>-414.7</v>
      </c>
      <c r="CB116" s="11">
        <f t="shared" si="191"/>
        <v>-419.7</v>
      </c>
      <c r="CC116" s="11">
        <f t="shared" si="191"/>
        <v>-424.7</v>
      </c>
    </row>
    <row r="117" spans="1:81" x14ac:dyDescent="0.2">
      <c r="A117">
        <v>40</v>
      </c>
      <c r="B117">
        <v>1</v>
      </c>
      <c r="C117" s="8">
        <v>7.7882899999999999</v>
      </c>
      <c r="D117">
        <f t="shared" ref="D117:AI117" si="192">D114/$B117</f>
        <v>0</v>
      </c>
      <c r="E117">
        <f t="shared" si="192"/>
        <v>380</v>
      </c>
      <c r="F117">
        <f t="shared" si="192"/>
        <v>0</v>
      </c>
      <c r="G117">
        <f t="shared" si="192"/>
        <v>0</v>
      </c>
      <c r="H117">
        <f t="shared" si="192"/>
        <v>0</v>
      </c>
      <c r="I117">
        <f t="shared" si="192"/>
        <v>0</v>
      </c>
      <c r="J117">
        <f t="shared" si="192"/>
        <v>0</v>
      </c>
      <c r="K117">
        <f t="shared" si="192"/>
        <v>0</v>
      </c>
      <c r="L117">
        <f t="shared" si="192"/>
        <v>0</v>
      </c>
      <c r="M117">
        <f t="shared" si="192"/>
        <v>0</v>
      </c>
      <c r="N117">
        <f t="shared" si="192"/>
        <v>0</v>
      </c>
      <c r="O117">
        <f t="shared" si="192"/>
        <v>0</v>
      </c>
      <c r="P117">
        <f t="shared" si="192"/>
        <v>0</v>
      </c>
      <c r="Q117">
        <f t="shared" si="192"/>
        <v>0</v>
      </c>
      <c r="R117">
        <f t="shared" si="192"/>
        <v>0</v>
      </c>
      <c r="S117">
        <f t="shared" si="192"/>
        <v>0</v>
      </c>
      <c r="T117">
        <f t="shared" si="192"/>
        <v>0</v>
      </c>
      <c r="U117">
        <f t="shared" si="192"/>
        <v>0</v>
      </c>
      <c r="V117">
        <f t="shared" si="192"/>
        <v>0</v>
      </c>
      <c r="W117">
        <f t="shared" si="192"/>
        <v>0</v>
      </c>
      <c r="X117">
        <f t="shared" si="192"/>
        <v>0</v>
      </c>
      <c r="Y117">
        <f t="shared" si="192"/>
        <v>0</v>
      </c>
      <c r="Z117">
        <f t="shared" si="192"/>
        <v>0</v>
      </c>
      <c r="AA117">
        <f t="shared" si="192"/>
        <v>0</v>
      </c>
      <c r="AB117">
        <f t="shared" si="192"/>
        <v>0</v>
      </c>
      <c r="AC117">
        <f t="shared" si="192"/>
        <v>0</v>
      </c>
      <c r="AD117">
        <f t="shared" si="192"/>
        <v>0</v>
      </c>
      <c r="AE117">
        <f t="shared" si="192"/>
        <v>0</v>
      </c>
      <c r="AF117">
        <f t="shared" si="192"/>
        <v>0</v>
      </c>
      <c r="AG117">
        <f t="shared" si="192"/>
        <v>0</v>
      </c>
      <c r="AH117">
        <f t="shared" si="192"/>
        <v>0</v>
      </c>
      <c r="AI117">
        <f t="shared" si="192"/>
        <v>0</v>
      </c>
      <c r="AJ117">
        <f t="shared" ref="AJ117:BO117" si="193">AJ114/$B117</f>
        <v>0</v>
      </c>
      <c r="AK117">
        <f t="shared" si="193"/>
        <v>0</v>
      </c>
      <c r="AL117">
        <f t="shared" si="193"/>
        <v>0</v>
      </c>
      <c r="AM117">
        <f t="shared" si="193"/>
        <v>0</v>
      </c>
      <c r="AN117">
        <f t="shared" si="193"/>
        <v>0</v>
      </c>
      <c r="AO117">
        <f t="shared" si="193"/>
        <v>0</v>
      </c>
      <c r="AP117">
        <f t="shared" si="193"/>
        <v>0</v>
      </c>
      <c r="AQ117">
        <f t="shared" si="193"/>
        <v>0</v>
      </c>
      <c r="AR117">
        <f t="shared" si="193"/>
        <v>0</v>
      </c>
      <c r="AS117">
        <f t="shared" si="193"/>
        <v>0</v>
      </c>
      <c r="AT117">
        <f t="shared" si="193"/>
        <v>0</v>
      </c>
      <c r="AU117">
        <f t="shared" si="193"/>
        <v>0</v>
      </c>
      <c r="AV117">
        <f t="shared" si="193"/>
        <v>0</v>
      </c>
      <c r="AW117">
        <f t="shared" si="193"/>
        <v>0</v>
      </c>
      <c r="AX117">
        <f t="shared" si="193"/>
        <v>0</v>
      </c>
      <c r="AY117">
        <f t="shared" si="193"/>
        <v>0</v>
      </c>
      <c r="AZ117">
        <f t="shared" si="193"/>
        <v>0</v>
      </c>
      <c r="BA117">
        <f t="shared" si="193"/>
        <v>0</v>
      </c>
      <c r="BB117">
        <f t="shared" si="193"/>
        <v>0</v>
      </c>
      <c r="BC117">
        <f t="shared" si="193"/>
        <v>0</v>
      </c>
      <c r="BD117">
        <f t="shared" si="193"/>
        <v>0</v>
      </c>
      <c r="BE117">
        <f t="shared" si="193"/>
        <v>0</v>
      </c>
      <c r="BF117">
        <f t="shared" si="193"/>
        <v>0</v>
      </c>
      <c r="BG117">
        <f t="shared" si="193"/>
        <v>0</v>
      </c>
      <c r="BH117">
        <f t="shared" si="193"/>
        <v>0</v>
      </c>
      <c r="BI117">
        <f t="shared" si="193"/>
        <v>0</v>
      </c>
      <c r="BJ117">
        <f t="shared" si="193"/>
        <v>0</v>
      </c>
      <c r="BK117">
        <f t="shared" si="193"/>
        <v>0</v>
      </c>
      <c r="BL117">
        <f t="shared" si="193"/>
        <v>0</v>
      </c>
      <c r="BM117">
        <f t="shared" si="193"/>
        <v>0</v>
      </c>
      <c r="BN117">
        <f t="shared" si="193"/>
        <v>0</v>
      </c>
      <c r="BO117">
        <f t="shared" si="193"/>
        <v>0</v>
      </c>
      <c r="BP117">
        <f t="shared" ref="BP117:CC117" si="194">BP114/$B117</f>
        <v>0</v>
      </c>
      <c r="BQ117">
        <f t="shared" si="194"/>
        <v>0</v>
      </c>
      <c r="BR117">
        <f t="shared" si="194"/>
        <v>0</v>
      </c>
      <c r="BS117">
        <f t="shared" si="194"/>
        <v>0</v>
      </c>
      <c r="BT117">
        <f t="shared" si="194"/>
        <v>0</v>
      </c>
      <c r="BU117">
        <f t="shared" si="194"/>
        <v>0</v>
      </c>
      <c r="BV117">
        <f t="shared" si="194"/>
        <v>0</v>
      </c>
      <c r="BW117">
        <f t="shared" si="194"/>
        <v>0</v>
      </c>
      <c r="BX117">
        <f t="shared" si="194"/>
        <v>0</v>
      </c>
      <c r="BY117">
        <f t="shared" si="194"/>
        <v>0</v>
      </c>
      <c r="BZ117">
        <f t="shared" si="194"/>
        <v>0</v>
      </c>
      <c r="CA117">
        <f t="shared" si="194"/>
        <v>0</v>
      </c>
      <c r="CB117">
        <f t="shared" si="194"/>
        <v>0</v>
      </c>
      <c r="CC117">
        <f t="shared" si="194"/>
        <v>0</v>
      </c>
    </row>
    <row r="118" spans="1:81" x14ac:dyDescent="0.2">
      <c r="B118" s="67">
        <f>SUM(D122:AJ122)/SUM($D$263:$AJ$263)</f>
        <v>0.13383423338811928</v>
      </c>
      <c r="C118" s="9" t="s">
        <v>216</v>
      </c>
      <c r="D118">
        <f t="shared" ref="D118:AI118" si="195">D112-D115</f>
        <v>420</v>
      </c>
      <c r="E118">
        <f t="shared" si="195"/>
        <v>540</v>
      </c>
      <c r="F118">
        <f t="shared" si="195"/>
        <v>540</v>
      </c>
      <c r="G118">
        <f t="shared" si="195"/>
        <v>460</v>
      </c>
      <c r="H118">
        <f t="shared" si="195"/>
        <v>380</v>
      </c>
      <c r="I118">
        <f t="shared" si="195"/>
        <v>300</v>
      </c>
      <c r="J118">
        <f t="shared" si="195"/>
        <v>600</v>
      </c>
      <c r="K118">
        <f t="shared" si="195"/>
        <v>520</v>
      </c>
      <c r="L118">
        <f t="shared" si="195"/>
        <v>360</v>
      </c>
      <c r="M118">
        <f t="shared" si="195"/>
        <v>40</v>
      </c>
      <c r="N118">
        <f t="shared" si="195"/>
        <v>40</v>
      </c>
      <c r="O118">
        <f t="shared" si="195"/>
        <v>40</v>
      </c>
      <c r="P118">
        <f t="shared" si="195"/>
        <v>40</v>
      </c>
      <c r="Q118">
        <f t="shared" si="195"/>
        <v>40</v>
      </c>
      <c r="R118">
        <f t="shared" si="195"/>
        <v>-40</v>
      </c>
      <c r="S118">
        <f t="shared" si="195"/>
        <v>-200</v>
      </c>
      <c r="T118">
        <f t="shared" si="195"/>
        <v>-280</v>
      </c>
      <c r="U118">
        <f t="shared" si="195"/>
        <v>-400</v>
      </c>
      <c r="V118">
        <f t="shared" si="195"/>
        <v>-520</v>
      </c>
      <c r="W118">
        <f t="shared" si="195"/>
        <v>-640</v>
      </c>
      <c r="X118">
        <f t="shared" si="195"/>
        <v>-760</v>
      </c>
      <c r="Y118">
        <f t="shared" si="195"/>
        <v>-900</v>
      </c>
      <c r="Z118">
        <f t="shared" si="195"/>
        <v>-1040</v>
      </c>
      <c r="AA118">
        <f t="shared" si="195"/>
        <v>-1180</v>
      </c>
      <c r="AB118">
        <f t="shared" si="195"/>
        <v>-1320</v>
      </c>
      <c r="AC118">
        <f t="shared" si="195"/>
        <v>-1710</v>
      </c>
      <c r="AD118">
        <f t="shared" si="195"/>
        <v>-2100</v>
      </c>
      <c r="AE118">
        <f t="shared" si="195"/>
        <v>-2490</v>
      </c>
      <c r="AF118">
        <f t="shared" si="195"/>
        <v>-2880</v>
      </c>
      <c r="AG118">
        <f t="shared" si="195"/>
        <v>-3240</v>
      </c>
      <c r="AH118">
        <f t="shared" si="195"/>
        <v>-3520</v>
      </c>
      <c r="AI118">
        <f t="shared" si="195"/>
        <v>-3800</v>
      </c>
      <c r="AJ118">
        <f t="shared" ref="AJ118:BO118" si="196">AJ112-AJ115</f>
        <v>-3800</v>
      </c>
      <c r="AK118">
        <f t="shared" si="196"/>
        <v>-3800</v>
      </c>
      <c r="AL118">
        <f t="shared" si="196"/>
        <v>-3800</v>
      </c>
      <c r="AM118">
        <f t="shared" si="196"/>
        <v>-3800</v>
      </c>
      <c r="AN118">
        <f t="shared" si="196"/>
        <v>-3930</v>
      </c>
      <c r="AO118">
        <f t="shared" si="196"/>
        <v>-4060</v>
      </c>
      <c r="AP118">
        <f t="shared" si="196"/>
        <v>-4190</v>
      </c>
      <c r="AQ118">
        <f t="shared" si="196"/>
        <v>-4347</v>
      </c>
      <c r="AR118">
        <f t="shared" si="196"/>
        <v>-4504</v>
      </c>
      <c r="AS118">
        <f t="shared" si="196"/>
        <v>-4629</v>
      </c>
      <c r="AT118">
        <f t="shared" si="196"/>
        <v>-4786</v>
      </c>
      <c r="AU118">
        <f t="shared" si="196"/>
        <v>-4935</v>
      </c>
      <c r="AV118">
        <f t="shared" si="196"/>
        <v>-5084</v>
      </c>
      <c r="AW118">
        <f t="shared" si="196"/>
        <v>-5233</v>
      </c>
      <c r="AX118">
        <f t="shared" si="196"/>
        <v>-5382</v>
      </c>
      <c r="AY118">
        <f t="shared" si="196"/>
        <v>-5501</v>
      </c>
      <c r="AZ118">
        <f t="shared" si="196"/>
        <v>-5607</v>
      </c>
      <c r="BA118">
        <f t="shared" si="196"/>
        <v>-5713</v>
      </c>
      <c r="BB118">
        <f t="shared" si="196"/>
        <v>-5819</v>
      </c>
      <c r="BC118">
        <f t="shared" si="196"/>
        <v>-5938</v>
      </c>
      <c r="BD118">
        <f t="shared" si="196"/>
        <v>-6057</v>
      </c>
      <c r="BE118">
        <f t="shared" si="196"/>
        <v>-6176</v>
      </c>
      <c r="BF118">
        <f t="shared" si="196"/>
        <v>-6295</v>
      </c>
      <c r="BG118">
        <f t="shared" si="196"/>
        <v>-6414</v>
      </c>
      <c r="BH118">
        <f t="shared" si="196"/>
        <v>-6533</v>
      </c>
      <c r="BI118">
        <f t="shared" si="196"/>
        <v>-6652</v>
      </c>
      <c r="BJ118">
        <f t="shared" si="196"/>
        <v>-6771</v>
      </c>
      <c r="BK118">
        <f t="shared" si="196"/>
        <v>-6890</v>
      </c>
      <c r="BL118">
        <f t="shared" si="196"/>
        <v>-7009</v>
      </c>
      <c r="BM118">
        <f t="shared" si="196"/>
        <v>-7128</v>
      </c>
      <c r="BN118">
        <f t="shared" si="196"/>
        <v>-7344</v>
      </c>
      <c r="BO118">
        <f t="shared" si="196"/>
        <v>-7344</v>
      </c>
      <c r="BP118">
        <f t="shared" ref="BP118:CC118" si="197">BP112-BP115</f>
        <v>-7344</v>
      </c>
      <c r="BQ118">
        <f t="shared" si="197"/>
        <v>-7344</v>
      </c>
      <c r="BR118">
        <f t="shared" si="197"/>
        <v>-7344</v>
      </c>
      <c r="BS118">
        <f t="shared" si="197"/>
        <v>-7442</v>
      </c>
      <c r="BT118">
        <f t="shared" si="197"/>
        <v>-7540</v>
      </c>
      <c r="BU118">
        <f t="shared" si="197"/>
        <v>-7638</v>
      </c>
      <c r="BV118">
        <f t="shared" si="197"/>
        <v>-7736</v>
      </c>
      <c r="BW118">
        <f t="shared" si="197"/>
        <v>-7834</v>
      </c>
      <c r="BX118">
        <f t="shared" si="197"/>
        <v>-7932</v>
      </c>
      <c r="BY118">
        <f t="shared" si="197"/>
        <v>-8030</v>
      </c>
      <c r="BZ118">
        <f t="shared" si="197"/>
        <v>-8128</v>
      </c>
      <c r="CA118">
        <f t="shared" si="197"/>
        <v>-8226</v>
      </c>
      <c r="CB118">
        <f t="shared" si="197"/>
        <v>-8324</v>
      </c>
      <c r="CC118">
        <f t="shared" si="197"/>
        <v>-8422</v>
      </c>
    </row>
    <row r="119" spans="1:81" x14ac:dyDescent="0.2">
      <c r="A119" s="43" t="s">
        <v>304</v>
      </c>
      <c r="B119" s="44" t="s">
        <v>208</v>
      </c>
      <c r="C119" s="9" t="s">
        <v>38</v>
      </c>
      <c r="D119" s="58">
        <f>IFERROR(VLOOKUP(A119,OS!$A:$B,2,0),0)</f>
        <v>2940</v>
      </c>
      <c r="E119" s="5">
        <f>(D119+D120-D122)</f>
        <v>3980</v>
      </c>
      <c r="F119" s="5">
        <f>(E119+E120-E122)</f>
        <v>3180</v>
      </c>
      <c r="G119" s="5">
        <f>(F119+F120-F122)</f>
        <v>3180</v>
      </c>
      <c r="H119" s="5">
        <f>(G119+G120-G122)</f>
        <v>2780</v>
      </c>
      <c r="I119" s="5">
        <f t="shared" ref="I119:AN119" si="198">(H119+H120-H122+D121)</f>
        <v>2300</v>
      </c>
      <c r="J119" s="5">
        <f t="shared" si="198"/>
        <v>1900</v>
      </c>
      <c r="K119" s="5">
        <f t="shared" si="198"/>
        <v>1500</v>
      </c>
      <c r="L119" s="5">
        <f t="shared" si="198"/>
        <v>1020</v>
      </c>
      <c r="M119" s="5">
        <f t="shared" si="198"/>
        <v>300</v>
      </c>
      <c r="N119" s="5">
        <f t="shared" si="198"/>
        <v>-740</v>
      </c>
      <c r="O119" s="5">
        <f t="shared" si="198"/>
        <v>-740</v>
      </c>
      <c r="P119" s="5">
        <f t="shared" si="198"/>
        <v>-740</v>
      </c>
      <c r="Q119" s="5">
        <f t="shared" si="198"/>
        <v>-740</v>
      </c>
      <c r="R119" s="5">
        <f t="shared" si="198"/>
        <v>-740</v>
      </c>
      <c r="S119" s="5">
        <f t="shared" si="198"/>
        <v>-1380</v>
      </c>
      <c r="T119" s="5">
        <f t="shared" si="198"/>
        <v>-1940</v>
      </c>
      <c r="U119" s="5">
        <f t="shared" si="198"/>
        <v>-2500</v>
      </c>
      <c r="V119" s="5">
        <f t="shared" si="198"/>
        <v>-3060</v>
      </c>
      <c r="W119" s="5">
        <f t="shared" si="198"/>
        <v>-3620</v>
      </c>
      <c r="X119" s="5">
        <f t="shared" si="198"/>
        <v>-4180</v>
      </c>
      <c r="Y119" s="5">
        <f t="shared" si="198"/>
        <v>-4740</v>
      </c>
      <c r="Z119" s="5">
        <f t="shared" si="198"/>
        <v>-5060</v>
      </c>
      <c r="AA119" s="5">
        <f t="shared" si="198"/>
        <v>-5380</v>
      </c>
      <c r="AB119" s="5">
        <f t="shared" si="198"/>
        <v>-5700</v>
      </c>
      <c r="AC119" s="5">
        <f t="shared" si="198"/>
        <v>-6020</v>
      </c>
      <c r="AD119" s="5">
        <f t="shared" si="198"/>
        <v>-6550</v>
      </c>
      <c r="AE119" s="5">
        <f t="shared" si="198"/>
        <v>-7080</v>
      </c>
      <c r="AF119" s="5">
        <f t="shared" si="198"/>
        <v>-7610</v>
      </c>
      <c r="AG119" s="5">
        <f t="shared" si="198"/>
        <v>-8140</v>
      </c>
      <c r="AH119" s="5">
        <f t="shared" si="198"/>
        <v>-8660</v>
      </c>
      <c r="AI119" s="5">
        <f t="shared" si="198"/>
        <v>-9180</v>
      </c>
      <c r="AJ119" s="5">
        <f t="shared" si="198"/>
        <v>-9700</v>
      </c>
      <c r="AK119" s="5">
        <f t="shared" si="198"/>
        <v>-9700</v>
      </c>
      <c r="AL119" s="5">
        <f t="shared" si="198"/>
        <v>-9700</v>
      </c>
      <c r="AM119" s="5">
        <f t="shared" si="198"/>
        <v>-9700</v>
      </c>
      <c r="AN119" s="5">
        <f t="shared" si="198"/>
        <v>-9700</v>
      </c>
      <c r="AO119" s="5">
        <f t="shared" ref="AO119:BT119" si="199">(AN119+AN120-AN122+AJ121)</f>
        <v>-10063</v>
      </c>
      <c r="AP119" s="5">
        <f t="shared" si="199"/>
        <v>-10426</v>
      </c>
      <c r="AQ119" s="5">
        <f t="shared" si="199"/>
        <v>-10789</v>
      </c>
      <c r="AR119" s="5">
        <f t="shared" si="199"/>
        <v>-11227</v>
      </c>
      <c r="AS119" s="5">
        <f t="shared" si="199"/>
        <v>-11665</v>
      </c>
      <c r="AT119" s="5">
        <f t="shared" si="199"/>
        <v>-12016</v>
      </c>
      <c r="AU119" s="5">
        <f t="shared" si="199"/>
        <v>-12454</v>
      </c>
      <c r="AV119" s="5">
        <f t="shared" si="199"/>
        <v>-12870</v>
      </c>
      <c r="AW119" s="5">
        <f t="shared" si="199"/>
        <v>-13286</v>
      </c>
      <c r="AX119" s="5">
        <f t="shared" si="199"/>
        <v>-13702</v>
      </c>
      <c r="AY119" s="5">
        <f t="shared" si="199"/>
        <v>-14118</v>
      </c>
      <c r="AZ119" s="5">
        <f t="shared" si="199"/>
        <v>-14451</v>
      </c>
      <c r="BA119" s="5">
        <f t="shared" si="199"/>
        <v>-14748</v>
      </c>
      <c r="BB119" s="5">
        <f t="shared" si="199"/>
        <v>-15045</v>
      </c>
      <c r="BC119" s="5">
        <f t="shared" si="199"/>
        <v>-15342</v>
      </c>
      <c r="BD119" s="5">
        <f t="shared" si="199"/>
        <v>-15675</v>
      </c>
      <c r="BE119" s="5">
        <f t="shared" si="199"/>
        <v>-16008</v>
      </c>
      <c r="BF119" s="5">
        <f t="shared" si="199"/>
        <v>-16341</v>
      </c>
      <c r="BG119" s="5">
        <f t="shared" si="199"/>
        <v>-16674</v>
      </c>
      <c r="BH119" s="5">
        <f t="shared" si="199"/>
        <v>-17007</v>
      </c>
      <c r="BI119" s="5">
        <f t="shared" si="199"/>
        <v>-17340</v>
      </c>
      <c r="BJ119" s="5">
        <f t="shared" si="199"/>
        <v>-17673</v>
      </c>
      <c r="BK119" s="5">
        <f t="shared" si="199"/>
        <v>-18006</v>
      </c>
      <c r="BL119" s="5">
        <f t="shared" si="199"/>
        <v>-18339</v>
      </c>
      <c r="BM119" s="5">
        <f t="shared" si="199"/>
        <v>-18670</v>
      </c>
      <c r="BN119" s="5">
        <f t="shared" si="199"/>
        <v>-19001</v>
      </c>
      <c r="BO119" s="5">
        <f t="shared" si="199"/>
        <v>-19606</v>
      </c>
      <c r="BP119" s="5">
        <f t="shared" si="199"/>
        <v>-19606</v>
      </c>
      <c r="BQ119" s="5">
        <f t="shared" si="199"/>
        <v>-19606</v>
      </c>
      <c r="BR119" s="5">
        <f t="shared" si="199"/>
        <v>-19606</v>
      </c>
      <c r="BS119" s="5">
        <f t="shared" si="199"/>
        <v>-19606</v>
      </c>
      <c r="BT119" s="5">
        <f t="shared" si="199"/>
        <v>-19880</v>
      </c>
      <c r="BU119" s="5">
        <f t="shared" ref="BU119:CC119" si="200">(BT119+BT120-BT122+BP121)</f>
        <v>-20154</v>
      </c>
      <c r="BV119" s="5">
        <f t="shared" si="200"/>
        <v>-20428</v>
      </c>
      <c r="BW119" s="5">
        <f t="shared" si="200"/>
        <v>-20702</v>
      </c>
      <c r="BX119" s="5">
        <f t="shared" si="200"/>
        <v>-20976</v>
      </c>
      <c r="BY119" s="5">
        <f t="shared" si="200"/>
        <v>-21250</v>
      </c>
      <c r="BZ119" s="5">
        <f t="shared" si="200"/>
        <v>-21524</v>
      </c>
      <c r="CA119" s="5">
        <f t="shared" si="200"/>
        <v>-21798</v>
      </c>
      <c r="CB119" s="5">
        <f t="shared" si="200"/>
        <v>-22072</v>
      </c>
      <c r="CC119" s="5">
        <f t="shared" si="200"/>
        <v>-22346</v>
      </c>
    </row>
    <row r="120" spans="1:81" x14ac:dyDescent="0.2">
      <c r="A120" s="5" t="s">
        <v>209</v>
      </c>
      <c r="B120" s="5">
        <v>11.67367</v>
      </c>
      <c r="C120" s="45" t="s">
        <v>39</v>
      </c>
      <c r="D120" s="59">
        <f>IFERROR(VLOOKUP(A119,WIP!$A:$B,2,0),0)</f>
        <v>1040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</row>
    <row r="121" spans="1:81" x14ac:dyDescent="0.2">
      <c r="A121" s="5" t="s">
        <v>210</v>
      </c>
      <c r="B121" s="5">
        <v>0.34300000000000003</v>
      </c>
      <c r="C121" s="9" t="s">
        <v>211</v>
      </c>
      <c r="D121" s="60">
        <f>IFERROR(VLOOKUP($A119,Plan!$A:B,D$4,0),0)</f>
        <v>0</v>
      </c>
      <c r="E121" s="60">
        <f>IFERROR(VLOOKUP($A119,Plan!$A:C,E$4,0),0)</f>
        <v>0</v>
      </c>
      <c r="F121" s="60">
        <f>IFERROR(VLOOKUP($A119,Plan!$A:D,F$4,0),0)</f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</row>
    <row r="122" spans="1:81" x14ac:dyDescent="0.2">
      <c r="A122" s="5" t="s">
        <v>212</v>
      </c>
      <c r="B122" s="5">
        <v>8.6999999999999994E-2</v>
      </c>
      <c r="C122" s="9" t="s">
        <v>213</v>
      </c>
      <c r="D122" s="61">
        <f>IFERROR(VLOOKUP($A119,Sales!$A:B,D$2,0),0)</f>
        <v>0</v>
      </c>
      <c r="E122" s="61">
        <f>IFERROR(VLOOKUP($A119,Sales!$A:C,E$2,0),0)</f>
        <v>800</v>
      </c>
      <c r="F122" s="61">
        <f>IFERROR(VLOOKUP($A119,Sales!$A:D,F$2,0),0)</f>
        <v>0</v>
      </c>
      <c r="G122" s="61">
        <f>IFERROR(VLOOKUP($A119,Sales!$A:E,G$2,0),0)</f>
        <v>400</v>
      </c>
      <c r="H122" s="61">
        <f>IFERROR(VLOOKUP($A119,Sales!$A:F,H$2,0),0)</f>
        <v>480</v>
      </c>
      <c r="I122" s="61">
        <f>IFERROR(VLOOKUP($A119,Sales!$A:G,I$2,0),0)</f>
        <v>400</v>
      </c>
      <c r="J122" s="61">
        <f>IFERROR(VLOOKUP($A119,Sales!$A:H,J$2,0),0)</f>
        <v>400</v>
      </c>
      <c r="K122" s="61">
        <f>IFERROR(VLOOKUP($A119,Sales!$A:I,K$2,0),0)</f>
        <v>480</v>
      </c>
      <c r="L122" s="61">
        <f>IFERROR(VLOOKUP($A119,Sales!$A:J,L$2,0),0)</f>
        <v>720</v>
      </c>
      <c r="M122" s="61">
        <f>IFERROR(VLOOKUP($A119,Sales!$A:K,M$2,0),0)</f>
        <v>1040</v>
      </c>
      <c r="N122" s="61">
        <f>IFERROR(VLOOKUP($A119,Sales!$A:L,N$2,0),0)</f>
        <v>0</v>
      </c>
      <c r="O122" s="61">
        <f>IFERROR(VLOOKUP($A119,Sales!$A:M,O$2,0),0)</f>
        <v>0</v>
      </c>
      <c r="P122" s="61">
        <f>IFERROR(VLOOKUP($A119,Sales!$A:N,P$2,0),0)</f>
        <v>0</v>
      </c>
      <c r="Q122" s="61">
        <f>IFERROR(VLOOKUP($A119,Sales!$A:O,Q$2,0),0)</f>
        <v>0</v>
      </c>
      <c r="R122" s="61">
        <f>IFERROR(VLOOKUP($A119,Sales!$A:P,R$2,0),0)</f>
        <v>640</v>
      </c>
      <c r="S122" s="61">
        <f>IFERROR(VLOOKUP($A119,Sales!$A:Q,S$2,0),0)</f>
        <v>560</v>
      </c>
      <c r="T122" s="61">
        <f>IFERROR(VLOOKUP($A119,Sales!$A:R,T$2,0),0)</f>
        <v>560</v>
      </c>
      <c r="U122" s="61">
        <f>IFERROR(VLOOKUP($A119,Sales!$A:S,U$2,0),0)</f>
        <v>560</v>
      </c>
      <c r="V122" s="61">
        <f>IFERROR(VLOOKUP($A119,Sales!$A:T,V$2,0),0)</f>
        <v>560</v>
      </c>
      <c r="W122" s="61">
        <f>IFERROR(VLOOKUP($A119,Sales!$A:U,W$2,0),0)</f>
        <v>560</v>
      </c>
      <c r="X122" s="61">
        <f>IFERROR(VLOOKUP($A119,Sales!$A:V,X$2,0),0)</f>
        <v>560</v>
      </c>
      <c r="Y122" s="61">
        <f>IFERROR(VLOOKUP($A119,Sales!$A:W,Y$2,0),0)</f>
        <v>320</v>
      </c>
      <c r="Z122" s="61">
        <f>IFERROR(VLOOKUP($A119,Sales!$A:X,Z$2,0),0)</f>
        <v>320</v>
      </c>
      <c r="AA122" s="61">
        <f>IFERROR(VLOOKUP($A119,Sales!$A:Y,AA$2,0),0)</f>
        <v>320</v>
      </c>
      <c r="AB122" s="61">
        <f>IFERROR(VLOOKUP($A119,Sales!$A:Z,AB$2,0),0)</f>
        <v>320</v>
      </c>
      <c r="AC122" s="61">
        <f>IFERROR(VLOOKUP($A119,Sales!$A:AA,AC$2,0),0)</f>
        <v>530</v>
      </c>
      <c r="AD122" s="61">
        <f>IFERROR(VLOOKUP($A119,Sales!$A:AB,AD$2,0),0)</f>
        <v>530</v>
      </c>
      <c r="AE122" s="61">
        <f>IFERROR(VLOOKUP($A119,Sales!$A:AC,AE$2,0),0)</f>
        <v>530</v>
      </c>
      <c r="AF122" s="61">
        <f>IFERROR(VLOOKUP($A119,Sales!$A:AD,AF$2,0),0)</f>
        <v>530</v>
      </c>
      <c r="AG122" s="61">
        <f>IFERROR(VLOOKUP($A119,Sales!$A:AE,AG$2,0),0)</f>
        <v>520</v>
      </c>
      <c r="AH122" s="61">
        <f>IFERROR(VLOOKUP($A119,Sales!$A:AF,AH$2,0),0)</f>
        <v>520</v>
      </c>
      <c r="AI122" s="61">
        <f>IFERROR(VLOOKUP($A119,Sales!$A:AG,AI$2,0),0)</f>
        <v>520</v>
      </c>
      <c r="AJ122" s="61">
        <f>IFERROR(VLOOKUP($A119,Sales!$A:AH,AJ$2,0),0)</f>
        <v>0</v>
      </c>
      <c r="AK122" s="74">
        <f t="shared" ref="AK122:CC122" si="201">CEILING(AK$5*$B118,1)</f>
        <v>0</v>
      </c>
      <c r="AL122" s="74">
        <f t="shared" si="201"/>
        <v>0</v>
      </c>
      <c r="AM122" s="74">
        <f t="shared" si="201"/>
        <v>0</v>
      </c>
      <c r="AN122" s="74">
        <f t="shared" si="201"/>
        <v>363</v>
      </c>
      <c r="AO122" s="74">
        <f t="shared" si="201"/>
        <v>363</v>
      </c>
      <c r="AP122" s="74">
        <f t="shared" si="201"/>
        <v>363</v>
      </c>
      <c r="AQ122" s="74">
        <f t="shared" si="201"/>
        <v>438</v>
      </c>
      <c r="AR122" s="74">
        <f t="shared" si="201"/>
        <v>438</v>
      </c>
      <c r="AS122" s="74">
        <f t="shared" si="201"/>
        <v>351</v>
      </c>
      <c r="AT122" s="74">
        <f t="shared" si="201"/>
        <v>438</v>
      </c>
      <c r="AU122" s="74">
        <f t="shared" si="201"/>
        <v>416</v>
      </c>
      <c r="AV122" s="74">
        <f t="shared" si="201"/>
        <v>416</v>
      </c>
      <c r="AW122" s="74">
        <f t="shared" si="201"/>
        <v>416</v>
      </c>
      <c r="AX122" s="74">
        <f t="shared" si="201"/>
        <v>416</v>
      </c>
      <c r="AY122" s="74">
        <f t="shared" si="201"/>
        <v>333</v>
      </c>
      <c r="AZ122" s="74">
        <f t="shared" si="201"/>
        <v>297</v>
      </c>
      <c r="BA122" s="74">
        <f t="shared" si="201"/>
        <v>297</v>
      </c>
      <c r="BB122" s="74">
        <f t="shared" si="201"/>
        <v>297</v>
      </c>
      <c r="BC122" s="74">
        <f t="shared" si="201"/>
        <v>333</v>
      </c>
      <c r="BD122" s="74">
        <f t="shared" si="201"/>
        <v>333</v>
      </c>
      <c r="BE122" s="74">
        <f t="shared" si="201"/>
        <v>333</v>
      </c>
      <c r="BF122" s="74">
        <f t="shared" si="201"/>
        <v>333</v>
      </c>
      <c r="BG122" s="74">
        <f t="shared" si="201"/>
        <v>333</v>
      </c>
      <c r="BH122" s="74">
        <f t="shared" si="201"/>
        <v>333</v>
      </c>
      <c r="BI122" s="74">
        <f t="shared" si="201"/>
        <v>333</v>
      </c>
      <c r="BJ122" s="74">
        <f t="shared" si="201"/>
        <v>333</v>
      </c>
      <c r="BK122" s="74">
        <f t="shared" si="201"/>
        <v>333</v>
      </c>
      <c r="BL122" s="74">
        <f t="shared" si="201"/>
        <v>331</v>
      </c>
      <c r="BM122" s="74">
        <f t="shared" si="201"/>
        <v>331</v>
      </c>
      <c r="BN122" s="74">
        <f t="shared" si="201"/>
        <v>605</v>
      </c>
      <c r="BO122" s="74">
        <f t="shared" si="201"/>
        <v>0</v>
      </c>
      <c r="BP122" s="74">
        <f t="shared" si="201"/>
        <v>0</v>
      </c>
      <c r="BQ122" s="74">
        <f t="shared" si="201"/>
        <v>0</v>
      </c>
      <c r="BR122" s="74">
        <f t="shared" si="201"/>
        <v>0</v>
      </c>
      <c r="BS122" s="74">
        <f t="shared" si="201"/>
        <v>274</v>
      </c>
      <c r="BT122" s="74">
        <f t="shared" si="201"/>
        <v>274</v>
      </c>
      <c r="BU122" s="74">
        <f t="shared" si="201"/>
        <v>274</v>
      </c>
      <c r="BV122" s="74">
        <f t="shared" si="201"/>
        <v>274</v>
      </c>
      <c r="BW122" s="74">
        <f t="shared" si="201"/>
        <v>274</v>
      </c>
      <c r="BX122" s="74">
        <f t="shared" si="201"/>
        <v>274</v>
      </c>
      <c r="BY122" s="74">
        <f t="shared" si="201"/>
        <v>274</v>
      </c>
      <c r="BZ122" s="74">
        <f t="shared" si="201"/>
        <v>274</v>
      </c>
      <c r="CA122" s="74">
        <f t="shared" si="201"/>
        <v>274</v>
      </c>
      <c r="CB122" s="74">
        <f t="shared" si="201"/>
        <v>274</v>
      </c>
      <c r="CC122" s="74">
        <f t="shared" si="201"/>
        <v>274</v>
      </c>
    </row>
    <row r="123" spans="1:81" x14ac:dyDescent="0.2">
      <c r="A123" s="5" t="s">
        <v>214</v>
      </c>
      <c r="B123" s="5">
        <v>0.43</v>
      </c>
      <c r="C123" s="46" t="s">
        <v>215</v>
      </c>
      <c r="D123" s="11">
        <f t="shared" ref="D123:AI123" si="202">IF(D122=0,0, ROUND(D119 * 1/D122* D$13,1))</f>
        <v>0</v>
      </c>
      <c r="E123" s="11">
        <f t="shared" si="202"/>
        <v>24.9</v>
      </c>
      <c r="F123" s="11">
        <f t="shared" si="202"/>
        <v>0</v>
      </c>
      <c r="G123" s="11">
        <f t="shared" si="202"/>
        <v>39.799999999999997</v>
      </c>
      <c r="H123" s="11">
        <f t="shared" si="202"/>
        <v>29</v>
      </c>
      <c r="I123" s="11">
        <f t="shared" si="202"/>
        <v>28.8</v>
      </c>
      <c r="J123" s="11">
        <f t="shared" si="202"/>
        <v>23.8</v>
      </c>
      <c r="K123" s="11">
        <f t="shared" si="202"/>
        <v>15.6</v>
      </c>
      <c r="L123" s="11">
        <f t="shared" si="202"/>
        <v>7.1</v>
      </c>
      <c r="M123" s="11">
        <f t="shared" si="202"/>
        <v>1.4</v>
      </c>
      <c r="N123" s="11">
        <f t="shared" si="202"/>
        <v>0</v>
      </c>
      <c r="O123" s="11">
        <f t="shared" si="202"/>
        <v>0</v>
      </c>
      <c r="P123" s="11">
        <f t="shared" si="202"/>
        <v>0</v>
      </c>
      <c r="Q123" s="11">
        <f t="shared" si="202"/>
        <v>0</v>
      </c>
      <c r="R123" s="11">
        <f t="shared" si="202"/>
        <v>-5.8</v>
      </c>
      <c r="S123" s="11">
        <f t="shared" si="202"/>
        <v>-12.3</v>
      </c>
      <c r="T123" s="11">
        <f t="shared" si="202"/>
        <v>-17.3</v>
      </c>
      <c r="U123" s="11">
        <f t="shared" si="202"/>
        <v>-22.3</v>
      </c>
      <c r="V123" s="11">
        <f t="shared" si="202"/>
        <v>-27.3</v>
      </c>
      <c r="W123" s="11">
        <f t="shared" si="202"/>
        <v>-32.299999999999997</v>
      </c>
      <c r="X123" s="11">
        <f t="shared" si="202"/>
        <v>-37.299999999999997</v>
      </c>
      <c r="Y123" s="11">
        <f t="shared" si="202"/>
        <v>-74.099999999999994</v>
      </c>
      <c r="Z123" s="11">
        <f t="shared" si="202"/>
        <v>-79.099999999999994</v>
      </c>
      <c r="AA123" s="11">
        <f t="shared" si="202"/>
        <v>-84.1</v>
      </c>
      <c r="AB123" s="11">
        <f t="shared" si="202"/>
        <v>-89.1</v>
      </c>
      <c r="AC123" s="11">
        <f t="shared" si="202"/>
        <v>-56.8</v>
      </c>
      <c r="AD123" s="11">
        <f t="shared" si="202"/>
        <v>-61.8</v>
      </c>
      <c r="AE123" s="11">
        <f t="shared" si="202"/>
        <v>-66.8</v>
      </c>
      <c r="AF123" s="11">
        <f t="shared" si="202"/>
        <v>-71.8</v>
      </c>
      <c r="AG123" s="11">
        <f t="shared" si="202"/>
        <v>-78.3</v>
      </c>
      <c r="AH123" s="11">
        <f t="shared" si="202"/>
        <v>-83.3</v>
      </c>
      <c r="AI123" s="11">
        <f t="shared" si="202"/>
        <v>-88.3</v>
      </c>
      <c r="AJ123" s="11">
        <f t="shared" ref="AJ123:BO123" si="203">IF(AJ122=0,0, ROUND(AJ119 * 1/AJ122* AJ$13,1))</f>
        <v>0</v>
      </c>
      <c r="AK123" s="11">
        <f t="shared" si="203"/>
        <v>0</v>
      </c>
      <c r="AL123" s="11">
        <f t="shared" si="203"/>
        <v>0</v>
      </c>
      <c r="AM123" s="11">
        <f t="shared" si="203"/>
        <v>0</v>
      </c>
      <c r="AN123" s="11">
        <f t="shared" si="203"/>
        <v>-133.6</v>
      </c>
      <c r="AO123" s="11">
        <f t="shared" si="203"/>
        <v>-138.6</v>
      </c>
      <c r="AP123" s="11">
        <f t="shared" si="203"/>
        <v>-143.6</v>
      </c>
      <c r="AQ123" s="11">
        <f t="shared" si="203"/>
        <v>-123.2</v>
      </c>
      <c r="AR123" s="11">
        <f t="shared" si="203"/>
        <v>-128.19999999999999</v>
      </c>
      <c r="AS123" s="11">
        <f t="shared" si="203"/>
        <v>-166.2</v>
      </c>
      <c r="AT123" s="11">
        <f t="shared" si="203"/>
        <v>-137.19999999999999</v>
      </c>
      <c r="AU123" s="11">
        <f t="shared" si="203"/>
        <v>-149.69999999999999</v>
      </c>
      <c r="AV123" s="11">
        <f t="shared" si="203"/>
        <v>-154.69999999999999</v>
      </c>
      <c r="AW123" s="11">
        <f t="shared" si="203"/>
        <v>-159.69999999999999</v>
      </c>
      <c r="AX123" s="11">
        <f t="shared" si="203"/>
        <v>-164.7</v>
      </c>
      <c r="AY123" s="11">
        <f t="shared" si="203"/>
        <v>-212</v>
      </c>
      <c r="AZ123" s="11">
        <f t="shared" si="203"/>
        <v>-243.3</v>
      </c>
      <c r="BA123" s="11">
        <f t="shared" si="203"/>
        <v>-248.3</v>
      </c>
      <c r="BB123" s="11">
        <f t="shared" si="203"/>
        <v>-253.3</v>
      </c>
      <c r="BC123" s="11">
        <f t="shared" si="203"/>
        <v>-230.4</v>
      </c>
      <c r="BD123" s="11">
        <f t="shared" si="203"/>
        <v>-235.4</v>
      </c>
      <c r="BE123" s="11">
        <f t="shared" si="203"/>
        <v>-240.4</v>
      </c>
      <c r="BF123" s="11">
        <f t="shared" si="203"/>
        <v>-245.4</v>
      </c>
      <c r="BG123" s="11">
        <f t="shared" si="203"/>
        <v>-250.4</v>
      </c>
      <c r="BH123" s="11">
        <f t="shared" si="203"/>
        <v>-255.4</v>
      </c>
      <c r="BI123" s="11">
        <f t="shared" si="203"/>
        <v>-260.39999999999998</v>
      </c>
      <c r="BJ123" s="11">
        <f t="shared" si="203"/>
        <v>-265.39999999999998</v>
      </c>
      <c r="BK123" s="11">
        <f t="shared" si="203"/>
        <v>-270.39999999999998</v>
      </c>
      <c r="BL123" s="11">
        <f t="shared" si="203"/>
        <v>-277</v>
      </c>
      <c r="BM123" s="11">
        <f t="shared" si="203"/>
        <v>-282</v>
      </c>
      <c r="BN123" s="11">
        <f t="shared" si="203"/>
        <v>-157</v>
      </c>
      <c r="BO123" s="11">
        <f t="shared" si="203"/>
        <v>0</v>
      </c>
      <c r="BP123" s="11">
        <f t="shared" ref="BP123:CC123" si="204">IF(BP122=0,0, ROUND(BP119 * 1/BP122* BP$13,1))</f>
        <v>0</v>
      </c>
      <c r="BQ123" s="11">
        <f t="shared" si="204"/>
        <v>0</v>
      </c>
      <c r="BR123" s="11">
        <f t="shared" si="204"/>
        <v>0</v>
      </c>
      <c r="BS123" s="11">
        <f t="shared" si="204"/>
        <v>-357.8</v>
      </c>
      <c r="BT123" s="11">
        <f t="shared" si="204"/>
        <v>-362.8</v>
      </c>
      <c r="BU123" s="11">
        <f t="shared" si="204"/>
        <v>-367.8</v>
      </c>
      <c r="BV123" s="11">
        <f t="shared" si="204"/>
        <v>-372.8</v>
      </c>
      <c r="BW123" s="11">
        <f t="shared" si="204"/>
        <v>-377.8</v>
      </c>
      <c r="BX123" s="11">
        <f t="shared" si="204"/>
        <v>-382.8</v>
      </c>
      <c r="BY123" s="11">
        <f t="shared" si="204"/>
        <v>-387.8</v>
      </c>
      <c r="BZ123" s="11">
        <f t="shared" si="204"/>
        <v>-392.8</v>
      </c>
      <c r="CA123" s="11">
        <f t="shared" si="204"/>
        <v>-397.8</v>
      </c>
      <c r="CB123" s="11">
        <f t="shared" si="204"/>
        <v>-402.8</v>
      </c>
      <c r="CC123" s="11">
        <f t="shared" si="204"/>
        <v>-407.8</v>
      </c>
    </row>
    <row r="124" spans="1:81" x14ac:dyDescent="0.2">
      <c r="A124">
        <v>47</v>
      </c>
      <c r="B124">
        <v>1</v>
      </c>
      <c r="C124" s="8">
        <v>8.7756699999999999</v>
      </c>
      <c r="D124">
        <f t="shared" ref="D124:AI124" si="205">D121/$B124</f>
        <v>0</v>
      </c>
      <c r="E124">
        <f t="shared" si="205"/>
        <v>0</v>
      </c>
      <c r="F124">
        <f t="shared" si="205"/>
        <v>0</v>
      </c>
      <c r="G124">
        <f t="shared" si="205"/>
        <v>0</v>
      </c>
      <c r="H124">
        <f t="shared" si="205"/>
        <v>0</v>
      </c>
      <c r="I124">
        <f t="shared" si="205"/>
        <v>0</v>
      </c>
      <c r="J124">
        <f t="shared" si="205"/>
        <v>0</v>
      </c>
      <c r="K124">
        <f t="shared" si="205"/>
        <v>0</v>
      </c>
      <c r="L124">
        <f t="shared" si="205"/>
        <v>0</v>
      </c>
      <c r="M124">
        <f t="shared" si="205"/>
        <v>0</v>
      </c>
      <c r="N124">
        <f t="shared" si="205"/>
        <v>0</v>
      </c>
      <c r="O124">
        <f t="shared" si="205"/>
        <v>0</v>
      </c>
      <c r="P124">
        <f t="shared" si="205"/>
        <v>0</v>
      </c>
      <c r="Q124">
        <f t="shared" si="205"/>
        <v>0</v>
      </c>
      <c r="R124">
        <f t="shared" si="205"/>
        <v>0</v>
      </c>
      <c r="S124">
        <f t="shared" si="205"/>
        <v>0</v>
      </c>
      <c r="T124">
        <f t="shared" si="205"/>
        <v>0</v>
      </c>
      <c r="U124">
        <f t="shared" si="205"/>
        <v>0</v>
      </c>
      <c r="V124">
        <f t="shared" si="205"/>
        <v>0</v>
      </c>
      <c r="W124">
        <f t="shared" si="205"/>
        <v>0</v>
      </c>
      <c r="X124">
        <f t="shared" si="205"/>
        <v>0</v>
      </c>
      <c r="Y124">
        <f t="shared" si="205"/>
        <v>0</v>
      </c>
      <c r="Z124">
        <f t="shared" si="205"/>
        <v>0</v>
      </c>
      <c r="AA124">
        <f t="shared" si="205"/>
        <v>0</v>
      </c>
      <c r="AB124">
        <f t="shared" si="205"/>
        <v>0</v>
      </c>
      <c r="AC124">
        <f t="shared" si="205"/>
        <v>0</v>
      </c>
      <c r="AD124">
        <f t="shared" si="205"/>
        <v>0</v>
      </c>
      <c r="AE124">
        <f t="shared" si="205"/>
        <v>0</v>
      </c>
      <c r="AF124">
        <f t="shared" si="205"/>
        <v>0</v>
      </c>
      <c r="AG124">
        <f t="shared" si="205"/>
        <v>0</v>
      </c>
      <c r="AH124">
        <f t="shared" si="205"/>
        <v>0</v>
      </c>
      <c r="AI124">
        <f t="shared" si="205"/>
        <v>0</v>
      </c>
      <c r="AJ124">
        <f t="shared" ref="AJ124:BO124" si="206">AJ121/$B124</f>
        <v>0</v>
      </c>
      <c r="AK124">
        <f t="shared" si="206"/>
        <v>0</v>
      </c>
      <c r="AL124">
        <f t="shared" si="206"/>
        <v>0</v>
      </c>
      <c r="AM124">
        <f t="shared" si="206"/>
        <v>0</v>
      </c>
      <c r="AN124">
        <f t="shared" si="206"/>
        <v>0</v>
      </c>
      <c r="AO124">
        <f t="shared" si="206"/>
        <v>0</v>
      </c>
      <c r="AP124">
        <f t="shared" si="206"/>
        <v>0</v>
      </c>
      <c r="AQ124">
        <f t="shared" si="206"/>
        <v>0</v>
      </c>
      <c r="AR124">
        <f t="shared" si="206"/>
        <v>0</v>
      </c>
      <c r="AS124">
        <f t="shared" si="206"/>
        <v>0</v>
      </c>
      <c r="AT124">
        <f t="shared" si="206"/>
        <v>0</v>
      </c>
      <c r="AU124">
        <f t="shared" si="206"/>
        <v>0</v>
      </c>
      <c r="AV124">
        <f t="shared" si="206"/>
        <v>0</v>
      </c>
      <c r="AW124">
        <f t="shared" si="206"/>
        <v>0</v>
      </c>
      <c r="AX124">
        <f t="shared" si="206"/>
        <v>0</v>
      </c>
      <c r="AY124">
        <f t="shared" si="206"/>
        <v>0</v>
      </c>
      <c r="AZ124">
        <f t="shared" si="206"/>
        <v>0</v>
      </c>
      <c r="BA124">
        <f t="shared" si="206"/>
        <v>0</v>
      </c>
      <c r="BB124">
        <f t="shared" si="206"/>
        <v>0</v>
      </c>
      <c r="BC124">
        <f t="shared" si="206"/>
        <v>0</v>
      </c>
      <c r="BD124">
        <f t="shared" si="206"/>
        <v>0</v>
      </c>
      <c r="BE124">
        <f t="shared" si="206"/>
        <v>0</v>
      </c>
      <c r="BF124">
        <f t="shared" si="206"/>
        <v>0</v>
      </c>
      <c r="BG124">
        <f t="shared" si="206"/>
        <v>0</v>
      </c>
      <c r="BH124">
        <f t="shared" si="206"/>
        <v>0</v>
      </c>
      <c r="BI124">
        <f t="shared" si="206"/>
        <v>0</v>
      </c>
      <c r="BJ124">
        <f t="shared" si="206"/>
        <v>0</v>
      </c>
      <c r="BK124">
        <f t="shared" si="206"/>
        <v>0</v>
      </c>
      <c r="BL124">
        <f t="shared" si="206"/>
        <v>0</v>
      </c>
      <c r="BM124">
        <f t="shared" si="206"/>
        <v>0</v>
      </c>
      <c r="BN124">
        <f t="shared" si="206"/>
        <v>0</v>
      </c>
      <c r="BO124">
        <f t="shared" si="206"/>
        <v>0</v>
      </c>
      <c r="BP124">
        <f t="shared" ref="BP124:CC124" si="207">BP121/$B124</f>
        <v>0</v>
      </c>
      <c r="BQ124">
        <f t="shared" si="207"/>
        <v>0</v>
      </c>
      <c r="BR124">
        <f t="shared" si="207"/>
        <v>0</v>
      </c>
      <c r="BS124">
        <f t="shared" si="207"/>
        <v>0</v>
      </c>
      <c r="BT124">
        <f t="shared" si="207"/>
        <v>0</v>
      </c>
      <c r="BU124">
        <f t="shared" si="207"/>
        <v>0</v>
      </c>
      <c r="BV124">
        <f t="shared" si="207"/>
        <v>0</v>
      </c>
      <c r="BW124">
        <f t="shared" si="207"/>
        <v>0</v>
      </c>
      <c r="BX124">
        <f t="shared" si="207"/>
        <v>0</v>
      </c>
      <c r="BY124">
        <f t="shared" si="207"/>
        <v>0</v>
      </c>
      <c r="BZ124">
        <f t="shared" si="207"/>
        <v>0</v>
      </c>
      <c r="CA124">
        <f t="shared" si="207"/>
        <v>0</v>
      </c>
      <c r="CB124">
        <f t="shared" si="207"/>
        <v>0</v>
      </c>
      <c r="CC124">
        <f t="shared" si="207"/>
        <v>0</v>
      </c>
    </row>
    <row r="125" spans="1:81" x14ac:dyDescent="0.2">
      <c r="B125" s="67">
        <f>SUM(D129:AJ129)/SUM($D$263:$AJ$263)</f>
        <v>7.8265633560303674E-4</v>
      </c>
      <c r="C125" s="9" t="s">
        <v>216</v>
      </c>
      <c r="D125">
        <f t="shared" ref="D125:AI125" si="208">D119-D122</f>
        <v>2940</v>
      </c>
      <c r="E125">
        <f t="shared" si="208"/>
        <v>3180</v>
      </c>
      <c r="F125">
        <f t="shared" si="208"/>
        <v>3180</v>
      </c>
      <c r="G125">
        <f t="shared" si="208"/>
        <v>2780</v>
      </c>
      <c r="H125">
        <f t="shared" si="208"/>
        <v>2300</v>
      </c>
      <c r="I125">
        <f t="shared" si="208"/>
        <v>1900</v>
      </c>
      <c r="J125">
        <f t="shared" si="208"/>
        <v>1500</v>
      </c>
      <c r="K125">
        <f t="shared" si="208"/>
        <v>1020</v>
      </c>
      <c r="L125">
        <f t="shared" si="208"/>
        <v>300</v>
      </c>
      <c r="M125">
        <f t="shared" si="208"/>
        <v>-740</v>
      </c>
      <c r="N125">
        <f t="shared" si="208"/>
        <v>-740</v>
      </c>
      <c r="O125">
        <f t="shared" si="208"/>
        <v>-740</v>
      </c>
      <c r="P125">
        <f t="shared" si="208"/>
        <v>-740</v>
      </c>
      <c r="Q125">
        <f t="shared" si="208"/>
        <v>-740</v>
      </c>
      <c r="R125">
        <f t="shared" si="208"/>
        <v>-1380</v>
      </c>
      <c r="S125">
        <f t="shared" si="208"/>
        <v>-1940</v>
      </c>
      <c r="T125">
        <f t="shared" si="208"/>
        <v>-2500</v>
      </c>
      <c r="U125">
        <f t="shared" si="208"/>
        <v>-3060</v>
      </c>
      <c r="V125">
        <f t="shared" si="208"/>
        <v>-3620</v>
      </c>
      <c r="W125">
        <f t="shared" si="208"/>
        <v>-4180</v>
      </c>
      <c r="X125">
        <f t="shared" si="208"/>
        <v>-4740</v>
      </c>
      <c r="Y125">
        <f t="shared" si="208"/>
        <v>-5060</v>
      </c>
      <c r="Z125">
        <f t="shared" si="208"/>
        <v>-5380</v>
      </c>
      <c r="AA125">
        <f t="shared" si="208"/>
        <v>-5700</v>
      </c>
      <c r="AB125">
        <f t="shared" si="208"/>
        <v>-6020</v>
      </c>
      <c r="AC125">
        <f t="shared" si="208"/>
        <v>-6550</v>
      </c>
      <c r="AD125">
        <f t="shared" si="208"/>
        <v>-7080</v>
      </c>
      <c r="AE125">
        <f t="shared" si="208"/>
        <v>-7610</v>
      </c>
      <c r="AF125">
        <f t="shared" si="208"/>
        <v>-8140</v>
      </c>
      <c r="AG125">
        <f t="shared" si="208"/>
        <v>-8660</v>
      </c>
      <c r="AH125">
        <f t="shared" si="208"/>
        <v>-9180</v>
      </c>
      <c r="AI125">
        <f t="shared" si="208"/>
        <v>-9700</v>
      </c>
      <c r="AJ125">
        <f t="shared" ref="AJ125:BO125" si="209">AJ119-AJ122</f>
        <v>-9700</v>
      </c>
      <c r="AK125">
        <f t="shared" si="209"/>
        <v>-9700</v>
      </c>
      <c r="AL125">
        <f t="shared" si="209"/>
        <v>-9700</v>
      </c>
      <c r="AM125">
        <f t="shared" si="209"/>
        <v>-9700</v>
      </c>
      <c r="AN125">
        <f t="shared" si="209"/>
        <v>-10063</v>
      </c>
      <c r="AO125">
        <f t="shared" si="209"/>
        <v>-10426</v>
      </c>
      <c r="AP125">
        <f t="shared" si="209"/>
        <v>-10789</v>
      </c>
      <c r="AQ125">
        <f t="shared" si="209"/>
        <v>-11227</v>
      </c>
      <c r="AR125">
        <f t="shared" si="209"/>
        <v>-11665</v>
      </c>
      <c r="AS125">
        <f t="shared" si="209"/>
        <v>-12016</v>
      </c>
      <c r="AT125">
        <f t="shared" si="209"/>
        <v>-12454</v>
      </c>
      <c r="AU125">
        <f t="shared" si="209"/>
        <v>-12870</v>
      </c>
      <c r="AV125">
        <f t="shared" si="209"/>
        <v>-13286</v>
      </c>
      <c r="AW125">
        <f t="shared" si="209"/>
        <v>-13702</v>
      </c>
      <c r="AX125">
        <f t="shared" si="209"/>
        <v>-14118</v>
      </c>
      <c r="AY125">
        <f t="shared" si="209"/>
        <v>-14451</v>
      </c>
      <c r="AZ125">
        <f t="shared" si="209"/>
        <v>-14748</v>
      </c>
      <c r="BA125">
        <f t="shared" si="209"/>
        <v>-15045</v>
      </c>
      <c r="BB125">
        <f t="shared" si="209"/>
        <v>-15342</v>
      </c>
      <c r="BC125">
        <f t="shared" si="209"/>
        <v>-15675</v>
      </c>
      <c r="BD125">
        <f t="shared" si="209"/>
        <v>-16008</v>
      </c>
      <c r="BE125">
        <f t="shared" si="209"/>
        <v>-16341</v>
      </c>
      <c r="BF125">
        <f t="shared" si="209"/>
        <v>-16674</v>
      </c>
      <c r="BG125">
        <f t="shared" si="209"/>
        <v>-17007</v>
      </c>
      <c r="BH125">
        <f t="shared" si="209"/>
        <v>-17340</v>
      </c>
      <c r="BI125">
        <f t="shared" si="209"/>
        <v>-17673</v>
      </c>
      <c r="BJ125">
        <f t="shared" si="209"/>
        <v>-18006</v>
      </c>
      <c r="BK125">
        <f t="shared" si="209"/>
        <v>-18339</v>
      </c>
      <c r="BL125">
        <f t="shared" si="209"/>
        <v>-18670</v>
      </c>
      <c r="BM125">
        <f t="shared" si="209"/>
        <v>-19001</v>
      </c>
      <c r="BN125">
        <f t="shared" si="209"/>
        <v>-19606</v>
      </c>
      <c r="BO125">
        <f t="shared" si="209"/>
        <v>-19606</v>
      </c>
      <c r="BP125">
        <f t="shared" ref="BP125:CC125" si="210">BP119-BP122</f>
        <v>-19606</v>
      </c>
      <c r="BQ125">
        <f t="shared" si="210"/>
        <v>-19606</v>
      </c>
      <c r="BR125">
        <f t="shared" si="210"/>
        <v>-19606</v>
      </c>
      <c r="BS125">
        <f t="shared" si="210"/>
        <v>-19880</v>
      </c>
      <c r="BT125">
        <f t="shared" si="210"/>
        <v>-20154</v>
      </c>
      <c r="BU125">
        <f t="shared" si="210"/>
        <v>-20428</v>
      </c>
      <c r="BV125">
        <f t="shared" si="210"/>
        <v>-20702</v>
      </c>
      <c r="BW125">
        <f t="shared" si="210"/>
        <v>-20976</v>
      </c>
      <c r="BX125">
        <f t="shared" si="210"/>
        <v>-21250</v>
      </c>
      <c r="BY125">
        <f t="shared" si="210"/>
        <v>-21524</v>
      </c>
      <c r="BZ125">
        <f t="shared" si="210"/>
        <v>-21798</v>
      </c>
      <c r="CA125">
        <f t="shared" si="210"/>
        <v>-22072</v>
      </c>
      <c r="CB125">
        <f t="shared" si="210"/>
        <v>-22346</v>
      </c>
      <c r="CC125">
        <f t="shared" si="210"/>
        <v>-22620</v>
      </c>
    </row>
    <row r="126" spans="1:81" x14ac:dyDescent="0.2">
      <c r="A126" s="43" t="s">
        <v>305</v>
      </c>
      <c r="B126" s="44" t="s">
        <v>208</v>
      </c>
      <c r="C126" s="9" t="s">
        <v>38</v>
      </c>
      <c r="D126" s="58">
        <f>IFERROR(VLOOKUP(A126,OS!$A:$B,2,0),0)</f>
        <v>20</v>
      </c>
      <c r="E126" s="5">
        <f>(D126+D127-D129)</f>
        <v>20</v>
      </c>
      <c r="F126" s="5">
        <f>(E126+E127-E129)</f>
        <v>20</v>
      </c>
      <c r="G126" s="5">
        <f>(F126+F127-F129)</f>
        <v>20</v>
      </c>
      <c r="H126" s="5">
        <f>(G126+G127-G129)</f>
        <v>20</v>
      </c>
      <c r="I126" s="5">
        <f t="shared" ref="I126:AN126" si="211">(H126+H127-H129+D128)</f>
        <v>20</v>
      </c>
      <c r="J126" s="5">
        <f t="shared" si="211"/>
        <v>20</v>
      </c>
      <c r="K126" s="5">
        <f t="shared" si="211"/>
        <v>20</v>
      </c>
      <c r="L126" s="5">
        <f t="shared" si="211"/>
        <v>20</v>
      </c>
      <c r="M126" s="5">
        <f t="shared" si="211"/>
        <v>20</v>
      </c>
      <c r="N126" s="5">
        <f t="shared" si="211"/>
        <v>20</v>
      </c>
      <c r="O126" s="5">
        <f t="shared" si="211"/>
        <v>20</v>
      </c>
      <c r="P126" s="5">
        <f t="shared" si="211"/>
        <v>20</v>
      </c>
      <c r="Q126" s="5">
        <f t="shared" si="211"/>
        <v>20</v>
      </c>
      <c r="R126" s="5">
        <f t="shared" si="211"/>
        <v>20</v>
      </c>
      <c r="S126" s="5">
        <f t="shared" si="211"/>
        <v>20</v>
      </c>
      <c r="T126" s="5">
        <f t="shared" si="211"/>
        <v>20</v>
      </c>
      <c r="U126" s="5">
        <f t="shared" si="211"/>
        <v>20</v>
      </c>
      <c r="V126" s="5">
        <f t="shared" si="211"/>
        <v>20</v>
      </c>
      <c r="W126" s="5">
        <f t="shared" si="211"/>
        <v>20</v>
      </c>
      <c r="X126" s="5">
        <f t="shared" si="211"/>
        <v>20</v>
      </c>
      <c r="Y126" s="5">
        <f t="shared" si="211"/>
        <v>20</v>
      </c>
      <c r="Z126" s="5">
        <f t="shared" si="211"/>
        <v>20</v>
      </c>
      <c r="AA126" s="5">
        <f t="shared" si="211"/>
        <v>20</v>
      </c>
      <c r="AB126" s="5">
        <f t="shared" si="211"/>
        <v>20</v>
      </c>
      <c r="AC126" s="5">
        <f t="shared" si="211"/>
        <v>20</v>
      </c>
      <c r="AD126" s="5">
        <f t="shared" si="211"/>
        <v>0</v>
      </c>
      <c r="AE126" s="5">
        <f t="shared" si="211"/>
        <v>-20</v>
      </c>
      <c r="AF126" s="5">
        <f t="shared" si="211"/>
        <v>-40</v>
      </c>
      <c r="AG126" s="5">
        <f t="shared" si="211"/>
        <v>-60</v>
      </c>
      <c r="AH126" s="5">
        <f t="shared" si="211"/>
        <v>-60</v>
      </c>
      <c r="AI126" s="5">
        <f t="shared" si="211"/>
        <v>-60</v>
      </c>
      <c r="AJ126" s="5">
        <f t="shared" si="211"/>
        <v>-60</v>
      </c>
      <c r="AK126" s="5">
        <f t="shared" si="211"/>
        <v>-60</v>
      </c>
      <c r="AL126" s="5">
        <f t="shared" si="211"/>
        <v>-60</v>
      </c>
      <c r="AM126" s="5">
        <f t="shared" si="211"/>
        <v>-60</v>
      </c>
      <c r="AN126" s="5">
        <f t="shared" si="211"/>
        <v>-60</v>
      </c>
      <c r="AO126" s="5">
        <f t="shared" ref="AO126:BT126" si="212">(AN126+AN127-AN129+AJ128)</f>
        <v>-63</v>
      </c>
      <c r="AP126" s="5">
        <f t="shared" si="212"/>
        <v>-66</v>
      </c>
      <c r="AQ126" s="5">
        <f t="shared" si="212"/>
        <v>-69</v>
      </c>
      <c r="AR126" s="5">
        <f t="shared" si="212"/>
        <v>-72</v>
      </c>
      <c r="AS126" s="5">
        <f t="shared" si="212"/>
        <v>-75</v>
      </c>
      <c r="AT126" s="5">
        <f t="shared" si="212"/>
        <v>-78</v>
      </c>
      <c r="AU126" s="5">
        <f t="shared" si="212"/>
        <v>-81</v>
      </c>
      <c r="AV126" s="5">
        <f t="shared" si="212"/>
        <v>-84</v>
      </c>
      <c r="AW126" s="5">
        <f t="shared" si="212"/>
        <v>-87</v>
      </c>
      <c r="AX126" s="5">
        <f t="shared" si="212"/>
        <v>-90</v>
      </c>
      <c r="AY126" s="5">
        <f t="shared" si="212"/>
        <v>-93</v>
      </c>
      <c r="AZ126" s="5">
        <f t="shared" si="212"/>
        <v>-95</v>
      </c>
      <c r="BA126" s="5">
        <f t="shared" si="212"/>
        <v>-97</v>
      </c>
      <c r="BB126" s="5">
        <f t="shared" si="212"/>
        <v>-99</v>
      </c>
      <c r="BC126" s="5">
        <f t="shared" si="212"/>
        <v>-101</v>
      </c>
      <c r="BD126" s="5">
        <f t="shared" si="212"/>
        <v>-103</v>
      </c>
      <c r="BE126" s="5">
        <f t="shared" si="212"/>
        <v>-105</v>
      </c>
      <c r="BF126" s="5">
        <f t="shared" si="212"/>
        <v>-107</v>
      </c>
      <c r="BG126" s="5">
        <f t="shared" si="212"/>
        <v>-109</v>
      </c>
      <c r="BH126" s="5">
        <f t="shared" si="212"/>
        <v>-111</v>
      </c>
      <c r="BI126" s="5">
        <f t="shared" si="212"/>
        <v>-113</v>
      </c>
      <c r="BJ126" s="5">
        <f t="shared" si="212"/>
        <v>-115</v>
      </c>
      <c r="BK126" s="5">
        <f t="shared" si="212"/>
        <v>-117</v>
      </c>
      <c r="BL126" s="5">
        <f t="shared" si="212"/>
        <v>-119</v>
      </c>
      <c r="BM126" s="5">
        <f t="shared" si="212"/>
        <v>-121</v>
      </c>
      <c r="BN126" s="5">
        <f t="shared" si="212"/>
        <v>-123</v>
      </c>
      <c r="BO126" s="5">
        <f t="shared" si="212"/>
        <v>-127</v>
      </c>
      <c r="BP126" s="5">
        <f t="shared" si="212"/>
        <v>-127</v>
      </c>
      <c r="BQ126" s="5">
        <f t="shared" si="212"/>
        <v>-127</v>
      </c>
      <c r="BR126" s="5">
        <f t="shared" si="212"/>
        <v>-127</v>
      </c>
      <c r="BS126" s="5">
        <f t="shared" si="212"/>
        <v>-127</v>
      </c>
      <c r="BT126" s="5">
        <f t="shared" si="212"/>
        <v>-129</v>
      </c>
      <c r="BU126" s="5">
        <f t="shared" ref="BU126:CC126" si="213">(BT126+BT127-BT129+BP128)</f>
        <v>-131</v>
      </c>
      <c r="BV126" s="5">
        <f t="shared" si="213"/>
        <v>-133</v>
      </c>
      <c r="BW126" s="5">
        <f t="shared" si="213"/>
        <v>-135</v>
      </c>
      <c r="BX126" s="5">
        <f t="shared" si="213"/>
        <v>-137</v>
      </c>
      <c r="BY126" s="5">
        <f t="shared" si="213"/>
        <v>-139</v>
      </c>
      <c r="BZ126" s="5">
        <f t="shared" si="213"/>
        <v>-141</v>
      </c>
      <c r="CA126" s="5">
        <f t="shared" si="213"/>
        <v>-143</v>
      </c>
      <c r="CB126" s="5">
        <f t="shared" si="213"/>
        <v>-145</v>
      </c>
      <c r="CC126" s="5">
        <f t="shared" si="213"/>
        <v>-147</v>
      </c>
    </row>
    <row r="127" spans="1:81" x14ac:dyDescent="0.2">
      <c r="A127" s="5" t="s">
        <v>209</v>
      </c>
      <c r="B127" s="5">
        <v>10.04318</v>
      </c>
      <c r="C127" s="45" t="s">
        <v>39</v>
      </c>
      <c r="D127" s="59">
        <f>IFERROR(VLOOKUP(A126,WIP!$A:$B,2,0),0)</f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</row>
    <row r="128" spans="1:81" x14ac:dyDescent="0.2">
      <c r="A128" s="5" t="s">
        <v>210</v>
      </c>
      <c r="B128" s="5">
        <v>0.28499999999999998</v>
      </c>
      <c r="C128" s="9" t="s">
        <v>211</v>
      </c>
      <c r="D128" s="60">
        <f>IFERROR(VLOOKUP($A126,Plan!$A:B,D$4,0),0)</f>
        <v>0</v>
      </c>
      <c r="E128" s="60">
        <f>IFERROR(VLOOKUP($A126,Plan!$A:C,E$4,0),0)</f>
        <v>0</v>
      </c>
      <c r="F128" s="60">
        <f>IFERROR(VLOOKUP($A126,Plan!$A:D,F$4,0),0)</f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</row>
    <row r="129" spans="1:81" x14ac:dyDescent="0.2">
      <c r="A129" s="5" t="s">
        <v>212</v>
      </c>
      <c r="B129" s="5">
        <v>6.9000000000000006E-2</v>
      </c>
      <c r="C129" s="9" t="s">
        <v>213</v>
      </c>
      <c r="D129" s="61">
        <f>IFERROR(VLOOKUP($A126,Sales!$A:B,D$2,0),0)</f>
        <v>0</v>
      </c>
      <c r="E129" s="61">
        <f>IFERROR(VLOOKUP($A126,Sales!$A:C,E$2,0),0)</f>
        <v>0</v>
      </c>
      <c r="F129" s="61">
        <f>IFERROR(VLOOKUP($A126,Sales!$A:D,F$2,0),0)</f>
        <v>0</v>
      </c>
      <c r="G129" s="61">
        <f>IFERROR(VLOOKUP($A126,Sales!$A:E,G$2,0),0)</f>
        <v>0</v>
      </c>
      <c r="H129" s="61">
        <f>IFERROR(VLOOKUP($A126,Sales!$A:F,H$2,0),0)</f>
        <v>0</v>
      </c>
      <c r="I129" s="61">
        <f>IFERROR(VLOOKUP($A126,Sales!$A:G,I$2,0),0)</f>
        <v>0</v>
      </c>
      <c r="J129" s="61">
        <f>IFERROR(VLOOKUP($A126,Sales!$A:H,J$2,0),0)</f>
        <v>0</v>
      </c>
      <c r="K129" s="61">
        <f>IFERROR(VLOOKUP($A126,Sales!$A:I,K$2,0),0)</f>
        <v>0</v>
      </c>
      <c r="L129" s="61">
        <f>IFERROR(VLOOKUP($A126,Sales!$A:J,L$2,0),0)</f>
        <v>0</v>
      </c>
      <c r="M129" s="61">
        <f>IFERROR(VLOOKUP($A126,Sales!$A:K,M$2,0),0)</f>
        <v>0</v>
      </c>
      <c r="N129" s="61">
        <f>IFERROR(VLOOKUP($A126,Sales!$A:L,N$2,0),0)</f>
        <v>0</v>
      </c>
      <c r="O129" s="61">
        <f>IFERROR(VLOOKUP($A126,Sales!$A:M,O$2,0),0)</f>
        <v>0</v>
      </c>
      <c r="P129" s="61">
        <f>IFERROR(VLOOKUP($A126,Sales!$A:N,P$2,0),0)</f>
        <v>0</v>
      </c>
      <c r="Q129" s="61">
        <f>IFERROR(VLOOKUP($A126,Sales!$A:O,Q$2,0),0)</f>
        <v>0</v>
      </c>
      <c r="R129" s="61">
        <f>IFERROR(VLOOKUP($A126,Sales!$A:P,R$2,0),0)</f>
        <v>0</v>
      </c>
      <c r="S129" s="61">
        <f>IFERROR(VLOOKUP($A126,Sales!$A:Q,S$2,0),0)</f>
        <v>0</v>
      </c>
      <c r="T129" s="61">
        <f>IFERROR(VLOOKUP($A126,Sales!$A:R,T$2,0),0)</f>
        <v>0</v>
      </c>
      <c r="U129" s="61">
        <f>IFERROR(VLOOKUP($A126,Sales!$A:S,U$2,0),0)</f>
        <v>0</v>
      </c>
      <c r="V129" s="61">
        <f>IFERROR(VLOOKUP($A126,Sales!$A:T,V$2,0),0)</f>
        <v>0</v>
      </c>
      <c r="W129" s="61">
        <f>IFERROR(VLOOKUP($A126,Sales!$A:U,W$2,0),0)</f>
        <v>0</v>
      </c>
      <c r="X129" s="61">
        <f>IFERROR(VLOOKUP($A126,Sales!$A:V,X$2,0),0)</f>
        <v>0</v>
      </c>
      <c r="Y129" s="61">
        <f>IFERROR(VLOOKUP($A126,Sales!$A:W,Y$2,0),0)</f>
        <v>0</v>
      </c>
      <c r="Z129" s="61">
        <f>IFERROR(VLOOKUP($A126,Sales!$A:X,Z$2,0),0)</f>
        <v>0</v>
      </c>
      <c r="AA129" s="61">
        <f>IFERROR(VLOOKUP($A126,Sales!$A:Y,AA$2,0),0)</f>
        <v>0</v>
      </c>
      <c r="AB129" s="61">
        <f>IFERROR(VLOOKUP($A126,Sales!$A:Z,AB$2,0),0)</f>
        <v>0</v>
      </c>
      <c r="AC129" s="61">
        <f>IFERROR(VLOOKUP($A126,Sales!$A:AA,AC$2,0),0)</f>
        <v>20</v>
      </c>
      <c r="AD129" s="61">
        <f>IFERROR(VLOOKUP($A126,Sales!$A:AB,AD$2,0),0)</f>
        <v>20</v>
      </c>
      <c r="AE129" s="61">
        <f>IFERROR(VLOOKUP($A126,Sales!$A:AC,AE$2,0),0)</f>
        <v>20</v>
      </c>
      <c r="AF129" s="61">
        <f>IFERROR(VLOOKUP($A126,Sales!$A:AD,AF$2,0),0)</f>
        <v>20</v>
      </c>
      <c r="AG129" s="61">
        <f>IFERROR(VLOOKUP($A126,Sales!$A:AE,AG$2,0),0)</f>
        <v>0</v>
      </c>
      <c r="AH129" s="61">
        <f>IFERROR(VLOOKUP($A126,Sales!$A:AF,AH$2,0),0)</f>
        <v>0</v>
      </c>
      <c r="AI129" s="61">
        <f>IFERROR(VLOOKUP($A126,Sales!$A:AG,AI$2,0),0)</f>
        <v>0</v>
      </c>
      <c r="AJ129" s="61">
        <f>IFERROR(VLOOKUP($A126,Sales!$A:AH,AJ$2,0),0)</f>
        <v>0</v>
      </c>
      <c r="AK129" s="74">
        <f t="shared" ref="AK129:CC129" si="214">CEILING(AK$5*$B125,1)</f>
        <v>0</v>
      </c>
      <c r="AL129" s="74">
        <f t="shared" si="214"/>
        <v>0</v>
      </c>
      <c r="AM129" s="74">
        <f t="shared" si="214"/>
        <v>0</v>
      </c>
      <c r="AN129" s="74">
        <f t="shared" si="214"/>
        <v>3</v>
      </c>
      <c r="AO129" s="74">
        <f t="shared" si="214"/>
        <v>3</v>
      </c>
      <c r="AP129" s="74">
        <f t="shared" si="214"/>
        <v>3</v>
      </c>
      <c r="AQ129" s="74">
        <f t="shared" si="214"/>
        <v>3</v>
      </c>
      <c r="AR129" s="74">
        <f t="shared" si="214"/>
        <v>3</v>
      </c>
      <c r="AS129" s="74">
        <f t="shared" si="214"/>
        <v>3</v>
      </c>
      <c r="AT129" s="74">
        <f t="shared" si="214"/>
        <v>3</v>
      </c>
      <c r="AU129" s="74">
        <f t="shared" si="214"/>
        <v>3</v>
      </c>
      <c r="AV129" s="74">
        <f t="shared" si="214"/>
        <v>3</v>
      </c>
      <c r="AW129" s="74">
        <f t="shared" si="214"/>
        <v>3</v>
      </c>
      <c r="AX129" s="74">
        <f t="shared" si="214"/>
        <v>3</v>
      </c>
      <c r="AY129" s="74">
        <f t="shared" si="214"/>
        <v>2</v>
      </c>
      <c r="AZ129" s="74">
        <f t="shared" si="214"/>
        <v>2</v>
      </c>
      <c r="BA129" s="74">
        <f t="shared" si="214"/>
        <v>2</v>
      </c>
      <c r="BB129" s="74">
        <f t="shared" si="214"/>
        <v>2</v>
      </c>
      <c r="BC129" s="74">
        <f t="shared" si="214"/>
        <v>2</v>
      </c>
      <c r="BD129" s="74">
        <f t="shared" si="214"/>
        <v>2</v>
      </c>
      <c r="BE129" s="74">
        <f t="shared" si="214"/>
        <v>2</v>
      </c>
      <c r="BF129" s="74">
        <f t="shared" si="214"/>
        <v>2</v>
      </c>
      <c r="BG129" s="74">
        <f t="shared" si="214"/>
        <v>2</v>
      </c>
      <c r="BH129" s="74">
        <f t="shared" si="214"/>
        <v>2</v>
      </c>
      <c r="BI129" s="74">
        <f t="shared" si="214"/>
        <v>2</v>
      </c>
      <c r="BJ129" s="74">
        <f t="shared" si="214"/>
        <v>2</v>
      </c>
      <c r="BK129" s="74">
        <f t="shared" si="214"/>
        <v>2</v>
      </c>
      <c r="BL129" s="74">
        <f t="shared" si="214"/>
        <v>2</v>
      </c>
      <c r="BM129" s="74">
        <f t="shared" si="214"/>
        <v>2</v>
      </c>
      <c r="BN129" s="74">
        <f t="shared" si="214"/>
        <v>4</v>
      </c>
      <c r="BO129" s="74">
        <f t="shared" si="214"/>
        <v>0</v>
      </c>
      <c r="BP129" s="74">
        <f t="shared" si="214"/>
        <v>0</v>
      </c>
      <c r="BQ129" s="74">
        <f t="shared" si="214"/>
        <v>0</v>
      </c>
      <c r="BR129" s="74">
        <f t="shared" si="214"/>
        <v>0</v>
      </c>
      <c r="BS129" s="74">
        <f t="shared" si="214"/>
        <v>2</v>
      </c>
      <c r="BT129" s="74">
        <f t="shared" si="214"/>
        <v>2</v>
      </c>
      <c r="BU129" s="74">
        <f t="shared" si="214"/>
        <v>2</v>
      </c>
      <c r="BV129" s="74">
        <f t="shared" si="214"/>
        <v>2</v>
      </c>
      <c r="BW129" s="74">
        <f t="shared" si="214"/>
        <v>2</v>
      </c>
      <c r="BX129" s="74">
        <f t="shared" si="214"/>
        <v>2</v>
      </c>
      <c r="BY129" s="74">
        <f t="shared" si="214"/>
        <v>2</v>
      </c>
      <c r="BZ129" s="74">
        <f t="shared" si="214"/>
        <v>2</v>
      </c>
      <c r="CA129" s="74">
        <f t="shared" si="214"/>
        <v>2</v>
      </c>
      <c r="CB129" s="74">
        <f t="shared" si="214"/>
        <v>2</v>
      </c>
      <c r="CC129" s="74">
        <f t="shared" si="214"/>
        <v>2</v>
      </c>
    </row>
    <row r="130" spans="1:81" x14ac:dyDescent="0.2">
      <c r="A130" s="5" t="s">
        <v>214</v>
      </c>
      <c r="B130" s="5">
        <v>0.35399999999999998</v>
      </c>
      <c r="C130" s="46" t="s">
        <v>215</v>
      </c>
      <c r="D130" s="11">
        <f t="shared" ref="D130:AI130" si="215">IF(D129=0,0, ROUND(D126 * 1/D129* D$13,1))</f>
        <v>0</v>
      </c>
      <c r="E130" s="11">
        <f t="shared" si="215"/>
        <v>0</v>
      </c>
      <c r="F130" s="11">
        <f t="shared" si="215"/>
        <v>0</v>
      </c>
      <c r="G130" s="11">
        <f t="shared" si="215"/>
        <v>0</v>
      </c>
      <c r="H130" s="11">
        <f t="shared" si="215"/>
        <v>0</v>
      </c>
      <c r="I130" s="11">
        <f t="shared" si="215"/>
        <v>0</v>
      </c>
      <c r="J130" s="11">
        <f t="shared" si="215"/>
        <v>0</v>
      </c>
      <c r="K130" s="11">
        <f t="shared" si="215"/>
        <v>0</v>
      </c>
      <c r="L130" s="11">
        <f t="shared" si="215"/>
        <v>0</v>
      </c>
      <c r="M130" s="11">
        <f t="shared" si="215"/>
        <v>0</v>
      </c>
      <c r="N130" s="11">
        <f t="shared" si="215"/>
        <v>0</v>
      </c>
      <c r="O130" s="11">
        <f t="shared" si="215"/>
        <v>0</v>
      </c>
      <c r="P130" s="11">
        <f t="shared" si="215"/>
        <v>0</v>
      </c>
      <c r="Q130" s="11">
        <f t="shared" si="215"/>
        <v>0</v>
      </c>
      <c r="R130" s="11">
        <f t="shared" si="215"/>
        <v>0</v>
      </c>
      <c r="S130" s="11">
        <f t="shared" si="215"/>
        <v>0</v>
      </c>
      <c r="T130" s="11">
        <f t="shared" si="215"/>
        <v>0</v>
      </c>
      <c r="U130" s="11">
        <f t="shared" si="215"/>
        <v>0</v>
      </c>
      <c r="V130" s="11">
        <f t="shared" si="215"/>
        <v>0</v>
      </c>
      <c r="W130" s="11">
        <f t="shared" si="215"/>
        <v>0</v>
      </c>
      <c r="X130" s="11">
        <f t="shared" si="215"/>
        <v>0</v>
      </c>
      <c r="Y130" s="11">
        <f t="shared" si="215"/>
        <v>0</v>
      </c>
      <c r="Z130" s="11">
        <f t="shared" si="215"/>
        <v>0</v>
      </c>
      <c r="AA130" s="11">
        <f t="shared" si="215"/>
        <v>0</v>
      </c>
      <c r="AB130" s="11">
        <f t="shared" si="215"/>
        <v>0</v>
      </c>
      <c r="AC130" s="11">
        <f t="shared" si="215"/>
        <v>5</v>
      </c>
      <c r="AD130" s="11">
        <f t="shared" si="215"/>
        <v>0</v>
      </c>
      <c r="AE130" s="11">
        <f t="shared" si="215"/>
        <v>-5</v>
      </c>
      <c r="AF130" s="11">
        <f t="shared" si="215"/>
        <v>-10</v>
      </c>
      <c r="AG130" s="11">
        <f t="shared" si="215"/>
        <v>0</v>
      </c>
      <c r="AH130" s="11">
        <f t="shared" si="215"/>
        <v>0</v>
      </c>
      <c r="AI130" s="11">
        <f t="shared" si="215"/>
        <v>0</v>
      </c>
      <c r="AJ130" s="11">
        <f t="shared" ref="AJ130:BO130" si="216">IF(AJ129=0,0, ROUND(AJ126 * 1/AJ129* AJ$13,1))</f>
        <v>0</v>
      </c>
      <c r="AK130" s="11">
        <f t="shared" si="216"/>
        <v>0</v>
      </c>
      <c r="AL130" s="11">
        <f t="shared" si="216"/>
        <v>0</v>
      </c>
      <c r="AM130" s="11">
        <f t="shared" si="216"/>
        <v>0</v>
      </c>
      <c r="AN130" s="11">
        <f t="shared" si="216"/>
        <v>-100</v>
      </c>
      <c r="AO130" s="11">
        <f t="shared" si="216"/>
        <v>-105</v>
      </c>
      <c r="AP130" s="11">
        <f t="shared" si="216"/>
        <v>-110</v>
      </c>
      <c r="AQ130" s="11">
        <f t="shared" si="216"/>
        <v>-115</v>
      </c>
      <c r="AR130" s="11">
        <f t="shared" si="216"/>
        <v>-120</v>
      </c>
      <c r="AS130" s="11">
        <f t="shared" si="216"/>
        <v>-125</v>
      </c>
      <c r="AT130" s="11">
        <f t="shared" si="216"/>
        <v>-130</v>
      </c>
      <c r="AU130" s="11">
        <f t="shared" si="216"/>
        <v>-135</v>
      </c>
      <c r="AV130" s="11">
        <f t="shared" si="216"/>
        <v>-140</v>
      </c>
      <c r="AW130" s="11">
        <f t="shared" si="216"/>
        <v>-145</v>
      </c>
      <c r="AX130" s="11">
        <f t="shared" si="216"/>
        <v>-150</v>
      </c>
      <c r="AY130" s="11">
        <f t="shared" si="216"/>
        <v>-232.5</v>
      </c>
      <c r="AZ130" s="11">
        <f t="shared" si="216"/>
        <v>-237.5</v>
      </c>
      <c r="BA130" s="11">
        <f t="shared" si="216"/>
        <v>-242.5</v>
      </c>
      <c r="BB130" s="11">
        <f t="shared" si="216"/>
        <v>-247.5</v>
      </c>
      <c r="BC130" s="11">
        <f t="shared" si="216"/>
        <v>-252.5</v>
      </c>
      <c r="BD130" s="11">
        <f t="shared" si="216"/>
        <v>-257.5</v>
      </c>
      <c r="BE130" s="11">
        <f t="shared" si="216"/>
        <v>-262.5</v>
      </c>
      <c r="BF130" s="11">
        <f t="shared" si="216"/>
        <v>-267.5</v>
      </c>
      <c r="BG130" s="11">
        <f t="shared" si="216"/>
        <v>-272.5</v>
      </c>
      <c r="BH130" s="11">
        <f t="shared" si="216"/>
        <v>-277.5</v>
      </c>
      <c r="BI130" s="11">
        <f t="shared" si="216"/>
        <v>-282.5</v>
      </c>
      <c r="BJ130" s="11">
        <f t="shared" si="216"/>
        <v>-287.5</v>
      </c>
      <c r="BK130" s="11">
        <f t="shared" si="216"/>
        <v>-292.5</v>
      </c>
      <c r="BL130" s="11">
        <f t="shared" si="216"/>
        <v>-297.5</v>
      </c>
      <c r="BM130" s="11">
        <f t="shared" si="216"/>
        <v>-302.5</v>
      </c>
      <c r="BN130" s="11">
        <f t="shared" si="216"/>
        <v>-153.80000000000001</v>
      </c>
      <c r="BO130" s="11">
        <f t="shared" si="216"/>
        <v>0</v>
      </c>
      <c r="BP130" s="11">
        <f t="shared" ref="BP130:CC130" si="217">IF(BP129=0,0, ROUND(BP126 * 1/BP129* BP$13,1))</f>
        <v>0</v>
      </c>
      <c r="BQ130" s="11">
        <f t="shared" si="217"/>
        <v>0</v>
      </c>
      <c r="BR130" s="11">
        <f t="shared" si="217"/>
        <v>0</v>
      </c>
      <c r="BS130" s="11">
        <f t="shared" si="217"/>
        <v>-317.5</v>
      </c>
      <c r="BT130" s="11">
        <f t="shared" si="217"/>
        <v>-322.5</v>
      </c>
      <c r="BU130" s="11">
        <f t="shared" si="217"/>
        <v>-327.5</v>
      </c>
      <c r="BV130" s="11">
        <f t="shared" si="217"/>
        <v>-332.5</v>
      </c>
      <c r="BW130" s="11">
        <f t="shared" si="217"/>
        <v>-337.5</v>
      </c>
      <c r="BX130" s="11">
        <f t="shared" si="217"/>
        <v>-342.5</v>
      </c>
      <c r="BY130" s="11">
        <f t="shared" si="217"/>
        <v>-347.5</v>
      </c>
      <c r="BZ130" s="11">
        <f t="shared" si="217"/>
        <v>-352.5</v>
      </c>
      <c r="CA130" s="11">
        <f t="shared" si="217"/>
        <v>-357.5</v>
      </c>
      <c r="CB130" s="11">
        <f t="shared" si="217"/>
        <v>-362.5</v>
      </c>
      <c r="CC130" s="11">
        <f t="shared" si="217"/>
        <v>-367.5</v>
      </c>
    </row>
    <row r="131" spans="1:81" x14ac:dyDescent="0.2">
      <c r="A131">
        <v>35</v>
      </c>
      <c r="B131">
        <v>1</v>
      </c>
      <c r="C131" s="8">
        <v>7.6168199999999997</v>
      </c>
      <c r="D131">
        <f t="shared" ref="D131:AI131" si="218">D128/$B131</f>
        <v>0</v>
      </c>
      <c r="E131">
        <f t="shared" si="218"/>
        <v>0</v>
      </c>
      <c r="F131">
        <f t="shared" si="218"/>
        <v>0</v>
      </c>
      <c r="G131">
        <f t="shared" si="218"/>
        <v>0</v>
      </c>
      <c r="H131">
        <f t="shared" si="218"/>
        <v>0</v>
      </c>
      <c r="I131">
        <f t="shared" si="218"/>
        <v>0</v>
      </c>
      <c r="J131">
        <f t="shared" si="218"/>
        <v>0</v>
      </c>
      <c r="K131">
        <f t="shared" si="218"/>
        <v>0</v>
      </c>
      <c r="L131">
        <f t="shared" si="218"/>
        <v>0</v>
      </c>
      <c r="M131">
        <f t="shared" si="218"/>
        <v>0</v>
      </c>
      <c r="N131">
        <f t="shared" si="218"/>
        <v>0</v>
      </c>
      <c r="O131">
        <f t="shared" si="218"/>
        <v>0</v>
      </c>
      <c r="P131">
        <f t="shared" si="218"/>
        <v>0</v>
      </c>
      <c r="Q131">
        <f t="shared" si="218"/>
        <v>0</v>
      </c>
      <c r="R131">
        <f t="shared" si="218"/>
        <v>0</v>
      </c>
      <c r="S131">
        <f t="shared" si="218"/>
        <v>0</v>
      </c>
      <c r="T131">
        <f t="shared" si="218"/>
        <v>0</v>
      </c>
      <c r="U131">
        <f t="shared" si="218"/>
        <v>0</v>
      </c>
      <c r="V131">
        <f t="shared" si="218"/>
        <v>0</v>
      </c>
      <c r="W131">
        <f t="shared" si="218"/>
        <v>0</v>
      </c>
      <c r="X131">
        <f t="shared" si="218"/>
        <v>0</v>
      </c>
      <c r="Y131">
        <f t="shared" si="218"/>
        <v>0</v>
      </c>
      <c r="Z131">
        <f t="shared" si="218"/>
        <v>0</v>
      </c>
      <c r="AA131">
        <f t="shared" si="218"/>
        <v>0</v>
      </c>
      <c r="AB131">
        <f t="shared" si="218"/>
        <v>0</v>
      </c>
      <c r="AC131">
        <f t="shared" si="218"/>
        <v>0</v>
      </c>
      <c r="AD131">
        <f t="shared" si="218"/>
        <v>0</v>
      </c>
      <c r="AE131">
        <f t="shared" si="218"/>
        <v>0</v>
      </c>
      <c r="AF131">
        <f t="shared" si="218"/>
        <v>0</v>
      </c>
      <c r="AG131">
        <f t="shared" si="218"/>
        <v>0</v>
      </c>
      <c r="AH131">
        <f t="shared" si="218"/>
        <v>0</v>
      </c>
      <c r="AI131">
        <f t="shared" si="218"/>
        <v>0</v>
      </c>
      <c r="AJ131">
        <f t="shared" ref="AJ131:BO131" si="219">AJ128/$B131</f>
        <v>0</v>
      </c>
      <c r="AK131">
        <f t="shared" si="219"/>
        <v>0</v>
      </c>
      <c r="AL131">
        <f t="shared" si="219"/>
        <v>0</v>
      </c>
      <c r="AM131">
        <f t="shared" si="219"/>
        <v>0</v>
      </c>
      <c r="AN131">
        <f t="shared" si="219"/>
        <v>0</v>
      </c>
      <c r="AO131">
        <f t="shared" si="219"/>
        <v>0</v>
      </c>
      <c r="AP131">
        <f t="shared" si="219"/>
        <v>0</v>
      </c>
      <c r="AQ131">
        <f t="shared" si="219"/>
        <v>0</v>
      </c>
      <c r="AR131">
        <f t="shared" si="219"/>
        <v>0</v>
      </c>
      <c r="AS131">
        <f t="shared" si="219"/>
        <v>0</v>
      </c>
      <c r="AT131">
        <f t="shared" si="219"/>
        <v>0</v>
      </c>
      <c r="AU131">
        <f t="shared" si="219"/>
        <v>0</v>
      </c>
      <c r="AV131">
        <f t="shared" si="219"/>
        <v>0</v>
      </c>
      <c r="AW131">
        <f t="shared" si="219"/>
        <v>0</v>
      </c>
      <c r="AX131">
        <f t="shared" si="219"/>
        <v>0</v>
      </c>
      <c r="AY131">
        <f t="shared" si="219"/>
        <v>0</v>
      </c>
      <c r="AZ131">
        <f t="shared" si="219"/>
        <v>0</v>
      </c>
      <c r="BA131">
        <f t="shared" si="219"/>
        <v>0</v>
      </c>
      <c r="BB131">
        <f t="shared" si="219"/>
        <v>0</v>
      </c>
      <c r="BC131">
        <f t="shared" si="219"/>
        <v>0</v>
      </c>
      <c r="BD131">
        <f t="shared" si="219"/>
        <v>0</v>
      </c>
      <c r="BE131">
        <f t="shared" si="219"/>
        <v>0</v>
      </c>
      <c r="BF131">
        <f t="shared" si="219"/>
        <v>0</v>
      </c>
      <c r="BG131">
        <f t="shared" si="219"/>
        <v>0</v>
      </c>
      <c r="BH131">
        <f t="shared" si="219"/>
        <v>0</v>
      </c>
      <c r="BI131">
        <f t="shared" si="219"/>
        <v>0</v>
      </c>
      <c r="BJ131">
        <f t="shared" si="219"/>
        <v>0</v>
      </c>
      <c r="BK131">
        <f t="shared" si="219"/>
        <v>0</v>
      </c>
      <c r="BL131">
        <f t="shared" si="219"/>
        <v>0</v>
      </c>
      <c r="BM131">
        <f t="shared" si="219"/>
        <v>0</v>
      </c>
      <c r="BN131">
        <f t="shared" si="219"/>
        <v>0</v>
      </c>
      <c r="BO131">
        <f t="shared" si="219"/>
        <v>0</v>
      </c>
      <c r="BP131">
        <f t="shared" ref="BP131:CC131" si="220">BP128/$B131</f>
        <v>0</v>
      </c>
      <c r="BQ131">
        <f t="shared" si="220"/>
        <v>0</v>
      </c>
      <c r="BR131">
        <f t="shared" si="220"/>
        <v>0</v>
      </c>
      <c r="BS131">
        <f t="shared" si="220"/>
        <v>0</v>
      </c>
      <c r="BT131">
        <f t="shared" si="220"/>
        <v>0</v>
      </c>
      <c r="BU131">
        <f t="shared" si="220"/>
        <v>0</v>
      </c>
      <c r="BV131">
        <f t="shared" si="220"/>
        <v>0</v>
      </c>
      <c r="BW131">
        <f t="shared" si="220"/>
        <v>0</v>
      </c>
      <c r="BX131">
        <f t="shared" si="220"/>
        <v>0</v>
      </c>
      <c r="BY131">
        <f t="shared" si="220"/>
        <v>0</v>
      </c>
      <c r="BZ131">
        <f t="shared" si="220"/>
        <v>0</v>
      </c>
      <c r="CA131">
        <f t="shared" si="220"/>
        <v>0</v>
      </c>
      <c r="CB131">
        <f t="shared" si="220"/>
        <v>0</v>
      </c>
      <c r="CC131">
        <f t="shared" si="220"/>
        <v>0</v>
      </c>
    </row>
    <row r="132" spans="1:81" x14ac:dyDescent="0.2">
      <c r="B132" s="67">
        <f>SUM(D136:AJ136)/SUM($D$263:$AJ$263)</f>
        <v>6.2612506848242933E-2</v>
      </c>
      <c r="C132" s="9" t="s">
        <v>216</v>
      </c>
      <c r="D132">
        <f t="shared" ref="D132:AI132" si="221">D126-D129</f>
        <v>20</v>
      </c>
      <c r="E132">
        <f t="shared" si="221"/>
        <v>20</v>
      </c>
      <c r="F132">
        <f t="shared" si="221"/>
        <v>20</v>
      </c>
      <c r="G132">
        <f t="shared" si="221"/>
        <v>20</v>
      </c>
      <c r="H132">
        <f t="shared" si="221"/>
        <v>20</v>
      </c>
      <c r="I132">
        <f t="shared" si="221"/>
        <v>20</v>
      </c>
      <c r="J132">
        <f t="shared" si="221"/>
        <v>20</v>
      </c>
      <c r="K132">
        <f t="shared" si="221"/>
        <v>20</v>
      </c>
      <c r="L132">
        <f t="shared" si="221"/>
        <v>20</v>
      </c>
      <c r="M132">
        <f t="shared" si="221"/>
        <v>20</v>
      </c>
      <c r="N132">
        <f t="shared" si="221"/>
        <v>20</v>
      </c>
      <c r="O132">
        <f t="shared" si="221"/>
        <v>20</v>
      </c>
      <c r="P132">
        <f t="shared" si="221"/>
        <v>20</v>
      </c>
      <c r="Q132">
        <f t="shared" si="221"/>
        <v>20</v>
      </c>
      <c r="R132">
        <f t="shared" si="221"/>
        <v>20</v>
      </c>
      <c r="S132">
        <f t="shared" si="221"/>
        <v>20</v>
      </c>
      <c r="T132">
        <f t="shared" si="221"/>
        <v>20</v>
      </c>
      <c r="U132">
        <f t="shared" si="221"/>
        <v>20</v>
      </c>
      <c r="V132">
        <f t="shared" si="221"/>
        <v>20</v>
      </c>
      <c r="W132">
        <f t="shared" si="221"/>
        <v>20</v>
      </c>
      <c r="X132">
        <f t="shared" si="221"/>
        <v>20</v>
      </c>
      <c r="Y132">
        <f t="shared" si="221"/>
        <v>20</v>
      </c>
      <c r="Z132">
        <f t="shared" si="221"/>
        <v>20</v>
      </c>
      <c r="AA132">
        <f t="shared" si="221"/>
        <v>20</v>
      </c>
      <c r="AB132">
        <f t="shared" si="221"/>
        <v>20</v>
      </c>
      <c r="AC132">
        <f t="shared" si="221"/>
        <v>0</v>
      </c>
      <c r="AD132">
        <f t="shared" si="221"/>
        <v>-20</v>
      </c>
      <c r="AE132">
        <f t="shared" si="221"/>
        <v>-40</v>
      </c>
      <c r="AF132">
        <f t="shared" si="221"/>
        <v>-60</v>
      </c>
      <c r="AG132">
        <f t="shared" si="221"/>
        <v>-60</v>
      </c>
      <c r="AH132">
        <f t="shared" si="221"/>
        <v>-60</v>
      </c>
      <c r="AI132">
        <f t="shared" si="221"/>
        <v>-60</v>
      </c>
      <c r="AJ132">
        <f t="shared" ref="AJ132:BO132" si="222">AJ126-AJ129</f>
        <v>-60</v>
      </c>
      <c r="AK132">
        <f t="shared" si="222"/>
        <v>-60</v>
      </c>
      <c r="AL132">
        <f t="shared" si="222"/>
        <v>-60</v>
      </c>
      <c r="AM132">
        <f t="shared" si="222"/>
        <v>-60</v>
      </c>
      <c r="AN132">
        <f t="shared" si="222"/>
        <v>-63</v>
      </c>
      <c r="AO132">
        <f t="shared" si="222"/>
        <v>-66</v>
      </c>
      <c r="AP132">
        <f t="shared" si="222"/>
        <v>-69</v>
      </c>
      <c r="AQ132">
        <f t="shared" si="222"/>
        <v>-72</v>
      </c>
      <c r="AR132">
        <f t="shared" si="222"/>
        <v>-75</v>
      </c>
      <c r="AS132">
        <f t="shared" si="222"/>
        <v>-78</v>
      </c>
      <c r="AT132">
        <f t="shared" si="222"/>
        <v>-81</v>
      </c>
      <c r="AU132">
        <f t="shared" si="222"/>
        <v>-84</v>
      </c>
      <c r="AV132">
        <f t="shared" si="222"/>
        <v>-87</v>
      </c>
      <c r="AW132">
        <f t="shared" si="222"/>
        <v>-90</v>
      </c>
      <c r="AX132">
        <f t="shared" si="222"/>
        <v>-93</v>
      </c>
      <c r="AY132">
        <f t="shared" si="222"/>
        <v>-95</v>
      </c>
      <c r="AZ132">
        <f t="shared" si="222"/>
        <v>-97</v>
      </c>
      <c r="BA132">
        <f t="shared" si="222"/>
        <v>-99</v>
      </c>
      <c r="BB132">
        <f t="shared" si="222"/>
        <v>-101</v>
      </c>
      <c r="BC132">
        <f t="shared" si="222"/>
        <v>-103</v>
      </c>
      <c r="BD132">
        <f t="shared" si="222"/>
        <v>-105</v>
      </c>
      <c r="BE132">
        <f t="shared" si="222"/>
        <v>-107</v>
      </c>
      <c r="BF132">
        <f t="shared" si="222"/>
        <v>-109</v>
      </c>
      <c r="BG132">
        <f t="shared" si="222"/>
        <v>-111</v>
      </c>
      <c r="BH132">
        <f t="shared" si="222"/>
        <v>-113</v>
      </c>
      <c r="BI132">
        <f t="shared" si="222"/>
        <v>-115</v>
      </c>
      <c r="BJ132">
        <f t="shared" si="222"/>
        <v>-117</v>
      </c>
      <c r="BK132">
        <f t="shared" si="222"/>
        <v>-119</v>
      </c>
      <c r="BL132">
        <f t="shared" si="222"/>
        <v>-121</v>
      </c>
      <c r="BM132">
        <f t="shared" si="222"/>
        <v>-123</v>
      </c>
      <c r="BN132">
        <f t="shared" si="222"/>
        <v>-127</v>
      </c>
      <c r="BO132">
        <f t="shared" si="222"/>
        <v>-127</v>
      </c>
      <c r="BP132">
        <f t="shared" ref="BP132:CC132" si="223">BP126-BP129</f>
        <v>-127</v>
      </c>
      <c r="BQ132">
        <f t="shared" si="223"/>
        <v>-127</v>
      </c>
      <c r="BR132">
        <f t="shared" si="223"/>
        <v>-127</v>
      </c>
      <c r="BS132">
        <f t="shared" si="223"/>
        <v>-129</v>
      </c>
      <c r="BT132">
        <f t="shared" si="223"/>
        <v>-131</v>
      </c>
      <c r="BU132">
        <f t="shared" si="223"/>
        <v>-133</v>
      </c>
      <c r="BV132">
        <f t="shared" si="223"/>
        <v>-135</v>
      </c>
      <c r="BW132">
        <f t="shared" si="223"/>
        <v>-137</v>
      </c>
      <c r="BX132">
        <f t="shared" si="223"/>
        <v>-139</v>
      </c>
      <c r="BY132">
        <f t="shared" si="223"/>
        <v>-141</v>
      </c>
      <c r="BZ132">
        <f t="shared" si="223"/>
        <v>-143</v>
      </c>
      <c r="CA132">
        <f t="shared" si="223"/>
        <v>-145</v>
      </c>
      <c r="CB132">
        <f t="shared" si="223"/>
        <v>-147</v>
      </c>
      <c r="CC132">
        <f t="shared" si="223"/>
        <v>-149</v>
      </c>
    </row>
    <row r="133" spans="1:81" x14ac:dyDescent="0.2">
      <c r="A133" s="43" t="s">
        <v>306</v>
      </c>
      <c r="B133" s="44" t="s">
        <v>208</v>
      </c>
      <c r="C133" s="9" t="s">
        <v>38</v>
      </c>
      <c r="D133" s="58">
        <f>IFERROR(VLOOKUP(A133,OS!$A:$B,2,0),0)</f>
        <v>940</v>
      </c>
      <c r="E133" s="5">
        <f>(D133+D134-D136)</f>
        <v>1300</v>
      </c>
      <c r="F133" s="5">
        <f>(E133+E134-E136)</f>
        <v>820</v>
      </c>
      <c r="G133" s="5">
        <f>(F133+F134-F136)</f>
        <v>820</v>
      </c>
      <c r="H133" s="5">
        <f>(G133+G134-G136)</f>
        <v>660</v>
      </c>
      <c r="I133" s="5">
        <f t="shared" ref="I133:AN133" si="224">(H133+H134-H136+D135)</f>
        <v>980</v>
      </c>
      <c r="J133" s="5">
        <f t="shared" si="224"/>
        <v>1300</v>
      </c>
      <c r="K133" s="5">
        <f t="shared" si="224"/>
        <v>980</v>
      </c>
      <c r="L133" s="5">
        <f t="shared" si="224"/>
        <v>660</v>
      </c>
      <c r="M133" s="5">
        <f t="shared" si="224"/>
        <v>340</v>
      </c>
      <c r="N133" s="5">
        <f t="shared" si="224"/>
        <v>20</v>
      </c>
      <c r="O133" s="5">
        <f t="shared" si="224"/>
        <v>20</v>
      </c>
      <c r="P133" s="5">
        <f t="shared" si="224"/>
        <v>20</v>
      </c>
      <c r="Q133" s="5">
        <f t="shared" si="224"/>
        <v>20</v>
      </c>
      <c r="R133" s="5">
        <f t="shared" si="224"/>
        <v>20</v>
      </c>
      <c r="S133" s="5">
        <f t="shared" si="224"/>
        <v>-140</v>
      </c>
      <c r="T133" s="5">
        <f t="shared" si="224"/>
        <v>-300</v>
      </c>
      <c r="U133" s="5">
        <f t="shared" si="224"/>
        <v>-540</v>
      </c>
      <c r="V133" s="5">
        <f t="shared" si="224"/>
        <v>-740</v>
      </c>
      <c r="W133" s="5">
        <f t="shared" si="224"/>
        <v>-940</v>
      </c>
      <c r="X133" s="5">
        <f t="shared" si="224"/>
        <v>-1140</v>
      </c>
      <c r="Y133" s="5">
        <f t="shared" si="224"/>
        <v>-1340</v>
      </c>
      <c r="Z133" s="5">
        <f t="shared" si="224"/>
        <v>-1520</v>
      </c>
      <c r="AA133" s="5">
        <f t="shared" si="224"/>
        <v>-1700</v>
      </c>
      <c r="AB133" s="5">
        <f t="shared" si="224"/>
        <v>-1880</v>
      </c>
      <c r="AC133" s="5">
        <f t="shared" si="224"/>
        <v>-2060</v>
      </c>
      <c r="AD133" s="5">
        <f t="shared" si="224"/>
        <v>-2340</v>
      </c>
      <c r="AE133" s="5">
        <f t="shared" si="224"/>
        <v>-2620</v>
      </c>
      <c r="AF133" s="5">
        <f t="shared" si="224"/>
        <v>-2900</v>
      </c>
      <c r="AG133" s="5">
        <f t="shared" si="224"/>
        <v>-3180</v>
      </c>
      <c r="AH133" s="5">
        <f t="shared" si="224"/>
        <v>-3420</v>
      </c>
      <c r="AI133" s="5">
        <f t="shared" si="224"/>
        <v>-3740</v>
      </c>
      <c r="AJ133" s="5">
        <f t="shared" si="224"/>
        <v>-4060</v>
      </c>
      <c r="AK133" s="5">
        <f t="shared" si="224"/>
        <v>-4060</v>
      </c>
      <c r="AL133" s="5">
        <f t="shared" si="224"/>
        <v>-4060</v>
      </c>
      <c r="AM133" s="5">
        <f t="shared" si="224"/>
        <v>-4060</v>
      </c>
      <c r="AN133" s="5">
        <f t="shared" si="224"/>
        <v>-4060</v>
      </c>
      <c r="AO133" s="5">
        <f t="shared" ref="AO133:BT133" si="225">(AN133+AN134-AN136+AJ135)</f>
        <v>-4230</v>
      </c>
      <c r="AP133" s="5">
        <f t="shared" si="225"/>
        <v>-4400</v>
      </c>
      <c r="AQ133" s="5">
        <f t="shared" si="225"/>
        <v>-4570</v>
      </c>
      <c r="AR133" s="5">
        <f t="shared" si="225"/>
        <v>-4775</v>
      </c>
      <c r="AS133" s="5">
        <f t="shared" si="225"/>
        <v>-4980</v>
      </c>
      <c r="AT133" s="5">
        <f t="shared" si="225"/>
        <v>-5144</v>
      </c>
      <c r="AU133" s="5">
        <f t="shared" si="225"/>
        <v>-5349</v>
      </c>
      <c r="AV133" s="5">
        <f t="shared" si="225"/>
        <v>-5544</v>
      </c>
      <c r="AW133" s="5">
        <f t="shared" si="225"/>
        <v>-5739</v>
      </c>
      <c r="AX133" s="5">
        <f t="shared" si="225"/>
        <v>-5934</v>
      </c>
      <c r="AY133" s="5">
        <f t="shared" si="225"/>
        <v>-6129</v>
      </c>
      <c r="AZ133" s="5">
        <f t="shared" si="225"/>
        <v>-6285</v>
      </c>
      <c r="BA133" s="5">
        <f t="shared" si="225"/>
        <v>-6424</v>
      </c>
      <c r="BB133" s="5">
        <f t="shared" si="225"/>
        <v>-6563</v>
      </c>
      <c r="BC133" s="5">
        <f t="shared" si="225"/>
        <v>-6702</v>
      </c>
      <c r="BD133" s="5">
        <f t="shared" si="225"/>
        <v>-6858</v>
      </c>
      <c r="BE133" s="5">
        <f t="shared" si="225"/>
        <v>-7014</v>
      </c>
      <c r="BF133" s="5">
        <f t="shared" si="225"/>
        <v>-7170</v>
      </c>
      <c r="BG133" s="5">
        <f t="shared" si="225"/>
        <v>-7326</v>
      </c>
      <c r="BH133" s="5">
        <f t="shared" si="225"/>
        <v>-7482</v>
      </c>
      <c r="BI133" s="5">
        <f t="shared" si="225"/>
        <v>-7638</v>
      </c>
      <c r="BJ133" s="5">
        <f t="shared" si="225"/>
        <v>-7794</v>
      </c>
      <c r="BK133" s="5">
        <f t="shared" si="225"/>
        <v>-7950</v>
      </c>
      <c r="BL133" s="5">
        <f t="shared" si="225"/>
        <v>-8106</v>
      </c>
      <c r="BM133" s="5">
        <f t="shared" si="225"/>
        <v>-8261</v>
      </c>
      <c r="BN133" s="5">
        <f t="shared" si="225"/>
        <v>-8416</v>
      </c>
      <c r="BO133" s="5">
        <f t="shared" si="225"/>
        <v>-8699</v>
      </c>
      <c r="BP133" s="5">
        <f t="shared" si="225"/>
        <v>-8699</v>
      </c>
      <c r="BQ133" s="5">
        <f t="shared" si="225"/>
        <v>-8699</v>
      </c>
      <c r="BR133" s="5">
        <f t="shared" si="225"/>
        <v>-8699</v>
      </c>
      <c r="BS133" s="5">
        <f t="shared" si="225"/>
        <v>-8699</v>
      </c>
      <c r="BT133" s="5">
        <f t="shared" si="225"/>
        <v>-8827</v>
      </c>
      <c r="BU133" s="5">
        <f t="shared" ref="BU133:CC133" si="226">(BT133+BT134-BT136+BP135)</f>
        <v>-8955</v>
      </c>
      <c r="BV133" s="5">
        <f t="shared" si="226"/>
        <v>-9083</v>
      </c>
      <c r="BW133" s="5">
        <f t="shared" si="226"/>
        <v>-9211</v>
      </c>
      <c r="BX133" s="5">
        <f t="shared" si="226"/>
        <v>-9339</v>
      </c>
      <c r="BY133" s="5">
        <f t="shared" si="226"/>
        <v>-9467</v>
      </c>
      <c r="BZ133" s="5">
        <f t="shared" si="226"/>
        <v>-9595</v>
      </c>
      <c r="CA133" s="5">
        <f t="shared" si="226"/>
        <v>-9723</v>
      </c>
      <c r="CB133" s="5">
        <f t="shared" si="226"/>
        <v>-9851</v>
      </c>
      <c r="CC133" s="5">
        <f t="shared" si="226"/>
        <v>-9979</v>
      </c>
    </row>
    <row r="134" spans="1:81" x14ac:dyDescent="0.2">
      <c r="A134" s="5" t="s">
        <v>209</v>
      </c>
      <c r="B134" s="5">
        <v>11.388870000000001</v>
      </c>
      <c r="C134" s="45" t="s">
        <v>39</v>
      </c>
      <c r="D134" s="59">
        <f>IFERROR(VLOOKUP(A133,WIP!$A:$B,2,0),0)</f>
        <v>360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</row>
    <row r="135" spans="1:81" x14ac:dyDescent="0.2">
      <c r="A135" s="5" t="s">
        <v>210</v>
      </c>
      <c r="B135" s="5">
        <v>0.33100000000000002</v>
      </c>
      <c r="C135" s="9" t="s">
        <v>211</v>
      </c>
      <c r="D135" s="60">
        <f>IFERROR(VLOOKUP($A133,Plan!$A:B,D$4,0),0)</f>
        <v>560</v>
      </c>
      <c r="E135" s="60">
        <f>IFERROR(VLOOKUP($A133,Plan!$A:C,E$4,0),0)</f>
        <v>480</v>
      </c>
      <c r="F135" s="60">
        <f>IFERROR(VLOOKUP($A133,Plan!$A:D,F$4,0),0)</f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</row>
    <row r="136" spans="1:81" x14ac:dyDescent="0.2">
      <c r="A136" s="5" t="s">
        <v>212</v>
      </c>
      <c r="B136" s="5">
        <v>7.9000000000000001E-2</v>
      </c>
      <c r="C136" s="9" t="s">
        <v>213</v>
      </c>
      <c r="D136" s="61">
        <f>IFERROR(VLOOKUP($A133,Sales!$A:B,D$2,0),0)</f>
        <v>0</v>
      </c>
      <c r="E136" s="61">
        <f>IFERROR(VLOOKUP($A133,Sales!$A:C,E$2,0),0)</f>
        <v>480</v>
      </c>
      <c r="F136" s="61">
        <f>IFERROR(VLOOKUP($A133,Sales!$A:D,F$2,0),0)</f>
        <v>0</v>
      </c>
      <c r="G136" s="61">
        <f>IFERROR(VLOOKUP($A133,Sales!$A:E,G$2,0),0)</f>
        <v>160</v>
      </c>
      <c r="H136" s="61">
        <f>IFERROR(VLOOKUP($A133,Sales!$A:F,H$2,0),0)</f>
        <v>240</v>
      </c>
      <c r="I136" s="61">
        <f>IFERROR(VLOOKUP($A133,Sales!$A:G,I$2,0),0)</f>
        <v>160</v>
      </c>
      <c r="J136" s="61">
        <f>IFERROR(VLOOKUP($A133,Sales!$A:H,J$2,0),0)</f>
        <v>320</v>
      </c>
      <c r="K136" s="61">
        <f>IFERROR(VLOOKUP($A133,Sales!$A:I,K$2,0),0)</f>
        <v>320</v>
      </c>
      <c r="L136" s="61">
        <f>IFERROR(VLOOKUP($A133,Sales!$A:J,L$2,0),0)</f>
        <v>320</v>
      </c>
      <c r="M136" s="61">
        <f>IFERROR(VLOOKUP($A133,Sales!$A:K,M$2,0),0)</f>
        <v>320</v>
      </c>
      <c r="N136" s="61">
        <f>IFERROR(VLOOKUP($A133,Sales!$A:L,N$2,0),0)</f>
        <v>0</v>
      </c>
      <c r="O136" s="61">
        <f>IFERROR(VLOOKUP($A133,Sales!$A:M,O$2,0),0)</f>
        <v>0</v>
      </c>
      <c r="P136" s="61">
        <f>IFERROR(VLOOKUP($A133,Sales!$A:N,P$2,0),0)</f>
        <v>0</v>
      </c>
      <c r="Q136" s="61">
        <f>IFERROR(VLOOKUP($A133,Sales!$A:O,Q$2,0),0)</f>
        <v>0</v>
      </c>
      <c r="R136" s="61">
        <f>IFERROR(VLOOKUP($A133,Sales!$A:P,R$2,0),0)</f>
        <v>160</v>
      </c>
      <c r="S136" s="61">
        <f>IFERROR(VLOOKUP($A133,Sales!$A:Q,S$2,0),0)</f>
        <v>160</v>
      </c>
      <c r="T136" s="61">
        <f>IFERROR(VLOOKUP($A133,Sales!$A:R,T$2,0),0)</f>
        <v>240</v>
      </c>
      <c r="U136" s="61">
        <f>IFERROR(VLOOKUP($A133,Sales!$A:S,U$2,0),0)</f>
        <v>200</v>
      </c>
      <c r="V136" s="61">
        <f>IFERROR(VLOOKUP($A133,Sales!$A:T,V$2,0),0)</f>
        <v>200</v>
      </c>
      <c r="W136" s="61">
        <f>IFERROR(VLOOKUP($A133,Sales!$A:U,W$2,0),0)</f>
        <v>200</v>
      </c>
      <c r="X136" s="61">
        <f>IFERROR(VLOOKUP($A133,Sales!$A:V,X$2,0),0)</f>
        <v>200</v>
      </c>
      <c r="Y136" s="61">
        <f>IFERROR(VLOOKUP($A133,Sales!$A:W,Y$2,0),0)</f>
        <v>180</v>
      </c>
      <c r="Z136" s="61">
        <f>IFERROR(VLOOKUP($A133,Sales!$A:X,Z$2,0),0)</f>
        <v>180</v>
      </c>
      <c r="AA136" s="61">
        <f>IFERROR(VLOOKUP($A133,Sales!$A:Y,AA$2,0),0)</f>
        <v>180</v>
      </c>
      <c r="AB136" s="61">
        <f>IFERROR(VLOOKUP($A133,Sales!$A:Z,AB$2,0),0)</f>
        <v>180</v>
      </c>
      <c r="AC136" s="61">
        <f>IFERROR(VLOOKUP($A133,Sales!$A:AA,AC$2,0),0)</f>
        <v>280</v>
      </c>
      <c r="AD136" s="61">
        <f>IFERROR(VLOOKUP($A133,Sales!$A:AB,AD$2,0),0)</f>
        <v>280</v>
      </c>
      <c r="AE136" s="61">
        <f>IFERROR(VLOOKUP($A133,Sales!$A:AC,AE$2,0),0)</f>
        <v>280</v>
      </c>
      <c r="AF136" s="61">
        <f>IFERROR(VLOOKUP($A133,Sales!$A:AD,AF$2,0),0)</f>
        <v>280</v>
      </c>
      <c r="AG136" s="61">
        <f>IFERROR(VLOOKUP($A133,Sales!$A:AE,AG$2,0),0)</f>
        <v>240</v>
      </c>
      <c r="AH136" s="61">
        <f>IFERROR(VLOOKUP($A133,Sales!$A:AF,AH$2,0),0)</f>
        <v>320</v>
      </c>
      <c r="AI136" s="61">
        <f>IFERROR(VLOOKUP($A133,Sales!$A:AG,AI$2,0),0)</f>
        <v>320</v>
      </c>
      <c r="AJ136" s="61">
        <f>IFERROR(VLOOKUP($A133,Sales!$A:AH,AJ$2,0),0)</f>
        <v>0</v>
      </c>
      <c r="AK136" s="74">
        <f t="shared" ref="AK136:CC136" si="227">CEILING(AK$5*$B132,1)</f>
        <v>0</v>
      </c>
      <c r="AL136" s="74">
        <f t="shared" si="227"/>
        <v>0</v>
      </c>
      <c r="AM136" s="74">
        <f t="shared" si="227"/>
        <v>0</v>
      </c>
      <c r="AN136" s="74">
        <f t="shared" si="227"/>
        <v>170</v>
      </c>
      <c r="AO136" s="74">
        <f t="shared" si="227"/>
        <v>170</v>
      </c>
      <c r="AP136" s="74">
        <f t="shared" si="227"/>
        <v>170</v>
      </c>
      <c r="AQ136" s="74">
        <f t="shared" si="227"/>
        <v>205</v>
      </c>
      <c r="AR136" s="74">
        <f t="shared" si="227"/>
        <v>205</v>
      </c>
      <c r="AS136" s="74">
        <f t="shared" si="227"/>
        <v>164</v>
      </c>
      <c r="AT136" s="74">
        <f t="shared" si="227"/>
        <v>205</v>
      </c>
      <c r="AU136" s="74">
        <f t="shared" si="227"/>
        <v>195</v>
      </c>
      <c r="AV136" s="74">
        <f t="shared" si="227"/>
        <v>195</v>
      </c>
      <c r="AW136" s="74">
        <f t="shared" si="227"/>
        <v>195</v>
      </c>
      <c r="AX136" s="74">
        <f t="shared" si="227"/>
        <v>195</v>
      </c>
      <c r="AY136" s="74">
        <f t="shared" si="227"/>
        <v>156</v>
      </c>
      <c r="AZ136" s="74">
        <f t="shared" si="227"/>
        <v>139</v>
      </c>
      <c r="BA136" s="74">
        <f t="shared" si="227"/>
        <v>139</v>
      </c>
      <c r="BB136" s="74">
        <f t="shared" si="227"/>
        <v>139</v>
      </c>
      <c r="BC136" s="74">
        <f t="shared" si="227"/>
        <v>156</v>
      </c>
      <c r="BD136" s="74">
        <f t="shared" si="227"/>
        <v>156</v>
      </c>
      <c r="BE136" s="74">
        <f t="shared" si="227"/>
        <v>156</v>
      </c>
      <c r="BF136" s="74">
        <f t="shared" si="227"/>
        <v>156</v>
      </c>
      <c r="BG136" s="74">
        <f t="shared" si="227"/>
        <v>156</v>
      </c>
      <c r="BH136" s="74">
        <f t="shared" si="227"/>
        <v>156</v>
      </c>
      <c r="BI136" s="74">
        <f t="shared" si="227"/>
        <v>156</v>
      </c>
      <c r="BJ136" s="74">
        <f t="shared" si="227"/>
        <v>156</v>
      </c>
      <c r="BK136" s="74">
        <f t="shared" si="227"/>
        <v>156</v>
      </c>
      <c r="BL136" s="74">
        <f t="shared" si="227"/>
        <v>155</v>
      </c>
      <c r="BM136" s="74">
        <f t="shared" si="227"/>
        <v>155</v>
      </c>
      <c r="BN136" s="74">
        <f t="shared" si="227"/>
        <v>283</v>
      </c>
      <c r="BO136" s="74">
        <f t="shared" si="227"/>
        <v>0</v>
      </c>
      <c r="BP136" s="74">
        <f t="shared" si="227"/>
        <v>0</v>
      </c>
      <c r="BQ136" s="74">
        <f t="shared" si="227"/>
        <v>0</v>
      </c>
      <c r="BR136" s="74">
        <f t="shared" si="227"/>
        <v>0</v>
      </c>
      <c r="BS136" s="74">
        <f t="shared" si="227"/>
        <v>128</v>
      </c>
      <c r="BT136" s="74">
        <f t="shared" si="227"/>
        <v>128</v>
      </c>
      <c r="BU136" s="74">
        <f t="shared" si="227"/>
        <v>128</v>
      </c>
      <c r="BV136" s="74">
        <f t="shared" si="227"/>
        <v>128</v>
      </c>
      <c r="BW136" s="74">
        <f t="shared" si="227"/>
        <v>128</v>
      </c>
      <c r="BX136" s="74">
        <f t="shared" si="227"/>
        <v>128</v>
      </c>
      <c r="BY136" s="74">
        <f t="shared" si="227"/>
        <v>128</v>
      </c>
      <c r="BZ136" s="74">
        <f t="shared" si="227"/>
        <v>128</v>
      </c>
      <c r="CA136" s="74">
        <f t="shared" si="227"/>
        <v>128</v>
      </c>
      <c r="CB136" s="74">
        <f t="shared" si="227"/>
        <v>128</v>
      </c>
      <c r="CC136" s="74">
        <f t="shared" si="227"/>
        <v>128</v>
      </c>
    </row>
    <row r="137" spans="1:81" x14ac:dyDescent="0.2">
      <c r="A137" s="5" t="s">
        <v>214</v>
      </c>
      <c r="B137" s="5">
        <v>0.41</v>
      </c>
      <c r="C137" s="46" t="s">
        <v>215</v>
      </c>
      <c r="D137" s="11">
        <f t="shared" ref="D137:AI137" si="228">IF(D136=0,0, ROUND(D133 * 1/D136* D$13,1))</f>
        <v>0</v>
      </c>
      <c r="E137" s="11">
        <f t="shared" si="228"/>
        <v>13.5</v>
      </c>
      <c r="F137" s="11">
        <f t="shared" si="228"/>
        <v>0</v>
      </c>
      <c r="G137" s="11">
        <f t="shared" si="228"/>
        <v>25.6</v>
      </c>
      <c r="H137" s="11">
        <f t="shared" si="228"/>
        <v>13.8</v>
      </c>
      <c r="I137" s="11">
        <f t="shared" si="228"/>
        <v>30.6</v>
      </c>
      <c r="J137" s="11">
        <f t="shared" si="228"/>
        <v>20.3</v>
      </c>
      <c r="K137" s="11">
        <f t="shared" si="228"/>
        <v>15.3</v>
      </c>
      <c r="L137" s="11">
        <f t="shared" si="228"/>
        <v>10.3</v>
      </c>
      <c r="M137" s="11">
        <f t="shared" si="228"/>
        <v>5.3</v>
      </c>
      <c r="N137" s="11">
        <f t="shared" si="228"/>
        <v>0</v>
      </c>
      <c r="O137" s="11">
        <f t="shared" si="228"/>
        <v>0</v>
      </c>
      <c r="P137" s="11">
        <f t="shared" si="228"/>
        <v>0</v>
      </c>
      <c r="Q137" s="11">
        <f t="shared" si="228"/>
        <v>0</v>
      </c>
      <c r="R137" s="11">
        <f t="shared" si="228"/>
        <v>0.6</v>
      </c>
      <c r="S137" s="11">
        <f t="shared" si="228"/>
        <v>-4.4000000000000004</v>
      </c>
      <c r="T137" s="11">
        <f t="shared" si="228"/>
        <v>-6.3</v>
      </c>
      <c r="U137" s="11">
        <f t="shared" si="228"/>
        <v>-13.5</v>
      </c>
      <c r="V137" s="11">
        <f t="shared" si="228"/>
        <v>-18.5</v>
      </c>
      <c r="W137" s="11">
        <f t="shared" si="228"/>
        <v>-23.5</v>
      </c>
      <c r="X137" s="11">
        <f t="shared" si="228"/>
        <v>-28.5</v>
      </c>
      <c r="Y137" s="11">
        <f t="shared" si="228"/>
        <v>-37.200000000000003</v>
      </c>
      <c r="Z137" s="11">
        <f t="shared" si="228"/>
        <v>-42.2</v>
      </c>
      <c r="AA137" s="11">
        <f t="shared" si="228"/>
        <v>-47.2</v>
      </c>
      <c r="AB137" s="11">
        <f t="shared" si="228"/>
        <v>-52.2</v>
      </c>
      <c r="AC137" s="11">
        <f t="shared" si="228"/>
        <v>-36.799999999999997</v>
      </c>
      <c r="AD137" s="11">
        <f t="shared" si="228"/>
        <v>-41.8</v>
      </c>
      <c r="AE137" s="11">
        <f t="shared" si="228"/>
        <v>-46.8</v>
      </c>
      <c r="AF137" s="11">
        <f t="shared" si="228"/>
        <v>-51.8</v>
      </c>
      <c r="AG137" s="11">
        <f t="shared" si="228"/>
        <v>-66.3</v>
      </c>
      <c r="AH137" s="11">
        <f t="shared" si="228"/>
        <v>-53.4</v>
      </c>
      <c r="AI137" s="11">
        <f t="shared" si="228"/>
        <v>-58.4</v>
      </c>
      <c r="AJ137" s="11">
        <f t="shared" ref="AJ137:BO137" si="229">IF(AJ136=0,0, ROUND(AJ133 * 1/AJ136* AJ$13,1))</f>
        <v>0</v>
      </c>
      <c r="AK137" s="11">
        <f t="shared" si="229"/>
        <v>0</v>
      </c>
      <c r="AL137" s="11">
        <f t="shared" si="229"/>
        <v>0</v>
      </c>
      <c r="AM137" s="11">
        <f t="shared" si="229"/>
        <v>0</v>
      </c>
      <c r="AN137" s="11">
        <f t="shared" si="229"/>
        <v>-119.4</v>
      </c>
      <c r="AO137" s="11">
        <f t="shared" si="229"/>
        <v>-124.4</v>
      </c>
      <c r="AP137" s="11">
        <f t="shared" si="229"/>
        <v>-129.4</v>
      </c>
      <c r="AQ137" s="11">
        <f t="shared" si="229"/>
        <v>-111.5</v>
      </c>
      <c r="AR137" s="11">
        <f t="shared" si="229"/>
        <v>-116.5</v>
      </c>
      <c r="AS137" s="11">
        <f t="shared" si="229"/>
        <v>-151.80000000000001</v>
      </c>
      <c r="AT137" s="11">
        <f t="shared" si="229"/>
        <v>-125.5</v>
      </c>
      <c r="AU137" s="11">
        <f t="shared" si="229"/>
        <v>-137.19999999999999</v>
      </c>
      <c r="AV137" s="11">
        <f t="shared" si="229"/>
        <v>-142.19999999999999</v>
      </c>
      <c r="AW137" s="11">
        <f t="shared" si="229"/>
        <v>-147.19999999999999</v>
      </c>
      <c r="AX137" s="11">
        <f t="shared" si="229"/>
        <v>-152.19999999999999</v>
      </c>
      <c r="AY137" s="11">
        <f t="shared" si="229"/>
        <v>-196.4</v>
      </c>
      <c r="AZ137" s="11">
        <f t="shared" si="229"/>
        <v>-226.1</v>
      </c>
      <c r="BA137" s="11">
        <f t="shared" si="229"/>
        <v>-231.1</v>
      </c>
      <c r="BB137" s="11">
        <f t="shared" si="229"/>
        <v>-236.1</v>
      </c>
      <c r="BC137" s="11">
        <f t="shared" si="229"/>
        <v>-214.8</v>
      </c>
      <c r="BD137" s="11">
        <f t="shared" si="229"/>
        <v>-219.8</v>
      </c>
      <c r="BE137" s="11">
        <f t="shared" si="229"/>
        <v>-224.8</v>
      </c>
      <c r="BF137" s="11">
        <f t="shared" si="229"/>
        <v>-229.8</v>
      </c>
      <c r="BG137" s="11">
        <f t="shared" si="229"/>
        <v>-234.8</v>
      </c>
      <c r="BH137" s="11">
        <f t="shared" si="229"/>
        <v>-239.8</v>
      </c>
      <c r="BI137" s="11">
        <f t="shared" si="229"/>
        <v>-244.8</v>
      </c>
      <c r="BJ137" s="11">
        <f t="shared" si="229"/>
        <v>-249.8</v>
      </c>
      <c r="BK137" s="11">
        <f t="shared" si="229"/>
        <v>-254.8</v>
      </c>
      <c r="BL137" s="11">
        <f t="shared" si="229"/>
        <v>-261.5</v>
      </c>
      <c r="BM137" s="11">
        <f t="shared" si="229"/>
        <v>-266.5</v>
      </c>
      <c r="BN137" s="11">
        <f t="shared" si="229"/>
        <v>-148.69999999999999</v>
      </c>
      <c r="BO137" s="11">
        <f t="shared" si="229"/>
        <v>0</v>
      </c>
      <c r="BP137" s="11">
        <f t="shared" ref="BP137:CC137" si="230">IF(BP136=0,0, ROUND(BP133 * 1/BP136* BP$13,1))</f>
        <v>0</v>
      </c>
      <c r="BQ137" s="11">
        <f t="shared" si="230"/>
        <v>0</v>
      </c>
      <c r="BR137" s="11">
        <f t="shared" si="230"/>
        <v>0</v>
      </c>
      <c r="BS137" s="11">
        <f t="shared" si="230"/>
        <v>-339.8</v>
      </c>
      <c r="BT137" s="11">
        <f t="shared" si="230"/>
        <v>-344.8</v>
      </c>
      <c r="BU137" s="11">
        <f t="shared" si="230"/>
        <v>-349.8</v>
      </c>
      <c r="BV137" s="11">
        <f t="shared" si="230"/>
        <v>-354.8</v>
      </c>
      <c r="BW137" s="11">
        <f t="shared" si="230"/>
        <v>-359.8</v>
      </c>
      <c r="BX137" s="11">
        <f t="shared" si="230"/>
        <v>-364.8</v>
      </c>
      <c r="BY137" s="11">
        <f t="shared" si="230"/>
        <v>-369.8</v>
      </c>
      <c r="BZ137" s="11">
        <f t="shared" si="230"/>
        <v>-374.8</v>
      </c>
      <c r="CA137" s="11">
        <f t="shared" si="230"/>
        <v>-379.8</v>
      </c>
      <c r="CB137" s="11">
        <f t="shared" si="230"/>
        <v>-384.8</v>
      </c>
      <c r="CC137" s="11">
        <f t="shared" si="230"/>
        <v>-389.8</v>
      </c>
    </row>
    <row r="138" spans="1:81" x14ac:dyDescent="0.2">
      <c r="A138">
        <v>42</v>
      </c>
      <c r="B138">
        <v>1</v>
      </c>
      <c r="C138" s="8">
        <v>8.6037499999999998</v>
      </c>
      <c r="D138">
        <f t="shared" ref="D138:AI138" si="231">D135/$B138</f>
        <v>560</v>
      </c>
      <c r="E138">
        <f t="shared" si="231"/>
        <v>480</v>
      </c>
      <c r="F138">
        <f t="shared" si="231"/>
        <v>0</v>
      </c>
      <c r="G138">
        <f t="shared" si="231"/>
        <v>0</v>
      </c>
      <c r="H138">
        <f t="shared" si="231"/>
        <v>0</v>
      </c>
      <c r="I138">
        <f t="shared" si="231"/>
        <v>0</v>
      </c>
      <c r="J138">
        <f t="shared" si="231"/>
        <v>0</v>
      </c>
      <c r="K138">
        <f t="shared" si="231"/>
        <v>0</v>
      </c>
      <c r="L138">
        <f t="shared" si="231"/>
        <v>0</v>
      </c>
      <c r="M138">
        <f t="shared" si="231"/>
        <v>0</v>
      </c>
      <c r="N138">
        <f t="shared" si="231"/>
        <v>0</v>
      </c>
      <c r="O138">
        <f t="shared" si="231"/>
        <v>0</v>
      </c>
      <c r="P138">
        <f t="shared" si="231"/>
        <v>0</v>
      </c>
      <c r="Q138">
        <f t="shared" si="231"/>
        <v>0</v>
      </c>
      <c r="R138">
        <f t="shared" si="231"/>
        <v>0</v>
      </c>
      <c r="S138">
        <f t="shared" si="231"/>
        <v>0</v>
      </c>
      <c r="T138">
        <f t="shared" si="231"/>
        <v>0</v>
      </c>
      <c r="U138">
        <f t="shared" si="231"/>
        <v>0</v>
      </c>
      <c r="V138">
        <f t="shared" si="231"/>
        <v>0</v>
      </c>
      <c r="W138">
        <f t="shared" si="231"/>
        <v>0</v>
      </c>
      <c r="X138">
        <f t="shared" si="231"/>
        <v>0</v>
      </c>
      <c r="Y138">
        <f t="shared" si="231"/>
        <v>0</v>
      </c>
      <c r="Z138">
        <f t="shared" si="231"/>
        <v>0</v>
      </c>
      <c r="AA138">
        <f t="shared" si="231"/>
        <v>0</v>
      </c>
      <c r="AB138">
        <f t="shared" si="231"/>
        <v>0</v>
      </c>
      <c r="AC138">
        <f t="shared" si="231"/>
        <v>0</v>
      </c>
      <c r="AD138">
        <f t="shared" si="231"/>
        <v>0</v>
      </c>
      <c r="AE138">
        <f t="shared" si="231"/>
        <v>0</v>
      </c>
      <c r="AF138">
        <f t="shared" si="231"/>
        <v>0</v>
      </c>
      <c r="AG138">
        <f t="shared" si="231"/>
        <v>0</v>
      </c>
      <c r="AH138">
        <f t="shared" si="231"/>
        <v>0</v>
      </c>
      <c r="AI138">
        <f t="shared" si="231"/>
        <v>0</v>
      </c>
      <c r="AJ138">
        <f t="shared" ref="AJ138:BO138" si="232">AJ135/$B138</f>
        <v>0</v>
      </c>
      <c r="AK138">
        <f t="shared" si="232"/>
        <v>0</v>
      </c>
      <c r="AL138">
        <f t="shared" si="232"/>
        <v>0</v>
      </c>
      <c r="AM138">
        <f t="shared" si="232"/>
        <v>0</v>
      </c>
      <c r="AN138">
        <f t="shared" si="232"/>
        <v>0</v>
      </c>
      <c r="AO138">
        <f t="shared" si="232"/>
        <v>0</v>
      </c>
      <c r="AP138">
        <f t="shared" si="232"/>
        <v>0</v>
      </c>
      <c r="AQ138">
        <f t="shared" si="232"/>
        <v>0</v>
      </c>
      <c r="AR138">
        <f t="shared" si="232"/>
        <v>0</v>
      </c>
      <c r="AS138">
        <f t="shared" si="232"/>
        <v>0</v>
      </c>
      <c r="AT138">
        <f t="shared" si="232"/>
        <v>0</v>
      </c>
      <c r="AU138">
        <f t="shared" si="232"/>
        <v>0</v>
      </c>
      <c r="AV138">
        <f t="shared" si="232"/>
        <v>0</v>
      </c>
      <c r="AW138">
        <f t="shared" si="232"/>
        <v>0</v>
      </c>
      <c r="AX138">
        <f t="shared" si="232"/>
        <v>0</v>
      </c>
      <c r="AY138">
        <f t="shared" si="232"/>
        <v>0</v>
      </c>
      <c r="AZ138">
        <f t="shared" si="232"/>
        <v>0</v>
      </c>
      <c r="BA138">
        <f t="shared" si="232"/>
        <v>0</v>
      </c>
      <c r="BB138">
        <f t="shared" si="232"/>
        <v>0</v>
      </c>
      <c r="BC138">
        <f t="shared" si="232"/>
        <v>0</v>
      </c>
      <c r="BD138">
        <f t="shared" si="232"/>
        <v>0</v>
      </c>
      <c r="BE138">
        <f t="shared" si="232"/>
        <v>0</v>
      </c>
      <c r="BF138">
        <f t="shared" si="232"/>
        <v>0</v>
      </c>
      <c r="BG138">
        <f t="shared" si="232"/>
        <v>0</v>
      </c>
      <c r="BH138">
        <f t="shared" si="232"/>
        <v>0</v>
      </c>
      <c r="BI138">
        <f t="shared" si="232"/>
        <v>0</v>
      </c>
      <c r="BJ138">
        <f t="shared" si="232"/>
        <v>0</v>
      </c>
      <c r="BK138">
        <f t="shared" si="232"/>
        <v>0</v>
      </c>
      <c r="BL138">
        <f t="shared" si="232"/>
        <v>0</v>
      </c>
      <c r="BM138">
        <f t="shared" si="232"/>
        <v>0</v>
      </c>
      <c r="BN138">
        <f t="shared" si="232"/>
        <v>0</v>
      </c>
      <c r="BO138">
        <f t="shared" si="232"/>
        <v>0</v>
      </c>
      <c r="BP138">
        <f t="shared" ref="BP138:CC138" si="233">BP135/$B138</f>
        <v>0</v>
      </c>
      <c r="BQ138">
        <f t="shared" si="233"/>
        <v>0</v>
      </c>
      <c r="BR138">
        <f t="shared" si="233"/>
        <v>0</v>
      </c>
      <c r="BS138">
        <f t="shared" si="233"/>
        <v>0</v>
      </c>
      <c r="BT138">
        <f t="shared" si="233"/>
        <v>0</v>
      </c>
      <c r="BU138">
        <f t="shared" si="233"/>
        <v>0</v>
      </c>
      <c r="BV138">
        <f t="shared" si="233"/>
        <v>0</v>
      </c>
      <c r="BW138">
        <f t="shared" si="233"/>
        <v>0</v>
      </c>
      <c r="BX138">
        <f t="shared" si="233"/>
        <v>0</v>
      </c>
      <c r="BY138">
        <f t="shared" si="233"/>
        <v>0</v>
      </c>
      <c r="BZ138">
        <f t="shared" si="233"/>
        <v>0</v>
      </c>
      <c r="CA138">
        <f t="shared" si="233"/>
        <v>0</v>
      </c>
      <c r="CB138">
        <f t="shared" si="233"/>
        <v>0</v>
      </c>
      <c r="CC138">
        <f t="shared" si="233"/>
        <v>0</v>
      </c>
    </row>
    <row r="139" spans="1:81" x14ac:dyDescent="0.2">
      <c r="B139" s="67">
        <f>SUM(D143:AJ143)/SUM($D$263:$AJ$263)</f>
        <v>7.8265633560303674E-4</v>
      </c>
      <c r="C139" s="9" t="s">
        <v>216</v>
      </c>
      <c r="D139">
        <f t="shared" ref="D139:AI139" si="234">D133-D136</f>
        <v>940</v>
      </c>
      <c r="E139">
        <f t="shared" si="234"/>
        <v>820</v>
      </c>
      <c r="F139">
        <f t="shared" si="234"/>
        <v>820</v>
      </c>
      <c r="G139">
        <f t="shared" si="234"/>
        <v>660</v>
      </c>
      <c r="H139">
        <f t="shared" si="234"/>
        <v>420</v>
      </c>
      <c r="I139">
        <f t="shared" si="234"/>
        <v>820</v>
      </c>
      <c r="J139">
        <f t="shared" si="234"/>
        <v>980</v>
      </c>
      <c r="K139">
        <f t="shared" si="234"/>
        <v>660</v>
      </c>
      <c r="L139">
        <f t="shared" si="234"/>
        <v>340</v>
      </c>
      <c r="M139">
        <f t="shared" si="234"/>
        <v>20</v>
      </c>
      <c r="N139">
        <f t="shared" si="234"/>
        <v>20</v>
      </c>
      <c r="O139">
        <f t="shared" si="234"/>
        <v>20</v>
      </c>
      <c r="P139">
        <f t="shared" si="234"/>
        <v>20</v>
      </c>
      <c r="Q139">
        <f t="shared" si="234"/>
        <v>20</v>
      </c>
      <c r="R139">
        <f t="shared" si="234"/>
        <v>-140</v>
      </c>
      <c r="S139">
        <f t="shared" si="234"/>
        <v>-300</v>
      </c>
      <c r="T139">
        <f t="shared" si="234"/>
        <v>-540</v>
      </c>
      <c r="U139">
        <f t="shared" si="234"/>
        <v>-740</v>
      </c>
      <c r="V139">
        <f t="shared" si="234"/>
        <v>-940</v>
      </c>
      <c r="W139">
        <f t="shared" si="234"/>
        <v>-1140</v>
      </c>
      <c r="X139">
        <f t="shared" si="234"/>
        <v>-1340</v>
      </c>
      <c r="Y139">
        <f t="shared" si="234"/>
        <v>-1520</v>
      </c>
      <c r="Z139">
        <f t="shared" si="234"/>
        <v>-1700</v>
      </c>
      <c r="AA139">
        <f t="shared" si="234"/>
        <v>-1880</v>
      </c>
      <c r="AB139">
        <f t="shared" si="234"/>
        <v>-2060</v>
      </c>
      <c r="AC139">
        <f t="shared" si="234"/>
        <v>-2340</v>
      </c>
      <c r="AD139">
        <f t="shared" si="234"/>
        <v>-2620</v>
      </c>
      <c r="AE139">
        <f t="shared" si="234"/>
        <v>-2900</v>
      </c>
      <c r="AF139">
        <f t="shared" si="234"/>
        <v>-3180</v>
      </c>
      <c r="AG139">
        <f t="shared" si="234"/>
        <v>-3420</v>
      </c>
      <c r="AH139">
        <f t="shared" si="234"/>
        <v>-3740</v>
      </c>
      <c r="AI139">
        <f t="shared" si="234"/>
        <v>-4060</v>
      </c>
      <c r="AJ139">
        <f t="shared" ref="AJ139:BO139" si="235">AJ133-AJ136</f>
        <v>-4060</v>
      </c>
      <c r="AK139">
        <f t="shared" si="235"/>
        <v>-4060</v>
      </c>
      <c r="AL139">
        <f t="shared" si="235"/>
        <v>-4060</v>
      </c>
      <c r="AM139">
        <f t="shared" si="235"/>
        <v>-4060</v>
      </c>
      <c r="AN139">
        <f t="shared" si="235"/>
        <v>-4230</v>
      </c>
      <c r="AO139">
        <f t="shared" si="235"/>
        <v>-4400</v>
      </c>
      <c r="AP139">
        <f t="shared" si="235"/>
        <v>-4570</v>
      </c>
      <c r="AQ139">
        <f t="shared" si="235"/>
        <v>-4775</v>
      </c>
      <c r="AR139">
        <f t="shared" si="235"/>
        <v>-4980</v>
      </c>
      <c r="AS139">
        <f t="shared" si="235"/>
        <v>-5144</v>
      </c>
      <c r="AT139">
        <f t="shared" si="235"/>
        <v>-5349</v>
      </c>
      <c r="AU139">
        <f t="shared" si="235"/>
        <v>-5544</v>
      </c>
      <c r="AV139">
        <f t="shared" si="235"/>
        <v>-5739</v>
      </c>
      <c r="AW139">
        <f t="shared" si="235"/>
        <v>-5934</v>
      </c>
      <c r="AX139">
        <f t="shared" si="235"/>
        <v>-6129</v>
      </c>
      <c r="AY139">
        <f t="shared" si="235"/>
        <v>-6285</v>
      </c>
      <c r="AZ139">
        <f t="shared" si="235"/>
        <v>-6424</v>
      </c>
      <c r="BA139">
        <f t="shared" si="235"/>
        <v>-6563</v>
      </c>
      <c r="BB139">
        <f t="shared" si="235"/>
        <v>-6702</v>
      </c>
      <c r="BC139">
        <f t="shared" si="235"/>
        <v>-6858</v>
      </c>
      <c r="BD139">
        <f t="shared" si="235"/>
        <v>-7014</v>
      </c>
      <c r="BE139">
        <f t="shared" si="235"/>
        <v>-7170</v>
      </c>
      <c r="BF139">
        <f t="shared" si="235"/>
        <v>-7326</v>
      </c>
      <c r="BG139">
        <f t="shared" si="235"/>
        <v>-7482</v>
      </c>
      <c r="BH139">
        <f t="shared" si="235"/>
        <v>-7638</v>
      </c>
      <c r="BI139">
        <f t="shared" si="235"/>
        <v>-7794</v>
      </c>
      <c r="BJ139">
        <f t="shared" si="235"/>
        <v>-7950</v>
      </c>
      <c r="BK139">
        <f t="shared" si="235"/>
        <v>-8106</v>
      </c>
      <c r="BL139">
        <f t="shared" si="235"/>
        <v>-8261</v>
      </c>
      <c r="BM139">
        <f t="shared" si="235"/>
        <v>-8416</v>
      </c>
      <c r="BN139">
        <f t="shared" si="235"/>
        <v>-8699</v>
      </c>
      <c r="BO139">
        <f t="shared" si="235"/>
        <v>-8699</v>
      </c>
      <c r="BP139">
        <f t="shared" ref="BP139:CC139" si="236">BP133-BP136</f>
        <v>-8699</v>
      </c>
      <c r="BQ139">
        <f t="shared" si="236"/>
        <v>-8699</v>
      </c>
      <c r="BR139">
        <f t="shared" si="236"/>
        <v>-8699</v>
      </c>
      <c r="BS139">
        <f t="shared" si="236"/>
        <v>-8827</v>
      </c>
      <c r="BT139">
        <f t="shared" si="236"/>
        <v>-8955</v>
      </c>
      <c r="BU139">
        <f t="shared" si="236"/>
        <v>-9083</v>
      </c>
      <c r="BV139">
        <f t="shared" si="236"/>
        <v>-9211</v>
      </c>
      <c r="BW139">
        <f t="shared" si="236"/>
        <v>-9339</v>
      </c>
      <c r="BX139">
        <f t="shared" si="236"/>
        <v>-9467</v>
      </c>
      <c r="BY139">
        <f t="shared" si="236"/>
        <v>-9595</v>
      </c>
      <c r="BZ139">
        <f t="shared" si="236"/>
        <v>-9723</v>
      </c>
      <c r="CA139">
        <f t="shared" si="236"/>
        <v>-9851</v>
      </c>
      <c r="CB139">
        <f t="shared" si="236"/>
        <v>-9979</v>
      </c>
      <c r="CC139">
        <f t="shared" si="236"/>
        <v>-10107</v>
      </c>
    </row>
    <row r="140" spans="1:81" x14ac:dyDescent="0.2">
      <c r="A140" s="43" t="s">
        <v>307</v>
      </c>
      <c r="B140" s="44" t="s">
        <v>208</v>
      </c>
      <c r="C140" s="9" t="s">
        <v>38</v>
      </c>
      <c r="D140" s="58">
        <f>IFERROR(VLOOKUP(A140,OS!$A:$B,2,0),0)</f>
        <v>0</v>
      </c>
      <c r="E140" s="5">
        <f>(D140+D141-D143)</f>
        <v>0</v>
      </c>
      <c r="F140" s="5">
        <f>(E140+E141-E143)</f>
        <v>0</v>
      </c>
      <c r="G140" s="5">
        <f>(F140+F141-F143)</f>
        <v>0</v>
      </c>
      <c r="H140" s="5">
        <f>(G140+G141-G143)</f>
        <v>0</v>
      </c>
      <c r="I140" s="5">
        <f t="shared" ref="I140:AN140" si="237">(H140+H141-H143+D142)</f>
        <v>0</v>
      </c>
      <c r="J140" s="5">
        <f t="shared" si="237"/>
        <v>0</v>
      </c>
      <c r="K140" s="5">
        <f t="shared" si="237"/>
        <v>0</v>
      </c>
      <c r="L140" s="5">
        <f t="shared" si="237"/>
        <v>0</v>
      </c>
      <c r="M140" s="5">
        <f t="shared" si="237"/>
        <v>0</v>
      </c>
      <c r="N140" s="5">
        <f t="shared" si="237"/>
        <v>0</v>
      </c>
      <c r="O140" s="5">
        <f t="shared" si="237"/>
        <v>0</v>
      </c>
      <c r="P140" s="5">
        <f t="shared" si="237"/>
        <v>0</v>
      </c>
      <c r="Q140" s="5">
        <f t="shared" si="237"/>
        <v>0</v>
      </c>
      <c r="R140" s="5">
        <f t="shared" si="237"/>
        <v>0</v>
      </c>
      <c r="S140" s="5">
        <f t="shared" si="237"/>
        <v>0</v>
      </c>
      <c r="T140" s="5">
        <f t="shared" si="237"/>
        <v>0</v>
      </c>
      <c r="U140" s="5">
        <f t="shared" si="237"/>
        <v>0</v>
      </c>
      <c r="V140" s="5">
        <f t="shared" si="237"/>
        <v>0</v>
      </c>
      <c r="W140" s="5">
        <f t="shared" si="237"/>
        <v>0</v>
      </c>
      <c r="X140" s="5">
        <f t="shared" si="237"/>
        <v>0</v>
      </c>
      <c r="Y140" s="5">
        <f t="shared" si="237"/>
        <v>0</v>
      </c>
      <c r="Z140" s="5">
        <f t="shared" si="237"/>
        <v>0</v>
      </c>
      <c r="AA140" s="5">
        <f t="shared" si="237"/>
        <v>0</v>
      </c>
      <c r="AB140" s="5">
        <f t="shared" si="237"/>
        <v>0</v>
      </c>
      <c r="AC140" s="5">
        <f t="shared" si="237"/>
        <v>0</v>
      </c>
      <c r="AD140" s="5">
        <f t="shared" si="237"/>
        <v>-20</v>
      </c>
      <c r="AE140" s="5">
        <f t="shared" si="237"/>
        <v>-40</v>
      </c>
      <c r="AF140" s="5">
        <f t="shared" si="237"/>
        <v>-60</v>
      </c>
      <c r="AG140" s="5">
        <f t="shared" si="237"/>
        <v>-80</v>
      </c>
      <c r="AH140" s="5">
        <f t="shared" si="237"/>
        <v>-80</v>
      </c>
      <c r="AI140" s="5">
        <f t="shared" si="237"/>
        <v>-80</v>
      </c>
      <c r="AJ140" s="5">
        <f t="shared" si="237"/>
        <v>-80</v>
      </c>
      <c r="AK140" s="5">
        <f t="shared" si="237"/>
        <v>-80</v>
      </c>
      <c r="AL140" s="5">
        <f t="shared" si="237"/>
        <v>-80</v>
      </c>
      <c r="AM140" s="5">
        <f t="shared" si="237"/>
        <v>-80</v>
      </c>
      <c r="AN140" s="5">
        <f t="shared" si="237"/>
        <v>-80</v>
      </c>
      <c r="AO140" s="5">
        <f t="shared" ref="AO140:BT140" si="238">(AN140+AN141-AN143+AJ142)</f>
        <v>-83</v>
      </c>
      <c r="AP140" s="5">
        <f t="shared" si="238"/>
        <v>-86</v>
      </c>
      <c r="AQ140" s="5">
        <f t="shared" si="238"/>
        <v>-89</v>
      </c>
      <c r="AR140" s="5">
        <f t="shared" si="238"/>
        <v>-92</v>
      </c>
      <c r="AS140" s="5">
        <f t="shared" si="238"/>
        <v>-95</v>
      </c>
      <c r="AT140" s="5">
        <f t="shared" si="238"/>
        <v>-98</v>
      </c>
      <c r="AU140" s="5">
        <f t="shared" si="238"/>
        <v>-101</v>
      </c>
      <c r="AV140" s="5">
        <f t="shared" si="238"/>
        <v>-104</v>
      </c>
      <c r="AW140" s="5">
        <f t="shared" si="238"/>
        <v>-107</v>
      </c>
      <c r="AX140" s="5">
        <f t="shared" si="238"/>
        <v>-110</v>
      </c>
      <c r="AY140" s="5">
        <f t="shared" si="238"/>
        <v>-113</v>
      </c>
      <c r="AZ140" s="5">
        <f t="shared" si="238"/>
        <v>-115</v>
      </c>
      <c r="BA140" s="5">
        <f t="shared" si="238"/>
        <v>-117</v>
      </c>
      <c r="BB140" s="5">
        <f t="shared" si="238"/>
        <v>-119</v>
      </c>
      <c r="BC140" s="5">
        <f t="shared" si="238"/>
        <v>-121</v>
      </c>
      <c r="BD140" s="5">
        <f t="shared" si="238"/>
        <v>-123</v>
      </c>
      <c r="BE140" s="5">
        <f t="shared" si="238"/>
        <v>-125</v>
      </c>
      <c r="BF140" s="5">
        <f t="shared" si="238"/>
        <v>-127</v>
      </c>
      <c r="BG140" s="5">
        <f t="shared" si="238"/>
        <v>-129</v>
      </c>
      <c r="BH140" s="5">
        <f t="shared" si="238"/>
        <v>-131</v>
      </c>
      <c r="BI140" s="5">
        <f t="shared" si="238"/>
        <v>-133</v>
      </c>
      <c r="BJ140" s="5">
        <f t="shared" si="238"/>
        <v>-135</v>
      </c>
      <c r="BK140" s="5">
        <f t="shared" si="238"/>
        <v>-137</v>
      </c>
      <c r="BL140" s="5">
        <f t="shared" si="238"/>
        <v>-139</v>
      </c>
      <c r="BM140" s="5">
        <f t="shared" si="238"/>
        <v>-141</v>
      </c>
      <c r="BN140" s="5">
        <f t="shared" si="238"/>
        <v>-143</v>
      </c>
      <c r="BO140" s="5">
        <f t="shared" si="238"/>
        <v>-147</v>
      </c>
      <c r="BP140" s="5">
        <f t="shared" si="238"/>
        <v>-147</v>
      </c>
      <c r="BQ140" s="5">
        <f t="shared" si="238"/>
        <v>-147</v>
      </c>
      <c r="BR140" s="5">
        <f t="shared" si="238"/>
        <v>-147</v>
      </c>
      <c r="BS140" s="5">
        <f t="shared" si="238"/>
        <v>-147</v>
      </c>
      <c r="BT140" s="5">
        <f t="shared" si="238"/>
        <v>-149</v>
      </c>
      <c r="BU140" s="5">
        <f t="shared" ref="BU140:CC140" si="239">(BT140+BT141-BT143+BP142)</f>
        <v>-151</v>
      </c>
      <c r="BV140" s="5">
        <f t="shared" si="239"/>
        <v>-153</v>
      </c>
      <c r="BW140" s="5">
        <f t="shared" si="239"/>
        <v>-155</v>
      </c>
      <c r="BX140" s="5">
        <f t="shared" si="239"/>
        <v>-157</v>
      </c>
      <c r="BY140" s="5">
        <f t="shared" si="239"/>
        <v>-159</v>
      </c>
      <c r="BZ140" s="5">
        <f t="shared" si="239"/>
        <v>-161</v>
      </c>
      <c r="CA140" s="5">
        <f t="shared" si="239"/>
        <v>-163</v>
      </c>
      <c r="CB140" s="5">
        <f t="shared" si="239"/>
        <v>-165</v>
      </c>
      <c r="CC140" s="5">
        <f t="shared" si="239"/>
        <v>-167</v>
      </c>
    </row>
    <row r="141" spans="1:81" x14ac:dyDescent="0.2">
      <c r="A141" s="5" t="s">
        <v>209</v>
      </c>
      <c r="B141" s="5">
        <v>18.532859999999999</v>
      </c>
      <c r="C141" s="45" t="s">
        <v>39</v>
      </c>
      <c r="D141" s="59">
        <f>IFERROR(VLOOKUP(A140,WIP!$A:$B,2,0),0)</f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</row>
    <row r="142" spans="1:81" x14ac:dyDescent="0.2">
      <c r="A142" s="5" t="s">
        <v>210</v>
      </c>
      <c r="B142" s="5">
        <v>0.29688999999999999</v>
      </c>
      <c r="C142" s="9" t="s">
        <v>211</v>
      </c>
      <c r="D142" s="60">
        <f>IFERROR(VLOOKUP($A140,Plan!$A:B,D$4,0),0)</f>
        <v>0</v>
      </c>
      <c r="E142" s="60">
        <f>IFERROR(VLOOKUP($A140,Plan!$A:C,E$4,0),0)</f>
        <v>0</v>
      </c>
      <c r="F142" s="60">
        <f>IFERROR(VLOOKUP($A140,Plan!$A:D,F$4,0),0)</f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 spans="1:81" x14ac:dyDescent="0.2">
      <c r="A143" s="5" t="s">
        <v>212</v>
      </c>
      <c r="B143" s="5">
        <v>4.3749999999999997E-2</v>
      </c>
      <c r="C143" s="9" t="s">
        <v>213</v>
      </c>
      <c r="D143" s="61">
        <f>IFERROR(VLOOKUP($A140,Sales!$A:B,D$2,0),0)</f>
        <v>0</v>
      </c>
      <c r="E143" s="61">
        <f>IFERROR(VLOOKUP($A140,Sales!$A:C,E$2,0),0)</f>
        <v>0</v>
      </c>
      <c r="F143" s="61">
        <f>IFERROR(VLOOKUP($A140,Sales!$A:D,F$2,0),0)</f>
        <v>0</v>
      </c>
      <c r="G143" s="61">
        <f>IFERROR(VLOOKUP($A140,Sales!$A:E,G$2,0),0)</f>
        <v>0</v>
      </c>
      <c r="H143" s="61">
        <f>IFERROR(VLOOKUP($A140,Sales!$A:F,H$2,0),0)</f>
        <v>0</v>
      </c>
      <c r="I143" s="61">
        <f>IFERROR(VLOOKUP($A140,Sales!$A:G,I$2,0),0)</f>
        <v>0</v>
      </c>
      <c r="J143" s="61">
        <f>IFERROR(VLOOKUP($A140,Sales!$A:H,J$2,0),0)</f>
        <v>0</v>
      </c>
      <c r="K143" s="61">
        <f>IFERROR(VLOOKUP($A140,Sales!$A:I,K$2,0),0)</f>
        <v>0</v>
      </c>
      <c r="L143" s="61">
        <f>IFERROR(VLOOKUP($A140,Sales!$A:J,L$2,0),0)</f>
        <v>0</v>
      </c>
      <c r="M143" s="61">
        <f>IFERROR(VLOOKUP($A140,Sales!$A:K,M$2,0),0)</f>
        <v>0</v>
      </c>
      <c r="N143" s="61">
        <f>IFERROR(VLOOKUP($A140,Sales!$A:L,N$2,0),0)</f>
        <v>0</v>
      </c>
      <c r="O143" s="61">
        <f>IFERROR(VLOOKUP($A140,Sales!$A:M,O$2,0),0)</f>
        <v>0</v>
      </c>
      <c r="P143" s="61">
        <f>IFERROR(VLOOKUP($A140,Sales!$A:N,P$2,0),0)</f>
        <v>0</v>
      </c>
      <c r="Q143" s="61">
        <f>IFERROR(VLOOKUP($A140,Sales!$A:O,Q$2,0),0)</f>
        <v>0</v>
      </c>
      <c r="R143" s="61">
        <f>IFERROR(VLOOKUP($A140,Sales!$A:P,R$2,0),0)</f>
        <v>0</v>
      </c>
      <c r="S143" s="61">
        <f>IFERROR(VLOOKUP($A140,Sales!$A:Q,S$2,0),0)</f>
        <v>0</v>
      </c>
      <c r="T143" s="61">
        <f>IFERROR(VLOOKUP($A140,Sales!$A:R,T$2,0),0)</f>
        <v>0</v>
      </c>
      <c r="U143" s="61">
        <f>IFERROR(VLOOKUP($A140,Sales!$A:S,U$2,0),0)</f>
        <v>0</v>
      </c>
      <c r="V143" s="61">
        <f>IFERROR(VLOOKUP($A140,Sales!$A:T,V$2,0),0)</f>
        <v>0</v>
      </c>
      <c r="W143" s="61">
        <f>IFERROR(VLOOKUP($A140,Sales!$A:U,W$2,0),0)</f>
        <v>0</v>
      </c>
      <c r="X143" s="61">
        <f>IFERROR(VLOOKUP($A140,Sales!$A:V,X$2,0),0)</f>
        <v>0</v>
      </c>
      <c r="Y143" s="61">
        <f>IFERROR(VLOOKUP($A140,Sales!$A:W,Y$2,0),0)</f>
        <v>0</v>
      </c>
      <c r="Z143" s="61">
        <f>IFERROR(VLOOKUP($A140,Sales!$A:X,Z$2,0),0)</f>
        <v>0</v>
      </c>
      <c r="AA143" s="61">
        <f>IFERROR(VLOOKUP($A140,Sales!$A:Y,AA$2,0),0)</f>
        <v>0</v>
      </c>
      <c r="AB143" s="61">
        <f>IFERROR(VLOOKUP($A140,Sales!$A:Z,AB$2,0),0)</f>
        <v>0</v>
      </c>
      <c r="AC143" s="61">
        <f>IFERROR(VLOOKUP($A140,Sales!$A:AA,AC$2,0),0)</f>
        <v>20</v>
      </c>
      <c r="AD143" s="61">
        <f>IFERROR(VLOOKUP($A140,Sales!$A:AB,AD$2,0),0)</f>
        <v>20</v>
      </c>
      <c r="AE143" s="61">
        <f>IFERROR(VLOOKUP($A140,Sales!$A:AC,AE$2,0),0)</f>
        <v>20</v>
      </c>
      <c r="AF143" s="61">
        <f>IFERROR(VLOOKUP($A140,Sales!$A:AD,AF$2,0),0)</f>
        <v>20</v>
      </c>
      <c r="AG143" s="61">
        <f>IFERROR(VLOOKUP($A140,Sales!$A:AE,AG$2,0),0)</f>
        <v>0</v>
      </c>
      <c r="AH143" s="61">
        <f>IFERROR(VLOOKUP($A140,Sales!$A:AF,AH$2,0),0)</f>
        <v>0</v>
      </c>
      <c r="AI143" s="61">
        <f>IFERROR(VLOOKUP($A140,Sales!$A:AG,AI$2,0),0)</f>
        <v>0</v>
      </c>
      <c r="AJ143" s="61">
        <f>IFERROR(VLOOKUP($A140,Sales!$A:AH,AJ$2,0),0)</f>
        <v>0</v>
      </c>
      <c r="AK143" s="74">
        <f t="shared" ref="AK143:CC143" si="240">CEILING(AK$5*$B139,1)</f>
        <v>0</v>
      </c>
      <c r="AL143" s="74">
        <f t="shared" si="240"/>
        <v>0</v>
      </c>
      <c r="AM143" s="74">
        <f t="shared" si="240"/>
        <v>0</v>
      </c>
      <c r="AN143" s="74">
        <f t="shared" si="240"/>
        <v>3</v>
      </c>
      <c r="AO143" s="74">
        <f t="shared" si="240"/>
        <v>3</v>
      </c>
      <c r="AP143" s="74">
        <f t="shared" si="240"/>
        <v>3</v>
      </c>
      <c r="AQ143" s="74">
        <f t="shared" si="240"/>
        <v>3</v>
      </c>
      <c r="AR143" s="74">
        <f t="shared" si="240"/>
        <v>3</v>
      </c>
      <c r="AS143" s="74">
        <f t="shared" si="240"/>
        <v>3</v>
      </c>
      <c r="AT143" s="74">
        <f t="shared" si="240"/>
        <v>3</v>
      </c>
      <c r="AU143" s="74">
        <f t="shared" si="240"/>
        <v>3</v>
      </c>
      <c r="AV143" s="74">
        <f t="shared" si="240"/>
        <v>3</v>
      </c>
      <c r="AW143" s="74">
        <f t="shared" si="240"/>
        <v>3</v>
      </c>
      <c r="AX143" s="74">
        <f t="shared" si="240"/>
        <v>3</v>
      </c>
      <c r="AY143" s="74">
        <f t="shared" si="240"/>
        <v>2</v>
      </c>
      <c r="AZ143" s="74">
        <f t="shared" si="240"/>
        <v>2</v>
      </c>
      <c r="BA143" s="74">
        <f t="shared" si="240"/>
        <v>2</v>
      </c>
      <c r="BB143" s="74">
        <f t="shared" si="240"/>
        <v>2</v>
      </c>
      <c r="BC143" s="74">
        <f t="shared" si="240"/>
        <v>2</v>
      </c>
      <c r="BD143" s="74">
        <f t="shared" si="240"/>
        <v>2</v>
      </c>
      <c r="BE143" s="74">
        <f t="shared" si="240"/>
        <v>2</v>
      </c>
      <c r="BF143" s="74">
        <f t="shared" si="240"/>
        <v>2</v>
      </c>
      <c r="BG143" s="74">
        <f t="shared" si="240"/>
        <v>2</v>
      </c>
      <c r="BH143" s="74">
        <f t="shared" si="240"/>
        <v>2</v>
      </c>
      <c r="BI143" s="74">
        <f t="shared" si="240"/>
        <v>2</v>
      </c>
      <c r="BJ143" s="74">
        <f t="shared" si="240"/>
        <v>2</v>
      </c>
      <c r="BK143" s="74">
        <f t="shared" si="240"/>
        <v>2</v>
      </c>
      <c r="BL143" s="74">
        <f t="shared" si="240"/>
        <v>2</v>
      </c>
      <c r="BM143" s="74">
        <f t="shared" si="240"/>
        <v>2</v>
      </c>
      <c r="BN143" s="74">
        <f t="shared" si="240"/>
        <v>4</v>
      </c>
      <c r="BO143" s="74">
        <f t="shared" si="240"/>
        <v>0</v>
      </c>
      <c r="BP143" s="74">
        <f t="shared" si="240"/>
        <v>0</v>
      </c>
      <c r="BQ143" s="74">
        <f t="shared" si="240"/>
        <v>0</v>
      </c>
      <c r="BR143" s="74">
        <f t="shared" si="240"/>
        <v>0</v>
      </c>
      <c r="BS143" s="74">
        <f t="shared" si="240"/>
        <v>2</v>
      </c>
      <c r="BT143" s="74">
        <f t="shared" si="240"/>
        <v>2</v>
      </c>
      <c r="BU143" s="74">
        <f t="shared" si="240"/>
        <v>2</v>
      </c>
      <c r="BV143" s="74">
        <f t="shared" si="240"/>
        <v>2</v>
      </c>
      <c r="BW143" s="74">
        <f t="shared" si="240"/>
        <v>2</v>
      </c>
      <c r="BX143" s="74">
        <f t="shared" si="240"/>
        <v>2</v>
      </c>
      <c r="BY143" s="74">
        <f t="shared" si="240"/>
        <v>2</v>
      </c>
      <c r="BZ143" s="74">
        <f t="shared" si="240"/>
        <v>2</v>
      </c>
      <c r="CA143" s="74">
        <f t="shared" si="240"/>
        <v>2</v>
      </c>
      <c r="CB143" s="74">
        <f t="shared" si="240"/>
        <v>2</v>
      </c>
      <c r="CC143" s="74">
        <f t="shared" si="240"/>
        <v>2</v>
      </c>
    </row>
    <row r="144" spans="1:81" x14ac:dyDescent="0.2">
      <c r="A144" s="5" t="s">
        <v>214</v>
      </c>
      <c r="B144" s="5">
        <v>0.37003000000000003</v>
      </c>
      <c r="C144" s="46" t="s">
        <v>215</v>
      </c>
      <c r="D144" s="11">
        <f t="shared" ref="D144:AI144" si="241">IF(D143=0,0, ROUND(D140 * 1/D143* D$13,1))</f>
        <v>0</v>
      </c>
      <c r="E144" s="11">
        <f t="shared" si="241"/>
        <v>0</v>
      </c>
      <c r="F144" s="11">
        <f t="shared" si="241"/>
        <v>0</v>
      </c>
      <c r="G144" s="11">
        <f t="shared" si="241"/>
        <v>0</v>
      </c>
      <c r="H144" s="11">
        <f t="shared" si="241"/>
        <v>0</v>
      </c>
      <c r="I144" s="11">
        <f t="shared" si="241"/>
        <v>0</v>
      </c>
      <c r="J144" s="11">
        <f t="shared" si="241"/>
        <v>0</v>
      </c>
      <c r="K144" s="11">
        <f t="shared" si="241"/>
        <v>0</v>
      </c>
      <c r="L144" s="11">
        <f t="shared" si="241"/>
        <v>0</v>
      </c>
      <c r="M144" s="11">
        <f t="shared" si="241"/>
        <v>0</v>
      </c>
      <c r="N144" s="11">
        <f t="shared" si="241"/>
        <v>0</v>
      </c>
      <c r="O144" s="11">
        <f t="shared" si="241"/>
        <v>0</v>
      </c>
      <c r="P144" s="11">
        <f t="shared" si="241"/>
        <v>0</v>
      </c>
      <c r="Q144" s="11">
        <f t="shared" si="241"/>
        <v>0</v>
      </c>
      <c r="R144" s="11">
        <f t="shared" si="241"/>
        <v>0</v>
      </c>
      <c r="S144" s="11">
        <f t="shared" si="241"/>
        <v>0</v>
      </c>
      <c r="T144" s="11">
        <f t="shared" si="241"/>
        <v>0</v>
      </c>
      <c r="U144" s="11">
        <f t="shared" si="241"/>
        <v>0</v>
      </c>
      <c r="V144" s="11">
        <f t="shared" si="241"/>
        <v>0</v>
      </c>
      <c r="W144" s="11">
        <f t="shared" si="241"/>
        <v>0</v>
      </c>
      <c r="X144" s="11">
        <f t="shared" si="241"/>
        <v>0</v>
      </c>
      <c r="Y144" s="11">
        <f t="shared" si="241"/>
        <v>0</v>
      </c>
      <c r="Z144" s="11">
        <f t="shared" si="241"/>
        <v>0</v>
      </c>
      <c r="AA144" s="11">
        <f t="shared" si="241"/>
        <v>0</v>
      </c>
      <c r="AB144" s="11">
        <f t="shared" si="241"/>
        <v>0</v>
      </c>
      <c r="AC144" s="11">
        <f t="shared" si="241"/>
        <v>0</v>
      </c>
      <c r="AD144" s="11">
        <f t="shared" si="241"/>
        <v>-5</v>
      </c>
      <c r="AE144" s="11">
        <f t="shared" si="241"/>
        <v>-10</v>
      </c>
      <c r="AF144" s="11">
        <f t="shared" si="241"/>
        <v>-15</v>
      </c>
      <c r="AG144" s="11">
        <f t="shared" si="241"/>
        <v>0</v>
      </c>
      <c r="AH144" s="11">
        <f t="shared" si="241"/>
        <v>0</v>
      </c>
      <c r="AI144" s="11">
        <f t="shared" si="241"/>
        <v>0</v>
      </c>
      <c r="AJ144" s="11">
        <f t="shared" ref="AJ144:BO144" si="242">IF(AJ143=0,0, ROUND(AJ140 * 1/AJ143* AJ$13,1))</f>
        <v>0</v>
      </c>
      <c r="AK144" s="11">
        <f t="shared" si="242"/>
        <v>0</v>
      </c>
      <c r="AL144" s="11">
        <f t="shared" si="242"/>
        <v>0</v>
      </c>
      <c r="AM144" s="11">
        <f t="shared" si="242"/>
        <v>0</v>
      </c>
      <c r="AN144" s="11">
        <f t="shared" si="242"/>
        <v>-133.30000000000001</v>
      </c>
      <c r="AO144" s="11">
        <f t="shared" si="242"/>
        <v>-138.30000000000001</v>
      </c>
      <c r="AP144" s="11">
        <f t="shared" si="242"/>
        <v>-143.30000000000001</v>
      </c>
      <c r="AQ144" s="11">
        <f t="shared" si="242"/>
        <v>-148.30000000000001</v>
      </c>
      <c r="AR144" s="11">
        <f t="shared" si="242"/>
        <v>-153.30000000000001</v>
      </c>
      <c r="AS144" s="11">
        <f t="shared" si="242"/>
        <v>-158.30000000000001</v>
      </c>
      <c r="AT144" s="11">
        <f t="shared" si="242"/>
        <v>-163.30000000000001</v>
      </c>
      <c r="AU144" s="11">
        <f t="shared" si="242"/>
        <v>-168.3</v>
      </c>
      <c r="AV144" s="11">
        <f t="shared" si="242"/>
        <v>-173.3</v>
      </c>
      <c r="AW144" s="11">
        <f t="shared" si="242"/>
        <v>-178.3</v>
      </c>
      <c r="AX144" s="11">
        <f t="shared" si="242"/>
        <v>-183.3</v>
      </c>
      <c r="AY144" s="11">
        <f t="shared" si="242"/>
        <v>-282.5</v>
      </c>
      <c r="AZ144" s="11">
        <f t="shared" si="242"/>
        <v>-287.5</v>
      </c>
      <c r="BA144" s="11">
        <f t="shared" si="242"/>
        <v>-292.5</v>
      </c>
      <c r="BB144" s="11">
        <f t="shared" si="242"/>
        <v>-297.5</v>
      </c>
      <c r="BC144" s="11">
        <f t="shared" si="242"/>
        <v>-302.5</v>
      </c>
      <c r="BD144" s="11">
        <f t="shared" si="242"/>
        <v>-307.5</v>
      </c>
      <c r="BE144" s="11">
        <f t="shared" si="242"/>
        <v>-312.5</v>
      </c>
      <c r="BF144" s="11">
        <f t="shared" si="242"/>
        <v>-317.5</v>
      </c>
      <c r="BG144" s="11">
        <f t="shared" si="242"/>
        <v>-322.5</v>
      </c>
      <c r="BH144" s="11">
        <f t="shared" si="242"/>
        <v>-327.5</v>
      </c>
      <c r="BI144" s="11">
        <f t="shared" si="242"/>
        <v>-332.5</v>
      </c>
      <c r="BJ144" s="11">
        <f t="shared" si="242"/>
        <v>-337.5</v>
      </c>
      <c r="BK144" s="11">
        <f t="shared" si="242"/>
        <v>-342.5</v>
      </c>
      <c r="BL144" s="11">
        <f t="shared" si="242"/>
        <v>-347.5</v>
      </c>
      <c r="BM144" s="11">
        <f t="shared" si="242"/>
        <v>-352.5</v>
      </c>
      <c r="BN144" s="11">
        <f t="shared" si="242"/>
        <v>-178.8</v>
      </c>
      <c r="BO144" s="11">
        <f t="shared" si="242"/>
        <v>0</v>
      </c>
      <c r="BP144" s="11">
        <f t="shared" ref="BP144:CC144" si="243">IF(BP143=0,0, ROUND(BP140 * 1/BP143* BP$13,1))</f>
        <v>0</v>
      </c>
      <c r="BQ144" s="11">
        <f t="shared" si="243"/>
        <v>0</v>
      </c>
      <c r="BR144" s="11">
        <f t="shared" si="243"/>
        <v>0</v>
      </c>
      <c r="BS144" s="11">
        <f t="shared" si="243"/>
        <v>-367.5</v>
      </c>
      <c r="BT144" s="11">
        <f t="shared" si="243"/>
        <v>-372.5</v>
      </c>
      <c r="BU144" s="11">
        <f t="shared" si="243"/>
        <v>-377.5</v>
      </c>
      <c r="BV144" s="11">
        <f t="shared" si="243"/>
        <v>-382.5</v>
      </c>
      <c r="BW144" s="11">
        <f t="shared" si="243"/>
        <v>-387.5</v>
      </c>
      <c r="BX144" s="11">
        <f t="shared" si="243"/>
        <v>-392.5</v>
      </c>
      <c r="BY144" s="11">
        <f t="shared" si="243"/>
        <v>-397.5</v>
      </c>
      <c r="BZ144" s="11">
        <f t="shared" si="243"/>
        <v>-402.5</v>
      </c>
      <c r="CA144" s="11">
        <f t="shared" si="243"/>
        <v>-407.5</v>
      </c>
      <c r="CB144" s="11">
        <f t="shared" si="243"/>
        <v>-412.5</v>
      </c>
      <c r="CC144" s="11">
        <f t="shared" si="243"/>
        <v>-417.5</v>
      </c>
    </row>
    <row r="145" spans="1:81" x14ac:dyDescent="0.2">
      <c r="A145">
        <v>37</v>
      </c>
      <c r="B145">
        <v>1</v>
      </c>
      <c r="C145" s="8">
        <v>7.8708200000000001</v>
      </c>
      <c r="D145">
        <f t="shared" ref="D145:AI145" si="244">D142/$B145</f>
        <v>0</v>
      </c>
      <c r="E145">
        <f t="shared" si="244"/>
        <v>0</v>
      </c>
      <c r="F145">
        <f t="shared" si="244"/>
        <v>0</v>
      </c>
      <c r="G145">
        <f t="shared" si="244"/>
        <v>0</v>
      </c>
      <c r="H145">
        <f t="shared" si="244"/>
        <v>0</v>
      </c>
      <c r="I145">
        <f t="shared" si="244"/>
        <v>0</v>
      </c>
      <c r="J145">
        <f t="shared" si="244"/>
        <v>0</v>
      </c>
      <c r="K145">
        <f t="shared" si="244"/>
        <v>0</v>
      </c>
      <c r="L145">
        <f t="shared" si="244"/>
        <v>0</v>
      </c>
      <c r="M145">
        <f t="shared" si="244"/>
        <v>0</v>
      </c>
      <c r="N145">
        <f t="shared" si="244"/>
        <v>0</v>
      </c>
      <c r="O145">
        <f t="shared" si="244"/>
        <v>0</v>
      </c>
      <c r="P145">
        <f t="shared" si="244"/>
        <v>0</v>
      </c>
      <c r="Q145">
        <f t="shared" si="244"/>
        <v>0</v>
      </c>
      <c r="R145">
        <f t="shared" si="244"/>
        <v>0</v>
      </c>
      <c r="S145">
        <f t="shared" si="244"/>
        <v>0</v>
      </c>
      <c r="T145">
        <f t="shared" si="244"/>
        <v>0</v>
      </c>
      <c r="U145">
        <f t="shared" si="244"/>
        <v>0</v>
      </c>
      <c r="V145">
        <f t="shared" si="244"/>
        <v>0</v>
      </c>
      <c r="W145">
        <f t="shared" si="244"/>
        <v>0</v>
      </c>
      <c r="X145">
        <f t="shared" si="244"/>
        <v>0</v>
      </c>
      <c r="Y145">
        <f t="shared" si="244"/>
        <v>0</v>
      </c>
      <c r="Z145">
        <f t="shared" si="244"/>
        <v>0</v>
      </c>
      <c r="AA145">
        <f t="shared" si="244"/>
        <v>0</v>
      </c>
      <c r="AB145">
        <f t="shared" si="244"/>
        <v>0</v>
      </c>
      <c r="AC145">
        <f t="shared" si="244"/>
        <v>0</v>
      </c>
      <c r="AD145">
        <f t="shared" si="244"/>
        <v>0</v>
      </c>
      <c r="AE145">
        <f t="shared" si="244"/>
        <v>0</v>
      </c>
      <c r="AF145">
        <f t="shared" si="244"/>
        <v>0</v>
      </c>
      <c r="AG145">
        <f t="shared" si="244"/>
        <v>0</v>
      </c>
      <c r="AH145">
        <f t="shared" si="244"/>
        <v>0</v>
      </c>
      <c r="AI145">
        <f t="shared" si="244"/>
        <v>0</v>
      </c>
      <c r="AJ145">
        <f t="shared" ref="AJ145:BO145" si="245">AJ142/$B145</f>
        <v>0</v>
      </c>
      <c r="AK145">
        <f t="shared" si="245"/>
        <v>0</v>
      </c>
      <c r="AL145">
        <f t="shared" si="245"/>
        <v>0</v>
      </c>
      <c r="AM145">
        <f t="shared" si="245"/>
        <v>0</v>
      </c>
      <c r="AN145">
        <f t="shared" si="245"/>
        <v>0</v>
      </c>
      <c r="AO145">
        <f t="shared" si="245"/>
        <v>0</v>
      </c>
      <c r="AP145">
        <f t="shared" si="245"/>
        <v>0</v>
      </c>
      <c r="AQ145">
        <f t="shared" si="245"/>
        <v>0</v>
      </c>
      <c r="AR145">
        <f t="shared" si="245"/>
        <v>0</v>
      </c>
      <c r="AS145">
        <f t="shared" si="245"/>
        <v>0</v>
      </c>
      <c r="AT145">
        <f t="shared" si="245"/>
        <v>0</v>
      </c>
      <c r="AU145">
        <f t="shared" si="245"/>
        <v>0</v>
      </c>
      <c r="AV145">
        <f t="shared" si="245"/>
        <v>0</v>
      </c>
      <c r="AW145">
        <f t="shared" si="245"/>
        <v>0</v>
      </c>
      <c r="AX145">
        <f t="shared" si="245"/>
        <v>0</v>
      </c>
      <c r="AY145">
        <f t="shared" si="245"/>
        <v>0</v>
      </c>
      <c r="AZ145">
        <f t="shared" si="245"/>
        <v>0</v>
      </c>
      <c r="BA145">
        <f t="shared" si="245"/>
        <v>0</v>
      </c>
      <c r="BB145">
        <f t="shared" si="245"/>
        <v>0</v>
      </c>
      <c r="BC145">
        <f t="shared" si="245"/>
        <v>0</v>
      </c>
      <c r="BD145">
        <f t="shared" si="245"/>
        <v>0</v>
      </c>
      <c r="BE145">
        <f t="shared" si="245"/>
        <v>0</v>
      </c>
      <c r="BF145">
        <f t="shared" si="245"/>
        <v>0</v>
      </c>
      <c r="BG145">
        <f t="shared" si="245"/>
        <v>0</v>
      </c>
      <c r="BH145">
        <f t="shared" si="245"/>
        <v>0</v>
      </c>
      <c r="BI145">
        <f t="shared" si="245"/>
        <v>0</v>
      </c>
      <c r="BJ145">
        <f t="shared" si="245"/>
        <v>0</v>
      </c>
      <c r="BK145">
        <f t="shared" si="245"/>
        <v>0</v>
      </c>
      <c r="BL145">
        <f t="shared" si="245"/>
        <v>0</v>
      </c>
      <c r="BM145">
        <f t="shared" si="245"/>
        <v>0</v>
      </c>
      <c r="BN145">
        <f t="shared" si="245"/>
        <v>0</v>
      </c>
      <c r="BO145">
        <f t="shared" si="245"/>
        <v>0</v>
      </c>
      <c r="BP145">
        <f t="shared" ref="BP145:CC145" si="246">BP142/$B145</f>
        <v>0</v>
      </c>
      <c r="BQ145">
        <f t="shared" si="246"/>
        <v>0</v>
      </c>
      <c r="BR145">
        <f t="shared" si="246"/>
        <v>0</v>
      </c>
      <c r="BS145">
        <f t="shared" si="246"/>
        <v>0</v>
      </c>
      <c r="BT145">
        <f t="shared" si="246"/>
        <v>0</v>
      </c>
      <c r="BU145">
        <f t="shared" si="246"/>
        <v>0</v>
      </c>
      <c r="BV145">
        <f t="shared" si="246"/>
        <v>0</v>
      </c>
      <c r="BW145">
        <f t="shared" si="246"/>
        <v>0</v>
      </c>
      <c r="BX145">
        <f t="shared" si="246"/>
        <v>0</v>
      </c>
      <c r="BY145">
        <f t="shared" si="246"/>
        <v>0</v>
      </c>
      <c r="BZ145">
        <f t="shared" si="246"/>
        <v>0</v>
      </c>
      <c r="CA145">
        <f t="shared" si="246"/>
        <v>0</v>
      </c>
      <c r="CB145">
        <f t="shared" si="246"/>
        <v>0</v>
      </c>
      <c r="CC145">
        <f t="shared" si="246"/>
        <v>0</v>
      </c>
    </row>
    <row r="146" spans="1:81" x14ac:dyDescent="0.2">
      <c r="B146" s="67">
        <f>SUM(D150:AJ150)/SUM($D$263:$AJ$263)</f>
        <v>2.9349612585113878E-2</v>
      </c>
      <c r="C146" s="9" t="s">
        <v>216</v>
      </c>
      <c r="D146">
        <f t="shared" ref="D146:AI146" si="247">D140-D143</f>
        <v>0</v>
      </c>
      <c r="E146">
        <f t="shared" si="247"/>
        <v>0</v>
      </c>
      <c r="F146">
        <f t="shared" si="247"/>
        <v>0</v>
      </c>
      <c r="G146">
        <f t="shared" si="247"/>
        <v>0</v>
      </c>
      <c r="H146">
        <f t="shared" si="247"/>
        <v>0</v>
      </c>
      <c r="I146">
        <f t="shared" si="247"/>
        <v>0</v>
      </c>
      <c r="J146">
        <f t="shared" si="247"/>
        <v>0</v>
      </c>
      <c r="K146">
        <f t="shared" si="247"/>
        <v>0</v>
      </c>
      <c r="L146">
        <f t="shared" si="247"/>
        <v>0</v>
      </c>
      <c r="M146">
        <f t="shared" si="247"/>
        <v>0</v>
      </c>
      <c r="N146">
        <f t="shared" si="247"/>
        <v>0</v>
      </c>
      <c r="O146">
        <f t="shared" si="247"/>
        <v>0</v>
      </c>
      <c r="P146">
        <f t="shared" si="247"/>
        <v>0</v>
      </c>
      <c r="Q146">
        <f t="shared" si="247"/>
        <v>0</v>
      </c>
      <c r="R146">
        <f t="shared" si="247"/>
        <v>0</v>
      </c>
      <c r="S146">
        <f t="shared" si="247"/>
        <v>0</v>
      </c>
      <c r="T146">
        <f t="shared" si="247"/>
        <v>0</v>
      </c>
      <c r="U146">
        <f t="shared" si="247"/>
        <v>0</v>
      </c>
      <c r="V146">
        <f t="shared" si="247"/>
        <v>0</v>
      </c>
      <c r="W146">
        <f t="shared" si="247"/>
        <v>0</v>
      </c>
      <c r="X146">
        <f t="shared" si="247"/>
        <v>0</v>
      </c>
      <c r="Y146">
        <f t="shared" si="247"/>
        <v>0</v>
      </c>
      <c r="Z146">
        <f t="shared" si="247"/>
        <v>0</v>
      </c>
      <c r="AA146">
        <f t="shared" si="247"/>
        <v>0</v>
      </c>
      <c r="AB146">
        <f t="shared" si="247"/>
        <v>0</v>
      </c>
      <c r="AC146">
        <f t="shared" si="247"/>
        <v>-20</v>
      </c>
      <c r="AD146">
        <f t="shared" si="247"/>
        <v>-40</v>
      </c>
      <c r="AE146">
        <f t="shared" si="247"/>
        <v>-60</v>
      </c>
      <c r="AF146">
        <f t="shared" si="247"/>
        <v>-80</v>
      </c>
      <c r="AG146">
        <f t="shared" si="247"/>
        <v>-80</v>
      </c>
      <c r="AH146">
        <f t="shared" si="247"/>
        <v>-80</v>
      </c>
      <c r="AI146">
        <f t="shared" si="247"/>
        <v>-80</v>
      </c>
      <c r="AJ146">
        <f t="shared" ref="AJ146:BO146" si="248">AJ140-AJ143</f>
        <v>-80</v>
      </c>
      <c r="AK146">
        <f t="shared" si="248"/>
        <v>-80</v>
      </c>
      <c r="AL146">
        <f t="shared" si="248"/>
        <v>-80</v>
      </c>
      <c r="AM146">
        <f t="shared" si="248"/>
        <v>-80</v>
      </c>
      <c r="AN146">
        <f t="shared" si="248"/>
        <v>-83</v>
      </c>
      <c r="AO146">
        <f t="shared" si="248"/>
        <v>-86</v>
      </c>
      <c r="AP146">
        <f t="shared" si="248"/>
        <v>-89</v>
      </c>
      <c r="AQ146">
        <f t="shared" si="248"/>
        <v>-92</v>
      </c>
      <c r="AR146">
        <f t="shared" si="248"/>
        <v>-95</v>
      </c>
      <c r="AS146">
        <f t="shared" si="248"/>
        <v>-98</v>
      </c>
      <c r="AT146">
        <f t="shared" si="248"/>
        <v>-101</v>
      </c>
      <c r="AU146">
        <f t="shared" si="248"/>
        <v>-104</v>
      </c>
      <c r="AV146">
        <f t="shared" si="248"/>
        <v>-107</v>
      </c>
      <c r="AW146">
        <f t="shared" si="248"/>
        <v>-110</v>
      </c>
      <c r="AX146">
        <f t="shared" si="248"/>
        <v>-113</v>
      </c>
      <c r="AY146">
        <f t="shared" si="248"/>
        <v>-115</v>
      </c>
      <c r="AZ146">
        <f t="shared" si="248"/>
        <v>-117</v>
      </c>
      <c r="BA146">
        <f t="shared" si="248"/>
        <v>-119</v>
      </c>
      <c r="BB146">
        <f t="shared" si="248"/>
        <v>-121</v>
      </c>
      <c r="BC146">
        <f t="shared" si="248"/>
        <v>-123</v>
      </c>
      <c r="BD146">
        <f t="shared" si="248"/>
        <v>-125</v>
      </c>
      <c r="BE146">
        <f t="shared" si="248"/>
        <v>-127</v>
      </c>
      <c r="BF146">
        <f t="shared" si="248"/>
        <v>-129</v>
      </c>
      <c r="BG146">
        <f t="shared" si="248"/>
        <v>-131</v>
      </c>
      <c r="BH146">
        <f t="shared" si="248"/>
        <v>-133</v>
      </c>
      <c r="BI146">
        <f t="shared" si="248"/>
        <v>-135</v>
      </c>
      <c r="BJ146">
        <f t="shared" si="248"/>
        <v>-137</v>
      </c>
      <c r="BK146">
        <f t="shared" si="248"/>
        <v>-139</v>
      </c>
      <c r="BL146">
        <f t="shared" si="248"/>
        <v>-141</v>
      </c>
      <c r="BM146">
        <f t="shared" si="248"/>
        <v>-143</v>
      </c>
      <c r="BN146">
        <f t="shared" si="248"/>
        <v>-147</v>
      </c>
      <c r="BO146">
        <f t="shared" si="248"/>
        <v>-147</v>
      </c>
      <c r="BP146">
        <f t="shared" ref="BP146:CC146" si="249">BP140-BP143</f>
        <v>-147</v>
      </c>
      <c r="BQ146">
        <f t="shared" si="249"/>
        <v>-147</v>
      </c>
      <c r="BR146">
        <f t="shared" si="249"/>
        <v>-147</v>
      </c>
      <c r="BS146">
        <f t="shared" si="249"/>
        <v>-149</v>
      </c>
      <c r="BT146">
        <f t="shared" si="249"/>
        <v>-151</v>
      </c>
      <c r="BU146">
        <f t="shared" si="249"/>
        <v>-153</v>
      </c>
      <c r="BV146">
        <f t="shared" si="249"/>
        <v>-155</v>
      </c>
      <c r="BW146">
        <f t="shared" si="249"/>
        <v>-157</v>
      </c>
      <c r="BX146">
        <f t="shared" si="249"/>
        <v>-159</v>
      </c>
      <c r="BY146">
        <f t="shared" si="249"/>
        <v>-161</v>
      </c>
      <c r="BZ146">
        <f t="shared" si="249"/>
        <v>-163</v>
      </c>
      <c r="CA146">
        <f t="shared" si="249"/>
        <v>-165</v>
      </c>
      <c r="CB146">
        <f t="shared" si="249"/>
        <v>-167</v>
      </c>
      <c r="CC146">
        <f t="shared" si="249"/>
        <v>-169</v>
      </c>
    </row>
    <row r="147" spans="1:81" x14ac:dyDescent="0.2">
      <c r="A147" s="43" t="s">
        <v>308</v>
      </c>
      <c r="B147" s="44" t="s">
        <v>208</v>
      </c>
      <c r="C147" s="9" t="s">
        <v>38</v>
      </c>
      <c r="D147" s="58">
        <f>IFERROR(VLOOKUP(A147,OS!$A:$B,2,0),0)</f>
        <v>725</v>
      </c>
      <c r="E147" s="5">
        <f>(D147+D148-D150)</f>
        <v>1025</v>
      </c>
      <c r="F147" s="5">
        <f>(E147+E148-E150)</f>
        <v>725</v>
      </c>
      <c r="G147" s="5">
        <f>(F147+F148-F150)</f>
        <v>525</v>
      </c>
      <c r="H147" s="5">
        <f>(G147+G148-G150)</f>
        <v>425</v>
      </c>
      <c r="I147" s="5">
        <f t="shared" ref="I147:AN147" si="250">(H147+H148-H150+D149)</f>
        <v>505</v>
      </c>
      <c r="J147" s="5">
        <f t="shared" si="250"/>
        <v>305</v>
      </c>
      <c r="K147" s="5">
        <f t="shared" si="250"/>
        <v>205</v>
      </c>
      <c r="L147" s="5">
        <f t="shared" si="250"/>
        <v>105</v>
      </c>
      <c r="M147" s="5">
        <f t="shared" si="250"/>
        <v>-95</v>
      </c>
      <c r="N147" s="5">
        <f t="shared" si="250"/>
        <v>-395</v>
      </c>
      <c r="O147" s="5">
        <f t="shared" si="250"/>
        <v>-395</v>
      </c>
      <c r="P147" s="5">
        <f t="shared" si="250"/>
        <v>-395</v>
      </c>
      <c r="Q147" s="5">
        <f t="shared" si="250"/>
        <v>-395</v>
      </c>
      <c r="R147" s="5">
        <f t="shared" si="250"/>
        <v>-395</v>
      </c>
      <c r="S147" s="5">
        <f t="shared" si="250"/>
        <v>-495</v>
      </c>
      <c r="T147" s="5">
        <f t="shared" si="250"/>
        <v>-595</v>
      </c>
      <c r="U147" s="5">
        <f t="shared" si="250"/>
        <v>-795</v>
      </c>
      <c r="V147" s="5">
        <f t="shared" si="250"/>
        <v>-895</v>
      </c>
      <c r="W147" s="5">
        <f t="shared" si="250"/>
        <v>-995</v>
      </c>
      <c r="X147" s="5">
        <f t="shared" si="250"/>
        <v>-1095</v>
      </c>
      <c r="Y147" s="5">
        <f t="shared" si="250"/>
        <v>-1195</v>
      </c>
      <c r="Z147" s="5">
        <f t="shared" si="250"/>
        <v>-1245</v>
      </c>
      <c r="AA147" s="5">
        <f t="shared" si="250"/>
        <v>-1295</v>
      </c>
      <c r="AB147" s="5">
        <f t="shared" si="250"/>
        <v>-1345</v>
      </c>
      <c r="AC147" s="5">
        <f t="shared" si="250"/>
        <v>-1395</v>
      </c>
      <c r="AD147" s="5">
        <f t="shared" si="250"/>
        <v>-1435</v>
      </c>
      <c r="AE147" s="5">
        <f t="shared" si="250"/>
        <v>-1475</v>
      </c>
      <c r="AF147" s="5">
        <f t="shared" si="250"/>
        <v>-1515</v>
      </c>
      <c r="AG147" s="5">
        <f t="shared" si="250"/>
        <v>-1555</v>
      </c>
      <c r="AH147" s="5">
        <f t="shared" si="250"/>
        <v>-1595</v>
      </c>
      <c r="AI147" s="5">
        <f t="shared" si="250"/>
        <v>-1645</v>
      </c>
      <c r="AJ147" s="5">
        <f t="shared" si="250"/>
        <v>-1695</v>
      </c>
      <c r="AK147" s="5">
        <f t="shared" si="250"/>
        <v>-1695</v>
      </c>
      <c r="AL147" s="5">
        <f t="shared" si="250"/>
        <v>-1695</v>
      </c>
      <c r="AM147" s="5">
        <f t="shared" si="250"/>
        <v>-1695</v>
      </c>
      <c r="AN147" s="5">
        <f t="shared" si="250"/>
        <v>-1695</v>
      </c>
      <c r="AO147" s="5">
        <f t="shared" ref="AO147:BT147" si="251">(AN147+AN148-AN150+AJ149)</f>
        <v>-1775</v>
      </c>
      <c r="AP147" s="5">
        <f t="shared" si="251"/>
        <v>-1855</v>
      </c>
      <c r="AQ147" s="5">
        <f t="shared" si="251"/>
        <v>-1935</v>
      </c>
      <c r="AR147" s="5">
        <f t="shared" si="251"/>
        <v>-2032</v>
      </c>
      <c r="AS147" s="5">
        <f t="shared" si="251"/>
        <v>-2129</v>
      </c>
      <c r="AT147" s="5">
        <f t="shared" si="251"/>
        <v>-2206</v>
      </c>
      <c r="AU147" s="5">
        <f t="shared" si="251"/>
        <v>-2303</v>
      </c>
      <c r="AV147" s="5">
        <f t="shared" si="251"/>
        <v>-2395</v>
      </c>
      <c r="AW147" s="5">
        <f t="shared" si="251"/>
        <v>-2487</v>
      </c>
      <c r="AX147" s="5">
        <f t="shared" si="251"/>
        <v>-2579</v>
      </c>
      <c r="AY147" s="5">
        <f t="shared" si="251"/>
        <v>-2671</v>
      </c>
      <c r="AZ147" s="5">
        <f t="shared" si="251"/>
        <v>-2744</v>
      </c>
      <c r="BA147" s="5">
        <f t="shared" si="251"/>
        <v>-2809</v>
      </c>
      <c r="BB147" s="5">
        <f t="shared" si="251"/>
        <v>-2874</v>
      </c>
      <c r="BC147" s="5">
        <f t="shared" si="251"/>
        <v>-2939</v>
      </c>
      <c r="BD147" s="5">
        <f t="shared" si="251"/>
        <v>-3012</v>
      </c>
      <c r="BE147" s="5">
        <f t="shared" si="251"/>
        <v>-3085</v>
      </c>
      <c r="BF147" s="5">
        <f t="shared" si="251"/>
        <v>-3158</v>
      </c>
      <c r="BG147" s="5">
        <f t="shared" si="251"/>
        <v>-3231</v>
      </c>
      <c r="BH147" s="5">
        <f t="shared" si="251"/>
        <v>-3304</v>
      </c>
      <c r="BI147" s="5">
        <f t="shared" si="251"/>
        <v>-3377</v>
      </c>
      <c r="BJ147" s="5">
        <f t="shared" si="251"/>
        <v>-3450</v>
      </c>
      <c r="BK147" s="5">
        <f t="shared" si="251"/>
        <v>-3523</v>
      </c>
      <c r="BL147" s="5">
        <f t="shared" si="251"/>
        <v>-3596</v>
      </c>
      <c r="BM147" s="5">
        <f t="shared" si="251"/>
        <v>-3669</v>
      </c>
      <c r="BN147" s="5">
        <f t="shared" si="251"/>
        <v>-3742</v>
      </c>
      <c r="BO147" s="5">
        <f t="shared" si="251"/>
        <v>-3875</v>
      </c>
      <c r="BP147" s="5">
        <f t="shared" si="251"/>
        <v>-3875</v>
      </c>
      <c r="BQ147" s="5">
        <f t="shared" si="251"/>
        <v>-3875</v>
      </c>
      <c r="BR147" s="5">
        <f t="shared" si="251"/>
        <v>-3875</v>
      </c>
      <c r="BS147" s="5">
        <f t="shared" si="251"/>
        <v>-3875</v>
      </c>
      <c r="BT147" s="5">
        <f t="shared" si="251"/>
        <v>-3935</v>
      </c>
      <c r="BU147" s="5">
        <f t="shared" ref="BU147:CC147" si="252">(BT147+BT148-BT150+BP149)</f>
        <v>-3995</v>
      </c>
      <c r="BV147" s="5">
        <f t="shared" si="252"/>
        <v>-4055</v>
      </c>
      <c r="BW147" s="5">
        <f t="shared" si="252"/>
        <v>-4115</v>
      </c>
      <c r="BX147" s="5">
        <f t="shared" si="252"/>
        <v>-4175</v>
      </c>
      <c r="BY147" s="5">
        <f t="shared" si="252"/>
        <v>-4235</v>
      </c>
      <c r="BZ147" s="5">
        <f t="shared" si="252"/>
        <v>-4295</v>
      </c>
      <c r="CA147" s="5">
        <f t="shared" si="252"/>
        <v>-4355</v>
      </c>
      <c r="CB147" s="5">
        <f t="shared" si="252"/>
        <v>-4415</v>
      </c>
      <c r="CC147" s="5">
        <f t="shared" si="252"/>
        <v>-4475</v>
      </c>
    </row>
    <row r="148" spans="1:81" x14ac:dyDescent="0.2">
      <c r="A148" s="5" t="s">
        <v>209</v>
      </c>
      <c r="B148" s="5">
        <v>7.8063900000000004</v>
      </c>
      <c r="C148" s="45" t="s">
        <v>39</v>
      </c>
      <c r="D148" s="59">
        <f>IFERROR(VLOOKUP(A147,WIP!$A:$B,2,0),0)</f>
        <v>300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</row>
    <row r="149" spans="1:81" x14ac:dyDescent="0.2">
      <c r="A149" s="5" t="s">
        <v>210</v>
      </c>
      <c r="B149" s="5">
        <v>0.252</v>
      </c>
      <c r="C149" s="9" t="s">
        <v>211</v>
      </c>
      <c r="D149" s="60">
        <f>IFERROR(VLOOKUP($A147,Plan!$A:B,D$4,0),0)</f>
        <v>280</v>
      </c>
      <c r="E149" s="60">
        <f>IFERROR(VLOOKUP($A147,Plan!$A:C,E$4,0),0)</f>
        <v>0</v>
      </c>
      <c r="F149" s="60">
        <f>IFERROR(VLOOKUP($A147,Plan!$A:D,F$4,0),0)</f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</row>
    <row r="150" spans="1:81" x14ac:dyDescent="0.2">
      <c r="A150" s="5" t="s">
        <v>212</v>
      </c>
      <c r="B150" s="5">
        <v>3.4000000000000002E-2</v>
      </c>
      <c r="C150" s="9" t="s">
        <v>213</v>
      </c>
      <c r="D150" s="61">
        <f>IFERROR(VLOOKUP($A147,Sales!$A:B,D$2,0),0)</f>
        <v>0</v>
      </c>
      <c r="E150" s="61">
        <f>IFERROR(VLOOKUP($A147,Sales!$A:C,E$2,0),0)</f>
        <v>300</v>
      </c>
      <c r="F150" s="61">
        <f>IFERROR(VLOOKUP($A147,Sales!$A:D,F$2,0),0)</f>
        <v>200</v>
      </c>
      <c r="G150" s="61">
        <f>IFERROR(VLOOKUP($A147,Sales!$A:E,G$2,0),0)</f>
        <v>100</v>
      </c>
      <c r="H150" s="61">
        <f>IFERROR(VLOOKUP($A147,Sales!$A:F,H$2,0),0)</f>
        <v>200</v>
      </c>
      <c r="I150" s="61">
        <f>IFERROR(VLOOKUP($A147,Sales!$A:G,I$2,0),0)</f>
        <v>200</v>
      </c>
      <c r="J150" s="61">
        <f>IFERROR(VLOOKUP($A147,Sales!$A:H,J$2,0),0)</f>
        <v>100</v>
      </c>
      <c r="K150" s="61">
        <f>IFERROR(VLOOKUP($A147,Sales!$A:I,K$2,0),0)</f>
        <v>100</v>
      </c>
      <c r="L150" s="61">
        <f>IFERROR(VLOOKUP($A147,Sales!$A:J,L$2,0),0)</f>
        <v>200</v>
      </c>
      <c r="M150" s="61">
        <f>IFERROR(VLOOKUP($A147,Sales!$A:K,M$2,0),0)</f>
        <v>300</v>
      </c>
      <c r="N150" s="61">
        <f>IFERROR(VLOOKUP($A147,Sales!$A:L,N$2,0),0)</f>
        <v>0</v>
      </c>
      <c r="O150" s="61">
        <f>IFERROR(VLOOKUP($A147,Sales!$A:M,O$2,0),0)</f>
        <v>0</v>
      </c>
      <c r="P150" s="61">
        <f>IFERROR(VLOOKUP($A147,Sales!$A:N,P$2,0),0)</f>
        <v>0</v>
      </c>
      <c r="Q150" s="61">
        <f>IFERROR(VLOOKUP($A147,Sales!$A:O,Q$2,0),0)</f>
        <v>0</v>
      </c>
      <c r="R150" s="61">
        <f>IFERROR(VLOOKUP($A147,Sales!$A:P,R$2,0),0)</f>
        <v>100</v>
      </c>
      <c r="S150" s="61">
        <f>IFERROR(VLOOKUP($A147,Sales!$A:Q,S$2,0),0)</f>
        <v>100</v>
      </c>
      <c r="T150" s="61">
        <f>IFERROR(VLOOKUP($A147,Sales!$A:R,T$2,0),0)</f>
        <v>200</v>
      </c>
      <c r="U150" s="61">
        <f>IFERROR(VLOOKUP($A147,Sales!$A:S,U$2,0),0)</f>
        <v>100</v>
      </c>
      <c r="V150" s="61">
        <f>IFERROR(VLOOKUP($A147,Sales!$A:T,V$2,0),0)</f>
        <v>100</v>
      </c>
      <c r="W150" s="61">
        <f>IFERROR(VLOOKUP($A147,Sales!$A:U,W$2,0),0)</f>
        <v>100</v>
      </c>
      <c r="X150" s="61">
        <f>IFERROR(VLOOKUP($A147,Sales!$A:V,X$2,0),0)</f>
        <v>100</v>
      </c>
      <c r="Y150" s="61">
        <f>IFERROR(VLOOKUP($A147,Sales!$A:W,Y$2,0),0)</f>
        <v>50</v>
      </c>
      <c r="Z150" s="61">
        <f>IFERROR(VLOOKUP($A147,Sales!$A:X,Z$2,0),0)</f>
        <v>50</v>
      </c>
      <c r="AA150" s="61">
        <f>IFERROR(VLOOKUP($A147,Sales!$A:Y,AA$2,0),0)</f>
        <v>50</v>
      </c>
      <c r="AB150" s="61">
        <f>IFERROR(VLOOKUP($A147,Sales!$A:Z,AB$2,0),0)</f>
        <v>50</v>
      </c>
      <c r="AC150" s="61">
        <f>IFERROR(VLOOKUP($A147,Sales!$A:AA,AC$2,0),0)</f>
        <v>40</v>
      </c>
      <c r="AD150" s="61">
        <f>IFERROR(VLOOKUP($A147,Sales!$A:AB,AD$2,0),0)</f>
        <v>40</v>
      </c>
      <c r="AE150" s="61">
        <f>IFERROR(VLOOKUP($A147,Sales!$A:AC,AE$2,0),0)</f>
        <v>40</v>
      </c>
      <c r="AF150" s="61">
        <f>IFERROR(VLOOKUP($A147,Sales!$A:AD,AF$2,0),0)</f>
        <v>40</v>
      </c>
      <c r="AG150" s="61">
        <f>IFERROR(VLOOKUP($A147,Sales!$A:AE,AG$2,0),0)</f>
        <v>40</v>
      </c>
      <c r="AH150" s="61">
        <f>IFERROR(VLOOKUP($A147,Sales!$A:AF,AH$2,0),0)</f>
        <v>50</v>
      </c>
      <c r="AI150" s="61">
        <f>IFERROR(VLOOKUP($A147,Sales!$A:AG,AI$2,0),0)</f>
        <v>50</v>
      </c>
      <c r="AJ150" s="61">
        <f>IFERROR(VLOOKUP($A147,Sales!$A:AH,AJ$2,0),0)</f>
        <v>0</v>
      </c>
      <c r="AK150" s="74">
        <f t="shared" ref="AK150:CC150" si="253">CEILING(AK$5*$B146,1)</f>
        <v>0</v>
      </c>
      <c r="AL150" s="74">
        <f t="shared" si="253"/>
        <v>0</v>
      </c>
      <c r="AM150" s="74">
        <f t="shared" si="253"/>
        <v>0</v>
      </c>
      <c r="AN150" s="74">
        <f t="shared" si="253"/>
        <v>80</v>
      </c>
      <c r="AO150" s="74">
        <f t="shared" si="253"/>
        <v>80</v>
      </c>
      <c r="AP150" s="74">
        <f t="shared" si="253"/>
        <v>80</v>
      </c>
      <c r="AQ150" s="74">
        <f t="shared" si="253"/>
        <v>97</v>
      </c>
      <c r="AR150" s="74">
        <f t="shared" si="253"/>
        <v>97</v>
      </c>
      <c r="AS150" s="74">
        <f t="shared" si="253"/>
        <v>77</v>
      </c>
      <c r="AT150" s="74">
        <f t="shared" si="253"/>
        <v>97</v>
      </c>
      <c r="AU150" s="74">
        <f t="shared" si="253"/>
        <v>92</v>
      </c>
      <c r="AV150" s="74">
        <f t="shared" si="253"/>
        <v>92</v>
      </c>
      <c r="AW150" s="74">
        <f t="shared" si="253"/>
        <v>92</v>
      </c>
      <c r="AX150" s="74">
        <f t="shared" si="253"/>
        <v>92</v>
      </c>
      <c r="AY150" s="74">
        <f t="shared" si="253"/>
        <v>73</v>
      </c>
      <c r="AZ150" s="74">
        <f t="shared" si="253"/>
        <v>65</v>
      </c>
      <c r="BA150" s="74">
        <f t="shared" si="253"/>
        <v>65</v>
      </c>
      <c r="BB150" s="74">
        <f t="shared" si="253"/>
        <v>65</v>
      </c>
      <c r="BC150" s="74">
        <f t="shared" si="253"/>
        <v>73</v>
      </c>
      <c r="BD150" s="74">
        <f t="shared" si="253"/>
        <v>73</v>
      </c>
      <c r="BE150" s="74">
        <f t="shared" si="253"/>
        <v>73</v>
      </c>
      <c r="BF150" s="74">
        <f t="shared" si="253"/>
        <v>73</v>
      </c>
      <c r="BG150" s="74">
        <f t="shared" si="253"/>
        <v>73</v>
      </c>
      <c r="BH150" s="74">
        <f t="shared" si="253"/>
        <v>73</v>
      </c>
      <c r="BI150" s="74">
        <f t="shared" si="253"/>
        <v>73</v>
      </c>
      <c r="BJ150" s="74">
        <f t="shared" si="253"/>
        <v>73</v>
      </c>
      <c r="BK150" s="74">
        <f t="shared" si="253"/>
        <v>73</v>
      </c>
      <c r="BL150" s="74">
        <f t="shared" si="253"/>
        <v>73</v>
      </c>
      <c r="BM150" s="74">
        <f t="shared" si="253"/>
        <v>73</v>
      </c>
      <c r="BN150" s="74">
        <f t="shared" si="253"/>
        <v>133</v>
      </c>
      <c r="BO150" s="74">
        <f t="shared" si="253"/>
        <v>0</v>
      </c>
      <c r="BP150" s="74">
        <f t="shared" si="253"/>
        <v>0</v>
      </c>
      <c r="BQ150" s="74">
        <f t="shared" si="253"/>
        <v>0</v>
      </c>
      <c r="BR150" s="74">
        <f t="shared" si="253"/>
        <v>0</v>
      </c>
      <c r="BS150" s="74">
        <f t="shared" si="253"/>
        <v>60</v>
      </c>
      <c r="BT150" s="74">
        <f t="shared" si="253"/>
        <v>60</v>
      </c>
      <c r="BU150" s="74">
        <f t="shared" si="253"/>
        <v>60</v>
      </c>
      <c r="BV150" s="74">
        <f t="shared" si="253"/>
        <v>60</v>
      </c>
      <c r="BW150" s="74">
        <f t="shared" si="253"/>
        <v>60</v>
      </c>
      <c r="BX150" s="74">
        <f t="shared" si="253"/>
        <v>60</v>
      </c>
      <c r="BY150" s="74">
        <f t="shared" si="253"/>
        <v>60</v>
      </c>
      <c r="BZ150" s="74">
        <f t="shared" si="253"/>
        <v>60</v>
      </c>
      <c r="CA150" s="74">
        <f t="shared" si="253"/>
        <v>60</v>
      </c>
      <c r="CB150" s="74">
        <f t="shared" si="253"/>
        <v>60</v>
      </c>
      <c r="CC150" s="74">
        <f t="shared" si="253"/>
        <v>60</v>
      </c>
    </row>
    <row r="151" spans="1:81" x14ac:dyDescent="0.2">
      <c r="A151" s="5" t="s">
        <v>214</v>
      </c>
      <c r="B151" s="5">
        <v>0.28599999999999998</v>
      </c>
      <c r="C151" s="46" t="s">
        <v>215</v>
      </c>
      <c r="D151" s="11">
        <f t="shared" ref="D151:AI151" si="254">IF(D150=0,0, ROUND(D147 * 1/D150* D$13,1))</f>
        <v>0</v>
      </c>
      <c r="E151" s="11">
        <f t="shared" si="254"/>
        <v>17.100000000000001</v>
      </c>
      <c r="F151" s="11">
        <f t="shared" si="254"/>
        <v>18.100000000000001</v>
      </c>
      <c r="G151" s="11">
        <f t="shared" si="254"/>
        <v>26.3</v>
      </c>
      <c r="H151" s="11">
        <f t="shared" si="254"/>
        <v>10.6</v>
      </c>
      <c r="I151" s="11">
        <f t="shared" si="254"/>
        <v>12.6</v>
      </c>
      <c r="J151" s="11">
        <f t="shared" si="254"/>
        <v>15.3</v>
      </c>
      <c r="K151" s="11">
        <f t="shared" si="254"/>
        <v>10.3</v>
      </c>
      <c r="L151" s="11">
        <f t="shared" si="254"/>
        <v>2.6</v>
      </c>
      <c r="M151" s="11">
        <f t="shared" si="254"/>
        <v>-1.6</v>
      </c>
      <c r="N151" s="11">
        <f t="shared" si="254"/>
        <v>0</v>
      </c>
      <c r="O151" s="11">
        <f t="shared" si="254"/>
        <v>0</v>
      </c>
      <c r="P151" s="11">
        <f t="shared" si="254"/>
        <v>0</v>
      </c>
      <c r="Q151" s="11">
        <f t="shared" si="254"/>
        <v>0</v>
      </c>
      <c r="R151" s="11">
        <f t="shared" si="254"/>
        <v>-19.8</v>
      </c>
      <c r="S151" s="11">
        <f t="shared" si="254"/>
        <v>-24.8</v>
      </c>
      <c r="T151" s="11">
        <f t="shared" si="254"/>
        <v>-14.9</v>
      </c>
      <c r="U151" s="11">
        <f t="shared" si="254"/>
        <v>-39.799999999999997</v>
      </c>
      <c r="V151" s="11">
        <f t="shared" si="254"/>
        <v>-44.8</v>
      </c>
      <c r="W151" s="11">
        <f t="shared" si="254"/>
        <v>-49.8</v>
      </c>
      <c r="X151" s="11">
        <f t="shared" si="254"/>
        <v>-54.8</v>
      </c>
      <c r="Y151" s="11">
        <f t="shared" si="254"/>
        <v>-119.5</v>
      </c>
      <c r="Z151" s="11">
        <f t="shared" si="254"/>
        <v>-124.5</v>
      </c>
      <c r="AA151" s="11">
        <f t="shared" si="254"/>
        <v>-129.5</v>
      </c>
      <c r="AB151" s="11">
        <f t="shared" si="254"/>
        <v>-134.5</v>
      </c>
      <c r="AC151" s="11">
        <f t="shared" si="254"/>
        <v>-174.4</v>
      </c>
      <c r="AD151" s="11">
        <f t="shared" si="254"/>
        <v>-179.4</v>
      </c>
      <c r="AE151" s="11">
        <f t="shared" si="254"/>
        <v>-184.4</v>
      </c>
      <c r="AF151" s="11">
        <f t="shared" si="254"/>
        <v>-189.4</v>
      </c>
      <c r="AG151" s="11">
        <f t="shared" si="254"/>
        <v>-194.4</v>
      </c>
      <c r="AH151" s="11">
        <f t="shared" si="254"/>
        <v>-159.5</v>
      </c>
      <c r="AI151" s="11">
        <f t="shared" si="254"/>
        <v>-164.5</v>
      </c>
      <c r="AJ151" s="11">
        <f t="shared" ref="AJ151:BO151" si="255">IF(AJ150=0,0, ROUND(AJ147 * 1/AJ150* AJ$13,1))</f>
        <v>0</v>
      </c>
      <c r="AK151" s="11">
        <f t="shared" si="255"/>
        <v>0</v>
      </c>
      <c r="AL151" s="11">
        <f t="shared" si="255"/>
        <v>0</v>
      </c>
      <c r="AM151" s="11">
        <f t="shared" si="255"/>
        <v>0</v>
      </c>
      <c r="AN151" s="11">
        <f t="shared" si="255"/>
        <v>-105.9</v>
      </c>
      <c r="AO151" s="11">
        <f t="shared" si="255"/>
        <v>-110.9</v>
      </c>
      <c r="AP151" s="11">
        <f t="shared" si="255"/>
        <v>-115.9</v>
      </c>
      <c r="AQ151" s="11">
        <f t="shared" si="255"/>
        <v>-99.7</v>
      </c>
      <c r="AR151" s="11">
        <f t="shared" si="255"/>
        <v>-104.7</v>
      </c>
      <c r="AS151" s="11">
        <f t="shared" si="255"/>
        <v>-138.19999999999999</v>
      </c>
      <c r="AT151" s="11">
        <f t="shared" si="255"/>
        <v>-113.7</v>
      </c>
      <c r="AU151" s="11">
        <f t="shared" si="255"/>
        <v>-125.2</v>
      </c>
      <c r="AV151" s="11">
        <f t="shared" si="255"/>
        <v>-130.19999999999999</v>
      </c>
      <c r="AW151" s="11">
        <f t="shared" si="255"/>
        <v>-135.19999999999999</v>
      </c>
      <c r="AX151" s="11">
        <f t="shared" si="255"/>
        <v>-140.19999999999999</v>
      </c>
      <c r="AY151" s="11">
        <f t="shared" si="255"/>
        <v>-182.9</v>
      </c>
      <c r="AZ151" s="11">
        <f t="shared" si="255"/>
        <v>-211.1</v>
      </c>
      <c r="BA151" s="11">
        <f t="shared" si="255"/>
        <v>-216.1</v>
      </c>
      <c r="BB151" s="11">
        <f t="shared" si="255"/>
        <v>-221.1</v>
      </c>
      <c r="BC151" s="11">
        <f t="shared" si="255"/>
        <v>-201.3</v>
      </c>
      <c r="BD151" s="11">
        <f t="shared" si="255"/>
        <v>-206.3</v>
      </c>
      <c r="BE151" s="11">
        <f t="shared" si="255"/>
        <v>-211.3</v>
      </c>
      <c r="BF151" s="11">
        <f t="shared" si="255"/>
        <v>-216.3</v>
      </c>
      <c r="BG151" s="11">
        <f t="shared" si="255"/>
        <v>-221.3</v>
      </c>
      <c r="BH151" s="11">
        <f t="shared" si="255"/>
        <v>-226.3</v>
      </c>
      <c r="BI151" s="11">
        <f t="shared" si="255"/>
        <v>-231.3</v>
      </c>
      <c r="BJ151" s="11">
        <f t="shared" si="255"/>
        <v>-236.3</v>
      </c>
      <c r="BK151" s="11">
        <f t="shared" si="255"/>
        <v>-241.3</v>
      </c>
      <c r="BL151" s="11">
        <f t="shared" si="255"/>
        <v>-246.3</v>
      </c>
      <c r="BM151" s="11">
        <f t="shared" si="255"/>
        <v>-251.3</v>
      </c>
      <c r="BN151" s="11">
        <f t="shared" si="255"/>
        <v>-140.69999999999999</v>
      </c>
      <c r="BO151" s="11">
        <f t="shared" si="255"/>
        <v>0</v>
      </c>
      <c r="BP151" s="11">
        <f t="shared" ref="BP151:CC151" si="256">IF(BP150=0,0, ROUND(BP147 * 1/BP150* BP$13,1))</f>
        <v>0</v>
      </c>
      <c r="BQ151" s="11">
        <f t="shared" si="256"/>
        <v>0</v>
      </c>
      <c r="BR151" s="11">
        <f t="shared" si="256"/>
        <v>0</v>
      </c>
      <c r="BS151" s="11">
        <f t="shared" si="256"/>
        <v>-322.89999999999998</v>
      </c>
      <c r="BT151" s="11">
        <f t="shared" si="256"/>
        <v>-327.9</v>
      </c>
      <c r="BU151" s="11">
        <f t="shared" si="256"/>
        <v>-332.9</v>
      </c>
      <c r="BV151" s="11">
        <f t="shared" si="256"/>
        <v>-337.9</v>
      </c>
      <c r="BW151" s="11">
        <f t="shared" si="256"/>
        <v>-342.9</v>
      </c>
      <c r="BX151" s="11">
        <f t="shared" si="256"/>
        <v>-347.9</v>
      </c>
      <c r="BY151" s="11">
        <f t="shared" si="256"/>
        <v>-352.9</v>
      </c>
      <c r="BZ151" s="11">
        <f t="shared" si="256"/>
        <v>-357.9</v>
      </c>
      <c r="CA151" s="11">
        <f t="shared" si="256"/>
        <v>-362.9</v>
      </c>
      <c r="CB151" s="11">
        <f t="shared" si="256"/>
        <v>-367.9</v>
      </c>
      <c r="CC151" s="11">
        <f t="shared" si="256"/>
        <v>-372.9</v>
      </c>
    </row>
    <row r="152" spans="1:81" x14ac:dyDescent="0.2">
      <c r="A152">
        <v>23</v>
      </c>
      <c r="B152">
        <v>1</v>
      </c>
      <c r="C152" s="8">
        <v>5.8807799999999997</v>
      </c>
      <c r="D152">
        <f t="shared" ref="D152:AI152" si="257">D149/$B152</f>
        <v>280</v>
      </c>
      <c r="E152">
        <f t="shared" si="257"/>
        <v>0</v>
      </c>
      <c r="F152">
        <f t="shared" si="257"/>
        <v>0</v>
      </c>
      <c r="G152">
        <f t="shared" si="257"/>
        <v>0</v>
      </c>
      <c r="H152">
        <f t="shared" si="257"/>
        <v>0</v>
      </c>
      <c r="I152">
        <f t="shared" si="257"/>
        <v>0</v>
      </c>
      <c r="J152">
        <f t="shared" si="257"/>
        <v>0</v>
      </c>
      <c r="K152">
        <f t="shared" si="257"/>
        <v>0</v>
      </c>
      <c r="L152">
        <f t="shared" si="257"/>
        <v>0</v>
      </c>
      <c r="M152">
        <f t="shared" si="257"/>
        <v>0</v>
      </c>
      <c r="N152">
        <f t="shared" si="257"/>
        <v>0</v>
      </c>
      <c r="O152">
        <f t="shared" si="257"/>
        <v>0</v>
      </c>
      <c r="P152">
        <f t="shared" si="257"/>
        <v>0</v>
      </c>
      <c r="Q152">
        <f t="shared" si="257"/>
        <v>0</v>
      </c>
      <c r="R152">
        <f t="shared" si="257"/>
        <v>0</v>
      </c>
      <c r="S152">
        <f t="shared" si="257"/>
        <v>0</v>
      </c>
      <c r="T152">
        <f t="shared" si="257"/>
        <v>0</v>
      </c>
      <c r="U152">
        <f t="shared" si="257"/>
        <v>0</v>
      </c>
      <c r="V152">
        <f t="shared" si="257"/>
        <v>0</v>
      </c>
      <c r="W152">
        <f t="shared" si="257"/>
        <v>0</v>
      </c>
      <c r="X152">
        <f t="shared" si="257"/>
        <v>0</v>
      </c>
      <c r="Y152">
        <f t="shared" si="257"/>
        <v>0</v>
      </c>
      <c r="Z152">
        <f t="shared" si="257"/>
        <v>0</v>
      </c>
      <c r="AA152">
        <f t="shared" si="257"/>
        <v>0</v>
      </c>
      <c r="AB152">
        <f t="shared" si="257"/>
        <v>0</v>
      </c>
      <c r="AC152">
        <f t="shared" si="257"/>
        <v>0</v>
      </c>
      <c r="AD152">
        <f t="shared" si="257"/>
        <v>0</v>
      </c>
      <c r="AE152">
        <f t="shared" si="257"/>
        <v>0</v>
      </c>
      <c r="AF152">
        <f t="shared" si="257"/>
        <v>0</v>
      </c>
      <c r="AG152">
        <f t="shared" si="257"/>
        <v>0</v>
      </c>
      <c r="AH152">
        <f t="shared" si="257"/>
        <v>0</v>
      </c>
      <c r="AI152">
        <f t="shared" si="257"/>
        <v>0</v>
      </c>
      <c r="AJ152">
        <f t="shared" ref="AJ152:BO152" si="258">AJ149/$B152</f>
        <v>0</v>
      </c>
      <c r="AK152">
        <f t="shared" si="258"/>
        <v>0</v>
      </c>
      <c r="AL152">
        <f t="shared" si="258"/>
        <v>0</v>
      </c>
      <c r="AM152">
        <f t="shared" si="258"/>
        <v>0</v>
      </c>
      <c r="AN152">
        <f t="shared" si="258"/>
        <v>0</v>
      </c>
      <c r="AO152">
        <f t="shared" si="258"/>
        <v>0</v>
      </c>
      <c r="AP152">
        <f t="shared" si="258"/>
        <v>0</v>
      </c>
      <c r="AQ152">
        <f t="shared" si="258"/>
        <v>0</v>
      </c>
      <c r="AR152">
        <f t="shared" si="258"/>
        <v>0</v>
      </c>
      <c r="AS152">
        <f t="shared" si="258"/>
        <v>0</v>
      </c>
      <c r="AT152">
        <f t="shared" si="258"/>
        <v>0</v>
      </c>
      <c r="AU152">
        <f t="shared" si="258"/>
        <v>0</v>
      </c>
      <c r="AV152">
        <f t="shared" si="258"/>
        <v>0</v>
      </c>
      <c r="AW152">
        <f t="shared" si="258"/>
        <v>0</v>
      </c>
      <c r="AX152">
        <f t="shared" si="258"/>
        <v>0</v>
      </c>
      <c r="AY152">
        <f t="shared" si="258"/>
        <v>0</v>
      </c>
      <c r="AZ152">
        <f t="shared" si="258"/>
        <v>0</v>
      </c>
      <c r="BA152">
        <f t="shared" si="258"/>
        <v>0</v>
      </c>
      <c r="BB152">
        <f t="shared" si="258"/>
        <v>0</v>
      </c>
      <c r="BC152">
        <f t="shared" si="258"/>
        <v>0</v>
      </c>
      <c r="BD152">
        <f t="shared" si="258"/>
        <v>0</v>
      </c>
      <c r="BE152">
        <f t="shared" si="258"/>
        <v>0</v>
      </c>
      <c r="BF152">
        <f t="shared" si="258"/>
        <v>0</v>
      </c>
      <c r="BG152">
        <f t="shared" si="258"/>
        <v>0</v>
      </c>
      <c r="BH152">
        <f t="shared" si="258"/>
        <v>0</v>
      </c>
      <c r="BI152">
        <f t="shared" si="258"/>
        <v>0</v>
      </c>
      <c r="BJ152">
        <f t="shared" si="258"/>
        <v>0</v>
      </c>
      <c r="BK152">
        <f t="shared" si="258"/>
        <v>0</v>
      </c>
      <c r="BL152">
        <f t="shared" si="258"/>
        <v>0</v>
      </c>
      <c r="BM152">
        <f t="shared" si="258"/>
        <v>0</v>
      </c>
      <c r="BN152">
        <f t="shared" si="258"/>
        <v>0</v>
      </c>
      <c r="BO152">
        <f t="shared" si="258"/>
        <v>0</v>
      </c>
      <c r="BP152">
        <f t="shared" ref="BP152:CC152" si="259">BP149/$B152</f>
        <v>0</v>
      </c>
      <c r="BQ152">
        <f t="shared" si="259"/>
        <v>0</v>
      </c>
      <c r="BR152">
        <f t="shared" si="259"/>
        <v>0</v>
      </c>
      <c r="BS152">
        <f t="shared" si="259"/>
        <v>0</v>
      </c>
      <c r="BT152">
        <f t="shared" si="259"/>
        <v>0</v>
      </c>
      <c r="BU152">
        <f t="shared" si="259"/>
        <v>0</v>
      </c>
      <c r="BV152">
        <f t="shared" si="259"/>
        <v>0</v>
      </c>
      <c r="BW152">
        <f t="shared" si="259"/>
        <v>0</v>
      </c>
      <c r="BX152">
        <f t="shared" si="259"/>
        <v>0</v>
      </c>
      <c r="BY152">
        <f t="shared" si="259"/>
        <v>0</v>
      </c>
      <c r="BZ152">
        <f t="shared" si="259"/>
        <v>0</v>
      </c>
      <c r="CA152">
        <f t="shared" si="259"/>
        <v>0</v>
      </c>
      <c r="CB152">
        <f t="shared" si="259"/>
        <v>0</v>
      </c>
      <c r="CC152">
        <f t="shared" si="259"/>
        <v>0</v>
      </c>
    </row>
    <row r="153" spans="1:81" x14ac:dyDescent="0.2">
      <c r="B153" s="67">
        <f>SUM(D157:AJ157)/SUM($D$263:$AJ$263)</f>
        <v>1.0957188698442514E-2</v>
      </c>
      <c r="C153" s="9" t="s">
        <v>216</v>
      </c>
      <c r="D153">
        <f t="shared" ref="D153:AI153" si="260">D147-D150</f>
        <v>725</v>
      </c>
      <c r="E153">
        <f t="shared" si="260"/>
        <v>725</v>
      </c>
      <c r="F153">
        <f t="shared" si="260"/>
        <v>525</v>
      </c>
      <c r="G153">
        <f t="shared" si="260"/>
        <v>425</v>
      </c>
      <c r="H153">
        <f t="shared" si="260"/>
        <v>225</v>
      </c>
      <c r="I153">
        <f t="shared" si="260"/>
        <v>305</v>
      </c>
      <c r="J153">
        <f t="shared" si="260"/>
        <v>205</v>
      </c>
      <c r="K153">
        <f t="shared" si="260"/>
        <v>105</v>
      </c>
      <c r="L153">
        <f t="shared" si="260"/>
        <v>-95</v>
      </c>
      <c r="M153">
        <f t="shared" si="260"/>
        <v>-395</v>
      </c>
      <c r="N153">
        <f t="shared" si="260"/>
        <v>-395</v>
      </c>
      <c r="O153">
        <f t="shared" si="260"/>
        <v>-395</v>
      </c>
      <c r="P153">
        <f t="shared" si="260"/>
        <v>-395</v>
      </c>
      <c r="Q153">
        <f t="shared" si="260"/>
        <v>-395</v>
      </c>
      <c r="R153">
        <f t="shared" si="260"/>
        <v>-495</v>
      </c>
      <c r="S153">
        <f t="shared" si="260"/>
        <v>-595</v>
      </c>
      <c r="T153">
        <f t="shared" si="260"/>
        <v>-795</v>
      </c>
      <c r="U153">
        <f t="shared" si="260"/>
        <v>-895</v>
      </c>
      <c r="V153">
        <f t="shared" si="260"/>
        <v>-995</v>
      </c>
      <c r="W153">
        <f t="shared" si="260"/>
        <v>-1095</v>
      </c>
      <c r="X153">
        <f t="shared" si="260"/>
        <v>-1195</v>
      </c>
      <c r="Y153">
        <f t="shared" si="260"/>
        <v>-1245</v>
      </c>
      <c r="Z153">
        <f t="shared" si="260"/>
        <v>-1295</v>
      </c>
      <c r="AA153">
        <f t="shared" si="260"/>
        <v>-1345</v>
      </c>
      <c r="AB153">
        <f t="shared" si="260"/>
        <v>-1395</v>
      </c>
      <c r="AC153">
        <f t="shared" si="260"/>
        <v>-1435</v>
      </c>
      <c r="AD153">
        <f t="shared" si="260"/>
        <v>-1475</v>
      </c>
      <c r="AE153">
        <f t="shared" si="260"/>
        <v>-1515</v>
      </c>
      <c r="AF153">
        <f t="shared" si="260"/>
        <v>-1555</v>
      </c>
      <c r="AG153">
        <f t="shared" si="260"/>
        <v>-1595</v>
      </c>
      <c r="AH153">
        <f t="shared" si="260"/>
        <v>-1645</v>
      </c>
      <c r="AI153">
        <f t="shared" si="260"/>
        <v>-1695</v>
      </c>
      <c r="AJ153">
        <f t="shared" ref="AJ153:BO153" si="261">AJ147-AJ150</f>
        <v>-1695</v>
      </c>
      <c r="AK153">
        <f t="shared" si="261"/>
        <v>-1695</v>
      </c>
      <c r="AL153">
        <f t="shared" si="261"/>
        <v>-1695</v>
      </c>
      <c r="AM153">
        <f t="shared" si="261"/>
        <v>-1695</v>
      </c>
      <c r="AN153">
        <f t="shared" si="261"/>
        <v>-1775</v>
      </c>
      <c r="AO153">
        <f t="shared" si="261"/>
        <v>-1855</v>
      </c>
      <c r="AP153">
        <f t="shared" si="261"/>
        <v>-1935</v>
      </c>
      <c r="AQ153">
        <f t="shared" si="261"/>
        <v>-2032</v>
      </c>
      <c r="AR153">
        <f t="shared" si="261"/>
        <v>-2129</v>
      </c>
      <c r="AS153">
        <f t="shared" si="261"/>
        <v>-2206</v>
      </c>
      <c r="AT153">
        <f t="shared" si="261"/>
        <v>-2303</v>
      </c>
      <c r="AU153">
        <f t="shared" si="261"/>
        <v>-2395</v>
      </c>
      <c r="AV153">
        <f t="shared" si="261"/>
        <v>-2487</v>
      </c>
      <c r="AW153">
        <f t="shared" si="261"/>
        <v>-2579</v>
      </c>
      <c r="AX153">
        <f t="shared" si="261"/>
        <v>-2671</v>
      </c>
      <c r="AY153">
        <f t="shared" si="261"/>
        <v>-2744</v>
      </c>
      <c r="AZ153">
        <f t="shared" si="261"/>
        <v>-2809</v>
      </c>
      <c r="BA153">
        <f t="shared" si="261"/>
        <v>-2874</v>
      </c>
      <c r="BB153">
        <f t="shared" si="261"/>
        <v>-2939</v>
      </c>
      <c r="BC153">
        <f t="shared" si="261"/>
        <v>-3012</v>
      </c>
      <c r="BD153">
        <f t="shared" si="261"/>
        <v>-3085</v>
      </c>
      <c r="BE153">
        <f t="shared" si="261"/>
        <v>-3158</v>
      </c>
      <c r="BF153">
        <f t="shared" si="261"/>
        <v>-3231</v>
      </c>
      <c r="BG153">
        <f t="shared" si="261"/>
        <v>-3304</v>
      </c>
      <c r="BH153">
        <f t="shared" si="261"/>
        <v>-3377</v>
      </c>
      <c r="BI153">
        <f t="shared" si="261"/>
        <v>-3450</v>
      </c>
      <c r="BJ153">
        <f t="shared" si="261"/>
        <v>-3523</v>
      </c>
      <c r="BK153">
        <f t="shared" si="261"/>
        <v>-3596</v>
      </c>
      <c r="BL153">
        <f t="shared" si="261"/>
        <v>-3669</v>
      </c>
      <c r="BM153">
        <f t="shared" si="261"/>
        <v>-3742</v>
      </c>
      <c r="BN153">
        <f t="shared" si="261"/>
        <v>-3875</v>
      </c>
      <c r="BO153">
        <f t="shared" si="261"/>
        <v>-3875</v>
      </c>
      <c r="BP153">
        <f t="shared" ref="BP153:CC153" si="262">BP147-BP150</f>
        <v>-3875</v>
      </c>
      <c r="BQ153">
        <f t="shared" si="262"/>
        <v>-3875</v>
      </c>
      <c r="BR153">
        <f t="shared" si="262"/>
        <v>-3875</v>
      </c>
      <c r="BS153">
        <f t="shared" si="262"/>
        <v>-3935</v>
      </c>
      <c r="BT153">
        <f t="shared" si="262"/>
        <v>-3995</v>
      </c>
      <c r="BU153">
        <f t="shared" si="262"/>
        <v>-4055</v>
      </c>
      <c r="BV153">
        <f t="shared" si="262"/>
        <v>-4115</v>
      </c>
      <c r="BW153">
        <f t="shared" si="262"/>
        <v>-4175</v>
      </c>
      <c r="BX153">
        <f t="shared" si="262"/>
        <v>-4235</v>
      </c>
      <c r="BY153">
        <f t="shared" si="262"/>
        <v>-4295</v>
      </c>
      <c r="BZ153">
        <f t="shared" si="262"/>
        <v>-4355</v>
      </c>
      <c r="CA153">
        <f t="shared" si="262"/>
        <v>-4415</v>
      </c>
      <c r="CB153">
        <f t="shared" si="262"/>
        <v>-4475</v>
      </c>
      <c r="CC153">
        <f t="shared" si="262"/>
        <v>-4535</v>
      </c>
    </row>
    <row r="154" spans="1:81" x14ac:dyDescent="0.2">
      <c r="A154" s="43" t="s">
        <v>309</v>
      </c>
      <c r="B154" s="44" t="s">
        <v>208</v>
      </c>
      <c r="C154" s="9" t="s">
        <v>38</v>
      </c>
      <c r="D154" s="58">
        <f>IFERROR(VLOOKUP(A154,OS!$A:$B,2,0),0)</f>
        <v>280</v>
      </c>
      <c r="E154" s="5">
        <f>(D154+D155-D157)</f>
        <v>400</v>
      </c>
      <c r="F154" s="5">
        <f>(E154+E155-E157)</f>
        <v>240</v>
      </c>
      <c r="G154" s="5">
        <f>(F154+F155-F157)</f>
        <v>240</v>
      </c>
      <c r="H154" s="5">
        <f>(G154+G155-G157)</f>
        <v>240</v>
      </c>
      <c r="I154" s="5">
        <f t="shared" ref="I154:AN154" si="263">(H154+H155-H157+D156)</f>
        <v>240</v>
      </c>
      <c r="J154" s="5">
        <f t="shared" si="263"/>
        <v>80</v>
      </c>
      <c r="K154" s="5">
        <f t="shared" si="263"/>
        <v>240</v>
      </c>
      <c r="L154" s="5">
        <f t="shared" si="263"/>
        <v>80</v>
      </c>
      <c r="M154" s="5">
        <f t="shared" si="263"/>
        <v>80</v>
      </c>
      <c r="N154" s="5">
        <f t="shared" si="263"/>
        <v>80</v>
      </c>
      <c r="O154" s="5">
        <f t="shared" si="263"/>
        <v>80</v>
      </c>
      <c r="P154" s="5">
        <f t="shared" si="263"/>
        <v>80</v>
      </c>
      <c r="Q154" s="5">
        <f t="shared" si="263"/>
        <v>80</v>
      </c>
      <c r="R154" s="5">
        <f t="shared" si="263"/>
        <v>80</v>
      </c>
      <c r="S154" s="5">
        <f t="shared" si="263"/>
        <v>-80</v>
      </c>
      <c r="T154" s="5">
        <f t="shared" si="263"/>
        <v>-80</v>
      </c>
      <c r="U154" s="5">
        <f t="shared" si="263"/>
        <v>-80</v>
      </c>
      <c r="V154" s="5">
        <f t="shared" si="263"/>
        <v>-120</v>
      </c>
      <c r="W154" s="5">
        <f t="shared" si="263"/>
        <v>-160</v>
      </c>
      <c r="X154" s="5">
        <f t="shared" si="263"/>
        <v>-200</v>
      </c>
      <c r="Y154" s="5">
        <f t="shared" si="263"/>
        <v>-240</v>
      </c>
      <c r="Z154" s="5">
        <f t="shared" si="263"/>
        <v>-280</v>
      </c>
      <c r="AA154" s="5">
        <f t="shared" si="263"/>
        <v>-320</v>
      </c>
      <c r="AB154" s="5">
        <f t="shared" si="263"/>
        <v>-360</v>
      </c>
      <c r="AC154" s="5">
        <f t="shared" si="263"/>
        <v>-400</v>
      </c>
      <c r="AD154" s="5">
        <f t="shared" si="263"/>
        <v>-400</v>
      </c>
      <c r="AE154" s="5">
        <f t="shared" si="263"/>
        <v>-400</v>
      </c>
      <c r="AF154" s="5">
        <f t="shared" si="263"/>
        <v>-400</v>
      </c>
      <c r="AG154" s="5">
        <f t="shared" si="263"/>
        <v>-400</v>
      </c>
      <c r="AH154" s="5">
        <f t="shared" si="263"/>
        <v>-400</v>
      </c>
      <c r="AI154" s="5">
        <f t="shared" si="263"/>
        <v>-480</v>
      </c>
      <c r="AJ154" s="5">
        <f t="shared" si="263"/>
        <v>-560</v>
      </c>
      <c r="AK154" s="5">
        <f t="shared" si="263"/>
        <v>-560</v>
      </c>
      <c r="AL154" s="5">
        <f t="shared" si="263"/>
        <v>-560</v>
      </c>
      <c r="AM154" s="5">
        <f t="shared" si="263"/>
        <v>-560</v>
      </c>
      <c r="AN154" s="5">
        <f t="shared" si="263"/>
        <v>-560</v>
      </c>
      <c r="AO154" s="5">
        <f t="shared" ref="AO154:BT154" si="264">(AN154+AN155-AN157+AJ156)</f>
        <v>-590</v>
      </c>
      <c r="AP154" s="5">
        <f t="shared" si="264"/>
        <v>-620</v>
      </c>
      <c r="AQ154" s="5">
        <f t="shared" si="264"/>
        <v>-650</v>
      </c>
      <c r="AR154" s="5">
        <f t="shared" si="264"/>
        <v>-686</v>
      </c>
      <c r="AS154" s="5">
        <f t="shared" si="264"/>
        <v>-722</v>
      </c>
      <c r="AT154" s="5">
        <f t="shared" si="264"/>
        <v>-751</v>
      </c>
      <c r="AU154" s="5">
        <f t="shared" si="264"/>
        <v>-787</v>
      </c>
      <c r="AV154" s="5">
        <f t="shared" si="264"/>
        <v>-822</v>
      </c>
      <c r="AW154" s="5">
        <f t="shared" si="264"/>
        <v>-857</v>
      </c>
      <c r="AX154" s="5">
        <f t="shared" si="264"/>
        <v>-892</v>
      </c>
      <c r="AY154" s="5">
        <f t="shared" si="264"/>
        <v>-927</v>
      </c>
      <c r="AZ154" s="5">
        <f t="shared" si="264"/>
        <v>-955</v>
      </c>
      <c r="BA154" s="5">
        <f t="shared" si="264"/>
        <v>-980</v>
      </c>
      <c r="BB154" s="5">
        <f t="shared" si="264"/>
        <v>-1005</v>
      </c>
      <c r="BC154" s="5">
        <f t="shared" si="264"/>
        <v>-1030</v>
      </c>
      <c r="BD154" s="5">
        <f t="shared" si="264"/>
        <v>-1058</v>
      </c>
      <c r="BE154" s="5">
        <f t="shared" si="264"/>
        <v>-1086</v>
      </c>
      <c r="BF154" s="5">
        <f t="shared" si="264"/>
        <v>-1114</v>
      </c>
      <c r="BG154" s="5">
        <f t="shared" si="264"/>
        <v>-1142</v>
      </c>
      <c r="BH154" s="5">
        <f t="shared" si="264"/>
        <v>-1170</v>
      </c>
      <c r="BI154" s="5">
        <f t="shared" si="264"/>
        <v>-1198</v>
      </c>
      <c r="BJ154" s="5">
        <f t="shared" si="264"/>
        <v>-1226</v>
      </c>
      <c r="BK154" s="5">
        <f t="shared" si="264"/>
        <v>-1254</v>
      </c>
      <c r="BL154" s="5">
        <f t="shared" si="264"/>
        <v>-1282</v>
      </c>
      <c r="BM154" s="5">
        <f t="shared" si="264"/>
        <v>-1310</v>
      </c>
      <c r="BN154" s="5">
        <f t="shared" si="264"/>
        <v>-1338</v>
      </c>
      <c r="BO154" s="5">
        <f t="shared" si="264"/>
        <v>-1388</v>
      </c>
      <c r="BP154" s="5">
        <f t="shared" si="264"/>
        <v>-1388</v>
      </c>
      <c r="BQ154" s="5">
        <f t="shared" si="264"/>
        <v>-1388</v>
      </c>
      <c r="BR154" s="5">
        <f t="shared" si="264"/>
        <v>-1388</v>
      </c>
      <c r="BS154" s="5">
        <f t="shared" si="264"/>
        <v>-1388</v>
      </c>
      <c r="BT154" s="5">
        <f t="shared" si="264"/>
        <v>-1411</v>
      </c>
      <c r="BU154" s="5">
        <f t="shared" ref="BU154:CC154" si="265">(BT154+BT155-BT157+BP156)</f>
        <v>-1434</v>
      </c>
      <c r="BV154" s="5">
        <f t="shared" si="265"/>
        <v>-1457</v>
      </c>
      <c r="BW154" s="5">
        <f t="shared" si="265"/>
        <v>-1480</v>
      </c>
      <c r="BX154" s="5">
        <f t="shared" si="265"/>
        <v>-1503</v>
      </c>
      <c r="BY154" s="5">
        <f t="shared" si="265"/>
        <v>-1526</v>
      </c>
      <c r="BZ154" s="5">
        <f t="shared" si="265"/>
        <v>-1549</v>
      </c>
      <c r="CA154" s="5">
        <f t="shared" si="265"/>
        <v>-1572</v>
      </c>
      <c r="CB154" s="5">
        <f t="shared" si="265"/>
        <v>-1595</v>
      </c>
      <c r="CC154" s="5">
        <f t="shared" si="265"/>
        <v>-1618</v>
      </c>
    </row>
    <row r="155" spans="1:81" x14ac:dyDescent="0.2">
      <c r="A155" s="5" t="s">
        <v>209</v>
      </c>
      <c r="B155" s="5">
        <v>5.7108600000000003</v>
      </c>
      <c r="C155" s="45" t="s">
        <v>39</v>
      </c>
      <c r="D155" s="59">
        <f>IFERROR(VLOOKUP(A154,WIP!$A:$B,2,0),0)</f>
        <v>120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</row>
    <row r="156" spans="1:81" x14ac:dyDescent="0.2">
      <c r="A156" s="5" t="s">
        <v>210</v>
      </c>
      <c r="B156" s="5">
        <v>0.188</v>
      </c>
      <c r="C156" s="9" t="s">
        <v>211</v>
      </c>
      <c r="D156" s="60">
        <f>IFERROR(VLOOKUP($A154,Plan!$A:B,D$4,0),0)</f>
        <v>0</v>
      </c>
      <c r="E156" s="60">
        <f>IFERROR(VLOOKUP($A154,Plan!$A:C,E$4,0),0)</f>
        <v>0</v>
      </c>
      <c r="F156" s="60">
        <f>IFERROR(VLOOKUP($A154,Plan!$A:D,F$4,0),0)</f>
        <v>160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</row>
    <row r="157" spans="1:81" x14ac:dyDescent="0.2">
      <c r="A157" s="5" t="s">
        <v>212</v>
      </c>
      <c r="B157" s="5">
        <v>1.7000000000000001E-2</v>
      </c>
      <c r="C157" s="9" t="s">
        <v>213</v>
      </c>
      <c r="D157" s="61">
        <f>IFERROR(VLOOKUP($A154,Sales!$A:B,D$2,0),0)</f>
        <v>0</v>
      </c>
      <c r="E157" s="61">
        <f>IFERROR(VLOOKUP($A154,Sales!$A:C,E$2,0),0)</f>
        <v>160</v>
      </c>
      <c r="F157" s="61">
        <f>IFERROR(VLOOKUP($A154,Sales!$A:D,F$2,0),0)</f>
        <v>0</v>
      </c>
      <c r="G157" s="61">
        <f>IFERROR(VLOOKUP($A154,Sales!$A:E,G$2,0),0)</f>
        <v>0</v>
      </c>
      <c r="H157" s="61">
        <f>IFERROR(VLOOKUP($A154,Sales!$A:F,H$2,0),0)</f>
        <v>0</v>
      </c>
      <c r="I157" s="61">
        <f>IFERROR(VLOOKUP($A154,Sales!$A:G,I$2,0),0)</f>
        <v>160</v>
      </c>
      <c r="J157" s="61">
        <f>IFERROR(VLOOKUP($A154,Sales!$A:H,J$2,0),0)</f>
        <v>0</v>
      </c>
      <c r="K157" s="61">
        <f>IFERROR(VLOOKUP($A154,Sales!$A:I,K$2,0),0)</f>
        <v>160</v>
      </c>
      <c r="L157" s="61">
        <f>IFERROR(VLOOKUP($A154,Sales!$A:J,L$2,0),0)</f>
        <v>0</v>
      </c>
      <c r="M157" s="61">
        <f>IFERROR(VLOOKUP($A154,Sales!$A:K,M$2,0),0)</f>
        <v>0</v>
      </c>
      <c r="N157" s="61">
        <f>IFERROR(VLOOKUP($A154,Sales!$A:L,N$2,0),0)</f>
        <v>0</v>
      </c>
      <c r="O157" s="61">
        <f>IFERROR(VLOOKUP($A154,Sales!$A:M,O$2,0),0)</f>
        <v>0</v>
      </c>
      <c r="P157" s="61">
        <f>IFERROR(VLOOKUP($A154,Sales!$A:N,P$2,0),0)</f>
        <v>0</v>
      </c>
      <c r="Q157" s="61">
        <f>IFERROR(VLOOKUP($A154,Sales!$A:O,Q$2,0),0)</f>
        <v>0</v>
      </c>
      <c r="R157" s="61">
        <f>IFERROR(VLOOKUP($A154,Sales!$A:P,R$2,0),0)</f>
        <v>160</v>
      </c>
      <c r="S157" s="61">
        <f>IFERROR(VLOOKUP($A154,Sales!$A:Q,S$2,0),0)</f>
        <v>0</v>
      </c>
      <c r="T157" s="61">
        <f>IFERROR(VLOOKUP($A154,Sales!$A:R,T$2,0),0)</f>
        <v>0</v>
      </c>
      <c r="U157" s="61">
        <f>IFERROR(VLOOKUP($A154,Sales!$A:S,U$2,0),0)</f>
        <v>40</v>
      </c>
      <c r="V157" s="61">
        <f>IFERROR(VLOOKUP($A154,Sales!$A:T,V$2,0),0)</f>
        <v>40</v>
      </c>
      <c r="W157" s="61">
        <f>IFERROR(VLOOKUP($A154,Sales!$A:U,W$2,0),0)</f>
        <v>40</v>
      </c>
      <c r="X157" s="61">
        <f>IFERROR(VLOOKUP($A154,Sales!$A:V,X$2,0),0)</f>
        <v>40</v>
      </c>
      <c r="Y157" s="61">
        <f>IFERROR(VLOOKUP($A154,Sales!$A:W,Y$2,0),0)</f>
        <v>40</v>
      </c>
      <c r="Z157" s="61">
        <f>IFERROR(VLOOKUP($A154,Sales!$A:X,Z$2,0),0)</f>
        <v>40</v>
      </c>
      <c r="AA157" s="61">
        <f>IFERROR(VLOOKUP($A154,Sales!$A:Y,AA$2,0),0)</f>
        <v>40</v>
      </c>
      <c r="AB157" s="61">
        <f>IFERROR(VLOOKUP($A154,Sales!$A:Z,AB$2,0),0)</f>
        <v>40</v>
      </c>
      <c r="AC157" s="61">
        <f>IFERROR(VLOOKUP($A154,Sales!$A:AA,AC$2,0),0)</f>
        <v>0</v>
      </c>
      <c r="AD157" s="61">
        <f>IFERROR(VLOOKUP($A154,Sales!$A:AB,AD$2,0),0)</f>
        <v>0</v>
      </c>
      <c r="AE157" s="61">
        <f>IFERROR(VLOOKUP($A154,Sales!$A:AC,AE$2,0),0)</f>
        <v>0</v>
      </c>
      <c r="AF157" s="61">
        <f>IFERROR(VLOOKUP($A154,Sales!$A:AD,AF$2,0),0)</f>
        <v>0</v>
      </c>
      <c r="AG157" s="61">
        <f>IFERROR(VLOOKUP($A154,Sales!$A:AE,AG$2,0),0)</f>
        <v>0</v>
      </c>
      <c r="AH157" s="61">
        <f>IFERROR(VLOOKUP($A154,Sales!$A:AF,AH$2,0),0)</f>
        <v>80</v>
      </c>
      <c r="AI157" s="61">
        <f>IFERROR(VLOOKUP($A154,Sales!$A:AG,AI$2,0),0)</f>
        <v>80</v>
      </c>
      <c r="AJ157" s="61">
        <f>IFERROR(VLOOKUP($A154,Sales!$A:AH,AJ$2,0),0)</f>
        <v>0</v>
      </c>
      <c r="AK157" s="74">
        <f t="shared" ref="AK157:CC157" si="266">CEILING(AK$5*$B153,1)</f>
        <v>0</v>
      </c>
      <c r="AL157" s="74">
        <f t="shared" si="266"/>
        <v>0</v>
      </c>
      <c r="AM157" s="74">
        <f t="shared" si="266"/>
        <v>0</v>
      </c>
      <c r="AN157" s="74">
        <f t="shared" si="266"/>
        <v>30</v>
      </c>
      <c r="AO157" s="74">
        <f t="shared" si="266"/>
        <v>30</v>
      </c>
      <c r="AP157" s="74">
        <f t="shared" si="266"/>
        <v>30</v>
      </c>
      <c r="AQ157" s="74">
        <f t="shared" si="266"/>
        <v>36</v>
      </c>
      <c r="AR157" s="74">
        <f t="shared" si="266"/>
        <v>36</v>
      </c>
      <c r="AS157" s="74">
        <f t="shared" si="266"/>
        <v>29</v>
      </c>
      <c r="AT157" s="74">
        <f t="shared" si="266"/>
        <v>36</v>
      </c>
      <c r="AU157" s="74">
        <f t="shared" si="266"/>
        <v>35</v>
      </c>
      <c r="AV157" s="74">
        <f t="shared" si="266"/>
        <v>35</v>
      </c>
      <c r="AW157" s="74">
        <f t="shared" si="266"/>
        <v>35</v>
      </c>
      <c r="AX157" s="74">
        <f t="shared" si="266"/>
        <v>35</v>
      </c>
      <c r="AY157" s="74">
        <f t="shared" si="266"/>
        <v>28</v>
      </c>
      <c r="AZ157" s="74">
        <f t="shared" si="266"/>
        <v>25</v>
      </c>
      <c r="BA157" s="74">
        <f t="shared" si="266"/>
        <v>25</v>
      </c>
      <c r="BB157" s="74">
        <f t="shared" si="266"/>
        <v>25</v>
      </c>
      <c r="BC157" s="74">
        <f t="shared" si="266"/>
        <v>28</v>
      </c>
      <c r="BD157" s="74">
        <f t="shared" si="266"/>
        <v>28</v>
      </c>
      <c r="BE157" s="74">
        <f t="shared" si="266"/>
        <v>28</v>
      </c>
      <c r="BF157" s="74">
        <f t="shared" si="266"/>
        <v>28</v>
      </c>
      <c r="BG157" s="74">
        <f t="shared" si="266"/>
        <v>28</v>
      </c>
      <c r="BH157" s="74">
        <f t="shared" si="266"/>
        <v>28</v>
      </c>
      <c r="BI157" s="74">
        <f t="shared" si="266"/>
        <v>28</v>
      </c>
      <c r="BJ157" s="74">
        <f t="shared" si="266"/>
        <v>28</v>
      </c>
      <c r="BK157" s="74">
        <f t="shared" si="266"/>
        <v>28</v>
      </c>
      <c r="BL157" s="74">
        <f t="shared" si="266"/>
        <v>28</v>
      </c>
      <c r="BM157" s="74">
        <f t="shared" si="266"/>
        <v>28</v>
      </c>
      <c r="BN157" s="74">
        <f t="shared" si="266"/>
        <v>50</v>
      </c>
      <c r="BO157" s="74">
        <f t="shared" si="266"/>
        <v>0</v>
      </c>
      <c r="BP157" s="74">
        <f t="shared" si="266"/>
        <v>0</v>
      </c>
      <c r="BQ157" s="74">
        <f t="shared" si="266"/>
        <v>0</v>
      </c>
      <c r="BR157" s="74">
        <f t="shared" si="266"/>
        <v>0</v>
      </c>
      <c r="BS157" s="74">
        <f t="shared" si="266"/>
        <v>23</v>
      </c>
      <c r="BT157" s="74">
        <f t="shared" si="266"/>
        <v>23</v>
      </c>
      <c r="BU157" s="74">
        <f t="shared" si="266"/>
        <v>23</v>
      </c>
      <c r="BV157" s="74">
        <f t="shared" si="266"/>
        <v>23</v>
      </c>
      <c r="BW157" s="74">
        <f t="shared" si="266"/>
        <v>23</v>
      </c>
      <c r="BX157" s="74">
        <f t="shared" si="266"/>
        <v>23</v>
      </c>
      <c r="BY157" s="74">
        <f t="shared" si="266"/>
        <v>23</v>
      </c>
      <c r="BZ157" s="74">
        <f t="shared" si="266"/>
        <v>23</v>
      </c>
      <c r="CA157" s="74">
        <f t="shared" si="266"/>
        <v>23</v>
      </c>
      <c r="CB157" s="74">
        <f t="shared" si="266"/>
        <v>23</v>
      </c>
      <c r="CC157" s="74">
        <f t="shared" si="266"/>
        <v>23</v>
      </c>
    </row>
    <row r="158" spans="1:81" x14ac:dyDescent="0.2">
      <c r="A158" s="5" t="s">
        <v>214</v>
      </c>
      <c r="B158" s="5">
        <v>0.20499999999999999</v>
      </c>
      <c r="C158" s="46" t="s">
        <v>215</v>
      </c>
      <c r="D158" s="11">
        <f t="shared" ref="D158:AI158" si="267">IF(D157=0,0, ROUND(D154 * 1/D157* D$13,1))</f>
        <v>0</v>
      </c>
      <c r="E158" s="11">
        <f t="shared" si="267"/>
        <v>12.5</v>
      </c>
      <c r="F158" s="11">
        <f t="shared" si="267"/>
        <v>0</v>
      </c>
      <c r="G158" s="11">
        <f t="shared" si="267"/>
        <v>0</v>
      </c>
      <c r="H158" s="11">
        <f t="shared" si="267"/>
        <v>0</v>
      </c>
      <c r="I158" s="11">
        <f t="shared" si="267"/>
        <v>7.5</v>
      </c>
      <c r="J158" s="11">
        <f t="shared" si="267"/>
        <v>0</v>
      </c>
      <c r="K158" s="11">
        <f t="shared" si="267"/>
        <v>7.5</v>
      </c>
      <c r="L158" s="11">
        <f t="shared" si="267"/>
        <v>0</v>
      </c>
      <c r="M158" s="11">
        <f t="shared" si="267"/>
        <v>0</v>
      </c>
      <c r="N158" s="11">
        <f t="shared" si="267"/>
        <v>0</v>
      </c>
      <c r="O158" s="11">
        <f t="shared" si="267"/>
        <v>0</v>
      </c>
      <c r="P158" s="11">
        <f t="shared" si="267"/>
        <v>0</v>
      </c>
      <c r="Q158" s="11">
        <f t="shared" si="267"/>
        <v>0</v>
      </c>
      <c r="R158" s="11">
        <f t="shared" si="267"/>
        <v>2.5</v>
      </c>
      <c r="S158" s="11">
        <f t="shared" si="267"/>
        <v>0</v>
      </c>
      <c r="T158" s="11">
        <f t="shared" si="267"/>
        <v>0</v>
      </c>
      <c r="U158" s="11">
        <f t="shared" si="267"/>
        <v>-10</v>
      </c>
      <c r="V158" s="11">
        <f t="shared" si="267"/>
        <v>-15</v>
      </c>
      <c r="W158" s="11">
        <f t="shared" si="267"/>
        <v>-20</v>
      </c>
      <c r="X158" s="11">
        <f t="shared" si="267"/>
        <v>-25</v>
      </c>
      <c r="Y158" s="11">
        <f t="shared" si="267"/>
        <v>-30</v>
      </c>
      <c r="Z158" s="11">
        <f t="shared" si="267"/>
        <v>-35</v>
      </c>
      <c r="AA158" s="11">
        <f t="shared" si="267"/>
        <v>-40</v>
      </c>
      <c r="AB158" s="11">
        <f t="shared" si="267"/>
        <v>-45</v>
      </c>
      <c r="AC158" s="11">
        <f t="shared" si="267"/>
        <v>0</v>
      </c>
      <c r="AD158" s="11">
        <f t="shared" si="267"/>
        <v>0</v>
      </c>
      <c r="AE158" s="11">
        <f t="shared" si="267"/>
        <v>0</v>
      </c>
      <c r="AF158" s="11">
        <f t="shared" si="267"/>
        <v>0</v>
      </c>
      <c r="AG158" s="11">
        <f t="shared" si="267"/>
        <v>0</v>
      </c>
      <c r="AH158" s="11">
        <f t="shared" si="267"/>
        <v>-25</v>
      </c>
      <c r="AI158" s="11">
        <f t="shared" si="267"/>
        <v>-30</v>
      </c>
      <c r="AJ158" s="11">
        <f t="shared" ref="AJ158:BO158" si="268">IF(AJ157=0,0, ROUND(AJ154 * 1/AJ157* AJ$13,1))</f>
        <v>0</v>
      </c>
      <c r="AK158" s="11">
        <f t="shared" si="268"/>
        <v>0</v>
      </c>
      <c r="AL158" s="11">
        <f t="shared" si="268"/>
        <v>0</v>
      </c>
      <c r="AM158" s="11">
        <f t="shared" si="268"/>
        <v>0</v>
      </c>
      <c r="AN158" s="11">
        <f t="shared" si="268"/>
        <v>-93.3</v>
      </c>
      <c r="AO158" s="11">
        <f t="shared" si="268"/>
        <v>-98.3</v>
      </c>
      <c r="AP158" s="11">
        <f t="shared" si="268"/>
        <v>-103.3</v>
      </c>
      <c r="AQ158" s="11">
        <f t="shared" si="268"/>
        <v>-90.3</v>
      </c>
      <c r="AR158" s="11">
        <f t="shared" si="268"/>
        <v>-95.3</v>
      </c>
      <c r="AS158" s="11">
        <f t="shared" si="268"/>
        <v>-124.5</v>
      </c>
      <c r="AT158" s="11">
        <f t="shared" si="268"/>
        <v>-104.3</v>
      </c>
      <c r="AU158" s="11">
        <f t="shared" si="268"/>
        <v>-112.4</v>
      </c>
      <c r="AV158" s="11">
        <f t="shared" si="268"/>
        <v>-117.4</v>
      </c>
      <c r="AW158" s="11">
        <f t="shared" si="268"/>
        <v>-122.4</v>
      </c>
      <c r="AX158" s="11">
        <f t="shared" si="268"/>
        <v>-127.4</v>
      </c>
      <c r="AY158" s="11">
        <f t="shared" si="268"/>
        <v>-165.5</v>
      </c>
      <c r="AZ158" s="11">
        <f t="shared" si="268"/>
        <v>-191</v>
      </c>
      <c r="BA158" s="11">
        <f t="shared" si="268"/>
        <v>-196</v>
      </c>
      <c r="BB158" s="11">
        <f t="shared" si="268"/>
        <v>-201</v>
      </c>
      <c r="BC158" s="11">
        <f t="shared" si="268"/>
        <v>-183.9</v>
      </c>
      <c r="BD158" s="11">
        <f t="shared" si="268"/>
        <v>-188.9</v>
      </c>
      <c r="BE158" s="11">
        <f t="shared" si="268"/>
        <v>-193.9</v>
      </c>
      <c r="BF158" s="11">
        <f t="shared" si="268"/>
        <v>-198.9</v>
      </c>
      <c r="BG158" s="11">
        <f t="shared" si="268"/>
        <v>-203.9</v>
      </c>
      <c r="BH158" s="11">
        <f t="shared" si="268"/>
        <v>-208.9</v>
      </c>
      <c r="BI158" s="11">
        <f t="shared" si="268"/>
        <v>-213.9</v>
      </c>
      <c r="BJ158" s="11">
        <f t="shared" si="268"/>
        <v>-218.9</v>
      </c>
      <c r="BK158" s="11">
        <f t="shared" si="268"/>
        <v>-223.9</v>
      </c>
      <c r="BL158" s="11">
        <f t="shared" si="268"/>
        <v>-228.9</v>
      </c>
      <c r="BM158" s="11">
        <f t="shared" si="268"/>
        <v>-233.9</v>
      </c>
      <c r="BN158" s="11">
        <f t="shared" si="268"/>
        <v>-133.80000000000001</v>
      </c>
      <c r="BO158" s="11">
        <f t="shared" si="268"/>
        <v>0</v>
      </c>
      <c r="BP158" s="11">
        <f t="shared" ref="BP158:CC158" si="269">IF(BP157=0,0, ROUND(BP154 * 1/BP157* BP$13,1))</f>
        <v>0</v>
      </c>
      <c r="BQ158" s="11">
        <f t="shared" si="269"/>
        <v>0</v>
      </c>
      <c r="BR158" s="11">
        <f t="shared" si="269"/>
        <v>0</v>
      </c>
      <c r="BS158" s="11">
        <f t="shared" si="269"/>
        <v>-301.7</v>
      </c>
      <c r="BT158" s="11">
        <f t="shared" si="269"/>
        <v>-306.7</v>
      </c>
      <c r="BU158" s="11">
        <f t="shared" si="269"/>
        <v>-311.7</v>
      </c>
      <c r="BV158" s="11">
        <f t="shared" si="269"/>
        <v>-316.7</v>
      </c>
      <c r="BW158" s="11">
        <f t="shared" si="269"/>
        <v>-321.7</v>
      </c>
      <c r="BX158" s="11">
        <f t="shared" si="269"/>
        <v>-326.7</v>
      </c>
      <c r="BY158" s="11">
        <f t="shared" si="269"/>
        <v>-331.7</v>
      </c>
      <c r="BZ158" s="11">
        <f t="shared" si="269"/>
        <v>-336.7</v>
      </c>
      <c r="CA158" s="11">
        <f t="shared" si="269"/>
        <v>-341.7</v>
      </c>
      <c r="CB158" s="11">
        <f t="shared" si="269"/>
        <v>-346.7</v>
      </c>
      <c r="CC158" s="11">
        <f t="shared" si="269"/>
        <v>-351.7</v>
      </c>
    </row>
    <row r="159" spans="1:81" x14ac:dyDescent="0.2">
      <c r="A159">
        <v>13</v>
      </c>
      <c r="B159">
        <v>1</v>
      </c>
      <c r="C159" s="8">
        <v>4.3167499999999999</v>
      </c>
      <c r="D159">
        <f t="shared" ref="D159:AI159" si="270">D156/$B159</f>
        <v>0</v>
      </c>
      <c r="E159">
        <f t="shared" si="270"/>
        <v>0</v>
      </c>
      <c r="F159">
        <f t="shared" si="270"/>
        <v>160</v>
      </c>
      <c r="G159">
        <f t="shared" si="270"/>
        <v>0</v>
      </c>
      <c r="H159">
        <f t="shared" si="270"/>
        <v>0</v>
      </c>
      <c r="I159">
        <f t="shared" si="270"/>
        <v>0</v>
      </c>
      <c r="J159">
        <f t="shared" si="270"/>
        <v>0</v>
      </c>
      <c r="K159">
        <f t="shared" si="270"/>
        <v>0</v>
      </c>
      <c r="L159">
        <f t="shared" si="270"/>
        <v>0</v>
      </c>
      <c r="M159">
        <f t="shared" si="270"/>
        <v>0</v>
      </c>
      <c r="N159">
        <f t="shared" si="270"/>
        <v>0</v>
      </c>
      <c r="O159">
        <f t="shared" si="270"/>
        <v>0</v>
      </c>
      <c r="P159">
        <f t="shared" si="270"/>
        <v>0</v>
      </c>
      <c r="Q159">
        <f t="shared" si="270"/>
        <v>0</v>
      </c>
      <c r="R159">
        <f t="shared" si="270"/>
        <v>0</v>
      </c>
      <c r="S159">
        <f t="shared" si="270"/>
        <v>0</v>
      </c>
      <c r="T159">
        <f t="shared" si="270"/>
        <v>0</v>
      </c>
      <c r="U159">
        <f t="shared" si="270"/>
        <v>0</v>
      </c>
      <c r="V159">
        <f t="shared" si="270"/>
        <v>0</v>
      </c>
      <c r="W159">
        <f t="shared" si="270"/>
        <v>0</v>
      </c>
      <c r="X159">
        <f t="shared" si="270"/>
        <v>0</v>
      </c>
      <c r="Y159">
        <f t="shared" si="270"/>
        <v>0</v>
      </c>
      <c r="Z159">
        <f t="shared" si="270"/>
        <v>0</v>
      </c>
      <c r="AA159">
        <f t="shared" si="270"/>
        <v>0</v>
      </c>
      <c r="AB159">
        <f t="shared" si="270"/>
        <v>0</v>
      </c>
      <c r="AC159">
        <f t="shared" si="270"/>
        <v>0</v>
      </c>
      <c r="AD159">
        <f t="shared" si="270"/>
        <v>0</v>
      </c>
      <c r="AE159">
        <f t="shared" si="270"/>
        <v>0</v>
      </c>
      <c r="AF159">
        <f t="shared" si="270"/>
        <v>0</v>
      </c>
      <c r="AG159">
        <f t="shared" si="270"/>
        <v>0</v>
      </c>
      <c r="AH159">
        <f t="shared" si="270"/>
        <v>0</v>
      </c>
      <c r="AI159">
        <f t="shared" si="270"/>
        <v>0</v>
      </c>
      <c r="AJ159">
        <f t="shared" ref="AJ159:BO159" si="271">AJ156/$B159</f>
        <v>0</v>
      </c>
      <c r="AK159">
        <f t="shared" si="271"/>
        <v>0</v>
      </c>
      <c r="AL159">
        <f t="shared" si="271"/>
        <v>0</v>
      </c>
      <c r="AM159">
        <f t="shared" si="271"/>
        <v>0</v>
      </c>
      <c r="AN159">
        <f t="shared" si="271"/>
        <v>0</v>
      </c>
      <c r="AO159">
        <f t="shared" si="271"/>
        <v>0</v>
      </c>
      <c r="AP159">
        <f t="shared" si="271"/>
        <v>0</v>
      </c>
      <c r="AQ159">
        <f t="shared" si="271"/>
        <v>0</v>
      </c>
      <c r="AR159">
        <f t="shared" si="271"/>
        <v>0</v>
      </c>
      <c r="AS159">
        <f t="shared" si="271"/>
        <v>0</v>
      </c>
      <c r="AT159">
        <f t="shared" si="271"/>
        <v>0</v>
      </c>
      <c r="AU159">
        <f t="shared" si="271"/>
        <v>0</v>
      </c>
      <c r="AV159">
        <f t="shared" si="271"/>
        <v>0</v>
      </c>
      <c r="AW159">
        <f t="shared" si="271"/>
        <v>0</v>
      </c>
      <c r="AX159">
        <f t="shared" si="271"/>
        <v>0</v>
      </c>
      <c r="AY159">
        <f t="shared" si="271"/>
        <v>0</v>
      </c>
      <c r="AZ159">
        <f t="shared" si="271"/>
        <v>0</v>
      </c>
      <c r="BA159">
        <f t="shared" si="271"/>
        <v>0</v>
      </c>
      <c r="BB159">
        <f t="shared" si="271"/>
        <v>0</v>
      </c>
      <c r="BC159">
        <f t="shared" si="271"/>
        <v>0</v>
      </c>
      <c r="BD159">
        <f t="shared" si="271"/>
        <v>0</v>
      </c>
      <c r="BE159">
        <f t="shared" si="271"/>
        <v>0</v>
      </c>
      <c r="BF159">
        <f t="shared" si="271"/>
        <v>0</v>
      </c>
      <c r="BG159">
        <f t="shared" si="271"/>
        <v>0</v>
      </c>
      <c r="BH159">
        <f t="shared" si="271"/>
        <v>0</v>
      </c>
      <c r="BI159">
        <f t="shared" si="271"/>
        <v>0</v>
      </c>
      <c r="BJ159">
        <f t="shared" si="271"/>
        <v>0</v>
      </c>
      <c r="BK159">
        <f t="shared" si="271"/>
        <v>0</v>
      </c>
      <c r="BL159">
        <f t="shared" si="271"/>
        <v>0</v>
      </c>
      <c r="BM159">
        <f t="shared" si="271"/>
        <v>0</v>
      </c>
      <c r="BN159">
        <f t="shared" si="271"/>
        <v>0</v>
      </c>
      <c r="BO159">
        <f t="shared" si="271"/>
        <v>0</v>
      </c>
      <c r="BP159">
        <f t="shared" ref="BP159:CC159" si="272">BP156/$B159</f>
        <v>0</v>
      </c>
      <c r="BQ159">
        <f t="shared" si="272"/>
        <v>0</v>
      </c>
      <c r="BR159">
        <f t="shared" si="272"/>
        <v>0</v>
      </c>
      <c r="BS159">
        <f t="shared" si="272"/>
        <v>0</v>
      </c>
      <c r="BT159">
        <f t="shared" si="272"/>
        <v>0</v>
      </c>
      <c r="BU159">
        <f t="shared" si="272"/>
        <v>0</v>
      </c>
      <c r="BV159">
        <f t="shared" si="272"/>
        <v>0</v>
      </c>
      <c r="BW159">
        <f t="shared" si="272"/>
        <v>0</v>
      </c>
      <c r="BX159">
        <f t="shared" si="272"/>
        <v>0</v>
      </c>
      <c r="BY159">
        <f t="shared" si="272"/>
        <v>0</v>
      </c>
      <c r="BZ159">
        <f t="shared" si="272"/>
        <v>0</v>
      </c>
      <c r="CA159">
        <f t="shared" si="272"/>
        <v>0</v>
      </c>
      <c r="CB159">
        <f t="shared" si="272"/>
        <v>0</v>
      </c>
      <c r="CC159">
        <f t="shared" si="272"/>
        <v>0</v>
      </c>
    </row>
    <row r="160" spans="1:81" x14ac:dyDescent="0.2">
      <c r="B160" s="67">
        <f>SUM(D164:AJ164)/SUM($D$263:$AJ$263)</f>
        <v>0</v>
      </c>
      <c r="C160" s="9" t="s">
        <v>216</v>
      </c>
      <c r="D160">
        <f t="shared" ref="D160:AI160" si="273">D154-D157</f>
        <v>280</v>
      </c>
      <c r="E160">
        <f t="shared" si="273"/>
        <v>240</v>
      </c>
      <c r="F160">
        <f t="shared" si="273"/>
        <v>240</v>
      </c>
      <c r="G160">
        <f t="shared" si="273"/>
        <v>240</v>
      </c>
      <c r="H160">
        <f t="shared" si="273"/>
        <v>240</v>
      </c>
      <c r="I160">
        <f t="shared" si="273"/>
        <v>80</v>
      </c>
      <c r="J160">
        <f t="shared" si="273"/>
        <v>80</v>
      </c>
      <c r="K160">
        <f t="shared" si="273"/>
        <v>80</v>
      </c>
      <c r="L160">
        <f t="shared" si="273"/>
        <v>80</v>
      </c>
      <c r="M160">
        <f t="shared" si="273"/>
        <v>80</v>
      </c>
      <c r="N160">
        <f t="shared" si="273"/>
        <v>80</v>
      </c>
      <c r="O160">
        <f t="shared" si="273"/>
        <v>80</v>
      </c>
      <c r="P160">
        <f t="shared" si="273"/>
        <v>80</v>
      </c>
      <c r="Q160">
        <f t="shared" si="273"/>
        <v>80</v>
      </c>
      <c r="R160">
        <f t="shared" si="273"/>
        <v>-80</v>
      </c>
      <c r="S160">
        <f t="shared" si="273"/>
        <v>-80</v>
      </c>
      <c r="T160">
        <f t="shared" si="273"/>
        <v>-80</v>
      </c>
      <c r="U160">
        <f t="shared" si="273"/>
        <v>-120</v>
      </c>
      <c r="V160">
        <f t="shared" si="273"/>
        <v>-160</v>
      </c>
      <c r="W160">
        <f t="shared" si="273"/>
        <v>-200</v>
      </c>
      <c r="X160">
        <f t="shared" si="273"/>
        <v>-240</v>
      </c>
      <c r="Y160">
        <f t="shared" si="273"/>
        <v>-280</v>
      </c>
      <c r="Z160">
        <f t="shared" si="273"/>
        <v>-320</v>
      </c>
      <c r="AA160">
        <f t="shared" si="273"/>
        <v>-360</v>
      </c>
      <c r="AB160">
        <f t="shared" si="273"/>
        <v>-400</v>
      </c>
      <c r="AC160">
        <f t="shared" si="273"/>
        <v>-400</v>
      </c>
      <c r="AD160">
        <f t="shared" si="273"/>
        <v>-400</v>
      </c>
      <c r="AE160">
        <f t="shared" si="273"/>
        <v>-400</v>
      </c>
      <c r="AF160">
        <f t="shared" si="273"/>
        <v>-400</v>
      </c>
      <c r="AG160">
        <f t="shared" si="273"/>
        <v>-400</v>
      </c>
      <c r="AH160">
        <f t="shared" si="273"/>
        <v>-480</v>
      </c>
      <c r="AI160">
        <f t="shared" si="273"/>
        <v>-560</v>
      </c>
      <c r="AJ160">
        <f t="shared" ref="AJ160:BO160" si="274">AJ154-AJ157</f>
        <v>-560</v>
      </c>
      <c r="AK160">
        <f t="shared" si="274"/>
        <v>-560</v>
      </c>
      <c r="AL160">
        <f t="shared" si="274"/>
        <v>-560</v>
      </c>
      <c r="AM160">
        <f t="shared" si="274"/>
        <v>-560</v>
      </c>
      <c r="AN160">
        <f t="shared" si="274"/>
        <v>-590</v>
      </c>
      <c r="AO160">
        <f t="shared" si="274"/>
        <v>-620</v>
      </c>
      <c r="AP160">
        <f t="shared" si="274"/>
        <v>-650</v>
      </c>
      <c r="AQ160">
        <f t="shared" si="274"/>
        <v>-686</v>
      </c>
      <c r="AR160">
        <f t="shared" si="274"/>
        <v>-722</v>
      </c>
      <c r="AS160">
        <f t="shared" si="274"/>
        <v>-751</v>
      </c>
      <c r="AT160">
        <f t="shared" si="274"/>
        <v>-787</v>
      </c>
      <c r="AU160">
        <f t="shared" si="274"/>
        <v>-822</v>
      </c>
      <c r="AV160">
        <f t="shared" si="274"/>
        <v>-857</v>
      </c>
      <c r="AW160">
        <f t="shared" si="274"/>
        <v>-892</v>
      </c>
      <c r="AX160">
        <f t="shared" si="274"/>
        <v>-927</v>
      </c>
      <c r="AY160">
        <f t="shared" si="274"/>
        <v>-955</v>
      </c>
      <c r="AZ160">
        <f t="shared" si="274"/>
        <v>-980</v>
      </c>
      <c r="BA160">
        <f t="shared" si="274"/>
        <v>-1005</v>
      </c>
      <c r="BB160">
        <f t="shared" si="274"/>
        <v>-1030</v>
      </c>
      <c r="BC160">
        <f t="shared" si="274"/>
        <v>-1058</v>
      </c>
      <c r="BD160">
        <f t="shared" si="274"/>
        <v>-1086</v>
      </c>
      <c r="BE160">
        <f t="shared" si="274"/>
        <v>-1114</v>
      </c>
      <c r="BF160">
        <f t="shared" si="274"/>
        <v>-1142</v>
      </c>
      <c r="BG160">
        <f t="shared" si="274"/>
        <v>-1170</v>
      </c>
      <c r="BH160">
        <f t="shared" si="274"/>
        <v>-1198</v>
      </c>
      <c r="BI160">
        <f t="shared" si="274"/>
        <v>-1226</v>
      </c>
      <c r="BJ160">
        <f t="shared" si="274"/>
        <v>-1254</v>
      </c>
      <c r="BK160">
        <f t="shared" si="274"/>
        <v>-1282</v>
      </c>
      <c r="BL160">
        <f t="shared" si="274"/>
        <v>-1310</v>
      </c>
      <c r="BM160">
        <f t="shared" si="274"/>
        <v>-1338</v>
      </c>
      <c r="BN160">
        <f t="shared" si="274"/>
        <v>-1388</v>
      </c>
      <c r="BO160">
        <f t="shared" si="274"/>
        <v>-1388</v>
      </c>
      <c r="BP160">
        <f t="shared" ref="BP160:CC160" si="275">BP154-BP157</f>
        <v>-1388</v>
      </c>
      <c r="BQ160">
        <f t="shared" si="275"/>
        <v>-1388</v>
      </c>
      <c r="BR160">
        <f t="shared" si="275"/>
        <v>-1388</v>
      </c>
      <c r="BS160">
        <f t="shared" si="275"/>
        <v>-1411</v>
      </c>
      <c r="BT160">
        <f t="shared" si="275"/>
        <v>-1434</v>
      </c>
      <c r="BU160">
        <f t="shared" si="275"/>
        <v>-1457</v>
      </c>
      <c r="BV160">
        <f t="shared" si="275"/>
        <v>-1480</v>
      </c>
      <c r="BW160">
        <f t="shared" si="275"/>
        <v>-1503</v>
      </c>
      <c r="BX160">
        <f t="shared" si="275"/>
        <v>-1526</v>
      </c>
      <c r="BY160">
        <f t="shared" si="275"/>
        <v>-1549</v>
      </c>
      <c r="BZ160">
        <f t="shared" si="275"/>
        <v>-1572</v>
      </c>
      <c r="CA160">
        <f t="shared" si="275"/>
        <v>-1595</v>
      </c>
      <c r="CB160">
        <f t="shared" si="275"/>
        <v>-1618</v>
      </c>
      <c r="CC160">
        <f t="shared" si="275"/>
        <v>-1641</v>
      </c>
    </row>
    <row r="161" spans="1:81" x14ac:dyDescent="0.2">
      <c r="A161" s="43" t="s">
        <v>310</v>
      </c>
      <c r="B161" s="44" t="s">
        <v>208</v>
      </c>
      <c r="C161" s="9" t="s">
        <v>38</v>
      </c>
      <c r="D161" s="58">
        <f>IFERROR(VLOOKUP(A161,OS!$A:$B,2,0),0)</f>
        <v>0</v>
      </c>
      <c r="E161" s="5">
        <f>(D161+D162-D164)</f>
        <v>0</v>
      </c>
      <c r="F161" s="5">
        <f>(E161+E162-E164)</f>
        <v>0</v>
      </c>
      <c r="G161" s="5">
        <f>(F161+F162-F164)</f>
        <v>0</v>
      </c>
      <c r="H161" s="5">
        <f>(G161+G162-G164)</f>
        <v>0</v>
      </c>
      <c r="I161" s="5">
        <f t="shared" ref="I161:AN161" si="276">(H161+H162-H164+D163)</f>
        <v>0</v>
      </c>
      <c r="J161" s="5">
        <f t="shared" si="276"/>
        <v>0</v>
      </c>
      <c r="K161" s="5">
        <f t="shared" si="276"/>
        <v>0</v>
      </c>
      <c r="L161" s="5">
        <f t="shared" si="276"/>
        <v>0</v>
      </c>
      <c r="M161" s="5">
        <f t="shared" si="276"/>
        <v>0</v>
      </c>
      <c r="N161" s="5">
        <f t="shared" si="276"/>
        <v>0</v>
      </c>
      <c r="O161" s="5">
        <f t="shared" si="276"/>
        <v>0</v>
      </c>
      <c r="P161" s="5">
        <f t="shared" si="276"/>
        <v>0</v>
      </c>
      <c r="Q161" s="5">
        <f t="shared" si="276"/>
        <v>0</v>
      </c>
      <c r="R161" s="5">
        <f t="shared" si="276"/>
        <v>0</v>
      </c>
      <c r="S161" s="5">
        <f t="shared" si="276"/>
        <v>0</v>
      </c>
      <c r="T161" s="5">
        <f t="shared" si="276"/>
        <v>0</v>
      </c>
      <c r="U161" s="5">
        <f t="shared" si="276"/>
        <v>0</v>
      </c>
      <c r="V161" s="5">
        <f t="shared" si="276"/>
        <v>0</v>
      </c>
      <c r="W161" s="5">
        <f t="shared" si="276"/>
        <v>0</v>
      </c>
      <c r="X161" s="5">
        <f t="shared" si="276"/>
        <v>0</v>
      </c>
      <c r="Y161" s="5">
        <f t="shared" si="276"/>
        <v>0</v>
      </c>
      <c r="Z161" s="5">
        <f t="shared" si="276"/>
        <v>0</v>
      </c>
      <c r="AA161" s="5">
        <f t="shared" si="276"/>
        <v>0</v>
      </c>
      <c r="AB161" s="5">
        <f t="shared" si="276"/>
        <v>0</v>
      </c>
      <c r="AC161" s="5">
        <f t="shared" si="276"/>
        <v>0</v>
      </c>
      <c r="AD161" s="5">
        <f t="shared" si="276"/>
        <v>0</v>
      </c>
      <c r="AE161" s="5">
        <f t="shared" si="276"/>
        <v>0</v>
      </c>
      <c r="AF161" s="5">
        <f t="shared" si="276"/>
        <v>0</v>
      </c>
      <c r="AG161" s="5">
        <f t="shared" si="276"/>
        <v>0</v>
      </c>
      <c r="AH161" s="5">
        <f t="shared" si="276"/>
        <v>0</v>
      </c>
      <c r="AI161" s="5">
        <f t="shared" si="276"/>
        <v>0</v>
      </c>
      <c r="AJ161" s="5">
        <f t="shared" si="276"/>
        <v>0</v>
      </c>
      <c r="AK161" s="5">
        <f t="shared" si="276"/>
        <v>0</v>
      </c>
      <c r="AL161" s="5">
        <f t="shared" si="276"/>
        <v>0</v>
      </c>
      <c r="AM161" s="5">
        <f t="shared" si="276"/>
        <v>0</v>
      </c>
      <c r="AN161" s="5">
        <f t="shared" si="276"/>
        <v>0</v>
      </c>
      <c r="AO161" s="5">
        <f t="shared" ref="AO161:BT161" si="277">(AN161+AN162-AN164+AJ163)</f>
        <v>0</v>
      </c>
      <c r="AP161" s="5">
        <f t="shared" si="277"/>
        <v>0</v>
      </c>
      <c r="AQ161" s="5">
        <f t="shared" si="277"/>
        <v>0</v>
      </c>
      <c r="AR161" s="5">
        <f t="shared" si="277"/>
        <v>0</v>
      </c>
      <c r="AS161" s="5">
        <f t="shared" si="277"/>
        <v>0</v>
      </c>
      <c r="AT161" s="5">
        <f t="shared" si="277"/>
        <v>0</v>
      </c>
      <c r="AU161" s="5">
        <f t="shared" si="277"/>
        <v>0</v>
      </c>
      <c r="AV161" s="5">
        <f t="shared" si="277"/>
        <v>0</v>
      </c>
      <c r="AW161" s="5">
        <f t="shared" si="277"/>
        <v>0</v>
      </c>
      <c r="AX161" s="5">
        <f t="shared" si="277"/>
        <v>0</v>
      </c>
      <c r="AY161" s="5">
        <f t="shared" si="277"/>
        <v>0</v>
      </c>
      <c r="AZ161" s="5">
        <f t="shared" si="277"/>
        <v>0</v>
      </c>
      <c r="BA161" s="5">
        <f t="shared" si="277"/>
        <v>0</v>
      </c>
      <c r="BB161" s="5">
        <f t="shared" si="277"/>
        <v>0</v>
      </c>
      <c r="BC161" s="5">
        <f t="shared" si="277"/>
        <v>0</v>
      </c>
      <c r="BD161" s="5">
        <f t="shared" si="277"/>
        <v>0</v>
      </c>
      <c r="BE161" s="5">
        <f t="shared" si="277"/>
        <v>0</v>
      </c>
      <c r="BF161" s="5">
        <f t="shared" si="277"/>
        <v>0</v>
      </c>
      <c r="BG161" s="5">
        <f t="shared" si="277"/>
        <v>0</v>
      </c>
      <c r="BH161" s="5">
        <f t="shared" si="277"/>
        <v>0</v>
      </c>
      <c r="BI161" s="5">
        <f t="shared" si="277"/>
        <v>0</v>
      </c>
      <c r="BJ161" s="5">
        <f t="shared" si="277"/>
        <v>0</v>
      </c>
      <c r="BK161" s="5">
        <f t="shared" si="277"/>
        <v>0</v>
      </c>
      <c r="BL161" s="5">
        <f t="shared" si="277"/>
        <v>0</v>
      </c>
      <c r="BM161" s="5">
        <f t="shared" si="277"/>
        <v>0</v>
      </c>
      <c r="BN161" s="5">
        <f t="shared" si="277"/>
        <v>0</v>
      </c>
      <c r="BO161" s="5">
        <f t="shared" si="277"/>
        <v>0</v>
      </c>
      <c r="BP161" s="5">
        <f t="shared" si="277"/>
        <v>0</v>
      </c>
      <c r="BQ161" s="5">
        <f t="shared" si="277"/>
        <v>0</v>
      </c>
      <c r="BR161" s="5">
        <f t="shared" si="277"/>
        <v>0</v>
      </c>
      <c r="BS161" s="5">
        <f t="shared" si="277"/>
        <v>0</v>
      </c>
      <c r="BT161" s="5">
        <f t="shared" si="277"/>
        <v>0</v>
      </c>
      <c r="BU161" s="5">
        <f t="shared" ref="BU161:CC161" si="278">(BT161+BT162-BT164+BP163)</f>
        <v>0</v>
      </c>
      <c r="BV161" s="5">
        <f t="shared" si="278"/>
        <v>0</v>
      </c>
      <c r="BW161" s="5">
        <f t="shared" si="278"/>
        <v>0</v>
      </c>
      <c r="BX161" s="5">
        <f t="shared" si="278"/>
        <v>0</v>
      </c>
      <c r="BY161" s="5">
        <f t="shared" si="278"/>
        <v>0</v>
      </c>
      <c r="BZ161" s="5">
        <f t="shared" si="278"/>
        <v>0</v>
      </c>
      <c r="CA161" s="5">
        <f t="shared" si="278"/>
        <v>0</v>
      </c>
      <c r="CB161" s="5">
        <f t="shared" si="278"/>
        <v>0</v>
      </c>
      <c r="CC161" s="5">
        <f t="shared" si="278"/>
        <v>0</v>
      </c>
    </row>
    <row r="162" spans="1:81" x14ac:dyDescent="0.2">
      <c r="A162" s="5" t="s">
        <v>209</v>
      </c>
      <c r="B162" s="5">
        <v>6.1335100000000002</v>
      </c>
      <c r="C162" s="45" t="s">
        <v>39</v>
      </c>
      <c r="D162" s="59">
        <f>IFERROR(VLOOKUP(A161,WIP!$A:$B,2,0),0)</f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</row>
    <row r="163" spans="1:81" x14ac:dyDescent="0.2">
      <c r="A163" s="5" t="s">
        <v>210</v>
      </c>
      <c r="B163" s="5">
        <v>0.19800000000000001</v>
      </c>
      <c r="C163" s="9" t="s">
        <v>211</v>
      </c>
      <c r="D163" s="60">
        <f>IFERROR(VLOOKUP($A161,Plan!$A:B,D$4,0),0)</f>
        <v>0</v>
      </c>
      <c r="E163" s="60">
        <f>IFERROR(VLOOKUP($A161,Plan!$A:C,E$4,0),0)</f>
        <v>0</v>
      </c>
      <c r="F163" s="60">
        <f>IFERROR(VLOOKUP($A161,Plan!$A:D,F$4,0),0)</f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</row>
    <row r="164" spans="1:81" x14ac:dyDescent="0.2">
      <c r="A164" s="5" t="s">
        <v>212</v>
      </c>
      <c r="B164" s="5">
        <v>0.02</v>
      </c>
      <c r="C164" s="9" t="s">
        <v>213</v>
      </c>
      <c r="D164" s="61">
        <f>IFERROR(VLOOKUP($A161,Sales!$A:B,D$2,0),0)</f>
        <v>0</v>
      </c>
      <c r="E164" s="61">
        <f>IFERROR(VLOOKUP($A161,Sales!$A:C,E$2,0),0)</f>
        <v>0</v>
      </c>
      <c r="F164" s="61">
        <f>IFERROR(VLOOKUP($A161,Sales!$A:D,F$2,0),0)</f>
        <v>0</v>
      </c>
      <c r="G164" s="61">
        <f>IFERROR(VLOOKUP($A161,Sales!$A:E,G$2,0),0)</f>
        <v>0</v>
      </c>
      <c r="H164" s="61">
        <f>IFERROR(VLOOKUP($A161,Sales!$A:F,H$2,0),0)</f>
        <v>0</v>
      </c>
      <c r="I164" s="61">
        <f>IFERROR(VLOOKUP($A161,Sales!$A:G,I$2,0),0)</f>
        <v>0</v>
      </c>
      <c r="J164" s="61">
        <f>IFERROR(VLOOKUP($A161,Sales!$A:H,J$2,0),0)</f>
        <v>0</v>
      </c>
      <c r="K164" s="61">
        <f>IFERROR(VLOOKUP($A161,Sales!$A:I,K$2,0),0)</f>
        <v>0</v>
      </c>
      <c r="L164" s="61">
        <f>IFERROR(VLOOKUP($A161,Sales!$A:J,L$2,0),0)</f>
        <v>0</v>
      </c>
      <c r="M164" s="61">
        <f>IFERROR(VLOOKUP($A161,Sales!$A:K,M$2,0),0)</f>
        <v>0</v>
      </c>
      <c r="N164" s="61">
        <f>IFERROR(VLOOKUP($A161,Sales!$A:L,N$2,0),0)</f>
        <v>0</v>
      </c>
      <c r="O164" s="61">
        <f>IFERROR(VLOOKUP($A161,Sales!$A:M,O$2,0),0)</f>
        <v>0</v>
      </c>
      <c r="P164" s="61">
        <f>IFERROR(VLOOKUP($A161,Sales!$A:N,P$2,0),0)</f>
        <v>0</v>
      </c>
      <c r="Q164" s="61">
        <f>IFERROR(VLOOKUP($A161,Sales!$A:O,Q$2,0),0)</f>
        <v>0</v>
      </c>
      <c r="R164" s="61">
        <f>IFERROR(VLOOKUP($A161,Sales!$A:P,R$2,0),0)</f>
        <v>0</v>
      </c>
      <c r="S164" s="61">
        <f>IFERROR(VLOOKUP($A161,Sales!$A:Q,S$2,0),0)</f>
        <v>0</v>
      </c>
      <c r="T164" s="61">
        <f>IFERROR(VLOOKUP($A161,Sales!$A:R,T$2,0),0)</f>
        <v>0</v>
      </c>
      <c r="U164" s="61">
        <f>IFERROR(VLOOKUP($A161,Sales!$A:S,U$2,0),0)</f>
        <v>0</v>
      </c>
      <c r="V164" s="61">
        <f>IFERROR(VLOOKUP($A161,Sales!$A:T,V$2,0),0)</f>
        <v>0</v>
      </c>
      <c r="W164" s="61">
        <f>IFERROR(VLOOKUP($A161,Sales!$A:U,W$2,0),0)</f>
        <v>0</v>
      </c>
      <c r="X164" s="61">
        <f>IFERROR(VLOOKUP($A161,Sales!$A:V,X$2,0),0)</f>
        <v>0</v>
      </c>
      <c r="Y164" s="61">
        <f>IFERROR(VLOOKUP($A161,Sales!$A:W,Y$2,0),0)</f>
        <v>0</v>
      </c>
      <c r="Z164" s="61">
        <f>IFERROR(VLOOKUP($A161,Sales!$A:X,Z$2,0),0)</f>
        <v>0</v>
      </c>
      <c r="AA164" s="61">
        <f>IFERROR(VLOOKUP($A161,Sales!$A:Y,AA$2,0),0)</f>
        <v>0</v>
      </c>
      <c r="AB164" s="61">
        <f>IFERROR(VLOOKUP($A161,Sales!$A:Z,AB$2,0),0)</f>
        <v>0</v>
      </c>
      <c r="AC164" s="61">
        <f>IFERROR(VLOOKUP($A161,Sales!$A:AA,AC$2,0),0)</f>
        <v>0</v>
      </c>
      <c r="AD164" s="61">
        <f>IFERROR(VLOOKUP($A161,Sales!$A:AB,AD$2,0),0)</f>
        <v>0</v>
      </c>
      <c r="AE164" s="61">
        <f>IFERROR(VLOOKUP($A161,Sales!$A:AC,AE$2,0),0)</f>
        <v>0</v>
      </c>
      <c r="AF164" s="61">
        <f>IFERROR(VLOOKUP($A161,Sales!$A:AD,AF$2,0),0)</f>
        <v>0</v>
      </c>
      <c r="AG164" s="61">
        <f>IFERROR(VLOOKUP($A161,Sales!$A:AE,AG$2,0),0)</f>
        <v>0</v>
      </c>
      <c r="AH164" s="61">
        <f>IFERROR(VLOOKUP($A161,Sales!$A:AF,AH$2,0),0)</f>
        <v>0</v>
      </c>
      <c r="AI164" s="61">
        <f>IFERROR(VLOOKUP($A161,Sales!$A:AG,AI$2,0),0)</f>
        <v>0</v>
      </c>
      <c r="AJ164" s="61">
        <f>IFERROR(VLOOKUP($A161,Sales!$A:AH,AJ$2,0),0)</f>
        <v>0</v>
      </c>
      <c r="AK164" s="74">
        <f t="shared" ref="AK164:CC164" si="279">CEILING(AK$5*$B160,1)</f>
        <v>0</v>
      </c>
      <c r="AL164" s="74">
        <f t="shared" si="279"/>
        <v>0</v>
      </c>
      <c r="AM164" s="74">
        <f t="shared" si="279"/>
        <v>0</v>
      </c>
      <c r="AN164" s="74">
        <f t="shared" si="279"/>
        <v>0</v>
      </c>
      <c r="AO164" s="74">
        <f t="shared" si="279"/>
        <v>0</v>
      </c>
      <c r="AP164" s="74">
        <f t="shared" si="279"/>
        <v>0</v>
      </c>
      <c r="AQ164" s="74">
        <f t="shared" si="279"/>
        <v>0</v>
      </c>
      <c r="AR164" s="74">
        <f t="shared" si="279"/>
        <v>0</v>
      </c>
      <c r="AS164" s="74">
        <f t="shared" si="279"/>
        <v>0</v>
      </c>
      <c r="AT164" s="74">
        <f t="shared" si="279"/>
        <v>0</v>
      </c>
      <c r="AU164" s="74">
        <f t="shared" si="279"/>
        <v>0</v>
      </c>
      <c r="AV164" s="74">
        <f t="shared" si="279"/>
        <v>0</v>
      </c>
      <c r="AW164" s="74">
        <f t="shared" si="279"/>
        <v>0</v>
      </c>
      <c r="AX164" s="74">
        <f t="shared" si="279"/>
        <v>0</v>
      </c>
      <c r="AY164" s="74">
        <f t="shared" si="279"/>
        <v>0</v>
      </c>
      <c r="AZ164" s="74">
        <f t="shared" si="279"/>
        <v>0</v>
      </c>
      <c r="BA164" s="74">
        <f t="shared" si="279"/>
        <v>0</v>
      </c>
      <c r="BB164" s="74">
        <f t="shared" si="279"/>
        <v>0</v>
      </c>
      <c r="BC164" s="74">
        <f t="shared" si="279"/>
        <v>0</v>
      </c>
      <c r="BD164" s="74">
        <f t="shared" si="279"/>
        <v>0</v>
      </c>
      <c r="BE164" s="74">
        <f t="shared" si="279"/>
        <v>0</v>
      </c>
      <c r="BF164" s="74">
        <f t="shared" si="279"/>
        <v>0</v>
      </c>
      <c r="BG164" s="74">
        <f t="shared" si="279"/>
        <v>0</v>
      </c>
      <c r="BH164" s="74">
        <f t="shared" si="279"/>
        <v>0</v>
      </c>
      <c r="BI164" s="74">
        <f t="shared" si="279"/>
        <v>0</v>
      </c>
      <c r="BJ164" s="74">
        <f t="shared" si="279"/>
        <v>0</v>
      </c>
      <c r="BK164" s="74">
        <f t="shared" si="279"/>
        <v>0</v>
      </c>
      <c r="BL164" s="74">
        <f t="shared" si="279"/>
        <v>0</v>
      </c>
      <c r="BM164" s="74">
        <f t="shared" si="279"/>
        <v>0</v>
      </c>
      <c r="BN164" s="74">
        <f t="shared" si="279"/>
        <v>0</v>
      </c>
      <c r="BO164" s="74">
        <f t="shared" si="279"/>
        <v>0</v>
      </c>
      <c r="BP164" s="74">
        <f t="shared" si="279"/>
        <v>0</v>
      </c>
      <c r="BQ164" s="74">
        <f t="shared" si="279"/>
        <v>0</v>
      </c>
      <c r="BR164" s="74">
        <f t="shared" si="279"/>
        <v>0</v>
      </c>
      <c r="BS164" s="74">
        <f t="shared" si="279"/>
        <v>0</v>
      </c>
      <c r="BT164" s="74">
        <f t="shared" si="279"/>
        <v>0</v>
      </c>
      <c r="BU164" s="74">
        <f t="shared" si="279"/>
        <v>0</v>
      </c>
      <c r="BV164" s="74">
        <f t="shared" si="279"/>
        <v>0</v>
      </c>
      <c r="BW164" s="74">
        <f t="shared" si="279"/>
        <v>0</v>
      </c>
      <c r="BX164" s="74">
        <f t="shared" si="279"/>
        <v>0</v>
      </c>
      <c r="BY164" s="74">
        <f t="shared" si="279"/>
        <v>0</v>
      </c>
      <c r="BZ164" s="74">
        <f t="shared" si="279"/>
        <v>0</v>
      </c>
      <c r="CA164" s="74">
        <f t="shared" si="279"/>
        <v>0</v>
      </c>
      <c r="CB164" s="74">
        <f t="shared" si="279"/>
        <v>0</v>
      </c>
      <c r="CC164" s="74">
        <f t="shared" si="279"/>
        <v>0</v>
      </c>
    </row>
    <row r="165" spans="1:81" x14ac:dyDescent="0.2">
      <c r="A165" s="5" t="s">
        <v>214</v>
      </c>
      <c r="B165" s="5">
        <v>0.218</v>
      </c>
      <c r="C165" s="46" t="s">
        <v>215</v>
      </c>
      <c r="D165" s="11">
        <f t="shared" ref="D165:AI165" si="280">IF(D164=0,0, ROUND(D161 * 1/D164* D$13,1))</f>
        <v>0</v>
      </c>
      <c r="E165" s="11">
        <f t="shared" si="280"/>
        <v>0</v>
      </c>
      <c r="F165" s="11">
        <f t="shared" si="280"/>
        <v>0</v>
      </c>
      <c r="G165" s="11">
        <f t="shared" si="280"/>
        <v>0</v>
      </c>
      <c r="H165" s="11">
        <f t="shared" si="280"/>
        <v>0</v>
      </c>
      <c r="I165" s="11">
        <f t="shared" si="280"/>
        <v>0</v>
      </c>
      <c r="J165" s="11">
        <f t="shared" si="280"/>
        <v>0</v>
      </c>
      <c r="K165" s="11">
        <f t="shared" si="280"/>
        <v>0</v>
      </c>
      <c r="L165" s="11">
        <f t="shared" si="280"/>
        <v>0</v>
      </c>
      <c r="M165" s="11">
        <f t="shared" si="280"/>
        <v>0</v>
      </c>
      <c r="N165" s="11">
        <f t="shared" si="280"/>
        <v>0</v>
      </c>
      <c r="O165" s="11">
        <f t="shared" si="280"/>
        <v>0</v>
      </c>
      <c r="P165" s="11">
        <f t="shared" si="280"/>
        <v>0</v>
      </c>
      <c r="Q165" s="11">
        <f t="shared" si="280"/>
        <v>0</v>
      </c>
      <c r="R165" s="11">
        <f t="shared" si="280"/>
        <v>0</v>
      </c>
      <c r="S165" s="11">
        <f t="shared" si="280"/>
        <v>0</v>
      </c>
      <c r="T165" s="11">
        <f t="shared" si="280"/>
        <v>0</v>
      </c>
      <c r="U165" s="11">
        <f t="shared" si="280"/>
        <v>0</v>
      </c>
      <c r="V165" s="11">
        <f t="shared" si="280"/>
        <v>0</v>
      </c>
      <c r="W165" s="11">
        <f t="shared" si="280"/>
        <v>0</v>
      </c>
      <c r="X165" s="11">
        <f t="shared" si="280"/>
        <v>0</v>
      </c>
      <c r="Y165" s="11">
        <f t="shared" si="280"/>
        <v>0</v>
      </c>
      <c r="Z165" s="11">
        <f t="shared" si="280"/>
        <v>0</v>
      </c>
      <c r="AA165" s="11">
        <f t="shared" si="280"/>
        <v>0</v>
      </c>
      <c r="AB165" s="11">
        <f t="shared" si="280"/>
        <v>0</v>
      </c>
      <c r="AC165" s="11">
        <f t="shared" si="280"/>
        <v>0</v>
      </c>
      <c r="AD165" s="11">
        <f t="shared" si="280"/>
        <v>0</v>
      </c>
      <c r="AE165" s="11">
        <f t="shared" si="280"/>
        <v>0</v>
      </c>
      <c r="AF165" s="11">
        <f t="shared" si="280"/>
        <v>0</v>
      </c>
      <c r="AG165" s="11">
        <f t="shared" si="280"/>
        <v>0</v>
      </c>
      <c r="AH165" s="11">
        <f t="shared" si="280"/>
        <v>0</v>
      </c>
      <c r="AI165" s="11">
        <f t="shared" si="280"/>
        <v>0</v>
      </c>
      <c r="AJ165" s="11">
        <f t="shared" ref="AJ165:BO165" si="281">IF(AJ164=0,0, ROUND(AJ161 * 1/AJ164* AJ$13,1))</f>
        <v>0</v>
      </c>
      <c r="AK165" s="11">
        <f t="shared" si="281"/>
        <v>0</v>
      </c>
      <c r="AL165" s="11">
        <f t="shared" si="281"/>
        <v>0</v>
      </c>
      <c r="AM165" s="11">
        <f t="shared" si="281"/>
        <v>0</v>
      </c>
      <c r="AN165" s="11">
        <f t="shared" si="281"/>
        <v>0</v>
      </c>
      <c r="AO165" s="11">
        <f t="shared" si="281"/>
        <v>0</v>
      </c>
      <c r="AP165" s="11">
        <f t="shared" si="281"/>
        <v>0</v>
      </c>
      <c r="AQ165" s="11">
        <f t="shared" si="281"/>
        <v>0</v>
      </c>
      <c r="AR165" s="11">
        <f t="shared" si="281"/>
        <v>0</v>
      </c>
      <c r="AS165" s="11">
        <f t="shared" si="281"/>
        <v>0</v>
      </c>
      <c r="AT165" s="11">
        <f t="shared" si="281"/>
        <v>0</v>
      </c>
      <c r="AU165" s="11">
        <f t="shared" si="281"/>
        <v>0</v>
      </c>
      <c r="AV165" s="11">
        <f t="shared" si="281"/>
        <v>0</v>
      </c>
      <c r="AW165" s="11">
        <f t="shared" si="281"/>
        <v>0</v>
      </c>
      <c r="AX165" s="11">
        <f t="shared" si="281"/>
        <v>0</v>
      </c>
      <c r="AY165" s="11">
        <f t="shared" si="281"/>
        <v>0</v>
      </c>
      <c r="AZ165" s="11">
        <f t="shared" si="281"/>
        <v>0</v>
      </c>
      <c r="BA165" s="11">
        <f t="shared" si="281"/>
        <v>0</v>
      </c>
      <c r="BB165" s="11">
        <f t="shared" si="281"/>
        <v>0</v>
      </c>
      <c r="BC165" s="11">
        <f t="shared" si="281"/>
        <v>0</v>
      </c>
      <c r="BD165" s="11">
        <f t="shared" si="281"/>
        <v>0</v>
      </c>
      <c r="BE165" s="11">
        <f t="shared" si="281"/>
        <v>0</v>
      </c>
      <c r="BF165" s="11">
        <f t="shared" si="281"/>
        <v>0</v>
      </c>
      <c r="BG165" s="11">
        <f t="shared" si="281"/>
        <v>0</v>
      </c>
      <c r="BH165" s="11">
        <f t="shared" si="281"/>
        <v>0</v>
      </c>
      <c r="BI165" s="11">
        <f t="shared" si="281"/>
        <v>0</v>
      </c>
      <c r="BJ165" s="11">
        <f t="shared" si="281"/>
        <v>0</v>
      </c>
      <c r="BK165" s="11">
        <f t="shared" si="281"/>
        <v>0</v>
      </c>
      <c r="BL165" s="11">
        <f t="shared" si="281"/>
        <v>0</v>
      </c>
      <c r="BM165" s="11">
        <f t="shared" si="281"/>
        <v>0</v>
      </c>
      <c r="BN165" s="11">
        <f t="shared" si="281"/>
        <v>0</v>
      </c>
      <c r="BO165" s="11">
        <f t="shared" si="281"/>
        <v>0</v>
      </c>
      <c r="BP165" s="11">
        <f t="shared" ref="BP165:CC165" si="282">IF(BP164=0,0, ROUND(BP161 * 1/BP164* BP$13,1))</f>
        <v>0</v>
      </c>
      <c r="BQ165" s="11">
        <f t="shared" si="282"/>
        <v>0</v>
      </c>
      <c r="BR165" s="11">
        <f t="shared" si="282"/>
        <v>0</v>
      </c>
      <c r="BS165" s="11">
        <f t="shared" si="282"/>
        <v>0</v>
      </c>
      <c r="BT165" s="11">
        <f t="shared" si="282"/>
        <v>0</v>
      </c>
      <c r="BU165" s="11">
        <f t="shared" si="282"/>
        <v>0</v>
      </c>
      <c r="BV165" s="11">
        <f t="shared" si="282"/>
        <v>0</v>
      </c>
      <c r="BW165" s="11">
        <f t="shared" si="282"/>
        <v>0</v>
      </c>
      <c r="BX165" s="11">
        <f t="shared" si="282"/>
        <v>0</v>
      </c>
      <c r="BY165" s="11">
        <f t="shared" si="282"/>
        <v>0</v>
      </c>
      <c r="BZ165" s="11">
        <f t="shared" si="282"/>
        <v>0</v>
      </c>
      <c r="CA165" s="11">
        <f t="shared" si="282"/>
        <v>0</v>
      </c>
      <c r="CB165" s="11">
        <f t="shared" si="282"/>
        <v>0</v>
      </c>
      <c r="CC165" s="11">
        <f t="shared" si="282"/>
        <v>0</v>
      </c>
    </row>
    <row r="166" spans="1:81" x14ac:dyDescent="0.2">
      <c r="A166">
        <v>15</v>
      </c>
      <c r="B166">
        <v>1</v>
      </c>
      <c r="C166" s="8">
        <v>4.6453899999999999</v>
      </c>
      <c r="D166">
        <f t="shared" ref="D166:AI166" si="283">D163/$B166</f>
        <v>0</v>
      </c>
      <c r="E166">
        <f t="shared" si="283"/>
        <v>0</v>
      </c>
      <c r="F166">
        <f t="shared" si="283"/>
        <v>0</v>
      </c>
      <c r="G166">
        <f t="shared" si="283"/>
        <v>0</v>
      </c>
      <c r="H166">
        <f t="shared" si="283"/>
        <v>0</v>
      </c>
      <c r="I166">
        <f t="shared" si="283"/>
        <v>0</v>
      </c>
      <c r="J166">
        <f t="shared" si="283"/>
        <v>0</v>
      </c>
      <c r="K166">
        <f t="shared" si="283"/>
        <v>0</v>
      </c>
      <c r="L166">
        <f t="shared" si="283"/>
        <v>0</v>
      </c>
      <c r="M166">
        <f t="shared" si="283"/>
        <v>0</v>
      </c>
      <c r="N166">
        <f t="shared" si="283"/>
        <v>0</v>
      </c>
      <c r="O166">
        <f t="shared" si="283"/>
        <v>0</v>
      </c>
      <c r="P166">
        <f t="shared" si="283"/>
        <v>0</v>
      </c>
      <c r="Q166">
        <f t="shared" si="283"/>
        <v>0</v>
      </c>
      <c r="R166">
        <f t="shared" si="283"/>
        <v>0</v>
      </c>
      <c r="S166">
        <f t="shared" si="283"/>
        <v>0</v>
      </c>
      <c r="T166">
        <f t="shared" si="283"/>
        <v>0</v>
      </c>
      <c r="U166">
        <f t="shared" si="283"/>
        <v>0</v>
      </c>
      <c r="V166">
        <f t="shared" si="283"/>
        <v>0</v>
      </c>
      <c r="W166">
        <f t="shared" si="283"/>
        <v>0</v>
      </c>
      <c r="X166">
        <f t="shared" si="283"/>
        <v>0</v>
      </c>
      <c r="Y166">
        <f t="shared" si="283"/>
        <v>0</v>
      </c>
      <c r="Z166">
        <f t="shared" si="283"/>
        <v>0</v>
      </c>
      <c r="AA166">
        <f t="shared" si="283"/>
        <v>0</v>
      </c>
      <c r="AB166">
        <f t="shared" si="283"/>
        <v>0</v>
      </c>
      <c r="AC166">
        <f t="shared" si="283"/>
        <v>0</v>
      </c>
      <c r="AD166">
        <f t="shared" si="283"/>
        <v>0</v>
      </c>
      <c r="AE166">
        <f t="shared" si="283"/>
        <v>0</v>
      </c>
      <c r="AF166">
        <f t="shared" si="283"/>
        <v>0</v>
      </c>
      <c r="AG166">
        <f t="shared" si="283"/>
        <v>0</v>
      </c>
      <c r="AH166">
        <f t="shared" si="283"/>
        <v>0</v>
      </c>
      <c r="AI166">
        <f t="shared" si="283"/>
        <v>0</v>
      </c>
      <c r="AJ166">
        <f t="shared" ref="AJ166:BO166" si="284">AJ163/$B166</f>
        <v>0</v>
      </c>
      <c r="AK166">
        <f t="shared" si="284"/>
        <v>0</v>
      </c>
      <c r="AL166">
        <f t="shared" si="284"/>
        <v>0</v>
      </c>
      <c r="AM166">
        <f t="shared" si="284"/>
        <v>0</v>
      </c>
      <c r="AN166">
        <f t="shared" si="284"/>
        <v>0</v>
      </c>
      <c r="AO166">
        <f t="shared" si="284"/>
        <v>0</v>
      </c>
      <c r="AP166">
        <f t="shared" si="284"/>
        <v>0</v>
      </c>
      <c r="AQ166">
        <f t="shared" si="284"/>
        <v>0</v>
      </c>
      <c r="AR166">
        <f t="shared" si="284"/>
        <v>0</v>
      </c>
      <c r="AS166">
        <f t="shared" si="284"/>
        <v>0</v>
      </c>
      <c r="AT166">
        <f t="shared" si="284"/>
        <v>0</v>
      </c>
      <c r="AU166">
        <f t="shared" si="284"/>
        <v>0</v>
      </c>
      <c r="AV166">
        <f t="shared" si="284"/>
        <v>0</v>
      </c>
      <c r="AW166">
        <f t="shared" si="284"/>
        <v>0</v>
      </c>
      <c r="AX166">
        <f t="shared" si="284"/>
        <v>0</v>
      </c>
      <c r="AY166">
        <f t="shared" si="284"/>
        <v>0</v>
      </c>
      <c r="AZ166">
        <f t="shared" si="284"/>
        <v>0</v>
      </c>
      <c r="BA166">
        <f t="shared" si="284"/>
        <v>0</v>
      </c>
      <c r="BB166">
        <f t="shared" si="284"/>
        <v>0</v>
      </c>
      <c r="BC166">
        <f t="shared" si="284"/>
        <v>0</v>
      </c>
      <c r="BD166">
        <f t="shared" si="284"/>
        <v>0</v>
      </c>
      <c r="BE166">
        <f t="shared" si="284"/>
        <v>0</v>
      </c>
      <c r="BF166">
        <f t="shared" si="284"/>
        <v>0</v>
      </c>
      <c r="BG166">
        <f t="shared" si="284"/>
        <v>0</v>
      </c>
      <c r="BH166">
        <f t="shared" si="284"/>
        <v>0</v>
      </c>
      <c r="BI166">
        <f t="shared" si="284"/>
        <v>0</v>
      </c>
      <c r="BJ166">
        <f t="shared" si="284"/>
        <v>0</v>
      </c>
      <c r="BK166">
        <f t="shared" si="284"/>
        <v>0</v>
      </c>
      <c r="BL166">
        <f t="shared" si="284"/>
        <v>0</v>
      </c>
      <c r="BM166">
        <f t="shared" si="284"/>
        <v>0</v>
      </c>
      <c r="BN166">
        <f t="shared" si="284"/>
        <v>0</v>
      </c>
      <c r="BO166">
        <f t="shared" si="284"/>
        <v>0</v>
      </c>
      <c r="BP166">
        <f t="shared" ref="BP166:CC166" si="285">BP163/$B166</f>
        <v>0</v>
      </c>
      <c r="BQ166">
        <f t="shared" si="285"/>
        <v>0</v>
      </c>
      <c r="BR166">
        <f t="shared" si="285"/>
        <v>0</v>
      </c>
      <c r="BS166">
        <f t="shared" si="285"/>
        <v>0</v>
      </c>
      <c r="BT166">
        <f t="shared" si="285"/>
        <v>0</v>
      </c>
      <c r="BU166">
        <f t="shared" si="285"/>
        <v>0</v>
      </c>
      <c r="BV166">
        <f t="shared" si="285"/>
        <v>0</v>
      </c>
      <c r="BW166">
        <f t="shared" si="285"/>
        <v>0</v>
      </c>
      <c r="BX166">
        <f t="shared" si="285"/>
        <v>0</v>
      </c>
      <c r="BY166">
        <f t="shared" si="285"/>
        <v>0</v>
      </c>
      <c r="BZ166">
        <f t="shared" si="285"/>
        <v>0</v>
      </c>
      <c r="CA166">
        <f t="shared" si="285"/>
        <v>0</v>
      </c>
      <c r="CB166">
        <f t="shared" si="285"/>
        <v>0</v>
      </c>
      <c r="CC166">
        <f t="shared" si="285"/>
        <v>0</v>
      </c>
    </row>
    <row r="167" spans="1:81" x14ac:dyDescent="0.2">
      <c r="B167" s="67">
        <f>SUM(D171:AJ171)/SUM($D$263:$AJ$263)</f>
        <v>1.5653126712060735E-3</v>
      </c>
      <c r="C167" s="9" t="s">
        <v>216</v>
      </c>
      <c r="D167">
        <f t="shared" ref="D167:AI167" si="286">D161-D164</f>
        <v>0</v>
      </c>
      <c r="E167">
        <f t="shared" si="286"/>
        <v>0</v>
      </c>
      <c r="F167">
        <f t="shared" si="286"/>
        <v>0</v>
      </c>
      <c r="G167">
        <f t="shared" si="286"/>
        <v>0</v>
      </c>
      <c r="H167">
        <f t="shared" si="286"/>
        <v>0</v>
      </c>
      <c r="I167">
        <f t="shared" si="286"/>
        <v>0</v>
      </c>
      <c r="J167">
        <f t="shared" si="286"/>
        <v>0</v>
      </c>
      <c r="K167">
        <f t="shared" si="286"/>
        <v>0</v>
      </c>
      <c r="L167">
        <f t="shared" si="286"/>
        <v>0</v>
      </c>
      <c r="M167">
        <f t="shared" si="286"/>
        <v>0</v>
      </c>
      <c r="N167">
        <f t="shared" si="286"/>
        <v>0</v>
      </c>
      <c r="O167">
        <f t="shared" si="286"/>
        <v>0</v>
      </c>
      <c r="P167">
        <f t="shared" si="286"/>
        <v>0</v>
      </c>
      <c r="Q167">
        <f t="shared" si="286"/>
        <v>0</v>
      </c>
      <c r="R167">
        <f t="shared" si="286"/>
        <v>0</v>
      </c>
      <c r="S167">
        <f t="shared" si="286"/>
        <v>0</v>
      </c>
      <c r="T167">
        <f t="shared" si="286"/>
        <v>0</v>
      </c>
      <c r="U167">
        <f t="shared" si="286"/>
        <v>0</v>
      </c>
      <c r="V167">
        <f t="shared" si="286"/>
        <v>0</v>
      </c>
      <c r="W167">
        <f t="shared" si="286"/>
        <v>0</v>
      </c>
      <c r="X167">
        <f t="shared" si="286"/>
        <v>0</v>
      </c>
      <c r="Y167">
        <f t="shared" si="286"/>
        <v>0</v>
      </c>
      <c r="Z167">
        <f t="shared" si="286"/>
        <v>0</v>
      </c>
      <c r="AA167">
        <f t="shared" si="286"/>
        <v>0</v>
      </c>
      <c r="AB167">
        <f t="shared" si="286"/>
        <v>0</v>
      </c>
      <c r="AC167">
        <f t="shared" si="286"/>
        <v>0</v>
      </c>
      <c r="AD167">
        <f t="shared" si="286"/>
        <v>0</v>
      </c>
      <c r="AE167">
        <f t="shared" si="286"/>
        <v>0</v>
      </c>
      <c r="AF167">
        <f t="shared" si="286"/>
        <v>0</v>
      </c>
      <c r="AG167">
        <f t="shared" si="286"/>
        <v>0</v>
      </c>
      <c r="AH167">
        <f t="shared" si="286"/>
        <v>0</v>
      </c>
      <c r="AI167">
        <f t="shared" si="286"/>
        <v>0</v>
      </c>
      <c r="AJ167">
        <f t="shared" ref="AJ167:BO167" si="287">AJ161-AJ164</f>
        <v>0</v>
      </c>
      <c r="AK167">
        <f t="shared" si="287"/>
        <v>0</v>
      </c>
      <c r="AL167">
        <f t="shared" si="287"/>
        <v>0</v>
      </c>
      <c r="AM167">
        <f t="shared" si="287"/>
        <v>0</v>
      </c>
      <c r="AN167">
        <f t="shared" si="287"/>
        <v>0</v>
      </c>
      <c r="AO167">
        <f t="shared" si="287"/>
        <v>0</v>
      </c>
      <c r="AP167">
        <f t="shared" si="287"/>
        <v>0</v>
      </c>
      <c r="AQ167">
        <f t="shared" si="287"/>
        <v>0</v>
      </c>
      <c r="AR167">
        <f t="shared" si="287"/>
        <v>0</v>
      </c>
      <c r="AS167">
        <f t="shared" si="287"/>
        <v>0</v>
      </c>
      <c r="AT167">
        <f t="shared" si="287"/>
        <v>0</v>
      </c>
      <c r="AU167">
        <f t="shared" si="287"/>
        <v>0</v>
      </c>
      <c r="AV167">
        <f t="shared" si="287"/>
        <v>0</v>
      </c>
      <c r="AW167">
        <f t="shared" si="287"/>
        <v>0</v>
      </c>
      <c r="AX167">
        <f t="shared" si="287"/>
        <v>0</v>
      </c>
      <c r="AY167">
        <f t="shared" si="287"/>
        <v>0</v>
      </c>
      <c r="AZ167">
        <f t="shared" si="287"/>
        <v>0</v>
      </c>
      <c r="BA167">
        <f t="shared" si="287"/>
        <v>0</v>
      </c>
      <c r="BB167">
        <f t="shared" si="287"/>
        <v>0</v>
      </c>
      <c r="BC167">
        <f t="shared" si="287"/>
        <v>0</v>
      </c>
      <c r="BD167">
        <f t="shared" si="287"/>
        <v>0</v>
      </c>
      <c r="BE167">
        <f t="shared" si="287"/>
        <v>0</v>
      </c>
      <c r="BF167">
        <f t="shared" si="287"/>
        <v>0</v>
      </c>
      <c r="BG167">
        <f t="shared" si="287"/>
        <v>0</v>
      </c>
      <c r="BH167">
        <f t="shared" si="287"/>
        <v>0</v>
      </c>
      <c r="BI167">
        <f t="shared" si="287"/>
        <v>0</v>
      </c>
      <c r="BJ167">
        <f t="shared" si="287"/>
        <v>0</v>
      </c>
      <c r="BK167">
        <f t="shared" si="287"/>
        <v>0</v>
      </c>
      <c r="BL167">
        <f t="shared" si="287"/>
        <v>0</v>
      </c>
      <c r="BM167">
        <f t="shared" si="287"/>
        <v>0</v>
      </c>
      <c r="BN167">
        <f t="shared" si="287"/>
        <v>0</v>
      </c>
      <c r="BO167">
        <f t="shared" si="287"/>
        <v>0</v>
      </c>
      <c r="BP167">
        <f t="shared" ref="BP167:CC167" si="288">BP161-BP164</f>
        <v>0</v>
      </c>
      <c r="BQ167">
        <f t="shared" si="288"/>
        <v>0</v>
      </c>
      <c r="BR167">
        <f t="shared" si="288"/>
        <v>0</v>
      </c>
      <c r="BS167">
        <f t="shared" si="288"/>
        <v>0</v>
      </c>
      <c r="BT167">
        <f t="shared" si="288"/>
        <v>0</v>
      </c>
      <c r="BU167">
        <f t="shared" si="288"/>
        <v>0</v>
      </c>
      <c r="BV167">
        <f t="shared" si="288"/>
        <v>0</v>
      </c>
      <c r="BW167">
        <f t="shared" si="288"/>
        <v>0</v>
      </c>
      <c r="BX167">
        <f t="shared" si="288"/>
        <v>0</v>
      </c>
      <c r="BY167">
        <f t="shared" si="288"/>
        <v>0</v>
      </c>
      <c r="BZ167">
        <f t="shared" si="288"/>
        <v>0</v>
      </c>
      <c r="CA167">
        <f t="shared" si="288"/>
        <v>0</v>
      </c>
      <c r="CB167">
        <f t="shared" si="288"/>
        <v>0</v>
      </c>
      <c r="CC167">
        <f t="shared" si="288"/>
        <v>0</v>
      </c>
    </row>
    <row r="168" spans="1:81" x14ac:dyDescent="0.2">
      <c r="A168" s="43" t="s">
        <v>311</v>
      </c>
      <c r="B168" s="44" t="s">
        <v>208</v>
      </c>
      <c r="C168" s="9" t="s">
        <v>38</v>
      </c>
      <c r="D168" s="58">
        <f>IFERROR(VLOOKUP(A168,OS!$A:$B,2,0),0)</f>
        <v>120</v>
      </c>
      <c r="E168" s="5">
        <f>(D168+D169-D171)</f>
        <v>120</v>
      </c>
      <c r="F168" s="5">
        <f>(E168+E169-E171)</f>
        <v>120</v>
      </c>
      <c r="G168" s="5">
        <f>(F168+F169-F171)</f>
        <v>120</v>
      </c>
      <c r="H168" s="5">
        <f>(G168+G169-G171)</f>
        <v>120</v>
      </c>
      <c r="I168" s="5">
        <f t="shared" ref="I168:AN168" si="289">(H168+H169-H171+D170)</f>
        <v>120</v>
      </c>
      <c r="J168" s="5">
        <f t="shared" si="289"/>
        <v>120</v>
      </c>
      <c r="K168" s="5">
        <f t="shared" si="289"/>
        <v>120</v>
      </c>
      <c r="L168" s="5">
        <f t="shared" si="289"/>
        <v>120</v>
      </c>
      <c r="M168" s="5">
        <f t="shared" si="289"/>
        <v>120</v>
      </c>
      <c r="N168" s="5">
        <f t="shared" si="289"/>
        <v>120</v>
      </c>
      <c r="O168" s="5">
        <f t="shared" si="289"/>
        <v>120</v>
      </c>
      <c r="P168" s="5">
        <f t="shared" si="289"/>
        <v>120</v>
      </c>
      <c r="Q168" s="5">
        <f t="shared" si="289"/>
        <v>120</v>
      </c>
      <c r="R168" s="5">
        <f t="shared" si="289"/>
        <v>120</v>
      </c>
      <c r="S168" s="5">
        <f t="shared" si="289"/>
        <v>120</v>
      </c>
      <c r="T168" s="5">
        <f t="shared" si="289"/>
        <v>120</v>
      </c>
      <c r="U168" s="5">
        <f t="shared" si="289"/>
        <v>120</v>
      </c>
      <c r="V168" s="5">
        <f t="shared" si="289"/>
        <v>80</v>
      </c>
      <c r="W168" s="5">
        <f t="shared" si="289"/>
        <v>40</v>
      </c>
      <c r="X168" s="5">
        <f t="shared" si="289"/>
        <v>0</v>
      </c>
      <c r="Y168" s="5">
        <f t="shared" si="289"/>
        <v>-40</v>
      </c>
      <c r="Z168" s="5">
        <f t="shared" si="289"/>
        <v>-40</v>
      </c>
      <c r="AA168" s="5">
        <f t="shared" si="289"/>
        <v>-40</v>
      </c>
      <c r="AB168" s="5">
        <f t="shared" si="289"/>
        <v>-40</v>
      </c>
      <c r="AC168" s="5">
        <f t="shared" si="289"/>
        <v>-40</v>
      </c>
      <c r="AD168" s="5">
        <f t="shared" si="289"/>
        <v>-40</v>
      </c>
      <c r="AE168" s="5">
        <f t="shared" si="289"/>
        <v>-40</v>
      </c>
      <c r="AF168" s="5">
        <f t="shared" si="289"/>
        <v>-40</v>
      </c>
      <c r="AG168" s="5">
        <f t="shared" si="289"/>
        <v>-40</v>
      </c>
      <c r="AH168" s="5">
        <f t="shared" si="289"/>
        <v>-40</v>
      </c>
      <c r="AI168" s="5">
        <f t="shared" si="289"/>
        <v>-40</v>
      </c>
      <c r="AJ168" s="5">
        <f t="shared" si="289"/>
        <v>-40</v>
      </c>
      <c r="AK168" s="5">
        <f t="shared" si="289"/>
        <v>-40</v>
      </c>
      <c r="AL168" s="5">
        <f t="shared" si="289"/>
        <v>-40</v>
      </c>
      <c r="AM168" s="5">
        <f t="shared" si="289"/>
        <v>-40</v>
      </c>
      <c r="AN168" s="5">
        <f t="shared" si="289"/>
        <v>-40</v>
      </c>
      <c r="AO168" s="5">
        <f t="shared" ref="AO168:BT168" si="290">(AN168+AN169-AN171+AJ170)</f>
        <v>-45</v>
      </c>
      <c r="AP168" s="5">
        <f t="shared" si="290"/>
        <v>-50</v>
      </c>
      <c r="AQ168" s="5">
        <f t="shared" si="290"/>
        <v>-55</v>
      </c>
      <c r="AR168" s="5">
        <f t="shared" si="290"/>
        <v>-61</v>
      </c>
      <c r="AS168" s="5">
        <f t="shared" si="290"/>
        <v>-67</v>
      </c>
      <c r="AT168" s="5">
        <f t="shared" si="290"/>
        <v>-72</v>
      </c>
      <c r="AU168" s="5">
        <f t="shared" si="290"/>
        <v>-78</v>
      </c>
      <c r="AV168" s="5">
        <f t="shared" si="290"/>
        <v>-83</v>
      </c>
      <c r="AW168" s="5">
        <f t="shared" si="290"/>
        <v>-88</v>
      </c>
      <c r="AX168" s="5">
        <f t="shared" si="290"/>
        <v>-93</v>
      </c>
      <c r="AY168" s="5">
        <f t="shared" si="290"/>
        <v>-98</v>
      </c>
      <c r="AZ168" s="5">
        <f t="shared" si="290"/>
        <v>-102</v>
      </c>
      <c r="BA168" s="5">
        <f t="shared" si="290"/>
        <v>-106</v>
      </c>
      <c r="BB168" s="5">
        <f t="shared" si="290"/>
        <v>-110</v>
      </c>
      <c r="BC168" s="5">
        <f t="shared" si="290"/>
        <v>-114</v>
      </c>
      <c r="BD168" s="5">
        <f t="shared" si="290"/>
        <v>-118</v>
      </c>
      <c r="BE168" s="5">
        <f t="shared" si="290"/>
        <v>-122</v>
      </c>
      <c r="BF168" s="5">
        <f t="shared" si="290"/>
        <v>-126</v>
      </c>
      <c r="BG168" s="5">
        <f t="shared" si="290"/>
        <v>-130</v>
      </c>
      <c r="BH168" s="5">
        <f t="shared" si="290"/>
        <v>-134</v>
      </c>
      <c r="BI168" s="5">
        <f t="shared" si="290"/>
        <v>-138</v>
      </c>
      <c r="BJ168" s="5">
        <f t="shared" si="290"/>
        <v>-142</v>
      </c>
      <c r="BK168" s="5">
        <f t="shared" si="290"/>
        <v>-146</v>
      </c>
      <c r="BL168" s="5">
        <f t="shared" si="290"/>
        <v>-150</v>
      </c>
      <c r="BM168" s="5">
        <f t="shared" si="290"/>
        <v>-154</v>
      </c>
      <c r="BN168" s="5">
        <f t="shared" si="290"/>
        <v>-158</v>
      </c>
      <c r="BO168" s="5">
        <f t="shared" si="290"/>
        <v>-166</v>
      </c>
      <c r="BP168" s="5">
        <f t="shared" si="290"/>
        <v>-166</v>
      </c>
      <c r="BQ168" s="5">
        <f t="shared" si="290"/>
        <v>-166</v>
      </c>
      <c r="BR168" s="5">
        <f t="shared" si="290"/>
        <v>-166</v>
      </c>
      <c r="BS168" s="5">
        <f t="shared" si="290"/>
        <v>-166</v>
      </c>
      <c r="BT168" s="5">
        <f t="shared" si="290"/>
        <v>-170</v>
      </c>
      <c r="BU168" s="5">
        <f t="shared" ref="BU168:CC168" si="291">(BT168+BT169-BT171+BP170)</f>
        <v>-174</v>
      </c>
      <c r="BV168" s="5">
        <f t="shared" si="291"/>
        <v>-178</v>
      </c>
      <c r="BW168" s="5">
        <f t="shared" si="291"/>
        <v>-182</v>
      </c>
      <c r="BX168" s="5">
        <f t="shared" si="291"/>
        <v>-186</v>
      </c>
      <c r="BY168" s="5">
        <f t="shared" si="291"/>
        <v>-190</v>
      </c>
      <c r="BZ168" s="5">
        <f t="shared" si="291"/>
        <v>-194</v>
      </c>
      <c r="CA168" s="5">
        <f t="shared" si="291"/>
        <v>-198</v>
      </c>
      <c r="CB168" s="5">
        <f t="shared" si="291"/>
        <v>-202</v>
      </c>
      <c r="CC168" s="5">
        <f t="shared" si="291"/>
        <v>-206</v>
      </c>
    </row>
    <row r="169" spans="1:81" x14ac:dyDescent="0.2">
      <c r="A169" s="5" t="s">
        <v>209</v>
      </c>
      <c r="B169" s="5">
        <v>4.1154400000000004</v>
      </c>
      <c r="C169" s="45" t="s">
        <v>39</v>
      </c>
      <c r="D169" s="59">
        <f>IFERROR(VLOOKUP(A168,WIP!$A:$B,2,0),0)</f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 spans="1:81" x14ac:dyDescent="0.2">
      <c r="A170" s="5" t="s">
        <v>210</v>
      </c>
      <c r="B170" s="5">
        <v>0.13500000000000001</v>
      </c>
      <c r="C170" s="9" t="s">
        <v>211</v>
      </c>
      <c r="D170" s="60">
        <f>IFERROR(VLOOKUP($A168,Plan!$A:B,D$4,0),0)</f>
        <v>0</v>
      </c>
      <c r="E170" s="60">
        <f>IFERROR(VLOOKUP($A168,Plan!$A:C,E$4,0),0)</f>
        <v>0</v>
      </c>
      <c r="F170" s="60">
        <f>IFERROR(VLOOKUP($A168,Plan!$A:D,F$4,0),0)</f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</row>
    <row r="171" spans="1:81" x14ac:dyDescent="0.2">
      <c r="A171" s="5" t="s">
        <v>212</v>
      </c>
      <c r="B171" s="5">
        <v>1.0999999999999999E-2</v>
      </c>
      <c r="C171" s="9" t="s">
        <v>213</v>
      </c>
      <c r="D171" s="61">
        <f>IFERROR(VLOOKUP($A168,Sales!$A:B,D$2,0),0)</f>
        <v>0</v>
      </c>
      <c r="E171" s="61">
        <f>IFERROR(VLOOKUP($A168,Sales!$A:C,E$2,0),0)</f>
        <v>0</v>
      </c>
      <c r="F171" s="61">
        <f>IFERROR(VLOOKUP($A168,Sales!$A:D,F$2,0),0)</f>
        <v>0</v>
      </c>
      <c r="G171" s="61">
        <f>IFERROR(VLOOKUP($A168,Sales!$A:E,G$2,0),0)</f>
        <v>0</v>
      </c>
      <c r="H171" s="61">
        <f>IFERROR(VLOOKUP($A168,Sales!$A:F,H$2,0),0)</f>
        <v>0</v>
      </c>
      <c r="I171" s="61">
        <f>IFERROR(VLOOKUP($A168,Sales!$A:G,I$2,0),0)</f>
        <v>0</v>
      </c>
      <c r="J171" s="61">
        <f>IFERROR(VLOOKUP($A168,Sales!$A:H,J$2,0),0)</f>
        <v>0</v>
      </c>
      <c r="K171" s="61">
        <f>IFERROR(VLOOKUP($A168,Sales!$A:I,K$2,0),0)</f>
        <v>0</v>
      </c>
      <c r="L171" s="61">
        <f>IFERROR(VLOOKUP($A168,Sales!$A:J,L$2,0),0)</f>
        <v>0</v>
      </c>
      <c r="M171" s="61">
        <f>IFERROR(VLOOKUP($A168,Sales!$A:K,M$2,0),0)</f>
        <v>0</v>
      </c>
      <c r="N171" s="61">
        <f>IFERROR(VLOOKUP($A168,Sales!$A:L,N$2,0),0)</f>
        <v>0</v>
      </c>
      <c r="O171" s="61">
        <f>IFERROR(VLOOKUP($A168,Sales!$A:M,O$2,0),0)</f>
        <v>0</v>
      </c>
      <c r="P171" s="61">
        <f>IFERROR(VLOOKUP($A168,Sales!$A:N,P$2,0),0)</f>
        <v>0</v>
      </c>
      <c r="Q171" s="61">
        <f>IFERROR(VLOOKUP($A168,Sales!$A:O,Q$2,0),0)</f>
        <v>0</v>
      </c>
      <c r="R171" s="61">
        <f>IFERROR(VLOOKUP($A168,Sales!$A:P,R$2,0),0)</f>
        <v>0</v>
      </c>
      <c r="S171" s="61">
        <f>IFERROR(VLOOKUP($A168,Sales!$A:Q,S$2,0),0)</f>
        <v>0</v>
      </c>
      <c r="T171" s="61">
        <f>IFERROR(VLOOKUP($A168,Sales!$A:R,T$2,0),0)</f>
        <v>0</v>
      </c>
      <c r="U171" s="61">
        <f>IFERROR(VLOOKUP($A168,Sales!$A:S,U$2,0),0)</f>
        <v>40</v>
      </c>
      <c r="V171" s="61">
        <f>IFERROR(VLOOKUP($A168,Sales!$A:T,V$2,0),0)</f>
        <v>40</v>
      </c>
      <c r="W171" s="61">
        <f>IFERROR(VLOOKUP($A168,Sales!$A:U,W$2,0),0)</f>
        <v>40</v>
      </c>
      <c r="X171" s="61">
        <f>IFERROR(VLOOKUP($A168,Sales!$A:V,X$2,0),0)</f>
        <v>40</v>
      </c>
      <c r="Y171" s="61">
        <f>IFERROR(VLOOKUP($A168,Sales!$A:W,Y$2,0),0)</f>
        <v>0</v>
      </c>
      <c r="Z171" s="61">
        <f>IFERROR(VLOOKUP($A168,Sales!$A:X,Z$2,0),0)</f>
        <v>0</v>
      </c>
      <c r="AA171" s="61">
        <f>IFERROR(VLOOKUP($A168,Sales!$A:Y,AA$2,0),0)</f>
        <v>0</v>
      </c>
      <c r="AB171" s="61">
        <f>IFERROR(VLOOKUP($A168,Sales!$A:Z,AB$2,0),0)</f>
        <v>0</v>
      </c>
      <c r="AC171" s="61">
        <f>IFERROR(VLOOKUP($A168,Sales!$A:AA,AC$2,0),0)</f>
        <v>0</v>
      </c>
      <c r="AD171" s="61">
        <f>IFERROR(VLOOKUP($A168,Sales!$A:AB,AD$2,0),0)</f>
        <v>0</v>
      </c>
      <c r="AE171" s="61">
        <f>IFERROR(VLOOKUP($A168,Sales!$A:AC,AE$2,0),0)</f>
        <v>0</v>
      </c>
      <c r="AF171" s="61">
        <f>IFERROR(VLOOKUP($A168,Sales!$A:AD,AF$2,0),0)</f>
        <v>0</v>
      </c>
      <c r="AG171" s="61">
        <f>IFERROR(VLOOKUP($A168,Sales!$A:AE,AG$2,0),0)</f>
        <v>0</v>
      </c>
      <c r="AH171" s="61">
        <f>IFERROR(VLOOKUP($A168,Sales!$A:AF,AH$2,0),0)</f>
        <v>0</v>
      </c>
      <c r="AI171" s="61">
        <f>IFERROR(VLOOKUP($A168,Sales!$A:AG,AI$2,0),0)</f>
        <v>0</v>
      </c>
      <c r="AJ171" s="61">
        <f>IFERROR(VLOOKUP($A168,Sales!$A:AH,AJ$2,0),0)</f>
        <v>0</v>
      </c>
      <c r="AK171" s="74">
        <f t="shared" ref="AK171:CC171" si="292">CEILING(AK$5*$B167,1)</f>
        <v>0</v>
      </c>
      <c r="AL171" s="74">
        <f t="shared" si="292"/>
        <v>0</v>
      </c>
      <c r="AM171" s="74">
        <f t="shared" si="292"/>
        <v>0</v>
      </c>
      <c r="AN171" s="74">
        <f t="shared" si="292"/>
        <v>5</v>
      </c>
      <c r="AO171" s="74">
        <f t="shared" si="292"/>
        <v>5</v>
      </c>
      <c r="AP171" s="74">
        <f t="shared" si="292"/>
        <v>5</v>
      </c>
      <c r="AQ171" s="74">
        <f t="shared" si="292"/>
        <v>6</v>
      </c>
      <c r="AR171" s="74">
        <f t="shared" si="292"/>
        <v>6</v>
      </c>
      <c r="AS171" s="74">
        <f t="shared" si="292"/>
        <v>5</v>
      </c>
      <c r="AT171" s="74">
        <f t="shared" si="292"/>
        <v>6</v>
      </c>
      <c r="AU171" s="74">
        <f t="shared" si="292"/>
        <v>5</v>
      </c>
      <c r="AV171" s="74">
        <f t="shared" si="292"/>
        <v>5</v>
      </c>
      <c r="AW171" s="74">
        <f t="shared" si="292"/>
        <v>5</v>
      </c>
      <c r="AX171" s="74">
        <f t="shared" si="292"/>
        <v>5</v>
      </c>
      <c r="AY171" s="74">
        <f t="shared" si="292"/>
        <v>4</v>
      </c>
      <c r="AZ171" s="74">
        <f t="shared" si="292"/>
        <v>4</v>
      </c>
      <c r="BA171" s="74">
        <f t="shared" si="292"/>
        <v>4</v>
      </c>
      <c r="BB171" s="74">
        <f t="shared" si="292"/>
        <v>4</v>
      </c>
      <c r="BC171" s="74">
        <f t="shared" si="292"/>
        <v>4</v>
      </c>
      <c r="BD171" s="74">
        <f t="shared" si="292"/>
        <v>4</v>
      </c>
      <c r="BE171" s="74">
        <f t="shared" si="292"/>
        <v>4</v>
      </c>
      <c r="BF171" s="74">
        <f t="shared" si="292"/>
        <v>4</v>
      </c>
      <c r="BG171" s="74">
        <f t="shared" si="292"/>
        <v>4</v>
      </c>
      <c r="BH171" s="74">
        <f t="shared" si="292"/>
        <v>4</v>
      </c>
      <c r="BI171" s="74">
        <f t="shared" si="292"/>
        <v>4</v>
      </c>
      <c r="BJ171" s="74">
        <f t="shared" si="292"/>
        <v>4</v>
      </c>
      <c r="BK171" s="74">
        <f t="shared" si="292"/>
        <v>4</v>
      </c>
      <c r="BL171" s="74">
        <f t="shared" si="292"/>
        <v>4</v>
      </c>
      <c r="BM171" s="74">
        <f t="shared" si="292"/>
        <v>4</v>
      </c>
      <c r="BN171" s="74">
        <f t="shared" si="292"/>
        <v>8</v>
      </c>
      <c r="BO171" s="74">
        <f t="shared" si="292"/>
        <v>0</v>
      </c>
      <c r="BP171" s="74">
        <f t="shared" si="292"/>
        <v>0</v>
      </c>
      <c r="BQ171" s="74">
        <f t="shared" si="292"/>
        <v>0</v>
      </c>
      <c r="BR171" s="74">
        <f t="shared" si="292"/>
        <v>0</v>
      </c>
      <c r="BS171" s="74">
        <f t="shared" si="292"/>
        <v>4</v>
      </c>
      <c r="BT171" s="74">
        <f t="shared" si="292"/>
        <v>4</v>
      </c>
      <c r="BU171" s="74">
        <f t="shared" si="292"/>
        <v>4</v>
      </c>
      <c r="BV171" s="74">
        <f t="shared" si="292"/>
        <v>4</v>
      </c>
      <c r="BW171" s="74">
        <f t="shared" si="292"/>
        <v>4</v>
      </c>
      <c r="BX171" s="74">
        <f t="shared" si="292"/>
        <v>4</v>
      </c>
      <c r="BY171" s="74">
        <f t="shared" si="292"/>
        <v>4</v>
      </c>
      <c r="BZ171" s="74">
        <f t="shared" si="292"/>
        <v>4</v>
      </c>
      <c r="CA171" s="74">
        <f t="shared" si="292"/>
        <v>4</v>
      </c>
      <c r="CB171" s="74">
        <f t="shared" si="292"/>
        <v>4</v>
      </c>
      <c r="CC171" s="74">
        <f t="shared" si="292"/>
        <v>4</v>
      </c>
    </row>
    <row r="172" spans="1:81" x14ac:dyDescent="0.2">
      <c r="A172" s="5" t="s">
        <v>214</v>
      </c>
      <c r="B172" s="5">
        <v>0.14599999999999999</v>
      </c>
      <c r="C172" s="46" t="s">
        <v>215</v>
      </c>
      <c r="D172" s="11">
        <f t="shared" ref="D172:AI172" si="293">IF(D171=0,0, ROUND(D168 * 1/D171* D$13,1))</f>
        <v>0</v>
      </c>
      <c r="E172" s="11">
        <f t="shared" si="293"/>
        <v>0</v>
      </c>
      <c r="F172" s="11">
        <f t="shared" si="293"/>
        <v>0</v>
      </c>
      <c r="G172" s="11">
        <f t="shared" si="293"/>
        <v>0</v>
      </c>
      <c r="H172" s="11">
        <f t="shared" si="293"/>
        <v>0</v>
      </c>
      <c r="I172" s="11">
        <f t="shared" si="293"/>
        <v>0</v>
      </c>
      <c r="J172" s="11">
        <f t="shared" si="293"/>
        <v>0</v>
      </c>
      <c r="K172" s="11">
        <f t="shared" si="293"/>
        <v>0</v>
      </c>
      <c r="L172" s="11">
        <f t="shared" si="293"/>
        <v>0</v>
      </c>
      <c r="M172" s="11">
        <f t="shared" si="293"/>
        <v>0</v>
      </c>
      <c r="N172" s="11">
        <f t="shared" si="293"/>
        <v>0</v>
      </c>
      <c r="O172" s="11">
        <f t="shared" si="293"/>
        <v>0</v>
      </c>
      <c r="P172" s="11">
        <f t="shared" si="293"/>
        <v>0</v>
      </c>
      <c r="Q172" s="11">
        <f t="shared" si="293"/>
        <v>0</v>
      </c>
      <c r="R172" s="11">
        <f t="shared" si="293"/>
        <v>0</v>
      </c>
      <c r="S172" s="11">
        <f t="shared" si="293"/>
        <v>0</v>
      </c>
      <c r="T172" s="11">
        <f t="shared" si="293"/>
        <v>0</v>
      </c>
      <c r="U172" s="11">
        <f t="shared" si="293"/>
        <v>15</v>
      </c>
      <c r="V172" s="11">
        <f t="shared" si="293"/>
        <v>10</v>
      </c>
      <c r="W172" s="11">
        <f t="shared" si="293"/>
        <v>5</v>
      </c>
      <c r="X172" s="11">
        <f t="shared" si="293"/>
        <v>0</v>
      </c>
      <c r="Y172" s="11">
        <f t="shared" si="293"/>
        <v>0</v>
      </c>
      <c r="Z172" s="11">
        <f t="shared" si="293"/>
        <v>0</v>
      </c>
      <c r="AA172" s="11">
        <f t="shared" si="293"/>
        <v>0</v>
      </c>
      <c r="AB172" s="11">
        <f t="shared" si="293"/>
        <v>0</v>
      </c>
      <c r="AC172" s="11">
        <f t="shared" si="293"/>
        <v>0</v>
      </c>
      <c r="AD172" s="11">
        <f t="shared" si="293"/>
        <v>0</v>
      </c>
      <c r="AE172" s="11">
        <f t="shared" si="293"/>
        <v>0</v>
      </c>
      <c r="AF172" s="11">
        <f t="shared" si="293"/>
        <v>0</v>
      </c>
      <c r="AG172" s="11">
        <f t="shared" si="293"/>
        <v>0</v>
      </c>
      <c r="AH172" s="11">
        <f t="shared" si="293"/>
        <v>0</v>
      </c>
      <c r="AI172" s="11">
        <f t="shared" si="293"/>
        <v>0</v>
      </c>
      <c r="AJ172" s="11">
        <f t="shared" ref="AJ172:BO172" si="294">IF(AJ171=0,0, ROUND(AJ168 * 1/AJ171* AJ$13,1))</f>
        <v>0</v>
      </c>
      <c r="AK172" s="11">
        <f t="shared" si="294"/>
        <v>0</v>
      </c>
      <c r="AL172" s="11">
        <f t="shared" si="294"/>
        <v>0</v>
      </c>
      <c r="AM172" s="11">
        <f t="shared" si="294"/>
        <v>0</v>
      </c>
      <c r="AN172" s="11">
        <f t="shared" si="294"/>
        <v>-40</v>
      </c>
      <c r="AO172" s="11">
        <f t="shared" si="294"/>
        <v>-45</v>
      </c>
      <c r="AP172" s="11">
        <f t="shared" si="294"/>
        <v>-50</v>
      </c>
      <c r="AQ172" s="11">
        <f t="shared" si="294"/>
        <v>-45.8</v>
      </c>
      <c r="AR172" s="11">
        <f t="shared" si="294"/>
        <v>-50.8</v>
      </c>
      <c r="AS172" s="11">
        <f t="shared" si="294"/>
        <v>-67</v>
      </c>
      <c r="AT172" s="11">
        <f t="shared" si="294"/>
        <v>-60</v>
      </c>
      <c r="AU172" s="11">
        <f t="shared" si="294"/>
        <v>-78</v>
      </c>
      <c r="AV172" s="11">
        <f t="shared" si="294"/>
        <v>-83</v>
      </c>
      <c r="AW172" s="11">
        <f t="shared" si="294"/>
        <v>-88</v>
      </c>
      <c r="AX172" s="11">
        <f t="shared" si="294"/>
        <v>-93</v>
      </c>
      <c r="AY172" s="11">
        <f t="shared" si="294"/>
        <v>-122.5</v>
      </c>
      <c r="AZ172" s="11">
        <f t="shared" si="294"/>
        <v>-127.5</v>
      </c>
      <c r="BA172" s="11">
        <f t="shared" si="294"/>
        <v>-132.5</v>
      </c>
      <c r="BB172" s="11">
        <f t="shared" si="294"/>
        <v>-137.5</v>
      </c>
      <c r="BC172" s="11">
        <f t="shared" si="294"/>
        <v>-142.5</v>
      </c>
      <c r="BD172" s="11">
        <f t="shared" si="294"/>
        <v>-147.5</v>
      </c>
      <c r="BE172" s="11">
        <f t="shared" si="294"/>
        <v>-152.5</v>
      </c>
      <c r="BF172" s="11">
        <f t="shared" si="294"/>
        <v>-157.5</v>
      </c>
      <c r="BG172" s="11">
        <f t="shared" si="294"/>
        <v>-162.5</v>
      </c>
      <c r="BH172" s="11">
        <f t="shared" si="294"/>
        <v>-167.5</v>
      </c>
      <c r="BI172" s="11">
        <f t="shared" si="294"/>
        <v>-172.5</v>
      </c>
      <c r="BJ172" s="11">
        <f t="shared" si="294"/>
        <v>-177.5</v>
      </c>
      <c r="BK172" s="11">
        <f t="shared" si="294"/>
        <v>-182.5</v>
      </c>
      <c r="BL172" s="11">
        <f t="shared" si="294"/>
        <v>-187.5</v>
      </c>
      <c r="BM172" s="11">
        <f t="shared" si="294"/>
        <v>-192.5</v>
      </c>
      <c r="BN172" s="11">
        <f t="shared" si="294"/>
        <v>-98.8</v>
      </c>
      <c r="BO172" s="11">
        <f t="shared" si="294"/>
        <v>0</v>
      </c>
      <c r="BP172" s="11">
        <f t="shared" ref="BP172:CC172" si="295">IF(BP171=0,0, ROUND(BP168 * 1/BP171* BP$13,1))</f>
        <v>0</v>
      </c>
      <c r="BQ172" s="11">
        <f t="shared" si="295"/>
        <v>0</v>
      </c>
      <c r="BR172" s="11">
        <f t="shared" si="295"/>
        <v>0</v>
      </c>
      <c r="BS172" s="11">
        <f t="shared" si="295"/>
        <v>-207.5</v>
      </c>
      <c r="BT172" s="11">
        <f t="shared" si="295"/>
        <v>-212.5</v>
      </c>
      <c r="BU172" s="11">
        <f t="shared" si="295"/>
        <v>-217.5</v>
      </c>
      <c r="BV172" s="11">
        <f t="shared" si="295"/>
        <v>-222.5</v>
      </c>
      <c r="BW172" s="11">
        <f t="shared" si="295"/>
        <v>-227.5</v>
      </c>
      <c r="BX172" s="11">
        <f t="shared" si="295"/>
        <v>-232.5</v>
      </c>
      <c r="BY172" s="11">
        <f t="shared" si="295"/>
        <v>-237.5</v>
      </c>
      <c r="BZ172" s="11">
        <f t="shared" si="295"/>
        <v>-242.5</v>
      </c>
      <c r="CA172" s="11">
        <f t="shared" si="295"/>
        <v>-247.5</v>
      </c>
      <c r="CB172" s="11">
        <f t="shared" si="295"/>
        <v>-252.5</v>
      </c>
      <c r="CC172" s="11">
        <f t="shared" si="295"/>
        <v>-257.5</v>
      </c>
    </row>
    <row r="173" spans="1:81" x14ac:dyDescent="0.2">
      <c r="A173">
        <v>6</v>
      </c>
      <c r="B173">
        <v>1</v>
      </c>
      <c r="C173" s="8">
        <v>3.11795</v>
      </c>
      <c r="D173">
        <f t="shared" ref="D173:AI173" si="296">D170/$B173</f>
        <v>0</v>
      </c>
      <c r="E173">
        <f t="shared" si="296"/>
        <v>0</v>
      </c>
      <c r="F173">
        <f t="shared" si="296"/>
        <v>0</v>
      </c>
      <c r="G173">
        <f t="shared" si="296"/>
        <v>0</v>
      </c>
      <c r="H173">
        <f t="shared" si="296"/>
        <v>0</v>
      </c>
      <c r="I173">
        <f t="shared" si="296"/>
        <v>0</v>
      </c>
      <c r="J173">
        <f t="shared" si="296"/>
        <v>0</v>
      </c>
      <c r="K173">
        <f t="shared" si="296"/>
        <v>0</v>
      </c>
      <c r="L173">
        <f t="shared" si="296"/>
        <v>0</v>
      </c>
      <c r="M173">
        <f t="shared" si="296"/>
        <v>0</v>
      </c>
      <c r="N173">
        <f t="shared" si="296"/>
        <v>0</v>
      </c>
      <c r="O173">
        <f t="shared" si="296"/>
        <v>0</v>
      </c>
      <c r="P173">
        <f t="shared" si="296"/>
        <v>0</v>
      </c>
      <c r="Q173">
        <f t="shared" si="296"/>
        <v>0</v>
      </c>
      <c r="R173">
        <f t="shared" si="296"/>
        <v>0</v>
      </c>
      <c r="S173">
        <f t="shared" si="296"/>
        <v>0</v>
      </c>
      <c r="T173">
        <f t="shared" si="296"/>
        <v>0</v>
      </c>
      <c r="U173">
        <f t="shared" si="296"/>
        <v>0</v>
      </c>
      <c r="V173">
        <f t="shared" si="296"/>
        <v>0</v>
      </c>
      <c r="W173">
        <f t="shared" si="296"/>
        <v>0</v>
      </c>
      <c r="X173">
        <f t="shared" si="296"/>
        <v>0</v>
      </c>
      <c r="Y173">
        <f t="shared" si="296"/>
        <v>0</v>
      </c>
      <c r="Z173">
        <f t="shared" si="296"/>
        <v>0</v>
      </c>
      <c r="AA173">
        <f t="shared" si="296"/>
        <v>0</v>
      </c>
      <c r="AB173">
        <f t="shared" si="296"/>
        <v>0</v>
      </c>
      <c r="AC173">
        <f t="shared" si="296"/>
        <v>0</v>
      </c>
      <c r="AD173">
        <f t="shared" si="296"/>
        <v>0</v>
      </c>
      <c r="AE173">
        <f t="shared" si="296"/>
        <v>0</v>
      </c>
      <c r="AF173">
        <f t="shared" si="296"/>
        <v>0</v>
      </c>
      <c r="AG173">
        <f t="shared" si="296"/>
        <v>0</v>
      </c>
      <c r="AH173">
        <f t="shared" si="296"/>
        <v>0</v>
      </c>
      <c r="AI173">
        <f t="shared" si="296"/>
        <v>0</v>
      </c>
      <c r="AJ173">
        <f t="shared" ref="AJ173:BO173" si="297">AJ170/$B173</f>
        <v>0</v>
      </c>
      <c r="AK173">
        <f t="shared" si="297"/>
        <v>0</v>
      </c>
      <c r="AL173">
        <f t="shared" si="297"/>
        <v>0</v>
      </c>
      <c r="AM173">
        <f t="shared" si="297"/>
        <v>0</v>
      </c>
      <c r="AN173">
        <f t="shared" si="297"/>
        <v>0</v>
      </c>
      <c r="AO173">
        <f t="shared" si="297"/>
        <v>0</v>
      </c>
      <c r="AP173">
        <f t="shared" si="297"/>
        <v>0</v>
      </c>
      <c r="AQ173">
        <f t="shared" si="297"/>
        <v>0</v>
      </c>
      <c r="AR173">
        <f t="shared" si="297"/>
        <v>0</v>
      </c>
      <c r="AS173">
        <f t="shared" si="297"/>
        <v>0</v>
      </c>
      <c r="AT173">
        <f t="shared" si="297"/>
        <v>0</v>
      </c>
      <c r="AU173">
        <f t="shared" si="297"/>
        <v>0</v>
      </c>
      <c r="AV173">
        <f t="shared" si="297"/>
        <v>0</v>
      </c>
      <c r="AW173">
        <f t="shared" si="297"/>
        <v>0</v>
      </c>
      <c r="AX173">
        <f t="shared" si="297"/>
        <v>0</v>
      </c>
      <c r="AY173">
        <f t="shared" si="297"/>
        <v>0</v>
      </c>
      <c r="AZ173">
        <f t="shared" si="297"/>
        <v>0</v>
      </c>
      <c r="BA173">
        <f t="shared" si="297"/>
        <v>0</v>
      </c>
      <c r="BB173">
        <f t="shared" si="297"/>
        <v>0</v>
      </c>
      <c r="BC173">
        <f t="shared" si="297"/>
        <v>0</v>
      </c>
      <c r="BD173">
        <f t="shared" si="297"/>
        <v>0</v>
      </c>
      <c r="BE173">
        <f t="shared" si="297"/>
        <v>0</v>
      </c>
      <c r="BF173">
        <f t="shared" si="297"/>
        <v>0</v>
      </c>
      <c r="BG173">
        <f t="shared" si="297"/>
        <v>0</v>
      </c>
      <c r="BH173">
        <f t="shared" si="297"/>
        <v>0</v>
      </c>
      <c r="BI173">
        <f t="shared" si="297"/>
        <v>0</v>
      </c>
      <c r="BJ173">
        <f t="shared" si="297"/>
        <v>0</v>
      </c>
      <c r="BK173">
        <f t="shared" si="297"/>
        <v>0</v>
      </c>
      <c r="BL173">
        <f t="shared" si="297"/>
        <v>0</v>
      </c>
      <c r="BM173">
        <f t="shared" si="297"/>
        <v>0</v>
      </c>
      <c r="BN173">
        <f t="shared" si="297"/>
        <v>0</v>
      </c>
      <c r="BO173">
        <f t="shared" si="297"/>
        <v>0</v>
      </c>
      <c r="BP173">
        <f t="shared" ref="BP173:CC173" si="298">BP170/$B173</f>
        <v>0</v>
      </c>
      <c r="BQ173">
        <f t="shared" si="298"/>
        <v>0</v>
      </c>
      <c r="BR173">
        <f t="shared" si="298"/>
        <v>0</v>
      </c>
      <c r="BS173">
        <f t="shared" si="298"/>
        <v>0</v>
      </c>
      <c r="BT173">
        <f t="shared" si="298"/>
        <v>0</v>
      </c>
      <c r="BU173">
        <f t="shared" si="298"/>
        <v>0</v>
      </c>
      <c r="BV173">
        <f t="shared" si="298"/>
        <v>0</v>
      </c>
      <c r="BW173">
        <f t="shared" si="298"/>
        <v>0</v>
      </c>
      <c r="BX173">
        <f t="shared" si="298"/>
        <v>0</v>
      </c>
      <c r="BY173">
        <f t="shared" si="298"/>
        <v>0</v>
      </c>
      <c r="BZ173">
        <f t="shared" si="298"/>
        <v>0</v>
      </c>
      <c r="CA173">
        <f t="shared" si="298"/>
        <v>0</v>
      </c>
      <c r="CB173">
        <f t="shared" si="298"/>
        <v>0</v>
      </c>
      <c r="CC173">
        <f t="shared" si="298"/>
        <v>0</v>
      </c>
    </row>
    <row r="174" spans="1:81" x14ac:dyDescent="0.2">
      <c r="B174" s="67">
        <f>SUM(D178:AJ178)/SUM($D$263:$AJ$263)</f>
        <v>1.7218439383266807E-3</v>
      </c>
      <c r="C174" s="9" t="s">
        <v>216</v>
      </c>
      <c r="D174">
        <f t="shared" ref="D174:AI174" si="299">D168-D171</f>
        <v>120</v>
      </c>
      <c r="E174">
        <f t="shared" si="299"/>
        <v>120</v>
      </c>
      <c r="F174">
        <f t="shared" si="299"/>
        <v>120</v>
      </c>
      <c r="G174">
        <f t="shared" si="299"/>
        <v>120</v>
      </c>
      <c r="H174">
        <f t="shared" si="299"/>
        <v>120</v>
      </c>
      <c r="I174">
        <f t="shared" si="299"/>
        <v>120</v>
      </c>
      <c r="J174">
        <f t="shared" si="299"/>
        <v>120</v>
      </c>
      <c r="K174">
        <f t="shared" si="299"/>
        <v>120</v>
      </c>
      <c r="L174">
        <f t="shared" si="299"/>
        <v>120</v>
      </c>
      <c r="M174">
        <f t="shared" si="299"/>
        <v>120</v>
      </c>
      <c r="N174">
        <f t="shared" si="299"/>
        <v>120</v>
      </c>
      <c r="O174">
        <f t="shared" si="299"/>
        <v>120</v>
      </c>
      <c r="P174">
        <f t="shared" si="299"/>
        <v>120</v>
      </c>
      <c r="Q174">
        <f t="shared" si="299"/>
        <v>120</v>
      </c>
      <c r="R174">
        <f t="shared" si="299"/>
        <v>120</v>
      </c>
      <c r="S174">
        <f t="shared" si="299"/>
        <v>120</v>
      </c>
      <c r="T174">
        <f t="shared" si="299"/>
        <v>120</v>
      </c>
      <c r="U174">
        <f t="shared" si="299"/>
        <v>80</v>
      </c>
      <c r="V174">
        <f t="shared" si="299"/>
        <v>40</v>
      </c>
      <c r="W174">
        <f t="shared" si="299"/>
        <v>0</v>
      </c>
      <c r="X174">
        <f t="shared" si="299"/>
        <v>-40</v>
      </c>
      <c r="Y174">
        <f t="shared" si="299"/>
        <v>-40</v>
      </c>
      <c r="Z174">
        <f t="shared" si="299"/>
        <v>-40</v>
      </c>
      <c r="AA174">
        <f t="shared" si="299"/>
        <v>-40</v>
      </c>
      <c r="AB174">
        <f t="shared" si="299"/>
        <v>-40</v>
      </c>
      <c r="AC174">
        <f t="shared" si="299"/>
        <v>-40</v>
      </c>
      <c r="AD174">
        <f t="shared" si="299"/>
        <v>-40</v>
      </c>
      <c r="AE174">
        <f t="shared" si="299"/>
        <v>-40</v>
      </c>
      <c r="AF174">
        <f t="shared" si="299"/>
        <v>-40</v>
      </c>
      <c r="AG174">
        <f t="shared" si="299"/>
        <v>-40</v>
      </c>
      <c r="AH174">
        <f t="shared" si="299"/>
        <v>-40</v>
      </c>
      <c r="AI174">
        <f t="shared" si="299"/>
        <v>-40</v>
      </c>
      <c r="AJ174">
        <f t="shared" ref="AJ174:BO174" si="300">AJ168-AJ171</f>
        <v>-40</v>
      </c>
      <c r="AK174">
        <f t="shared" si="300"/>
        <v>-40</v>
      </c>
      <c r="AL174">
        <f t="shared" si="300"/>
        <v>-40</v>
      </c>
      <c r="AM174">
        <f t="shared" si="300"/>
        <v>-40</v>
      </c>
      <c r="AN174">
        <f t="shared" si="300"/>
        <v>-45</v>
      </c>
      <c r="AO174">
        <f t="shared" si="300"/>
        <v>-50</v>
      </c>
      <c r="AP174">
        <f t="shared" si="300"/>
        <v>-55</v>
      </c>
      <c r="AQ174">
        <f t="shared" si="300"/>
        <v>-61</v>
      </c>
      <c r="AR174">
        <f t="shared" si="300"/>
        <v>-67</v>
      </c>
      <c r="AS174">
        <f t="shared" si="300"/>
        <v>-72</v>
      </c>
      <c r="AT174">
        <f t="shared" si="300"/>
        <v>-78</v>
      </c>
      <c r="AU174">
        <f t="shared" si="300"/>
        <v>-83</v>
      </c>
      <c r="AV174">
        <f t="shared" si="300"/>
        <v>-88</v>
      </c>
      <c r="AW174">
        <f t="shared" si="300"/>
        <v>-93</v>
      </c>
      <c r="AX174">
        <f t="shared" si="300"/>
        <v>-98</v>
      </c>
      <c r="AY174">
        <f t="shared" si="300"/>
        <v>-102</v>
      </c>
      <c r="AZ174">
        <f t="shared" si="300"/>
        <v>-106</v>
      </c>
      <c r="BA174">
        <f t="shared" si="300"/>
        <v>-110</v>
      </c>
      <c r="BB174">
        <f t="shared" si="300"/>
        <v>-114</v>
      </c>
      <c r="BC174">
        <f t="shared" si="300"/>
        <v>-118</v>
      </c>
      <c r="BD174">
        <f t="shared" si="300"/>
        <v>-122</v>
      </c>
      <c r="BE174">
        <f t="shared" si="300"/>
        <v>-126</v>
      </c>
      <c r="BF174">
        <f t="shared" si="300"/>
        <v>-130</v>
      </c>
      <c r="BG174">
        <f t="shared" si="300"/>
        <v>-134</v>
      </c>
      <c r="BH174">
        <f t="shared" si="300"/>
        <v>-138</v>
      </c>
      <c r="BI174">
        <f t="shared" si="300"/>
        <v>-142</v>
      </c>
      <c r="BJ174">
        <f t="shared" si="300"/>
        <v>-146</v>
      </c>
      <c r="BK174">
        <f t="shared" si="300"/>
        <v>-150</v>
      </c>
      <c r="BL174">
        <f t="shared" si="300"/>
        <v>-154</v>
      </c>
      <c r="BM174">
        <f t="shared" si="300"/>
        <v>-158</v>
      </c>
      <c r="BN174">
        <f t="shared" si="300"/>
        <v>-166</v>
      </c>
      <c r="BO174">
        <f t="shared" si="300"/>
        <v>-166</v>
      </c>
      <c r="BP174">
        <f t="shared" ref="BP174:CC174" si="301">BP168-BP171</f>
        <v>-166</v>
      </c>
      <c r="BQ174">
        <f t="shared" si="301"/>
        <v>-166</v>
      </c>
      <c r="BR174">
        <f t="shared" si="301"/>
        <v>-166</v>
      </c>
      <c r="BS174">
        <f t="shared" si="301"/>
        <v>-170</v>
      </c>
      <c r="BT174">
        <f t="shared" si="301"/>
        <v>-174</v>
      </c>
      <c r="BU174">
        <f t="shared" si="301"/>
        <v>-178</v>
      </c>
      <c r="BV174">
        <f t="shared" si="301"/>
        <v>-182</v>
      </c>
      <c r="BW174">
        <f t="shared" si="301"/>
        <v>-186</v>
      </c>
      <c r="BX174">
        <f t="shared" si="301"/>
        <v>-190</v>
      </c>
      <c r="BY174">
        <f t="shared" si="301"/>
        <v>-194</v>
      </c>
      <c r="BZ174">
        <f t="shared" si="301"/>
        <v>-198</v>
      </c>
      <c r="CA174">
        <f t="shared" si="301"/>
        <v>-202</v>
      </c>
      <c r="CB174">
        <f t="shared" si="301"/>
        <v>-206</v>
      </c>
      <c r="CC174">
        <f t="shared" si="301"/>
        <v>-210</v>
      </c>
    </row>
    <row r="175" spans="1:81" x14ac:dyDescent="0.2">
      <c r="A175" s="43" t="s">
        <v>312</v>
      </c>
      <c r="B175" s="44" t="s">
        <v>208</v>
      </c>
      <c r="C175" s="9" t="s">
        <v>38</v>
      </c>
      <c r="D175" s="58">
        <f>IFERROR(VLOOKUP(A175,OS!$A:$B,2,0),0)</f>
        <v>440</v>
      </c>
      <c r="E175" s="5">
        <f>(D175+D176-D178)</f>
        <v>440</v>
      </c>
      <c r="F175" s="5">
        <f>(E175+E176-E178)</f>
        <v>360</v>
      </c>
      <c r="G175" s="5">
        <f>(F175+F176-F178)</f>
        <v>300</v>
      </c>
      <c r="H175" s="5">
        <f>(G175+G176-G178)</f>
        <v>300</v>
      </c>
      <c r="I175" s="5">
        <f t="shared" ref="I175:AN175" si="302">(H175+H176-H178+D177)</f>
        <v>264</v>
      </c>
      <c r="J175" s="5">
        <f t="shared" si="302"/>
        <v>264</v>
      </c>
      <c r="K175" s="5">
        <f t="shared" si="302"/>
        <v>264</v>
      </c>
      <c r="L175" s="5">
        <f t="shared" si="302"/>
        <v>264</v>
      </c>
      <c r="M175" s="5">
        <f t="shared" si="302"/>
        <v>264</v>
      </c>
      <c r="N175" s="5">
        <f t="shared" si="302"/>
        <v>264</v>
      </c>
      <c r="O175" s="5">
        <f t="shared" si="302"/>
        <v>264</v>
      </c>
      <c r="P175" s="5">
        <f t="shared" si="302"/>
        <v>264</v>
      </c>
      <c r="Q175" s="5">
        <f t="shared" si="302"/>
        <v>264</v>
      </c>
      <c r="R175" s="5">
        <f t="shared" si="302"/>
        <v>264</v>
      </c>
      <c r="S175" s="5">
        <f t="shared" si="302"/>
        <v>264</v>
      </c>
      <c r="T175" s="5">
        <f t="shared" si="302"/>
        <v>264</v>
      </c>
      <c r="U175" s="5">
        <f t="shared" si="302"/>
        <v>264</v>
      </c>
      <c r="V175" s="5">
        <f t="shared" si="302"/>
        <v>264</v>
      </c>
      <c r="W175" s="5">
        <f t="shared" si="302"/>
        <v>264</v>
      </c>
      <c r="X175" s="5">
        <f t="shared" si="302"/>
        <v>264</v>
      </c>
      <c r="Y175" s="5">
        <f t="shared" si="302"/>
        <v>264</v>
      </c>
      <c r="Z175" s="5">
        <f t="shared" si="302"/>
        <v>264</v>
      </c>
      <c r="AA175" s="5">
        <f t="shared" si="302"/>
        <v>264</v>
      </c>
      <c r="AB175" s="5">
        <f t="shared" si="302"/>
        <v>264</v>
      </c>
      <c r="AC175" s="5">
        <f t="shared" si="302"/>
        <v>264</v>
      </c>
      <c r="AD175" s="5">
        <f t="shared" si="302"/>
        <v>264</v>
      </c>
      <c r="AE175" s="5">
        <f t="shared" si="302"/>
        <v>264</v>
      </c>
      <c r="AF175" s="5">
        <f t="shared" si="302"/>
        <v>264</v>
      </c>
      <c r="AG175" s="5">
        <f t="shared" si="302"/>
        <v>264</v>
      </c>
      <c r="AH175" s="5">
        <f t="shared" si="302"/>
        <v>264</v>
      </c>
      <c r="AI175" s="5">
        <f t="shared" si="302"/>
        <v>264</v>
      </c>
      <c r="AJ175" s="5">
        <f t="shared" si="302"/>
        <v>264</v>
      </c>
      <c r="AK175" s="5">
        <f t="shared" si="302"/>
        <v>264</v>
      </c>
      <c r="AL175" s="5">
        <f t="shared" si="302"/>
        <v>264</v>
      </c>
      <c r="AM175" s="5">
        <f t="shared" si="302"/>
        <v>264</v>
      </c>
      <c r="AN175" s="5">
        <f t="shared" si="302"/>
        <v>264</v>
      </c>
      <c r="AO175" s="5">
        <f t="shared" ref="AO175:BT175" si="303">(AN175+AN176-AN178+AJ177)</f>
        <v>259</v>
      </c>
      <c r="AP175" s="5">
        <f t="shared" si="303"/>
        <v>254</v>
      </c>
      <c r="AQ175" s="5">
        <f t="shared" si="303"/>
        <v>249</v>
      </c>
      <c r="AR175" s="5">
        <f t="shared" si="303"/>
        <v>243</v>
      </c>
      <c r="AS175" s="5">
        <f t="shared" si="303"/>
        <v>237</v>
      </c>
      <c r="AT175" s="5">
        <f t="shared" si="303"/>
        <v>232</v>
      </c>
      <c r="AU175" s="5">
        <f t="shared" si="303"/>
        <v>226</v>
      </c>
      <c r="AV175" s="5">
        <f t="shared" si="303"/>
        <v>220</v>
      </c>
      <c r="AW175" s="5">
        <f t="shared" si="303"/>
        <v>214</v>
      </c>
      <c r="AX175" s="5">
        <f t="shared" si="303"/>
        <v>208</v>
      </c>
      <c r="AY175" s="5">
        <f t="shared" si="303"/>
        <v>202</v>
      </c>
      <c r="AZ175" s="5">
        <f t="shared" si="303"/>
        <v>197</v>
      </c>
      <c r="BA175" s="5">
        <f t="shared" si="303"/>
        <v>193</v>
      </c>
      <c r="BB175" s="5">
        <f t="shared" si="303"/>
        <v>189</v>
      </c>
      <c r="BC175" s="5">
        <f t="shared" si="303"/>
        <v>185</v>
      </c>
      <c r="BD175" s="5">
        <f t="shared" si="303"/>
        <v>180</v>
      </c>
      <c r="BE175" s="5">
        <f t="shared" si="303"/>
        <v>175</v>
      </c>
      <c r="BF175" s="5">
        <f t="shared" si="303"/>
        <v>170</v>
      </c>
      <c r="BG175" s="5">
        <f t="shared" si="303"/>
        <v>165</v>
      </c>
      <c r="BH175" s="5">
        <f t="shared" si="303"/>
        <v>160</v>
      </c>
      <c r="BI175" s="5">
        <f t="shared" si="303"/>
        <v>155</v>
      </c>
      <c r="BJ175" s="5">
        <f t="shared" si="303"/>
        <v>150</v>
      </c>
      <c r="BK175" s="5">
        <f t="shared" si="303"/>
        <v>145</v>
      </c>
      <c r="BL175" s="5">
        <f t="shared" si="303"/>
        <v>140</v>
      </c>
      <c r="BM175" s="5">
        <f t="shared" si="303"/>
        <v>135</v>
      </c>
      <c r="BN175" s="5">
        <f t="shared" si="303"/>
        <v>130</v>
      </c>
      <c r="BO175" s="5">
        <f t="shared" si="303"/>
        <v>122</v>
      </c>
      <c r="BP175" s="5">
        <f t="shared" si="303"/>
        <v>122</v>
      </c>
      <c r="BQ175" s="5">
        <f t="shared" si="303"/>
        <v>122</v>
      </c>
      <c r="BR175" s="5">
        <f t="shared" si="303"/>
        <v>122</v>
      </c>
      <c r="BS175" s="5">
        <f t="shared" si="303"/>
        <v>122</v>
      </c>
      <c r="BT175" s="5">
        <f t="shared" si="303"/>
        <v>118</v>
      </c>
      <c r="BU175" s="5">
        <f t="shared" ref="BU175:CC175" si="304">(BT175+BT176-BT178+BP177)</f>
        <v>114</v>
      </c>
      <c r="BV175" s="5">
        <f t="shared" si="304"/>
        <v>110</v>
      </c>
      <c r="BW175" s="5">
        <f t="shared" si="304"/>
        <v>106</v>
      </c>
      <c r="BX175" s="5">
        <f t="shared" si="304"/>
        <v>102</v>
      </c>
      <c r="BY175" s="5">
        <f t="shared" si="304"/>
        <v>98</v>
      </c>
      <c r="BZ175" s="5">
        <f t="shared" si="304"/>
        <v>94</v>
      </c>
      <c r="CA175" s="5">
        <f t="shared" si="304"/>
        <v>90</v>
      </c>
      <c r="CB175" s="5">
        <f t="shared" si="304"/>
        <v>86</v>
      </c>
      <c r="CC175" s="5">
        <f t="shared" si="304"/>
        <v>82</v>
      </c>
    </row>
    <row r="176" spans="1:81" x14ac:dyDescent="0.2">
      <c r="A176" s="5" t="s">
        <v>209</v>
      </c>
      <c r="B176" s="5">
        <v>11.59835</v>
      </c>
      <c r="C176" s="45" t="s">
        <v>39</v>
      </c>
      <c r="D176" s="59">
        <f>IFERROR(VLOOKUP(A175,WIP!$A:$B,2,0),0)</f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</row>
    <row r="177" spans="1:81" x14ac:dyDescent="0.2">
      <c r="A177" s="5" t="s">
        <v>210</v>
      </c>
      <c r="B177" s="5">
        <v>0.29799999999999999</v>
      </c>
      <c r="C177" s="9" t="s">
        <v>211</v>
      </c>
      <c r="D177" s="60">
        <f>IFERROR(VLOOKUP($A175,Plan!$A:B,D$4,0),0)</f>
        <v>0</v>
      </c>
      <c r="E177" s="60">
        <f>IFERROR(VLOOKUP($A175,Plan!$A:C,E$4,0),0)</f>
        <v>0</v>
      </c>
      <c r="F177" s="60">
        <f>IFERROR(VLOOKUP($A175,Plan!$A:D,F$4,0),0)</f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</row>
    <row r="178" spans="1:81" x14ac:dyDescent="0.2">
      <c r="A178" s="5" t="s">
        <v>212</v>
      </c>
      <c r="B178" s="5">
        <v>7.1999999999999995E-2</v>
      </c>
      <c r="C178" s="9" t="s">
        <v>213</v>
      </c>
      <c r="D178" s="61">
        <f>IFERROR(VLOOKUP($A175,Sales!$A:B,D$2,0),0)</f>
        <v>0</v>
      </c>
      <c r="E178" s="61">
        <f>IFERROR(VLOOKUP($A175,Sales!$A:C,E$2,0),0)</f>
        <v>80</v>
      </c>
      <c r="F178" s="61">
        <f>IFERROR(VLOOKUP($A175,Sales!$A:D,F$2,0),0)</f>
        <v>60</v>
      </c>
      <c r="G178" s="61">
        <f>IFERROR(VLOOKUP($A175,Sales!$A:E,G$2,0),0)</f>
        <v>0</v>
      </c>
      <c r="H178" s="61">
        <f>IFERROR(VLOOKUP($A175,Sales!$A:F,H$2,0),0)</f>
        <v>36</v>
      </c>
      <c r="I178" s="61">
        <f>IFERROR(VLOOKUP($A175,Sales!$A:G,I$2,0),0)</f>
        <v>0</v>
      </c>
      <c r="J178" s="61">
        <f>IFERROR(VLOOKUP($A175,Sales!$A:H,J$2,0),0)</f>
        <v>0</v>
      </c>
      <c r="K178" s="61">
        <f>IFERROR(VLOOKUP($A175,Sales!$A:I,K$2,0),0)</f>
        <v>0</v>
      </c>
      <c r="L178" s="61">
        <f>IFERROR(VLOOKUP($A175,Sales!$A:J,L$2,0),0)</f>
        <v>0</v>
      </c>
      <c r="M178" s="61">
        <f>IFERROR(VLOOKUP($A175,Sales!$A:K,M$2,0),0)</f>
        <v>0</v>
      </c>
      <c r="N178" s="61">
        <f>IFERROR(VLOOKUP($A175,Sales!$A:L,N$2,0),0)</f>
        <v>0</v>
      </c>
      <c r="O178" s="61">
        <f>IFERROR(VLOOKUP($A175,Sales!$A:M,O$2,0),0)</f>
        <v>0</v>
      </c>
      <c r="P178" s="61">
        <f>IFERROR(VLOOKUP($A175,Sales!$A:N,P$2,0),0)</f>
        <v>0</v>
      </c>
      <c r="Q178" s="61">
        <f>IFERROR(VLOOKUP($A175,Sales!$A:O,Q$2,0),0)</f>
        <v>0</v>
      </c>
      <c r="R178" s="61">
        <f>IFERROR(VLOOKUP($A175,Sales!$A:P,R$2,0),0)</f>
        <v>0</v>
      </c>
      <c r="S178" s="61">
        <f>IFERROR(VLOOKUP($A175,Sales!$A:Q,S$2,0),0)</f>
        <v>0</v>
      </c>
      <c r="T178" s="61">
        <f>IFERROR(VLOOKUP($A175,Sales!$A:R,T$2,0),0)</f>
        <v>0</v>
      </c>
      <c r="U178" s="61">
        <f>IFERROR(VLOOKUP($A175,Sales!$A:S,U$2,0),0)</f>
        <v>0</v>
      </c>
      <c r="V178" s="61">
        <f>IFERROR(VLOOKUP($A175,Sales!$A:T,V$2,0),0)</f>
        <v>0</v>
      </c>
      <c r="W178" s="61">
        <f>IFERROR(VLOOKUP($A175,Sales!$A:U,W$2,0),0)</f>
        <v>0</v>
      </c>
      <c r="X178" s="61">
        <f>IFERROR(VLOOKUP($A175,Sales!$A:V,X$2,0),0)</f>
        <v>0</v>
      </c>
      <c r="Y178" s="61">
        <f>IFERROR(VLOOKUP($A175,Sales!$A:W,Y$2,0),0)</f>
        <v>0</v>
      </c>
      <c r="Z178" s="61">
        <f>IFERROR(VLOOKUP($A175,Sales!$A:X,Z$2,0),0)</f>
        <v>0</v>
      </c>
      <c r="AA178" s="61">
        <f>IFERROR(VLOOKUP($A175,Sales!$A:Y,AA$2,0),0)</f>
        <v>0</v>
      </c>
      <c r="AB178" s="61">
        <f>IFERROR(VLOOKUP($A175,Sales!$A:Z,AB$2,0),0)</f>
        <v>0</v>
      </c>
      <c r="AC178" s="61">
        <f>IFERROR(VLOOKUP($A175,Sales!$A:AA,AC$2,0),0)</f>
        <v>0</v>
      </c>
      <c r="AD178" s="61">
        <f>IFERROR(VLOOKUP($A175,Sales!$A:AB,AD$2,0),0)</f>
        <v>0</v>
      </c>
      <c r="AE178" s="61">
        <f>IFERROR(VLOOKUP($A175,Sales!$A:AC,AE$2,0),0)</f>
        <v>0</v>
      </c>
      <c r="AF178" s="61">
        <f>IFERROR(VLOOKUP($A175,Sales!$A:AD,AF$2,0),0)</f>
        <v>0</v>
      </c>
      <c r="AG178" s="61">
        <f>IFERROR(VLOOKUP($A175,Sales!$A:AE,AG$2,0),0)</f>
        <v>0</v>
      </c>
      <c r="AH178" s="61">
        <f>IFERROR(VLOOKUP($A175,Sales!$A:AF,AH$2,0),0)</f>
        <v>0</v>
      </c>
      <c r="AI178" s="61">
        <f>IFERROR(VLOOKUP($A175,Sales!$A:AG,AI$2,0),0)</f>
        <v>0</v>
      </c>
      <c r="AJ178" s="61">
        <f>IFERROR(VLOOKUP($A175,Sales!$A:AH,AJ$2,0),0)</f>
        <v>0</v>
      </c>
      <c r="AK178" s="74">
        <f t="shared" ref="AK178:CC178" si="305">CEILING(AK$5*$B174,1)</f>
        <v>0</v>
      </c>
      <c r="AL178" s="74">
        <f t="shared" si="305"/>
        <v>0</v>
      </c>
      <c r="AM178" s="74">
        <f t="shared" si="305"/>
        <v>0</v>
      </c>
      <c r="AN178" s="74">
        <f t="shared" si="305"/>
        <v>5</v>
      </c>
      <c r="AO178" s="74">
        <f t="shared" si="305"/>
        <v>5</v>
      </c>
      <c r="AP178" s="74">
        <f t="shared" si="305"/>
        <v>5</v>
      </c>
      <c r="AQ178" s="74">
        <f t="shared" si="305"/>
        <v>6</v>
      </c>
      <c r="AR178" s="74">
        <f t="shared" si="305"/>
        <v>6</v>
      </c>
      <c r="AS178" s="74">
        <f t="shared" si="305"/>
        <v>5</v>
      </c>
      <c r="AT178" s="74">
        <f t="shared" si="305"/>
        <v>6</v>
      </c>
      <c r="AU178" s="74">
        <f t="shared" si="305"/>
        <v>6</v>
      </c>
      <c r="AV178" s="74">
        <f t="shared" si="305"/>
        <v>6</v>
      </c>
      <c r="AW178" s="74">
        <f t="shared" si="305"/>
        <v>6</v>
      </c>
      <c r="AX178" s="74">
        <f t="shared" si="305"/>
        <v>6</v>
      </c>
      <c r="AY178" s="74">
        <f t="shared" si="305"/>
        <v>5</v>
      </c>
      <c r="AZ178" s="74">
        <f t="shared" si="305"/>
        <v>4</v>
      </c>
      <c r="BA178" s="74">
        <f t="shared" si="305"/>
        <v>4</v>
      </c>
      <c r="BB178" s="74">
        <f t="shared" si="305"/>
        <v>4</v>
      </c>
      <c r="BC178" s="74">
        <f t="shared" si="305"/>
        <v>5</v>
      </c>
      <c r="BD178" s="74">
        <f t="shared" si="305"/>
        <v>5</v>
      </c>
      <c r="BE178" s="74">
        <f t="shared" si="305"/>
        <v>5</v>
      </c>
      <c r="BF178" s="74">
        <f t="shared" si="305"/>
        <v>5</v>
      </c>
      <c r="BG178" s="74">
        <f t="shared" si="305"/>
        <v>5</v>
      </c>
      <c r="BH178" s="74">
        <f t="shared" si="305"/>
        <v>5</v>
      </c>
      <c r="BI178" s="74">
        <f t="shared" si="305"/>
        <v>5</v>
      </c>
      <c r="BJ178" s="74">
        <f t="shared" si="305"/>
        <v>5</v>
      </c>
      <c r="BK178" s="74">
        <f t="shared" si="305"/>
        <v>5</v>
      </c>
      <c r="BL178" s="74">
        <f t="shared" si="305"/>
        <v>5</v>
      </c>
      <c r="BM178" s="74">
        <f t="shared" si="305"/>
        <v>5</v>
      </c>
      <c r="BN178" s="74">
        <f t="shared" si="305"/>
        <v>8</v>
      </c>
      <c r="BO178" s="74">
        <f t="shared" si="305"/>
        <v>0</v>
      </c>
      <c r="BP178" s="74">
        <f t="shared" si="305"/>
        <v>0</v>
      </c>
      <c r="BQ178" s="74">
        <f t="shared" si="305"/>
        <v>0</v>
      </c>
      <c r="BR178" s="74">
        <f t="shared" si="305"/>
        <v>0</v>
      </c>
      <c r="BS178" s="74">
        <f t="shared" si="305"/>
        <v>4</v>
      </c>
      <c r="BT178" s="74">
        <f t="shared" si="305"/>
        <v>4</v>
      </c>
      <c r="BU178" s="74">
        <f t="shared" si="305"/>
        <v>4</v>
      </c>
      <c r="BV178" s="74">
        <f t="shared" si="305"/>
        <v>4</v>
      </c>
      <c r="BW178" s="74">
        <f t="shared" si="305"/>
        <v>4</v>
      </c>
      <c r="BX178" s="74">
        <f t="shared" si="305"/>
        <v>4</v>
      </c>
      <c r="BY178" s="74">
        <f t="shared" si="305"/>
        <v>4</v>
      </c>
      <c r="BZ178" s="74">
        <f t="shared" si="305"/>
        <v>4</v>
      </c>
      <c r="CA178" s="74">
        <f t="shared" si="305"/>
        <v>4</v>
      </c>
      <c r="CB178" s="74">
        <f t="shared" si="305"/>
        <v>4</v>
      </c>
      <c r="CC178" s="74">
        <f t="shared" si="305"/>
        <v>4</v>
      </c>
    </row>
    <row r="179" spans="1:81" x14ac:dyDescent="0.2">
      <c r="A179" s="5" t="s">
        <v>214</v>
      </c>
      <c r="B179" s="5">
        <v>0.37</v>
      </c>
      <c r="C179" s="46" t="s">
        <v>215</v>
      </c>
      <c r="D179" s="11">
        <f t="shared" ref="D179:AI179" si="306">IF(D178=0,0, ROUND(D175 * 1/D178* D$13,1))</f>
        <v>0</v>
      </c>
      <c r="E179" s="11">
        <f t="shared" si="306"/>
        <v>27.5</v>
      </c>
      <c r="F179" s="11">
        <f t="shared" si="306"/>
        <v>30</v>
      </c>
      <c r="G179" s="11">
        <f t="shared" si="306"/>
        <v>0</v>
      </c>
      <c r="H179" s="11">
        <f t="shared" si="306"/>
        <v>41.7</v>
      </c>
      <c r="I179" s="11">
        <f t="shared" si="306"/>
        <v>0</v>
      </c>
      <c r="J179" s="11">
        <f t="shared" si="306"/>
        <v>0</v>
      </c>
      <c r="K179" s="11">
        <f t="shared" si="306"/>
        <v>0</v>
      </c>
      <c r="L179" s="11">
        <f t="shared" si="306"/>
        <v>0</v>
      </c>
      <c r="M179" s="11">
        <f t="shared" si="306"/>
        <v>0</v>
      </c>
      <c r="N179" s="11">
        <f t="shared" si="306"/>
        <v>0</v>
      </c>
      <c r="O179" s="11">
        <f t="shared" si="306"/>
        <v>0</v>
      </c>
      <c r="P179" s="11">
        <f t="shared" si="306"/>
        <v>0</v>
      </c>
      <c r="Q179" s="11">
        <f t="shared" si="306"/>
        <v>0</v>
      </c>
      <c r="R179" s="11">
        <f t="shared" si="306"/>
        <v>0</v>
      </c>
      <c r="S179" s="11">
        <f t="shared" si="306"/>
        <v>0</v>
      </c>
      <c r="T179" s="11">
        <f t="shared" si="306"/>
        <v>0</v>
      </c>
      <c r="U179" s="11">
        <f t="shared" si="306"/>
        <v>0</v>
      </c>
      <c r="V179" s="11">
        <f t="shared" si="306"/>
        <v>0</v>
      </c>
      <c r="W179" s="11">
        <f t="shared" si="306"/>
        <v>0</v>
      </c>
      <c r="X179" s="11">
        <f t="shared" si="306"/>
        <v>0</v>
      </c>
      <c r="Y179" s="11">
        <f t="shared" si="306"/>
        <v>0</v>
      </c>
      <c r="Z179" s="11">
        <f t="shared" si="306"/>
        <v>0</v>
      </c>
      <c r="AA179" s="11">
        <f t="shared" si="306"/>
        <v>0</v>
      </c>
      <c r="AB179" s="11">
        <f t="shared" si="306"/>
        <v>0</v>
      </c>
      <c r="AC179" s="11">
        <f t="shared" si="306"/>
        <v>0</v>
      </c>
      <c r="AD179" s="11">
        <f t="shared" si="306"/>
        <v>0</v>
      </c>
      <c r="AE179" s="11">
        <f t="shared" si="306"/>
        <v>0</v>
      </c>
      <c r="AF179" s="11">
        <f t="shared" si="306"/>
        <v>0</v>
      </c>
      <c r="AG179" s="11">
        <f t="shared" si="306"/>
        <v>0</v>
      </c>
      <c r="AH179" s="11">
        <f t="shared" si="306"/>
        <v>0</v>
      </c>
      <c r="AI179" s="11">
        <f t="shared" si="306"/>
        <v>0</v>
      </c>
      <c r="AJ179" s="11">
        <f t="shared" ref="AJ179:BO179" si="307">IF(AJ178=0,0, ROUND(AJ175 * 1/AJ178* AJ$13,1))</f>
        <v>0</v>
      </c>
      <c r="AK179" s="11">
        <f t="shared" si="307"/>
        <v>0</v>
      </c>
      <c r="AL179" s="11">
        <f t="shared" si="307"/>
        <v>0</v>
      </c>
      <c r="AM179" s="11">
        <f t="shared" si="307"/>
        <v>0</v>
      </c>
      <c r="AN179" s="11">
        <f t="shared" si="307"/>
        <v>264</v>
      </c>
      <c r="AO179" s="11">
        <f t="shared" si="307"/>
        <v>259</v>
      </c>
      <c r="AP179" s="11">
        <f t="shared" si="307"/>
        <v>254</v>
      </c>
      <c r="AQ179" s="11">
        <f t="shared" si="307"/>
        <v>207.5</v>
      </c>
      <c r="AR179" s="11">
        <f t="shared" si="307"/>
        <v>202.5</v>
      </c>
      <c r="AS179" s="11">
        <f t="shared" si="307"/>
        <v>237</v>
      </c>
      <c r="AT179" s="11">
        <f t="shared" si="307"/>
        <v>193.3</v>
      </c>
      <c r="AU179" s="11">
        <f t="shared" si="307"/>
        <v>188.3</v>
      </c>
      <c r="AV179" s="11">
        <f t="shared" si="307"/>
        <v>183.3</v>
      </c>
      <c r="AW179" s="11">
        <f t="shared" si="307"/>
        <v>178.3</v>
      </c>
      <c r="AX179" s="11">
        <f t="shared" si="307"/>
        <v>173.3</v>
      </c>
      <c r="AY179" s="11">
        <f t="shared" si="307"/>
        <v>202</v>
      </c>
      <c r="AZ179" s="11">
        <f t="shared" si="307"/>
        <v>246.3</v>
      </c>
      <c r="BA179" s="11">
        <f t="shared" si="307"/>
        <v>241.3</v>
      </c>
      <c r="BB179" s="11">
        <f t="shared" si="307"/>
        <v>236.3</v>
      </c>
      <c r="BC179" s="11">
        <f t="shared" si="307"/>
        <v>185</v>
      </c>
      <c r="BD179" s="11">
        <f t="shared" si="307"/>
        <v>180</v>
      </c>
      <c r="BE179" s="11">
        <f t="shared" si="307"/>
        <v>175</v>
      </c>
      <c r="BF179" s="11">
        <f t="shared" si="307"/>
        <v>170</v>
      </c>
      <c r="BG179" s="11">
        <f t="shared" si="307"/>
        <v>165</v>
      </c>
      <c r="BH179" s="11">
        <f t="shared" si="307"/>
        <v>160</v>
      </c>
      <c r="BI179" s="11">
        <f t="shared" si="307"/>
        <v>155</v>
      </c>
      <c r="BJ179" s="11">
        <f t="shared" si="307"/>
        <v>150</v>
      </c>
      <c r="BK179" s="11">
        <f t="shared" si="307"/>
        <v>145</v>
      </c>
      <c r="BL179" s="11">
        <f t="shared" si="307"/>
        <v>140</v>
      </c>
      <c r="BM179" s="11">
        <f t="shared" si="307"/>
        <v>135</v>
      </c>
      <c r="BN179" s="11">
        <f t="shared" si="307"/>
        <v>81.3</v>
      </c>
      <c r="BO179" s="11">
        <f t="shared" si="307"/>
        <v>0</v>
      </c>
      <c r="BP179" s="11">
        <f t="shared" ref="BP179:CC179" si="308">IF(BP178=0,0, ROUND(BP175 * 1/BP178* BP$13,1))</f>
        <v>0</v>
      </c>
      <c r="BQ179" s="11">
        <f t="shared" si="308"/>
        <v>0</v>
      </c>
      <c r="BR179" s="11">
        <f t="shared" si="308"/>
        <v>0</v>
      </c>
      <c r="BS179" s="11">
        <f t="shared" si="308"/>
        <v>152.5</v>
      </c>
      <c r="BT179" s="11">
        <f t="shared" si="308"/>
        <v>147.5</v>
      </c>
      <c r="BU179" s="11">
        <f t="shared" si="308"/>
        <v>142.5</v>
      </c>
      <c r="BV179" s="11">
        <f t="shared" si="308"/>
        <v>137.5</v>
      </c>
      <c r="BW179" s="11">
        <f t="shared" si="308"/>
        <v>132.5</v>
      </c>
      <c r="BX179" s="11">
        <f t="shared" si="308"/>
        <v>127.5</v>
      </c>
      <c r="BY179" s="11">
        <f t="shared" si="308"/>
        <v>122.5</v>
      </c>
      <c r="BZ179" s="11">
        <f t="shared" si="308"/>
        <v>117.5</v>
      </c>
      <c r="CA179" s="11">
        <f t="shared" si="308"/>
        <v>112.5</v>
      </c>
      <c r="CB179" s="11">
        <f t="shared" si="308"/>
        <v>107.5</v>
      </c>
      <c r="CC179" s="11">
        <f t="shared" si="308"/>
        <v>102.5</v>
      </c>
    </row>
    <row r="180" spans="1:81" x14ac:dyDescent="0.2">
      <c r="A180">
        <v>36</v>
      </c>
      <c r="B180">
        <v>1</v>
      </c>
      <c r="C180" s="8">
        <v>8.9958799999999997</v>
      </c>
      <c r="D180">
        <f t="shared" ref="D180:AI180" si="309">D177/$B180</f>
        <v>0</v>
      </c>
      <c r="E180">
        <f t="shared" si="309"/>
        <v>0</v>
      </c>
      <c r="F180">
        <f t="shared" si="309"/>
        <v>0</v>
      </c>
      <c r="G180">
        <f t="shared" si="309"/>
        <v>0</v>
      </c>
      <c r="H180">
        <f t="shared" si="309"/>
        <v>0</v>
      </c>
      <c r="I180">
        <f t="shared" si="309"/>
        <v>0</v>
      </c>
      <c r="J180">
        <f t="shared" si="309"/>
        <v>0</v>
      </c>
      <c r="K180">
        <f t="shared" si="309"/>
        <v>0</v>
      </c>
      <c r="L180">
        <f t="shared" si="309"/>
        <v>0</v>
      </c>
      <c r="M180">
        <f t="shared" si="309"/>
        <v>0</v>
      </c>
      <c r="N180">
        <f t="shared" si="309"/>
        <v>0</v>
      </c>
      <c r="O180">
        <f t="shared" si="309"/>
        <v>0</v>
      </c>
      <c r="P180">
        <f t="shared" si="309"/>
        <v>0</v>
      </c>
      <c r="Q180">
        <f t="shared" si="309"/>
        <v>0</v>
      </c>
      <c r="R180">
        <f t="shared" si="309"/>
        <v>0</v>
      </c>
      <c r="S180">
        <f t="shared" si="309"/>
        <v>0</v>
      </c>
      <c r="T180">
        <f t="shared" si="309"/>
        <v>0</v>
      </c>
      <c r="U180">
        <f t="shared" si="309"/>
        <v>0</v>
      </c>
      <c r="V180">
        <f t="shared" si="309"/>
        <v>0</v>
      </c>
      <c r="W180">
        <f t="shared" si="309"/>
        <v>0</v>
      </c>
      <c r="X180">
        <f t="shared" si="309"/>
        <v>0</v>
      </c>
      <c r="Y180">
        <f t="shared" si="309"/>
        <v>0</v>
      </c>
      <c r="Z180">
        <f t="shared" si="309"/>
        <v>0</v>
      </c>
      <c r="AA180">
        <f t="shared" si="309"/>
        <v>0</v>
      </c>
      <c r="AB180">
        <f t="shared" si="309"/>
        <v>0</v>
      </c>
      <c r="AC180">
        <f t="shared" si="309"/>
        <v>0</v>
      </c>
      <c r="AD180">
        <f t="shared" si="309"/>
        <v>0</v>
      </c>
      <c r="AE180">
        <f t="shared" si="309"/>
        <v>0</v>
      </c>
      <c r="AF180">
        <f t="shared" si="309"/>
        <v>0</v>
      </c>
      <c r="AG180">
        <f t="shared" si="309"/>
        <v>0</v>
      </c>
      <c r="AH180">
        <f t="shared" si="309"/>
        <v>0</v>
      </c>
      <c r="AI180">
        <f t="shared" si="309"/>
        <v>0</v>
      </c>
      <c r="AJ180">
        <f t="shared" ref="AJ180:BO180" si="310">AJ177/$B180</f>
        <v>0</v>
      </c>
      <c r="AK180">
        <f t="shared" si="310"/>
        <v>0</v>
      </c>
      <c r="AL180">
        <f t="shared" si="310"/>
        <v>0</v>
      </c>
      <c r="AM180">
        <f t="shared" si="310"/>
        <v>0</v>
      </c>
      <c r="AN180">
        <f t="shared" si="310"/>
        <v>0</v>
      </c>
      <c r="AO180">
        <f t="shared" si="310"/>
        <v>0</v>
      </c>
      <c r="AP180">
        <f t="shared" si="310"/>
        <v>0</v>
      </c>
      <c r="AQ180">
        <f t="shared" si="310"/>
        <v>0</v>
      </c>
      <c r="AR180">
        <f t="shared" si="310"/>
        <v>0</v>
      </c>
      <c r="AS180">
        <f t="shared" si="310"/>
        <v>0</v>
      </c>
      <c r="AT180">
        <f t="shared" si="310"/>
        <v>0</v>
      </c>
      <c r="AU180">
        <f t="shared" si="310"/>
        <v>0</v>
      </c>
      <c r="AV180">
        <f t="shared" si="310"/>
        <v>0</v>
      </c>
      <c r="AW180">
        <f t="shared" si="310"/>
        <v>0</v>
      </c>
      <c r="AX180">
        <f t="shared" si="310"/>
        <v>0</v>
      </c>
      <c r="AY180">
        <f t="shared" si="310"/>
        <v>0</v>
      </c>
      <c r="AZ180">
        <f t="shared" si="310"/>
        <v>0</v>
      </c>
      <c r="BA180">
        <f t="shared" si="310"/>
        <v>0</v>
      </c>
      <c r="BB180">
        <f t="shared" si="310"/>
        <v>0</v>
      </c>
      <c r="BC180">
        <f t="shared" si="310"/>
        <v>0</v>
      </c>
      <c r="BD180">
        <f t="shared" si="310"/>
        <v>0</v>
      </c>
      <c r="BE180">
        <f t="shared" si="310"/>
        <v>0</v>
      </c>
      <c r="BF180">
        <f t="shared" si="310"/>
        <v>0</v>
      </c>
      <c r="BG180">
        <f t="shared" si="310"/>
        <v>0</v>
      </c>
      <c r="BH180">
        <f t="shared" si="310"/>
        <v>0</v>
      </c>
      <c r="BI180">
        <f t="shared" si="310"/>
        <v>0</v>
      </c>
      <c r="BJ180">
        <f t="shared" si="310"/>
        <v>0</v>
      </c>
      <c r="BK180">
        <f t="shared" si="310"/>
        <v>0</v>
      </c>
      <c r="BL180">
        <f t="shared" si="310"/>
        <v>0</v>
      </c>
      <c r="BM180">
        <f t="shared" si="310"/>
        <v>0</v>
      </c>
      <c r="BN180">
        <f t="shared" si="310"/>
        <v>0</v>
      </c>
      <c r="BO180">
        <f t="shared" si="310"/>
        <v>0</v>
      </c>
      <c r="BP180">
        <f t="shared" ref="BP180:CC180" si="311">BP177/$B180</f>
        <v>0</v>
      </c>
      <c r="BQ180">
        <f t="shared" si="311"/>
        <v>0</v>
      </c>
      <c r="BR180">
        <f t="shared" si="311"/>
        <v>0</v>
      </c>
      <c r="BS180">
        <f t="shared" si="311"/>
        <v>0</v>
      </c>
      <c r="BT180">
        <f t="shared" si="311"/>
        <v>0</v>
      </c>
      <c r="BU180">
        <f t="shared" si="311"/>
        <v>0</v>
      </c>
      <c r="BV180">
        <f t="shared" si="311"/>
        <v>0</v>
      </c>
      <c r="BW180">
        <f t="shared" si="311"/>
        <v>0</v>
      </c>
      <c r="BX180">
        <f t="shared" si="311"/>
        <v>0</v>
      </c>
      <c r="BY180">
        <f t="shared" si="311"/>
        <v>0</v>
      </c>
      <c r="BZ180">
        <f t="shared" si="311"/>
        <v>0</v>
      </c>
      <c r="CA180">
        <f t="shared" si="311"/>
        <v>0</v>
      </c>
      <c r="CB180">
        <f t="shared" si="311"/>
        <v>0</v>
      </c>
      <c r="CC180">
        <f t="shared" si="311"/>
        <v>0</v>
      </c>
    </row>
    <row r="181" spans="1:81" x14ac:dyDescent="0.2">
      <c r="B181" s="67">
        <f>SUM(D185:AJ185)/SUM($D$263:$AJ$263)</f>
        <v>0</v>
      </c>
      <c r="C181" s="9" t="s">
        <v>216</v>
      </c>
      <c r="D181">
        <f t="shared" ref="D181:AI181" si="312">D175-D178</f>
        <v>440</v>
      </c>
      <c r="E181">
        <f t="shared" si="312"/>
        <v>360</v>
      </c>
      <c r="F181">
        <f t="shared" si="312"/>
        <v>300</v>
      </c>
      <c r="G181">
        <f t="shared" si="312"/>
        <v>300</v>
      </c>
      <c r="H181">
        <f t="shared" si="312"/>
        <v>264</v>
      </c>
      <c r="I181">
        <f t="shared" si="312"/>
        <v>264</v>
      </c>
      <c r="J181">
        <f t="shared" si="312"/>
        <v>264</v>
      </c>
      <c r="K181">
        <f t="shared" si="312"/>
        <v>264</v>
      </c>
      <c r="L181">
        <f t="shared" si="312"/>
        <v>264</v>
      </c>
      <c r="M181">
        <f t="shared" si="312"/>
        <v>264</v>
      </c>
      <c r="N181">
        <f t="shared" si="312"/>
        <v>264</v>
      </c>
      <c r="O181">
        <f t="shared" si="312"/>
        <v>264</v>
      </c>
      <c r="P181">
        <f t="shared" si="312"/>
        <v>264</v>
      </c>
      <c r="Q181">
        <f t="shared" si="312"/>
        <v>264</v>
      </c>
      <c r="R181">
        <f t="shared" si="312"/>
        <v>264</v>
      </c>
      <c r="S181">
        <f t="shared" si="312"/>
        <v>264</v>
      </c>
      <c r="T181">
        <f t="shared" si="312"/>
        <v>264</v>
      </c>
      <c r="U181">
        <f t="shared" si="312"/>
        <v>264</v>
      </c>
      <c r="V181">
        <f t="shared" si="312"/>
        <v>264</v>
      </c>
      <c r="W181">
        <f t="shared" si="312"/>
        <v>264</v>
      </c>
      <c r="X181">
        <f t="shared" si="312"/>
        <v>264</v>
      </c>
      <c r="Y181">
        <f t="shared" si="312"/>
        <v>264</v>
      </c>
      <c r="Z181">
        <f t="shared" si="312"/>
        <v>264</v>
      </c>
      <c r="AA181">
        <f t="shared" si="312"/>
        <v>264</v>
      </c>
      <c r="AB181">
        <f t="shared" si="312"/>
        <v>264</v>
      </c>
      <c r="AC181">
        <f t="shared" si="312"/>
        <v>264</v>
      </c>
      <c r="AD181">
        <f t="shared" si="312"/>
        <v>264</v>
      </c>
      <c r="AE181">
        <f t="shared" si="312"/>
        <v>264</v>
      </c>
      <c r="AF181">
        <f t="shared" si="312"/>
        <v>264</v>
      </c>
      <c r="AG181">
        <f t="shared" si="312"/>
        <v>264</v>
      </c>
      <c r="AH181">
        <f t="shared" si="312"/>
        <v>264</v>
      </c>
      <c r="AI181">
        <f t="shared" si="312"/>
        <v>264</v>
      </c>
      <c r="AJ181">
        <f t="shared" ref="AJ181:BO181" si="313">AJ175-AJ178</f>
        <v>264</v>
      </c>
      <c r="AK181">
        <f t="shared" si="313"/>
        <v>264</v>
      </c>
      <c r="AL181">
        <f t="shared" si="313"/>
        <v>264</v>
      </c>
      <c r="AM181">
        <f t="shared" si="313"/>
        <v>264</v>
      </c>
      <c r="AN181">
        <f t="shared" si="313"/>
        <v>259</v>
      </c>
      <c r="AO181">
        <f t="shared" si="313"/>
        <v>254</v>
      </c>
      <c r="AP181">
        <f t="shared" si="313"/>
        <v>249</v>
      </c>
      <c r="AQ181">
        <f t="shared" si="313"/>
        <v>243</v>
      </c>
      <c r="AR181">
        <f t="shared" si="313"/>
        <v>237</v>
      </c>
      <c r="AS181">
        <f t="shared" si="313"/>
        <v>232</v>
      </c>
      <c r="AT181">
        <f t="shared" si="313"/>
        <v>226</v>
      </c>
      <c r="AU181">
        <f t="shared" si="313"/>
        <v>220</v>
      </c>
      <c r="AV181">
        <f t="shared" si="313"/>
        <v>214</v>
      </c>
      <c r="AW181">
        <f t="shared" si="313"/>
        <v>208</v>
      </c>
      <c r="AX181">
        <f t="shared" si="313"/>
        <v>202</v>
      </c>
      <c r="AY181">
        <f t="shared" si="313"/>
        <v>197</v>
      </c>
      <c r="AZ181">
        <f t="shared" si="313"/>
        <v>193</v>
      </c>
      <c r="BA181">
        <f t="shared" si="313"/>
        <v>189</v>
      </c>
      <c r="BB181">
        <f t="shared" si="313"/>
        <v>185</v>
      </c>
      <c r="BC181">
        <f t="shared" si="313"/>
        <v>180</v>
      </c>
      <c r="BD181">
        <f t="shared" si="313"/>
        <v>175</v>
      </c>
      <c r="BE181">
        <f t="shared" si="313"/>
        <v>170</v>
      </c>
      <c r="BF181">
        <f t="shared" si="313"/>
        <v>165</v>
      </c>
      <c r="BG181">
        <f t="shared" si="313"/>
        <v>160</v>
      </c>
      <c r="BH181">
        <f t="shared" si="313"/>
        <v>155</v>
      </c>
      <c r="BI181">
        <f t="shared" si="313"/>
        <v>150</v>
      </c>
      <c r="BJ181">
        <f t="shared" si="313"/>
        <v>145</v>
      </c>
      <c r="BK181">
        <f t="shared" si="313"/>
        <v>140</v>
      </c>
      <c r="BL181">
        <f t="shared" si="313"/>
        <v>135</v>
      </c>
      <c r="BM181">
        <f t="shared" si="313"/>
        <v>130</v>
      </c>
      <c r="BN181">
        <f t="shared" si="313"/>
        <v>122</v>
      </c>
      <c r="BO181">
        <f t="shared" si="313"/>
        <v>122</v>
      </c>
      <c r="BP181">
        <f t="shared" ref="BP181:CC181" si="314">BP175-BP178</f>
        <v>122</v>
      </c>
      <c r="BQ181">
        <f t="shared" si="314"/>
        <v>122</v>
      </c>
      <c r="BR181">
        <f t="shared" si="314"/>
        <v>122</v>
      </c>
      <c r="BS181">
        <f t="shared" si="314"/>
        <v>118</v>
      </c>
      <c r="BT181">
        <f t="shared" si="314"/>
        <v>114</v>
      </c>
      <c r="BU181">
        <f t="shared" si="314"/>
        <v>110</v>
      </c>
      <c r="BV181">
        <f t="shared" si="314"/>
        <v>106</v>
      </c>
      <c r="BW181">
        <f t="shared" si="314"/>
        <v>102</v>
      </c>
      <c r="BX181">
        <f t="shared" si="314"/>
        <v>98</v>
      </c>
      <c r="BY181">
        <f t="shared" si="314"/>
        <v>94</v>
      </c>
      <c r="BZ181">
        <f t="shared" si="314"/>
        <v>90</v>
      </c>
      <c r="CA181">
        <f t="shared" si="314"/>
        <v>86</v>
      </c>
      <c r="CB181">
        <f t="shared" si="314"/>
        <v>82</v>
      </c>
      <c r="CC181">
        <f t="shared" si="314"/>
        <v>78</v>
      </c>
    </row>
    <row r="182" spans="1:81" x14ac:dyDescent="0.2">
      <c r="A182" s="43" t="s">
        <v>313</v>
      </c>
      <c r="B182" s="44" t="s">
        <v>208</v>
      </c>
      <c r="C182" s="9" t="s">
        <v>38</v>
      </c>
      <c r="D182" s="58">
        <f>IFERROR(VLOOKUP(A182,OS!$A:$B,2,0),0)</f>
        <v>100</v>
      </c>
      <c r="E182" s="5">
        <f>(D182+D183-D185)</f>
        <v>100</v>
      </c>
      <c r="F182" s="5">
        <f>(E182+E183-E185)</f>
        <v>100</v>
      </c>
      <c r="G182" s="5">
        <f>(F182+F183-F185)</f>
        <v>100</v>
      </c>
      <c r="H182" s="5">
        <f>(G182+G183-G185)</f>
        <v>100</v>
      </c>
      <c r="I182" s="5">
        <f t="shared" ref="I182:AN182" si="315">(H182+H183-H185+D184)</f>
        <v>100</v>
      </c>
      <c r="J182" s="5">
        <f t="shared" si="315"/>
        <v>100</v>
      </c>
      <c r="K182" s="5">
        <f t="shared" si="315"/>
        <v>100</v>
      </c>
      <c r="L182" s="5">
        <f t="shared" si="315"/>
        <v>100</v>
      </c>
      <c r="M182" s="5">
        <f t="shared" si="315"/>
        <v>100</v>
      </c>
      <c r="N182" s="5">
        <f t="shared" si="315"/>
        <v>100</v>
      </c>
      <c r="O182" s="5">
        <f t="shared" si="315"/>
        <v>100</v>
      </c>
      <c r="P182" s="5">
        <f t="shared" si="315"/>
        <v>100</v>
      </c>
      <c r="Q182" s="5">
        <f t="shared" si="315"/>
        <v>100</v>
      </c>
      <c r="R182" s="5">
        <f t="shared" si="315"/>
        <v>100</v>
      </c>
      <c r="S182" s="5">
        <f t="shared" si="315"/>
        <v>100</v>
      </c>
      <c r="T182" s="5">
        <f t="shared" si="315"/>
        <v>100</v>
      </c>
      <c r="U182" s="5">
        <f t="shared" si="315"/>
        <v>100</v>
      </c>
      <c r="V182" s="5">
        <f t="shared" si="315"/>
        <v>100</v>
      </c>
      <c r="W182" s="5">
        <f t="shared" si="315"/>
        <v>100</v>
      </c>
      <c r="X182" s="5">
        <f t="shared" si="315"/>
        <v>100</v>
      </c>
      <c r="Y182" s="5">
        <f t="shared" si="315"/>
        <v>100</v>
      </c>
      <c r="Z182" s="5">
        <f t="shared" si="315"/>
        <v>100</v>
      </c>
      <c r="AA182" s="5">
        <f t="shared" si="315"/>
        <v>100</v>
      </c>
      <c r="AB182" s="5">
        <f t="shared" si="315"/>
        <v>100</v>
      </c>
      <c r="AC182" s="5">
        <f t="shared" si="315"/>
        <v>100</v>
      </c>
      <c r="AD182" s="5">
        <f t="shared" si="315"/>
        <v>100</v>
      </c>
      <c r="AE182" s="5">
        <f t="shared" si="315"/>
        <v>100</v>
      </c>
      <c r="AF182" s="5">
        <f t="shared" si="315"/>
        <v>100</v>
      </c>
      <c r="AG182" s="5">
        <f t="shared" si="315"/>
        <v>100</v>
      </c>
      <c r="AH182" s="5">
        <f t="shared" si="315"/>
        <v>100</v>
      </c>
      <c r="AI182" s="5">
        <f t="shared" si="315"/>
        <v>100</v>
      </c>
      <c r="AJ182" s="5">
        <f t="shared" si="315"/>
        <v>100</v>
      </c>
      <c r="AK182" s="5">
        <f t="shared" si="315"/>
        <v>100</v>
      </c>
      <c r="AL182" s="5">
        <f t="shared" si="315"/>
        <v>100</v>
      </c>
      <c r="AM182" s="5">
        <f t="shared" si="315"/>
        <v>100</v>
      </c>
      <c r="AN182" s="5">
        <f t="shared" si="315"/>
        <v>100</v>
      </c>
      <c r="AO182" s="5">
        <f t="shared" ref="AO182:BT182" si="316">(AN182+AN183-AN185+AJ184)</f>
        <v>100</v>
      </c>
      <c r="AP182" s="5">
        <f t="shared" si="316"/>
        <v>100</v>
      </c>
      <c r="AQ182" s="5">
        <f t="shared" si="316"/>
        <v>100</v>
      </c>
      <c r="AR182" s="5">
        <f t="shared" si="316"/>
        <v>100</v>
      </c>
      <c r="AS182" s="5">
        <f t="shared" si="316"/>
        <v>100</v>
      </c>
      <c r="AT182" s="5">
        <f t="shared" si="316"/>
        <v>100</v>
      </c>
      <c r="AU182" s="5">
        <f t="shared" si="316"/>
        <v>100</v>
      </c>
      <c r="AV182" s="5">
        <f t="shared" si="316"/>
        <v>100</v>
      </c>
      <c r="AW182" s="5">
        <f t="shared" si="316"/>
        <v>100</v>
      </c>
      <c r="AX182" s="5">
        <f t="shared" si="316"/>
        <v>100</v>
      </c>
      <c r="AY182" s="5">
        <f t="shared" si="316"/>
        <v>100</v>
      </c>
      <c r="AZ182" s="5">
        <f t="shared" si="316"/>
        <v>100</v>
      </c>
      <c r="BA182" s="5">
        <f t="shared" si="316"/>
        <v>100</v>
      </c>
      <c r="BB182" s="5">
        <f t="shared" si="316"/>
        <v>100</v>
      </c>
      <c r="BC182" s="5">
        <f t="shared" si="316"/>
        <v>100</v>
      </c>
      <c r="BD182" s="5">
        <f t="shared" si="316"/>
        <v>100</v>
      </c>
      <c r="BE182" s="5">
        <f t="shared" si="316"/>
        <v>100</v>
      </c>
      <c r="BF182" s="5">
        <f t="shared" si="316"/>
        <v>100</v>
      </c>
      <c r="BG182" s="5">
        <f t="shared" si="316"/>
        <v>100</v>
      </c>
      <c r="BH182" s="5">
        <f t="shared" si="316"/>
        <v>100</v>
      </c>
      <c r="BI182" s="5">
        <f t="shared" si="316"/>
        <v>100</v>
      </c>
      <c r="BJ182" s="5">
        <f t="shared" si="316"/>
        <v>100</v>
      </c>
      <c r="BK182" s="5">
        <f t="shared" si="316"/>
        <v>100</v>
      </c>
      <c r="BL182" s="5">
        <f t="shared" si="316"/>
        <v>100</v>
      </c>
      <c r="BM182" s="5">
        <f t="shared" si="316"/>
        <v>100</v>
      </c>
      <c r="BN182" s="5">
        <f t="shared" si="316"/>
        <v>100</v>
      </c>
      <c r="BO182" s="5">
        <f t="shared" si="316"/>
        <v>100</v>
      </c>
      <c r="BP182" s="5">
        <f t="shared" si="316"/>
        <v>100</v>
      </c>
      <c r="BQ182" s="5">
        <f t="shared" si="316"/>
        <v>100</v>
      </c>
      <c r="BR182" s="5">
        <f t="shared" si="316"/>
        <v>100</v>
      </c>
      <c r="BS182" s="5">
        <f t="shared" si="316"/>
        <v>100</v>
      </c>
      <c r="BT182" s="5">
        <f t="shared" si="316"/>
        <v>100</v>
      </c>
      <c r="BU182" s="5">
        <f t="shared" ref="BU182:CC182" si="317">(BT182+BT183-BT185+BP184)</f>
        <v>100</v>
      </c>
      <c r="BV182" s="5">
        <f t="shared" si="317"/>
        <v>100</v>
      </c>
      <c r="BW182" s="5">
        <f t="shared" si="317"/>
        <v>100</v>
      </c>
      <c r="BX182" s="5">
        <f t="shared" si="317"/>
        <v>100</v>
      </c>
      <c r="BY182" s="5">
        <f t="shared" si="317"/>
        <v>100</v>
      </c>
      <c r="BZ182" s="5">
        <f t="shared" si="317"/>
        <v>100</v>
      </c>
      <c r="CA182" s="5">
        <f t="shared" si="317"/>
        <v>100</v>
      </c>
      <c r="CB182" s="5">
        <f t="shared" si="317"/>
        <v>100</v>
      </c>
      <c r="CC182" s="5">
        <f t="shared" si="317"/>
        <v>100</v>
      </c>
    </row>
    <row r="183" spans="1:81" x14ac:dyDescent="0.2">
      <c r="A183" s="5" t="s">
        <v>209</v>
      </c>
      <c r="B183" s="5">
        <v>9.3565100000000001</v>
      </c>
      <c r="C183" s="45" t="s">
        <v>39</v>
      </c>
      <c r="D183" s="59">
        <f>IFERROR(VLOOKUP(A182,WIP!$A:$B,2,0),0)</f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</row>
    <row r="184" spans="1:81" x14ac:dyDescent="0.2">
      <c r="A184" s="5" t="s">
        <v>210</v>
      </c>
      <c r="B184" s="5">
        <v>0.27100000000000002</v>
      </c>
      <c r="C184" s="9" t="s">
        <v>211</v>
      </c>
      <c r="D184" s="60">
        <f>IFERROR(VLOOKUP($A182,Plan!$A:B,D$4,0),0)</f>
        <v>0</v>
      </c>
      <c r="E184" s="60">
        <f>IFERROR(VLOOKUP($A182,Plan!$A:C,E$4,0),0)</f>
        <v>0</v>
      </c>
      <c r="F184" s="60">
        <f>IFERROR(VLOOKUP($A182,Plan!$A:D,F$4,0),0)</f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</row>
    <row r="185" spans="1:81" x14ac:dyDescent="0.2">
      <c r="A185" s="5" t="s">
        <v>212</v>
      </c>
      <c r="B185" s="5">
        <v>4.1000000000000002E-2</v>
      </c>
      <c r="C185" s="9" t="s">
        <v>213</v>
      </c>
      <c r="D185" s="61">
        <f>IFERROR(VLOOKUP($A182,Sales!$A:B,D$2,0),0)</f>
        <v>0</v>
      </c>
      <c r="E185" s="61">
        <f>IFERROR(VLOOKUP($A182,Sales!$A:C,E$2,0),0)</f>
        <v>0</v>
      </c>
      <c r="F185" s="61">
        <f>IFERROR(VLOOKUP($A182,Sales!$A:D,F$2,0),0)</f>
        <v>0</v>
      </c>
      <c r="G185" s="61">
        <f>IFERROR(VLOOKUP($A182,Sales!$A:E,G$2,0),0)</f>
        <v>0</v>
      </c>
      <c r="H185" s="61">
        <f>IFERROR(VLOOKUP($A182,Sales!$A:F,H$2,0),0)</f>
        <v>0</v>
      </c>
      <c r="I185" s="61">
        <f>IFERROR(VLOOKUP($A182,Sales!$A:G,I$2,0),0)</f>
        <v>0</v>
      </c>
      <c r="J185" s="61">
        <f>IFERROR(VLOOKUP($A182,Sales!$A:H,J$2,0),0)</f>
        <v>0</v>
      </c>
      <c r="K185" s="61">
        <f>IFERROR(VLOOKUP($A182,Sales!$A:I,K$2,0),0)</f>
        <v>0</v>
      </c>
      <c r="L185" s="61">
        <f>IFERROR(VLOOKUP($A182,Sales!$A:J,L$2,0),0)</f>
        <v>0</v>
      </c>
      <c r="M185" s="61">
        <f>IFERROR(VLOOKUP($A182,Sales!$A:K,M$2,0),0)</f>
        <v>0</v>
      </c>
      <c r="N185" s="61">
        <f>IFERROR(VLOOKUP($A182,Sales!$A:L,N$2,0),0)</f>
        <v>0</v>
      </c>
      <c r="O185" s="61">
        <f>IFERROR(VLOOKUP($A182,Sales!$A:M,O$2,0),0)</f>
        <v>0</v>
      </c>
      <c r="P185" s="61">
        <f>IFERROR(VLOOKUP($A182,Sales!$A:N,P$2,0),0)</f>
        <v>0</v>
      </c>
      <c r="Q185" s="61">
        <f>IFERROR(VLOOKUP($A182,Sales!$A:O,Q$2,0),0)</f>
        <v>0</v>
      </c>
      <c r="R185" s="61">
        <f>IFERROR(VLOOKUP($A182,Sales!$A:P,R$2,0),0)</f>
        <v>0</v>
      </c>
      <c r="S185" s="61">
        <f>IFERROR(VLOOKUP($A182,Sales!$A:Q,S$2,0),0)</f>
        <v>0</v>
      </c>
      <c r="T185" s="61">
        <f>IFERROR(VLOOKUP($A182,Sales!$A:R,T$2,0),0)</f>
        <v>0</v>
      </c>
      <c r="U185" s="61">
        <f>IFERROR(VLOOKUP($A182,Sales!$A:S,U$2,0),0)</f>
        <v>0</v>
      </c>
      <c r="V185" s="61">
        <f>IFERROR(VLOOKUP($A182,Sales!$A:T,V$2,0),0)</f>
        <v>0</v>
      </c>
      <c r="W185" s="61">
        <f>IFERROR(VLOOKUP($A182,Sales!$A:U,W$2,0),0)</f>
        <v>0</v>
      </c>
      <c r="X185" s="61">
        <f>IFERROR(VLOOKUP($A182,Sales!$A:V,X$2,0),0)</f>
        <v>0</v>
      </c>
      <c r="Y185" s="61">
        <f>IFERROR(VLOOKUP($A182,Sales!$A:W,Y$2,0),0)</f>
        <v>0</v>
      </c>
      <c r="Z185" s="61">
        <f>IFERROR(VLOOKUP($A182,Sales!$A:X,Z$2,0),0)</f>
        <v>0</v>
      </c>
      <c r="AA185" s="61">
        <f>IFERROR(VLOOKUP($A182,Sales!$A:Y,AA$2,0),0)</f>
        <v>0</v>
      </c>
      <c r="AB185" s="61">
        <f>IFERROR(VLOOKUP($A182,Sales!$A:Z,AB$2,0),0)</f>
        <v>0</v>
      </c>
      <c r="AC185" s="61">
        <f>IFERROR(VLOOKUP($A182,Sales!$A:AA,AC$2,0),0)</f>
        <v>0</v>
      </c>
      <c r="AD185" s="61">
        <f>IFERROR(VLOOKUP($A182,Sales!$A:AB,AD$2,0),0)</f>
        <v>0</v>
      </c>
      <c r="AE185" s="61">
        <f>IFERROR(VLOOKUP($A182,Sales!$A:AC,AE$2,0),0)</f>
        <v>0</v>
      </c>
      <c r="AF185" s="61">
        <f>IFERROR(VLOOKUP($A182,Sales!$A:AD,AF$2,0),0)</f>
        <v>0</v>
      </c>
      <c r="AG185" s="61">
        <f>IFERROR(VLOOKUP($A182,Sales!$A:AE,AG$2,0),0)</f>
        <v>0</v>
      </c>
      <c r="AH185" s="61">
        <f>IFERROR(VLOOKUP($A182,Sales!$A:AF,AH$2,0),0)</f>
        <v>0</v>
      </c>
      <c r="AI185" s="61">
        <f>IFERROR(VLOOKUP($A182,Sales!$A:AG,AI$2,0),0)</f>
        <v>0</v>
      </c>
      <c r="AJ185" s="61">
        <f>IFERROR(VLOOKUP($A182,Sales!$A:AH,AJ$2,0),0)</f>
        <v>0</v>
      </c>
      <c r="AK185" s="74">
        <f t="shared" ref="AK185:CC185" si="318">CEILING(AK$5*$B181,1)</f>
        <v>0</v>
      </c>
      <c r="AL185" s="74">
        <f t="shared" si="318"/>
        <v>0</v>
      </c>
      <c r="AM185" s="74">
        <f t="shared" si="318"/>
        <v>0</v>
      </c>
      <c r="AN185" s="74">
        <f t="shared" si="318"/>
        <v>0</v>
      </c>
      <c r="AO185" s="74">
        <f t="shared" si="318"/>
        <v>0</v>
      </c>
      <c r="AP185" s="74">
        <f t="shared" si="318"/>
        <v>0</v>
      </c>
      <c r="AQ185" s="74">
        <f t="shared" si="318"/>
        <v>0</v>
      </c>
      <c r="AR185" s="74">
        <f t="shared" si="318"/>
        <v>0</v>
      </c>
      <c r="AS185" s="74">
        <f t="shared" si="318"/>
        <v>0</v>
      </c>
      <c r="AT185" s="74">
        <f t="shared" si="318"/>
        <v>0</v>
      </c>
      <c r="AU185" s="74">
        <f t="shared" si="318"/>
        <v>0</v>
      </c>
      <c r="AV185" s="74">
        <f t="shared" si="318"/>
        <v>0</v>
      </c>
      <c r="AW185" s="74">
        <f t="shared" si="318"/>
        <v>0</v>
      </c>
      <c r="AX185" s="74">
        <f t="shared" si="318"/>
        <v>0</v>
      </c>
      <c r="AY185" s="74">
        <f t="shared" si="318"/>
        <v>0</v>
      </c>
      <c r="AZ185" s="74">
        <f t="shared" si="318"/>
        <v>0</v>
      </c>
      <c r="BA185" s="74">
        <f t="shared" si="318"/>
        <v>0</v>
      </c>
      <c r="BB185" s="74">
        <f t="shared" si="318"/>
        <v>0</v>
      </c>
      <c r="BC185" s="74">
        <f t="shared" si="318"/>
        <v>0</v>
      </c>
      <c r="BD185" s="74">
        <f t="shared" si="318"/>
        <v>0</v>
      </c>
      <c r="BE185" s="74">
        <f t="shared" si="318"/>
        <v>0</v>
      </c>
      <c r="BF185" s="74">
        <f t="shared" si="318"/>
        <v>0</v>
      </c>
      <c r="BG185" s="74">
        <f t="shared" si="318"/>
        <v>0</v>
      </c>
      <c r="BH185" s="74">
        <f t="shared" si="318"/>
        <v>0</v>
      </c>
      <c r="BI185" s="74">
        <f t="shared" si="318"/>
        <v>0</v>
      </c>
      <c r="BJ185" s="74">
        <f t="shared" si="318"/>
        <v>0</v>
      </c>
      <c r="BK185" s="74">
        <f t="shared" si="318"/>
        <v>0</v>
      </c>
      <c r="BL185" s="74">
        <f t="shared" si="318"/>
        <v>0</v>
      </c>
      <c r="BM185" s="74">
        <f t="shared" si="318"/>
        <v>0</v>
      </c>
      <c r="BN185" s="74">
        <f t="shared" si="318"/>
        <v>0</v>
      </c>
      <c r="BO185" s="74">
        <f t="shared" si="318"/>
        <v>0</v>
      </c>
      <c r="BP185" s="74">
        <f t="shared" si="318"/>
        <v>0</v>
      </c>
      <c r="BQ185" s="74">
        <f t="shared" si="318"/>
        <v>0</v>
      </c>
      <c r="BR185" s="74">
        <f t="shared" si="318"/>
        <v>0</v>
      </c>
      <c r="BS185" s="74">
        <f t="shared" si="318"/>
        <v>0</v>
      </c>
      <c r="BT185" s="74">
        <f t="shared" si="318"/>
        <v>0</v>
      </c>
      <c r="BU185" s="74">
        <f t="shared" si="318"/>
        <v>0</v>
      </c>
      <c r="BV185" s="74">
        <f t="shared" si="318"/>
        <v>0</v>
      </c>
      <c r="BW185" s="74">
        <f t="shared" si="318"/>
        <v>0</v>
      </c>
      <c r="BX185" s="74">
        <f t="shared" si="318"/>
        <v>0</v>
      </c>
      <c r="BY185" s="74">
        <f t="shared" si="318"/>
        <v>0</v>
      </c>
      <c r="BZ185" s="74">
        <f t="shared" si="318"/>
        <v>0</v>
      </c>
      <c r="CA185" s="74">
        <f t="shared" si="318"/>
        <v>0</v>
      </c>
      <c r="CB185" s="74">
        <f t="shared" si="318"/>
        <v>0</v>
      </c>
      <c r="CC185" s="74">
        <f t="shared" si="318"/>
        <v>0</v>
      </c>
    </row>
    <row r="186" spans="1:81" x14ac:dyDescent="0.2">
      <c r="A186" s="5" t="s">
        <v>214</v>
      </c>
      <c r="B186" s="5">
        <v>0.312</v>
      </c>
      <c r="C186" s="46" t="s">
        <v>215</v>
      </c>
      <c r="D186" s="11">
        <f t="shared" ref="D186:AI186" si="319">IF(D185=0,0, ROUND(D182 * 1/D185* D$13,1))</f>
        <v>0</v>
      </c>
      <c r="E186" s="11">
        <f t="shared" si="319"/>
        <v>0</v>
      </c>
      <c r="F186" s="11">
        <f t="shared" si="319"/>
        <v>0</v>
      </c>
      <c r="G186" s="11">
        <f t="shared" si="319"/>
        <v>0</v>
      </c>
      <c r="H186" s="11">
        <f t="shared" si="319"/>
        <v>0</v>
      </c>
      <c r="I186" s="11">
        <f t="shared" si="319"/>
        <v>0</v>
      </c>
      <c r="J186" s="11">
        <f t="shared" si="319"/>
        <v>0</v>
      </c>
      <c r="K186" s="11">
        <f t="shared" si="319"/>
        <v>0</v>
      </c>
      <c r="L186" s="11">
        <f t="shared" si="319"/>
        <v>0</v>
      </c>
      <c r="M186" s="11">
        <f t="shared" si="319"/>
        <v>0</v>
      </c>
      <c r="N186" s="11">
        <f t="shared" si="319"/>
        <v>0</v>
      </c>
      <c r="O186" s="11">
        <f t="shared" si="319"/>
        <v>0</v>
      </c>
      <c r="P186" s="11">
        <f t="shared" si="319"/>
        <v>0</v>
      </c>
      <c r="Q186" s="11">
        <f t="shared" si="319"/>
        <v>0</v>
      </c>
      <c r="R186" s="11">
        <f t="shared" si="319"/>
        <v>0</v>
      </c>
      <c r="S186" s="11">
        <f t="shared" si="319"/>
        <v>0</v>
      </c>
      <c r="T186" s="11">
        <f t="shared" si="319"/>
        <v>0</v>
      </c>
      <c r="U186" s="11">
        <f t="shared" si="319"/>
        <v>0</v>
      </c>
      <c r="V186" s="11">
        <f t="shared" si="319"/>
        <v>0</v>
      </c>
      <c r="W186" s="11">
        <f t="shared" si="319"/>
        <v>0</v>
      </c>
      <c r="X186" s="11">
        <f t="shared" si="319"/>
        <v>0</v>
      </c>
      <c r="Y186" s="11">
        <f t="shared" si="319"/>
        <v>0</v>
      </c>
      <c r="Z186" s="11">
        <f t="shared" si="319"/>
        <v>0</v>
      </c>
      <c r="AA186" s="11">
        <f t="shared" si="319"/>
        <v>0</v>
      </c>
      <c r="AB186" s="11">
        <f t="shared" si="319"/>
        <v>0</v>
      </c>
      <c r="AC186" s="11">
        <f t="shared" si="319"/>
        <v>0</v>
      </c>
      <c r="AD186" s="11">
        <f t="shared" si="319"/>
        <v>0</v>
      </c>
      <c r="AE186" s="11">
        <f t="shared" si="319"/>
        <v>0</v>
      </c>
      <c r="AF186" s="11">
        <f t="shared" si="319"/>
        <v>0</v>
      </c>
      <c r="AG186" s="11">
        <f t="shared" si="319"/>
        <v>0</v>
      </c>
      <c r="AH186" s="11">
        <f t="shared" si="319"/>
        <v>0</v>
      </c>
      <c r="AI186" s="11">
        <f t="shared" si="319"/>
        <v>0</v>
      </c>
      <c r="AJ186" s="11">
        <f t="shared" ref="AJ186:BO186" si="320">IF(AJ185=0,0, ROUND(AJ182 * 1/AJ185* AJ$13,1))</f>
        <v>0</v>
      </c>
      <c r="AK186" s="11">
        <f t="shared" si="320"/>
        <v>0</v>
      </c>
      <c r="AL186" s="11">
        <f t="shared" si="320"/>
        <v>0</v>
      </c>
      <c r="AM186" s="11">
        <f t="shared" si="320"/>
        <v>0</v>
      </c>
      <c r="AN186" s="11">
        <f t="shared" si="320"/>
        <v>0</v>
      </c>
      <c r="AO186" s="11">
        <f t="shared" si="320"/>
        <v>0</v>
      </c>
      <c r="AP186" s="11">
        <f t="shared" si="320"/>
        <v>0</v>
      </c>
      <c r="AQ186" s="11">
        <f t="shared" si="320"/>
        <v>0</v>
      </c>
      <c r="AR186" s="11">
        <f t="shared" si="320"/>
        <v>0</v>
      </c>
      <c r="AS186" s="11">
        <f t="shared" si="320"/>
        <v>0</v>
      </c>
      <c r="AT186" s="11">
        <f t="shared" si="320"/>
        <v>0</v>
      </c>
      <c r="AU186" s="11">
        <f t="shared" si="320"/>
        <v>0</v>
      </c>
      <c r="AV186" s="11">
        <f t="shared" si="320"/>
        <v>0</v>
      </c>
      <c r="AW186" s="11">
        <f t="shared" si="320"/>
        <v>0</v>
      </c>
      <c r="AX186" s="11">
        <f t="shared" si="320"/>
        <v>0</v>
      </c>
      <c r="AY186" s="11">
        <f t="shared" si="320"/>
        <v>0</v>
      </c>
      <c r="AZ186" s="11">
        <f t="shared" si="320"/>
        <v>0</v>
      </c>
      <c r="BA186" s="11">
        <f t="shared" si="320"/>
        <v>0</v>
      </c>
      <c r="BB186" s="11">
        <f t="shared" si="320"/>
        <v>0</v>
      </c>
      <c r="BC186" s="11">
        <f t="shared" si="320"/>
        <v>0</v>
      </c>
      <c r="BD186" s="11">
        <f t="shared" si="320"/>
        <v>0</v>
      </c>
      <c r="BE186" s="11">
        <f t="shared" si="320"/>
        <v>0</v>
      </c>
      <c r="BF186" s="11">
        <f t="shared" si="320"/>
        <v>0</v>
      </c>
      <c r="BG186" s="11">
        <f t="shared" si="320"/>
        <v>0</v>
      </c>
      <c r="BH186" s="11">
        <f t="shared" si="320"/>
        <v>0</v>
      </c>
      <c r="BI186" s="11">
        <f t="shared" si="320"/>
        <v>0</v>
      </c>
      <c r="BJ186" s="11">
        <f t="shared" si="320"/>
        <v>0</v>
      </c>
      <c r="BK186" s="11">
        <f t="shared" si="320"/>
        <v>0</v>
      </c>
      <c r="BL186" s="11">
        <f t="shared" si="320"/>
        <v>0</v>
      </c>
      <c r="BM186" s="11">
        <f t="shared" si="320"/>
        <v>0</v>
      </c>
      <c r="BN186" s="11">
        <f t="shared" si="320"/>
        <v>0</v>
      </c>
      <c r="BO186" s="11">
        <f t="shared" si="320"/>
        <v>0</v>
      </c>
      <c r="BP186" s="11">
        <f t="shared" ref="BP186:CC186" si="321">IF(BP185=0,0, ROUND(BP182 * 1/BP185* BP$13,1))</f>
        <v>0</v>
      </c>
      <c r="BQ186" s="11">
        <f t="shared" si="321"/>
        <v>0</v>
      </c>
      <c r="BR186" s="11">
        <f t="shared" si="321"/>
        <v>0</v>
      </c>
      <c r="BS186" s="11">
        <f t="shared" si="321"/>
        <v>0</v>
      </c>
      <c r="BT186" s="11">
        <f t="shared" si="321"/>
        <v>0</v>
      </c>
      <c r="BU186" s="11">
        <f t="shared" si="321"/>
        <v>0</v>
      </c>
      <c r="BV186" s="11">
        <f t="shared" si="321"/>
        <v>0</v>
      </c>
      <c r="BW186" s="11">
        <f t="shared" si="321"/>
        <v>0</v>
      </c>
      <c r="BX186" s="11">
        <f t="shared" si="321"/>
        <v>0</v>
      </c>
      <c r="BY186" s="11">
        <f t="shared" si="321"/>
        <v>0</v>
      </c>
      <c r="BZ186" s="11">
        <f t="shared" si="321"/>
        <v>0</v>
      </c>
      <c r="CA186" s="11">
        <f t="shared" si="321"/>
        <v>0</v>
      </c>
      <c r="CB186" s="11">
        <f t="shared" si="321"/>
        <v>0</v>
      </c>
      <c r="CC186" s="11">
        <f t="shared" si="321"/>
        <v>0</v>
      </c>
    </row>
    <row r="187" spans="1:81" x14ac:dyDescent="0.2">
      <c r="A187">
        <v>24</v>
      </c>
      <c r="B187">
        <v>1</v>
      </c>
      <c r="C187" s="8">
        <v>7.1818</v>
      </c>
      <c r="D187">
        <f t="shared" ref="D187:AI187" si="322">D184/$B187</f>
        <v>0</v>
      </c>
      <c r="E187">
        <f t="shared" si="322"/>
        <v>0</v>
      </c>
      <c r="F187">
        <f t="shared" si="322"/>
        <v>0</v>
      </c>
      <c r="G187">
        <f t="shared" si="322"/>
        <v>0</v>
      </c>
      <c r="H187">
        <f t="shared" si="322"/>
        <v>0</v>
      </c>
      <c r="I187">
        <f t="shared" si="322"/>
        <v>0</v>
      </c>
      <c r="J187">
        <f t="shared" si="322"/>
        <v>0</v>
      </c>
      <c r="K187">
        <f t="shared" si="322"/>
        <v>0</v>
      </c>
      <c r="L187">
        <f t="shared" si="322"/>
        <v>0</v>
      </c>
      <c r="M187">
        <f t="shared" si="322"/>
        <v>0</v>
      </c>
      <c r="N187">
        <f t="shared" si="322"/>
        <v>0</v>
      </c>
      <c r="O187">
        <f t="shared" si="322"/>
        <v>0</v>
      </c>
      <c r="P187">
        <f t="shared" si="322"/>
        <v>0</v>
      </c>
      <c r="Q187">
        <f t="shared" si="322"/>
        <v>0</v>
      </c>
      <c r="R187">
        <f t="shared" si="322"/>
        <v>0</v>
      </c>
      <c r="S187">
        <f t="shared" si="322"/>
        <v>0</v>
      </c>
      <c r="T187">
        <f t="shared" si="322"/>
        <v>0</v>
      </c>
      <c r="U187">
        <f t="shared" si="322"/>
        <v>0</v>
      </c>
      <c r="V187">
        <f t="shared" si="322"/>
        <v>0</v>
      </c>
      <c r="W187">
        <f t="shared" si="322"/>
        <v>0</v>
      </c>
      <c r="X187">
        <f t="shared" si="322"/>
        <v>0</v>
      </c>
      <c r="Y187">
        <f t="shared" si="322"/>
        <v>0</v>
      </c>
      <c r="Z187">
        <f t="shared" si="322"/>
        <v>0</v>
      </c>
      <c r="AA187">
        <f t="shared" si="322"/>
        <v>0</v>
      </c>
      <c r="AB187">
        <f t="shared" si="322"/>
        <v>0</v>
      </c>
      <c r="AC187">
        <f t="shared" si="322"/>
        <v>0</v>
      </c>
      <c r="AD187">
        <f t="shared" si="322"/>
        <v>0</v>
      </c>
      <c r="AE187">
        <f t="shared" si="322"/>
        <v>0</v>
      </c>
      <c r="AF187">
        <f t="shared" si="322"/>
        <v>0</v>
      </c>
      <c r="AG187">
        <f t="shared" si="322"/>
        <v>0</v>
      </c>
      <c r="AH187">
        <f t="shared" si="322"/>
        <v>0</v>
      </c>
      <c r="AI187">
        <f t="shared" si="322"/>
        <v>0</v>
      </c>
      <c r="AJ187">
        <f t="shared" ref="AJ187:BO187" si="323">AJ184/$B187</f>
        <v>0</v>
      </c>
      <c r="AK187">
        <f t="shared" si="323"/>
        <v>0</v>
      </c>
      <c r="AL187">
        <f t="shared" si="323"/>
        <v>0</v>
      </c>
      <c r="AM187">
        <f t="shared" si="323"/>
        <v>0</v>
      </c>
      <c r="AN187">
        <f t="shared" si="323"/>
        <v>0</v>
      </c>
      <c r="AO187">
        <f t="shared" si="323"/>
        <v>0</v>
      </c>
      <c r="AP187">
        <f t="shared" si="323"/>
        <v>0</v>
      </c>
      <c r="AQ187">
        <f t="shared" si="323"/>
        <v>0</v>
      </c>
      <c r="AR187">
        <f t="shared" si="323"/>
        <v>0</v>
      </c>
      <c r="AS187">
        <f t="shared" si="323"/>
        <v>0</v>
      </c>
      <c r="AT187">
        <f t="shared" si="323"/>
        <v>0</v>
      </c>
      <c r="AU187">
        <f t="shared" si="323"/>
        <v>0</v>
      </c>
      <c r="AV187">
        <f t="shared" si="323"/>
        <v>0</v>
      </c>
      <c r="AW187">
        <f t="shared" si="323"/>
        <v>0</v>
      </c>
      <c r="AX187">
        <f t="shared" si="323"/>
        <v>0</v>
      </c>
      <c r="AY187">
        <f t="shared" si="323"/>
        <v>0</v>
      </c>
      <c r="AZ187">
        <f t="shared" si="323"/>
        <v>0</v>
      </c>
      <c r="BA187">
        <f t="shared" si="323"/>
        <v>0</v>
      </c>
      <c r="BB187">
        <f t="shared" si="323"/>
        <v>0</v>
      </c>
      <c r="BC187">
        <f t="shared" si="323"/>
        <v>0</v>
      </c>
      <c r="BD187">
        <f t="shared" si="323"/>
        <v>0</v>
      </c>
      <c r="BE187">
        <f t="shared" si="323"/>
        <v>0</v>
      </c>
      <c r="BF187">
        <f t="shared" si="323"/>
        <v>0</v>
      </c>
      <c r="BG187">
        <f t="shared" si="323"/>
        <v>0</v>
      </c>
      <c r="BH187">
        <f t="shared" si="323"/>
        <v>0</v>
      </c>
      <c r="BI187">
        <f t="shared" si="323"/>
        <v>0</v>
      </c>
      <c r="BJ187">
        <f t="shared" si="323"/>
        <v>0</v>
      </c>
      <c r="BK187">
        <f t="shared" si="323"/>
        <v>0</v>
      </c>
      <c r="BL187">
        <f t="shared" si="323"/>
        <v>0</v>
      </c>
      <c r="BM187">
        <f t="shared" si="323"/>
        <v>0</v>
      </c>
      <c r="BN187">
        <f t="shared" si="323"/>
        <v>0</v>
      </c>
      <c r="BO187">
        <f t="shared" si="323"/>
        <v>0</v>
      </c>
      <c r="BP187">
        <f t="shared" ref="BP187:CC187" si="324">BP184/$B187</f>
        <v>0</v>
      </c>
      <c r="BQ187">
        <f t="shared" si="324"/>
        <v>0</v>
      </c>
      <c r="BR187">
        <f t="shared" si="324"/>
        <v>0</v>
      </c>
      <c r="BS187">
        <f t="shared" si="324"/>
        <v>0</v>
      </c>
      <c r="BT187">
        <f t="shared" si="324"/>
        <v>0</v>
      </c>
      <c r="BU187">
        <f t="shared" si="324"/>
        <v>0</v>
      </c>
      <c r="BV187">
        <f t="shared" si="324"/>
        <v>0</v>
      </c>
      <c r="BW187">
        <f t="shared" si="324"/>
        <v>0</v>
      </c>
      <c r="BX187">
        <f t="shared" si="324"/>
        <v>0</v>
      </c>
      <c r="BY187">
        <f t="shared" si="324"/>
        <v>0</v>
      </c>
      <c r="BZ187">
        <f t="shared" si="324"/>
        <v>0</v>
      </c>
      <c r="CA187">
        <f t="shared" si="324"/>
        <v>0</v>
      </c>
      <c r="CB187">
        <f t="shared" si="324"/>
        <v>0</v>
      </c>
      <c r="CC187">
        <f t="shared" si="324"/>
        <v>0</v>
      </c>
    </row>
    <row r="188" spans="1:81" x14ac:dyDescent="0.2">
      <c r="B188" s="67">
        <f>SUM(D192:AJ192)/SUM($D$263:$AJ$263)</f>
        <v>0</v>
      </c>
      <c r="C188" s="9" t="s">
        <v>216</v>
      </c>
      <c r="D188">
        <f t="shared" ref="D188:AI188" si="325">D182-D185</f>
        <v>100</v>
      </c>
      <c r="E188">
        <f t="shared" si="325"/>
        <v>100</v>
      </c>
      <c r="F188">
        <f t="shared" si="325"/>
        <v>100</v>
      </c>
      <c r="G188">
        <f t="shared" si="325"/>
        <v>100</v>
      </c>
      <c r="H188">
        <f t="shared" si="325"/>
        <v>100</v>
      </c>
      <c r="I188">
        <f t="shared" si="325"/>
        <v>100</v>
      </c>
      <c r="J188">
        <f t="shared" si="325"/>
        <v>100</v>
      </c>
      <c r="K188">
        <f t="shared" si="325"/>
        <v>100</v>
      </c>
      <c r="L188">
        <f t="shared" si="325"/>
        <v>100</v>
      </c>
      <c r="M188">
        <f t="shared" si="325"/>
        <v>100</v>
      </c>
      <c r="N188">
        <f t="shared" si="325"/>
        <v>100</v>
      </c>
      <c r="O188">
        <f t="shared" si="325"/>
        <v>100</v>
      </c>
      <c r="P188">
        <f t="shared" si="325"/>
        <v>100</v>
      </c>
      <c r="Q188">
        <f t="shared" si="325"/>
        <v>100</v>
      </c>
      <c r="R188">
        <f t="shared" si="325"/>
        <v>100</v>
      </c>
      <c r="S188">
        <f t="shared" si="325"/>
        <v>100</v>
      </c>
      <c r="T188">
        <f t="shared" si="325"/>
        <v>100</v>
      </c>
      <c r="U188">
        <f t="shared" si="325"/>
        <v>100</v>
      </c>
      <c r="V188">
        <f t="shared" si="325"/>
        <v>100</v>
      </c>
      <c r="W188">
        <f t="shared" si="325"/>
        <v>100</v>
      </c>
      <c r="X188">
        <f t="shared" si="325"/>
        <v>100</v>
      </c>
      <c r="Y188">
        <f t="shared" si="325"/>
        <v>100</v>
      </c>
      <c r="Z188">
        <f t="shared" si="325"/>
        <v>100</v>
      </c>
      <c r="AA188">
        <f t="shared" si="325"/>
        <v>100</v>
      </c>
      <c r="AB188">
        <f t="shared" si="325"/>
        <v>100</v>
      </c>
      <c r="AC188">
        <f t="shared" si="325"/>
        <v>100</v>
      </c>
      <c r="AD188">
        <f t="shared" si="325"/>
        <v>100</v>
      </c>
      <c r="AE188">
        <f t="shared" si="325"/>
        <v>100</v>
      </c>
      <c r="AF188">
        <f t="shared" si="325"/>
        <v>100</v>
      </c>
      <c r="AG188">
        <f t="shared" si="325"/>
        <v>100</v>
      </c>
      <c r="AH188">
        <f t="shared" si="325"/>
        <v>100</v>
      </c>
      <c r="AI188">
        <f t="shared" si="325"/>
        <v>100</v>
      </c>
      <c r="AJ188">
        <f t="shared" ref="AJ188:BO188" si="326">AJ182-AJ185</f>
        <v>100</v>
      </c>
      <c r="AK188">
        <f t="shared" si="326"/>
        <v>100</v>
      </c>
      <c r="AL188">
        <f t="shared" si="326"/>
        <v>100</v>
      </c>
      <c r="AM188">
        <f t="shared" si="326"/>
        <v>100</v>
      </c>
      <c r="AN188">
        <f t="shared" si="326"/>
        <v>100</v>
      </c>
      <c r="AO188">
        <f t="shared" si="326"/>
        <v>100</v>
      </c>
      <c r="AP188">
        <f t="shared" si="326"/>
        <v>100</v>
      </c>
      <c r="AQ188">
        <f t="shared" si="326"/>
        <v>100</v>
      </c>
      <c r="AR188">
        <f t="shared" si="326"/>
        <v>100</v>
      </c>
      <c r="AS188">
        <f t="shared" si="326"/>
        <v>100</v>
      </c>
      <c r="AT188">
        <f t="shared" si="326"/>
        <v>100</v>
      </c>
      <c r="AU188">
        <f t="shared" si="326"/>
        <v>100</v>
      </c>
      <c r="AV188">
        <f t="shared" si="326"/>
        <v>100</v>
      </c>
      <c r="AW188">
        <f t="shared" si="326"/>
        <v>100</v>
      </c>
      <c r="AX188">
        <f t="shared" si="326"/>
        <v>100</v>
      </c>
      <c r="AY188">
        <f t="shared" si="326"/>
        <v>100</v>
      </c>
      <c r="AZ188">
        <f t="shared" si="326"/>
        <v>100</v>
      </c>
      <c r="BA188">
        <f t="shared" si="326"/>
        <v>100</v>
      </c>
      <c r="BB188">
        <f t="shared" si="326"/>
        <v>100</v>
      </c>
      <c r="BC188">
        <f t="shared" si="326"/>
        <v>100</v>
      </c>
      <c r="BD188">
        <f t="shared" si="326"/>
        <v>100</v>
      </c>
      <c r="BE188">
        <f t="shared" si="326"/>
        <v>100</v>
      </c>
      <c r="BF188">
        <f t="shared" si="326"/>
        <v>100</v>
      </c>
      <c r="BG188">
        <f t="shared" si="326"/>
        <v>100</v>
      </c>
      <c r="BH188">
        <f t="shared" si="326"/>
        <v>100</v>
      </c>
      <c r="BI188">
        <f t="shared" si="326"/>
        <v>100</v>
      </c>
      <c r="BJ188">
        <f t="shared" si="326"/>
        <v>100</v>
      </c>
      <c r="BK188">
        <f t="shared" si="326"/>
        <v>100</v>
      </c>
      <c r="BL188">
        <f t="shared" si="326"/>
        <v>100</v>
      </c>
      <c r="BM188">
        <f t="shared" si="326"/>
        <v>100</v>
      </c>
      <c r="BN188">
        <f t="shared" si="326"/>
        <v>100</v>
      </c>
      <c r="BO188">
        <f t="shared" si="326"/>
        <v>100</v>
      </c>
      <c r="BP188">
        <f t="shared" ref="BP188:CC188" si="327">BP182-BP185</f>
        <v>100</v>
      </c>
      <c r="BQ188">
        <f t="shared" si="327"/>
        <v>100</v>
      </c>
      <c r="BR188">
        <f t="shared" si="327"/>
        <v>100</v>
      </c>
      <c r="BS188">
        <f t="shared" si="327"/>
        <v>100</v>
      </c>
      <c r="BT188">
        <f t="shared" si="327"/>
        <v>100</v>
      </c>
      <c r="BU188">
        <f t="shared" si="327"/>
        <v>100</v>
      </c>
      <c r="BV188">
        <f t="shared" si="327"/>
        <v>100</v>
      </c>
      <c r="BW188">
        <f t="shared" si="327"/>
        <v>100</v>
      </c>
      <c r="BX188">
        <f t="shared" si="327"/>
        <v>100</v>
      </c>
      <c r="BY188">
        <f t="shared" si="327"/>
        <v>100</v>
      </c>
      <c r="BZ188">
        <f t="shared" si="327"/>
        <v>100</v>
      </c>
      <c r="CA188">
        <f t="shared" si="327"/>
        <v>100</v>
      </c>
      <c r="CB188">
        <f t="shared" si="327"/>
        <v>100</v>
      </c>
      <c r="CC188">
        <f t="shared" si="327"/>
        <v>100</v>
      </c>
    </row>
    <row r="189" spans="1:81" x14ac:dyDescent="0.2">
      <c r="A189" s="43" t="s">
        <v>314</v>
      </c>
      <c r="B189" s="44" t="s">
        <v>208</v>
      </c>
      <c r="C189" s="9" t="s">
        <v>38</v>
      </c>
      <c r="D189" s="58">
        <f>IFERROR(VLOOKUP(A189,OS!$A:$B,2,0),0)</f>
        <v>0</v>
      </c>
      <c r="E189" s="5">
        <f>(D189+D190-D192)</f>
        <v>0</v>
      </c>
      <c r="F189" s="5">
        <f>(E189+E190-E192)</f>
        <v>0</v>
      </c>
      <c r="G189" s="5">
        <f>(F189+F190-F192)</f>
        <v>0</v>
      </c>
      <c r="H189" s="5">
        <f>(G189+G190-G192)</f>
        <v>0</v>
      </c>
      <c r="I189" s="5">
        <f t="shared" ref="I189:AN189" si="328">(H189+H190-H192+D191)</f>
        <v>0</v>
      </c>
      <c r="J189" s="5">
        <f t="shared" si="328"/>
        <v>0</v>
      </c>
      <c r="K189" s="5">
        <f t="shared" si="328"/>
        <v>0</v>
      </c>
      <c r="L189" s="5">
        <f t="shared" si="328"/>
        <v>0</v>
      </c>
      <c r="M189" s="5">
        <f t="shared" si="328"/>
        <v>0</v>
      </c>
      <c r="N189" s="5">
        <f t="shared" si="328"/>
        <v>0</v>
      </c>
      <c r="O189" s="5">
        <f t="shared" si="328"/>
        <v>0</v>
      </c>
      <c r="P189" s="5">
        <f t="shared" si="328"/>
        <v>0</v>
      </c>
      <c r="Q189" s="5">
        <f t="shared" si="328"/>
        <v>0</v>
      </c>
      <c r="R189" s="5">
        <f t="shared" si="328"/>
        <v>0</v>
      </c>
      <c r="S189" s="5">
        <f t="shared" si="328"/>
        <v>0</v>
      </c>
      <c r="T189" s="5">
        <f t="shared" si="328"/>
        <v>0</v>
      </c>
      <c r="U189" s="5">
        <f t="shared" si="328"/>
        <v>0</v>
      </c>
      <c r="V189" s="5">
        <f t="shared" si="328"/>
        <v>0</v>
      </c>
      <c r="W189" s="5">
        <f t="shared" si="328"/>
        <v>0</v>
      </c>
      <c r="X189" s="5">
        <f t="shared" si="328"/>
        <v>0</v>
      </c>
      <c r="Y189" s="5">
        <f t="shared" si="328"/>
        <v>0</v>
      </c>
      <c r="Z189" s="5">
        <f t="shared" si="328"/>
        <v>0</v>
      </c>
      <c r="AA189" s="5">
        <f t="shared" si="328"/>
        <v>0</v>
      </c>
      <c r="AB189" s="5">
        <f t="shared" si="328"/>
        <v>0</v>
      </c>
      <c r="AC189" s="5">
        <f t="shared" si="328"/>
        <v>0</v>
      </c>
      <c r="AD189" s="5">
        <f t="shared" si="328"/>
        <v>0</v>
      </c>
      <c r="AE189" s="5">
        <f t="shared" si="328"/>
        <v>0</v>
      </c>
      <c r="AF189" s="5">
        <f t="shared" si="328"/>
        <v>0</v>
      </c>
      <c r="AG189" s="5">
        <f t="shared" si="328"/>
        <v>0</v>
      </c>
      <c r="AH189" s="5">
        <f t="shared" si="328"/>
        <v>0</v>
      </c>
      <c r="AI189" s="5">
        <f t="shared" si="328"/>
        <v>0</v>
      </c>
      <c r="AJ189" s="5">
        <f t="shared" si="328"/>
        <v>0</v>
      </c>
      <c r="AK189" s="5">
        <f t="shared" si="328"/>
        <v>0</v>
      </c>
      <c r="AL189" s="5">
        <f t="shared" si="328"/>
        <v>0</v>
      </c>
      <c r="AM189" s="5">
        <f t="shared" si="328"/>
        <v>0</v>
      </c>
      <c r="AN189" s="5">
        <f t="shared" si="328"/>
        <v>0</v>
      </c>
      <c r="AO189" s="5">
        <f t="shared" ref="AO189:BT189" si="329">(AN189+AN190-AN192+AJ191)</f>
        <v>0</v>
      </c>
      <c r="AP189" s="5">
        <f t="shared" si="329"/>
        <v>0</v>
      </c>
      <c r="AQ189" s="5">
        <f t="shared" si="329"/>
        <v>0</v>
      </c>
      <c r="AR189" s="5">
        <f t="shared" si="329"/>
        <v>0</v>
      </c>
      <c r="AS189" s="5">
        <f t="shared" si="329"/>
        <v>0</v>
      </c>
      <c r="AT189" s="5">
        <f t="shared" si="329"/>
        <v>0</v>
      </c>
      <c r="AU189" s="5">
        <f t="shared" si="329"/>
        <v>0</v>
      </c>
      <c r="AV189" s="5">
        <f t="shared" si="329"/>
        <v>0</v>
      </c>
      <c r="AW189" s="5">
        <f t="shared" si="329"/>
        <v>0</v>
      </c>
      <c r="AX189" s="5">
        <f t="shared" si="329"/>
        <v>0</v>
      </c>
      <c r="AY189" s="5">
        <f t="shared" si="329"/>
        <v>0</v>
      </c>
      <c r="AZ189" s="5">
        <f t="shared" si="329"/>
        <v>0</v>
      </c>
      <c r="BA189" s="5">
        <f t="shared" si="329"/>
        <v>0</v>
      </c>
      <c r="BB189" s="5">
        <f t="shared" si="329"/>
        <v>0</v>
      </c>
      <c r="BC189" s="5">
        <f t="shared" si="329"/>
        <v>0</v>
      </c>
      <c r="BD189" s="5">
        <f t="shared" si="329"/>
        <v>0</v>
      </c>
      <c r="BE189" s="5">
        <f t="shared" si="329"/>
        <v>0</v>
      </c>
      <c r="BF189" s="5">
        <f t="shared" si="329"/>
        <v>0</v>
      </c>
      <c r="BG189" s="5">
        <f t="shared" si="329"/>
        <v>0</v>
      </c>
      <c r="BH189" s="5">
        <f t="shared" si="329"/>
        <v>0</v>
      </c>
      <c r="BI189" s="5">
        <f t="shared" si="329"/>
        <v>0</v>
      </c>
      <c r="BJ189" s="5">
        <f t="shared" si="329"/>
        <v>0</v>
      </c>
      <c r="BK189" s="5">
        <f t="shared" si="329"/>
        <v>0</v>
      </c>
      <c r="BL189" s="5">
        <f t="shared" si="329"/>
        <v>0</v>
      </c>
      <c r="BM189" s="5">
        <f t="shared" si="329"/>
        <v>0</v>
      </c>
      <c r="BN189" s="5">
        <f t="shared" si="329"/>
        <v>0</v>
      </c>
      <c r="BO189" s="5">
        <f t="shared" si="329"/>
        <v>0</v>
      </c>
      <c r="BP189" s="5">
        <f t="shared" si="329"/>
        <v>0</v>
      </c>
      <c r="BQ189" s="5">
        <f t="shared" si="329"/>
        <v>0</v>
      </c>
      <c r="BR189" s="5">
        <f t="shared" si="329"/>
        <v>0</v>
      </c>
      <c r="BS189" s="5">
        <f t="shared" si="329"/>
        <v>0</v>
      </c>
      <c r="BT189" s="5">
        <f t="shared" si="329"/>
        <v>0</v>
      </c>
      <c r="BU189" s="5">
        <f t="shared" ref="BU189:CC189" si="330">(BT189+BT190-BT192+BP191)</f>
        <v>0</v>
      </c>
      <c r="BV189" s="5">
        <f t="shared" si="330"/>
        <v>0</v>
      </c>
      <c r="BW189" s="5">
        <f t="shared" si="330"/>
        <v>0</v>
      </c>
      <c r="BX189" s="5">
        <f t="shared" si="330"/>
        <v>0</v>
      </c>
      <c r="BY189" s="5">
        <f t="shared" si="330"/>
        <v>0</v>
      </c>
      <c r="BZ189" s="5">
        <f t="shared" si="330"/>
        <v>0</v>
      </c>
      <c r="CA189" s="5">
        <f t="shared" si="330"/>
        <v>0</v>
      </c>
      <c r="CB189" s="5">
        <f t="shared" si="330"/>
        <v>0</v>
      </c>
      <c r="CC189" s="5">
        <f t="shared" si="330"/>
        <v>0</v>
      </c>
    </row>
    <row r="190" spans="1:81" x14ac:dyDescent="0.2">
      <c r="A190" s="5" t="s">
        <v>209</v>
      </c>
      <c r="B190" s="5">
        <v>12.87337</v>
      </c>
      <c r="C190" s="45" t="s">
        <v>39</v>
      </c>
      <c r="D190" s="59">
        <f>IFERROR(VLOOKUP(A189,WIP!$A:$B,2,0),0)</f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</row>
    <row r="191" spans="1:81" x14ac:dyDescent="0.2">
      <c r="A191" s="5" t="s">
        <v>210</v>
      </c>
      <c r="B191" s="5">
        <v>0.20899999999999999</v>
      </c>
      <c r="C191" s="9" t="s">
        <v>211</v>
      </c>
      <c r="D191" s="60">
        <f>IFERROR(VLOOKUP($A189,Plan!$A:B,D$4,0),0)</f>
        <v>0</v>
      </c>
      <c r="E191" s="60">
        <f>IFERROR(VLOOKUP($A189,Plan!$A:C,E$4,0),0)</f>
        <v>0</v>
      </c>
      <c r="F191" s="60">
        <f>IFERROR(VLOOKUP($A189,Plan!$A:D,F$4,0),0)</f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</row>
    <row r="192" spans="1:81" x14ac:dyDescent="0.2">
      <c r="A192" s="5" t="s">
        <v>212</v>
      </c>
      <c r="B192" s="5">
        <v>3.2000000000000001E-2</v>
      </c>
      <c r="C192" s="9" t="s">
        <v>213</v>
      </c>
      <c r="D192" s="61">
        <f>IFERROR(VLOOKUP($A189,Sales!$A:B,D$2,0),0)</f>
        <v>0</v>
      </c>
      <c r="E192" s="61">
        <f>IFERROR(VLOOKUP($A189,Sales!$A:C,E$2,0),0)</f>
        <v>0</v>
      </c>
      <c r="F192" s="61">
        <f>IFERROR(VLOOKUP($A189,Sales!$A:D,F$2,0),0)</f>
        <v>0</v>
      </c>
      <c r="G192" s="61">
        <f>IFERROR(VLOOKUP($A189,Sales!$A:E,G$2,0),0)</f>
        <v>0</v>
      </c>
      <c r="H192" s="61">
        <f>IFERROR(VLOOKUP($A189,Sales!$A:F,H$2,0),0)</f>
        <v>0</v>
      </c>
      <c r="I192" s="61">
        <f>IFERROR(VLOOKUP($A189,Sales!$A:G,I$2,0),0)</f>
        <v>0</v>
      </c>
      <c r="J192" s="61">
        <f>IFERROR(VLOOKUP($A189,Sales!$A:H,J$2,0),0)</f>
        <v>0</v>
      </c>
      <c r="K192" s="61">
        <f>IFERROR(VLOOKUP($A189,Sales!$A:I,K$2,0),0)</f>
        <v>0</v>
      </c>
      <c r="L192" s="61">
        <f>IFERROR(VLOOKUP($A189,Sales!$A:J,L$2,0),0)</f>
        <v>0</v>
      </c>
      <c r="M192" s="61">
        <f>IFERROR(VLOOKUP($A189,Sales!$A:K,M$2,0),0)</f>
        <v>0</v>
      </c>
      <c r="N192" s="61">
        <f>IFERROR(VLOOKUP($A189,Sales!$A:L,N$2,0),0)</f>
        <v>0</v>
      </c>
      <c r="O192" s="61">
        <f>IFERROR(VLOOKUP($A189,Sales!$A:M,O$2,0),0)</f>
        <v>0</v>
      </c>
      <c r="P192" s="61">
        <f>IFERROR(VLOOKUP($A189,Sales!$A:N,P$2,0),0)</f>
        <v>0</v>
      </c>
      <c r="Q192" s="61">
        <f>IFERROR(VLOOKUP($A189,Sales!$A:O,Q$2,0),0)</f>
        <v>0</v>
      </c>
      <c r="R192" s="61">
        <f>IFERROR(VLOOKUP($A189,Sales!$A:P,R$2,0),0)</f>
        <v>0</v>
      </c>
      <c r="S192" s="61">
        <f>IFERROR(VLOOKUP($A189,Sales!$A:Q,S$2,0),0)</f>
        <v>0</v>
      </c>
      <c r="T192" s="61">
        <f>IFERROR(VLOOKUP($A189,Sales!$A:R,T$2,0),0)</f>
        <v>0</v>
      </c>
      <c r="U192" s="61">
        <f>IFERROR(VLOOKUP($A189,Sales!$A:S,U$2,0),0)</f>
        <v>0</v>
      </c>
      <c r="V192" s="61">
        <f>IFERROR(VLOOKUP($A189,Sales!$A:T,V$2,0),0)</f>
        <v>0</v>
      </c>
      <c r="W192" s="61">
        <f>IFERROR(VLOOKUP($A189,Sales!$A:U,W$2,0),0)</f>
        <v>0</v>
      </c>
      <c r="X192" s="61">
        <f>IFERROR(VLOOKUP($A189,Sales!$A:V,X$2,0),0)</f>
        <v>0</v>
      </c>
      <c r="Y192" s="61">
        <f>IFERROR(VLOOKUP($A189,Sales!$A:W,Y$2,0),0)</f>
        <v>0</v>
      </c>
      <c r="Z192" s="61">
        <f>IFERROR(VLOOKUP($A189,Sales!$A:X,Z$2,0),0)</f>
        <v>0</v>
      </c>
      <c r="AA192" s="61">
        <f>IFERROR(VLOOKUP($A189,Sales!$A:Y,AA$2,0),0)</f>
        <v>0</v>
      </c>
      <c r="AB192" s="61">
        <f>IFERROR(VLOOKUP($A189,Sales!$A:Z,AB$2,0),0)</f>
        <v>0</v>
      </c>
      <c r="AC192" s="61">
        <f>IFERROR(VLOOKUP($A189,Sales!$A:AA,AC$2,0),0)</f>
        <v>0</v>
      </c>
      <c r="AD192" s="61">
        <f>IFERROR(VLOOKUP($A189,Sales!$A:AB,AD$2,0),0)</f>
        <v>0</v>
      </c>
      <c r="AE192" s="61">
        <f>IFERROR(VLOOKUP($A189,Sales!$A:AC,AE$2,0),0)</f>
        <v>0</v>
      </c>
      <c r="AF192" s="61">
        <f>IFERROR(VLOOKUP($A189,Sales!$A:AD,AF$2,0),0)</f>
        <v>0</v>
      </c>
      <c r="AG192" s="61">
        <f>IFERROR(VLOOKUP($A189,Sales!$A:AE,AG$2,0),0)</f>
        <v>0</v>
      </c>
      <c r="AH192" s="61">
        <f>IFERROR(VLOOKUP($A189,Sales!$A:AF,AH$2,0),0)</f>
        <v>0</v>
      </c>
      <c r="AI192" s="61">
        <f>IFERROR(VLOOKUP($A189,Sales!$A:AG,AI$2,0),0)</f>
        <v>0</v>
      </c>
      <c r="AJ192" s="61">
        <f>IFERROR(VLOOKUP($A189,Sales!$A:AH,AJ$2,0),0)</f>
        <v>0</v>
      </c>
      <c r="AK192" s="74">
        <f t="shared" ref="AK192:CC192" si="331">CEILING(AK$5*$B188,1)</f>
        <v>0</v>
      </c>
      <c r="AL192" s="74">
        <f t="shared" si="331"/>
        <v>0</v>
      </c>
      <c r="AM192" s="74">
        <f t="shared" si="331"/>
        <v>0</v>
      </c>
      <c r="AN192" s="74">
        <f t="shared" si="331"/>
        <v>0</v>
      </c>
      <c r="AO192" s="74">
        <f t="shared" si="331"/>
        <v>0</v>
      </c>
      <c r="AP192" s="74">
        <f t="shared" si="331"/>
        <v>0</v>
      </c>
      <c r="AQ192" s="74">
        <f t="shared" si="331"/>
        <v>0</v>
      </c>
      <c r="AR192" s="74">
        <f t="shared" si="331"/>
        <v>0</v>
      </c>
      <c r="AS192" s="74">
        <f t="shared" si="331"/>
        <v>0</v>
      </c>
      <c r="AT192" s="74">
        <f t="shared" si="331"/>
        <v>0</v>
      </c>
      <c r="AU192" s="74">
        <f t="shared" si="331"/>
        <v>0</v>
      </c>
      <c r="AV192" s="74">
        <f t="shared" si="331"/>
        <v>0</v>
      </c>
      <c r="AW192" s="74">
        <f t="shared" si="331"/>
        <v>0</v>
      </c>
      <c r="AX192" s="74">
        <f t="shared" si="331"/>
        <v>0</v>
      </c>
      <c r="AY192" s="74">
        <f t="shared" si="331"/>
        <v>0</v>
      </c>
      <c r="AZ192" s="74">
        <f t="shared" si="331"/>
        <v>0</v>
      </c>
      <c r="BA192" s="74">
        <f t="shared" si="331"/>
        <v>0</v>
      </c>
      <c r="BB192" s="74">
        <f t="shared" si="331"/>
        <v>0</v>
      </c>
      <c r="BC192" s="74">
        <f t="shared" si="331"/>
        <v>0</v>
      </c>
      <c r="BD192" s="74">
        <f t="shared" si="331"/>
        <v>0</v>
      </c>
      <c r="BE192" s="74">
        <f t="shared" si="331"/>
        <v>0</v>
      </c>
      <c r="BF192" s="74">
        <f t="shared" si="331"/>
        <v>0</v>
      </c>
      <c r="BG192" s="74">
        <f t="shared" si="331"/>
        <v>0</v>
      </c>
      <c r="BH192" s="74">
        <f t="shared" si="331"/>
        <v>0</v>
      </c>
      <c r="BI192" s="74">
        <f t="shared" si="331"/>
        <v>0</v>
      </c>
      <c r="BJ192" s="74">
        <f t="shared" si="331"/>
        <v>0</v>
      </c>
      <c r="BK192" s="74">
        <f t="shared" si="331"/>
        <v>0</v>
      </c>
      <c r="BL192" s="74">
        <f t="shared" si="331"/>
        <v>0</v>
      </c>
      <c r="BM192" s="74">
        <f t="shared" si="331"/>
        <v>0</v>
      </c>
      <c r="BN192" s="74">
        <f t="shared" si="331"/>
        <v>0</v>
      </c>
      <c r="BO192" s="74">
        <f t="shared" si="331"/>
        <v>0</v>
      </c>
      <c r="BP192" s="74">
        <f t="shared" si="331"/>
        <v>0</v>
      </c>
      <c r="BQ192" s="74">
        <f t="shared" si="331"/>
        <v>0</v>
      </c>
      <c r="BR192" s="74">
        <f t="shared" si="331"/>
        <v>0</v>
      </c>
      <c r="BS192" s="74">
        <f t="shared" si="331"/>
        <v>0</v>
      </c>
      <c r="BT192" s="74">
        <f t="shared" si="331"/>
        <v>0</v>
      </c>
      <c r="BU192" s="74">
        <f t="shared" si="331"/>
        <v>0</v>
      </c>
      <c r="BV192" s="74">
        <f t="shared" si="331"/>
        <v>0</v>
      </c>
      <c r="BW192" s="74">
        <f t="shared" si="331"/>
        <v>0</v>
      </c>
      <c r="BX192" s="74">
        <f t="shared" si="331"/>
        <v>0</v>
      </c>
      <c r="BY192" s="74">
        <f t="shared" si="331"/>
        <v>0</v>
      </c>
      <c r="BZ192" s="74">
        <f t="shared" si="331"/>
        <v>0</v>
      </c>
      <c r="CA192" s="74">
        <f t="shared" si="331"/>
        <v>0</v>
      </c>
      <c r="CB192" s="74">
        <f t="shared" si="331"/>
        <v>0</v>
      </c>
      <c r="CC192" s="74">
        <f t="shared" si="331"/>
        <v>0</v>
      </c>
    </row>
    <row r="193" spans="1:81" x14ac:dyDescent="0.2">
      <c r="A193" s="5" t="s">
        <v>214</v>
      </c>
      <c r="B193" s="5">
        <v>0.24099999999999999</v>
      </c>
      <c r="C193" s="46" t="s">
        <v>215</v>
      </c>
      <c r="D193" s="11">
        <f t="shared" ref="D193:AI193" si="332">IF(D192=0,0, ROUND(D189 * 1/D192* D$13,1))</f>
        <v>0</v>
      </c>
      <c r="E193" s="11">
        <f t="shared" si="332"/>
        <v>0</v>
      </c>
      <c r="F193" s="11">
        <f t="shared" si="332"/>
        <v>0</v>
      </c>
      <c r="G193" s="11">
        <f t="shared" si="332"/>
        <v>0</v>
      </c>
      <c r="H193" s="11">
        <f t="shared" si="332"/>
        <v>0</v>
      </c>
      <c r="I193" s="11">
        <f t="shared" si="332"/>
        <v>0</v>
      </c>
      <c r="J193" s="11">
        <f t="shared" si="332"/>
        <v>0</v>
      </c>
      <c r="K193" s="11">
        <f t="shared" si="332"/>
        <v>0</v>
      </c>
      <c r="L193" s="11">
        <f t="shared" si="332"/>
        <v>0</v>
      </c>
      <c r="M193" s="11">
        <f t="shared" si="332"/>
        <v>0</v>
      </c>
      <c r="N193" s="11">
        <f t="shared" si="332"/>
        <v>0</v>
      </c>
      <c r="O193" s="11">
        <f t="shared" si="332"/>
        <v>0</v>
      </c>
      <c r="P193" s="11">
        <f t="shared" si="332"/>
        <v>0</v>
      </c>
      <c r="Q193" s="11">
        <f t="shared" si="332"/>
        <v>0</v>
      </c>
      <c r="R193" s="11">
        <f t="shared" si="332"/>
        <v>0</v>
      </c>
      <c r="S193" s="11">
        <f t="shared" si="332"/>
        <v>0</v>
      </c>
      <c r="T193" s="11">
        <f t="shared" si="332"/>
        <v>0</v>
      </c>
      <c r="U193" s="11">
        <f t="shared" si="332"/>
        <v>0</v>
      </c>
      <c r="V193" s="11">
        <f t="shared" si="332"/>
        <v>0</v>
      </c>
      <c r="W193" s="11">
        <f t="shared" si="332"/>
        <v>0</v>
      </c>
      <c r="X193" s="11">
        <f t="shared" si="332"/>
        <v>0</v>
      </c>
      <c r="Y193" s="11">
        <f t="shared" si="332"/>
        <v>0</v>
      </c>
      <c r="Z193" s="11">
        <f t="shared" si="332"/>
        <v>0</v>
      </c>
      <c r="AA193" s="11">
        <f t="shared" si="332"/>
        <v>0</v>
      </c>
      <c r="AB193" s="11">
        <f t="shared" si="332"/>
        <v>0</v>
      </c>
      <c r="AC193" s="11">
        <f t="shared" si="332"/>
        <v>0</v>
      </c>
      <c r="AD193" s="11">
        <f t="shared" si="332"/>
        <v>0</v>
      </c>
      <c r="AE193" s="11">
        <f t="shared" si="332"/>
        <v>0</v>
      </c>
      <c r="AF193" s="11">
        <f t="shared" si="332"/>
        <v>0</v>
      </c>
      <c r="AG193" s="11">
        <f t="shared" si="332"/>
        <v>0</v>
      </c>
      <c r="AH193" s="11">
        <f t="shared" si="332"/>
        <v>0</v>
      </c>
      <c r="AI193" s="11">
        <f t="shared" si="332"/>
        <v>0</v>
      </c>
      <c r="AJ193" s="11">
        <f t="shared" ref="AJ193:BO193" si="333">IF(AJ192=0,0, ROUND(AJ189 * 1/AJ192* AJ$13,1))</f>
        <v>0</v>
      </c>
      <c r="AK193" s="11">
        <f t="shared" si="333"/>
        <v>0</v>
      </c>
      <c r="AL193" s="11">
        <f t="shared" si="333"/>
        <v>0</v>
      </c>
      <c r="AM193" s="11">
        <f t="shared" si="333"/>
        <v>0</v>
      </c>
      <c r="AN193" s="11">
        <f t="shared" si="333"/>
        <v>0</v>
      </c>
      <c r="AO193" s="11">
        <f t="shared" si="333"/>
        <v>0</v>
      </c>
      <c r="AP193" s="11">
        <f t="shared" si="333"/>
        <v>0</v>
      </c>
      <c r="AQ193" s="11">
        <f t="shared" si="333"/>
        <v>0</v>
      </c>
      <c r="AR193" s="11">
        <f t="shared" si="333"/>
        <v>0</v>
      </c>
      <c r="AS193" s="11">
        <f t="shared" si="333"/>
        <v>0</v>
      </c>
      <c r="AT193" s="11">
        <f t="shared" si="333"/>
        <v>0</v>
      </c>
      <c r="AU193" s="11">
        <f t="shared" si="333"/>
        <v>0</v>
      </c>
      <c r="AV193" s="11">
        <f t="shared" si="333"/>
        <v>0</v>
      </c>
      <c r="AW193" s="11">
        <f t="shared" si="333"/>
        <v>0</v>
      </c>
      <c r="AX193" s="11">
        <f t="shared" si="333"/>
        <v>0</v>
      </c>
      <c r="AY193" s="11">
        <f t="shared" si="333"/>
        <v>0</v>
      </c>
      <c r="AZ193" s="11">
        <f t="shared" si="333"/>
        <v>0</v>
      </c>
      <c r="BA193" s="11">
        <f t="shared" si="333"/>
        <v>0</v>
      </c>
      <c r="BB193" s="11">
        <f t="shared" si="333"/>
        <v>0</v>
      </c>
      <c r="BC193" s="11">
        <f t="shared" si="333"/>
        <v>0</v>
      </c>
      <c r="BD193" s="11">
        <f t="shared" si="333"/>
        <v>0</v>
      </c>
      <c r="BE193" s="11">
        <f t="shared" si="333"/>
        <v>0</v>
      </c>
      <c r="BF193" s="11">
        <f t="shared" si="333"/>
        <v>0</v>
      </c>
      <c r="BG193" s="11">
        <f t="shared" si="333"/>
        <v>0</v>
      </c>
      <c r="BH193" s="11">
        <f t="shared" si="333"/>
        <v>0</v>
      </c>
      <c r="BI193" s="11">
        <f t="shared" si="333"/>
        <v>0</v>
      </c>
      <c r="BJ193" s="11">
        <f t="shared" si="333"/>
        <v>0</v>
      </c>
      <c r="BK193" s="11">
        <f t="shared" si="333"/>
        <v>0</v>
      </c>
      <c r="BL193" s="11">
        <f t="shared" si="333"/>
        <v>0</v>
      </c>
      <c r="BM193" s="11">
        <f t="shared" si="333"/>
        <v>0</v>
      </c>
      <c r="BN193" s="11">
        <f t="shared" si="333"/>
        <v>0</v>
      </c>
      <c r="BO193" s="11">
        <f t="shared" si="333"/>
        <v>0</v>
      </c>
      <c r="BP193" s="11">
        <f t="shared" ref="BP193:CC193" si="334">IF(BP192=0,0, ROUND(BP189 * 1/BP192* BP$13,1))</f>
        <v>0</v>
      </c>
      <c r="BQ193" s="11">
        <f t="shared" si="334"/>
        <v>0</v>
      </c>
      <c r="BR193" s="11">
        <f t="shared" si="334"/>
        <v>0</v>
      </c>
      <c r="BS193" s="11">
        <f t="shared" si="334"/>
        <v>0</v>
      </c>
      <c r="BT193" s="11">
        <f t="shared" si="334"/>
        <v>0</v>
      </c>
      <c r="BU193" s="11">
        <f t="shared" si="334"/>
        <v>0</v>
      </c>
      <c r="BV193" s="11">
        <f t="shared" si="334"/>
        <v>0</v>
      </c>
      <c r="BW193" s="11">
        <f t="shared" si="334"/>
        <v>0</v>
      </c>
      <c r="BX193" s="11">
        <f t="shared" si="334"/>
        <v>0</v>
      </c>
      <c r="BY193" s="11">
        <f t="shared" si="334"/>
        <v>0</v>
      </c>
      <c r="BZ193" s="11">
        <f t="shared" si="334"/>
        <v>0</v>
      </c>
      <c r="CA193" s="11">
        <f t="shared" si="334"/>
        <v>0</v>
      </c>
      <c r="CB193" s="11">
        <f t="shared" si="334"/>
        <v>0</v>
      </c>
      <c r="CC193" s="11">
        <f t="shared" si="334"/>
        <v>0</v>
      </c>
    </row>
    <row r="194" spans="1:81" x14ac:dyDescent="0.2">
      <c r="A194">
        <v>15</v>
      </c>
      <c r="B194">
        <v>1</v>
      </c>
      <c r="C194" s="8">
        <v>5.6855700000000002</v>
      </c>
      <c r="D194">
        <f t="shared" ref="D194:AI194" si="335">D191/$B194</f>
        <v>0</v>
      </c>
      <c r="E194">
        <f t="shared" si="335"/>
        <v>0</v>
      </c>
      <c r="F194">
        <f t="shared" si="335"/>
        <v>0</v>
      </c>
      <c r="G194">
        <f t="shared" si="335"/>
        <v>0</v>
      </c>
      <c r="H194">
        <f t="shared" si="335"/>
        <v>0</v>
      </c>
      <c r="I194">
        <f t="shared" si="335"/>
        <v>0</v>
      </c>
      <c r="J194">
        <f t="shared" si="335"/>
        <v>0</v>
      </c>
      <c r="K194">
        <f t="shared" si="335"/>
        <v>0</v>
      </c>
      <c r="L194">
        <f t="shared" si="335"/>
        <v>0</v>
      </c>
      <c r="M194">
        <f t="shared" si="335"/>
        <v>0</v>
      </c>
      <c r="N194">
        <f t="shared" si="335"/>
        <v>0</v>
      </c>
      <c r="O194">
        <f t="shared" si="335"/>
        <v>0</v>
      </c>
      <c r="P194">
        <f t="shared" si="335"/>
        <v>0</v>
      </c>
      <c r="Q194">
        <f t="shared" si="335"/>
        <v>0</v>
      </c>
      <c r="R194">
        <f t="shared" si="335"/>
        <v>0</v>
      </c>
      <c r="S194">
        <f t="shared" si="335"/>
        <v>0</v>
      </c>
      <c r="T194">
        <f t="shared" si="335"/>
        <v>0</v>
      </c>
      <c r="U194">
        <f t="shared" si="335"/>
        <v>0</v>
      </c>
      <c r="V194">
        <f t="shared" si="335"/>
        <v>0</v>
      </c>
      <c r="W194">
        <f t="shared" si="335"/>
        <v>0</v>
      </c>
      <c r="X194">
        <f t="shared" si="335"/>
        <v>0</v>
      </c>
      <c r="Y194">
        <f t="shared" si="335"/>
        <v>0</v>
      </c>
      <c r="Z194">
        <f t="shared" si="335"/>
        <v>0</v>
      </c>
      <c r="AA194">
        <f t="shared" si="335"/>
        <v>0</v>
      </c>
      <c r="AB194">
        <f t="shared" si="335"/>
        <v>0</v>
      </c>
      <c r="AC194">
        <f t="shared" si="335"/>
        <v>0</v>
      </c>
      <c r="AD194">
        <f t="shared" si="335"/>
        <v>0</v>
      </c>
      <c r="AE194">
        <f t="shared" si="335"/>
        <v>0</v>
      </c>
      <c r="AF194">
        <f t="shared" si="335"/>
        <v>0</v>
      </c>
      <c r="AG194">
        <f t="shared" si="335"/>
        <v>0</v>
      </c>
      <c r="AH194">
        <f t="shared" si="335"/>
        <v>0</v>
      </c>
      <c r="AI194">
        <f t="shared" si="335"/>
        <v>0</v>
      </c>
      <c r="AJ194">
        <f t="shared" ref="AJ194:BO194" si="336">AJ191/$B194</f>
        <v>0</v>
      </c>
      <c r="AK194">
        <f t="shared" si="336"/>
        <v>0</v>
      </c>
      <c r="AL194">
        <f t="shared" si="336"/>
        <v>0</v>
      </c>
      <c r="AM194">
        <f t="shared" si="336"/>
        <v>0</v>
      </c>
      <c r="AN194">
        <f t="shared" si="336"/>
        <v>0</v>
      </c>
      <c r="AO194">
        <f t="shared" si="336"/>
        <v>0</v>
      </c>
      <c r="AP194">
        <f t="shared" si="336"/>
        <v>0</v>
      </c>
      <c r="AQ194">
        <f t="shared" si="336"/>
        <v>0</v>
      </c>
      <c r="AR194">
        <f t="shared" si="336"/>
        <v>0</v>
      </c>
      <c r="AS194">
        <f t="shared" si="336"/>
        <v>0</v>
      </c>
      <c r="AT194">
        <f t="shared" si="336"/>
        <v>0</v>
      </c>
      <c r="AU194">
        <f t="shared" si="336"/>
        <v>0</v>
      </c>
      <c r="AV194">
        <f t="shared" si="336"/>
        <v>0</v>
      </c>
      <c r="AW194">
        <f t="shared" si="336"/>
        <v>0</v>
      </c>
      <c r="AX194">
        <f t="shared" si="336"/>
        <v>0</v>
      </c>
      <c r="AY194">
        <f t="shared" si="336"/>
        <v>0</v>
      </c>
      <c r="AZ194">
        <f t="shared" si="336"/>
        <v>0</v>
      </c>
      <c r="BA194">
        <f t="shared" si="336"/>
        <v>0</v>
      </c>
      <c r="BB194">
        <f t="shared" si="336"/>
        <v>0</v>
      </c>
      <c r="BC194">
        <f t="shared" si="336"/>
        <v>0</v>
      </c>
      <c r="BD194">
        <f t="shared" si="336"/>
        <v>0</v>
      </c>
      <c r="BE194">
        <f t="shared" si="336"/>
        <v>0</v>
      </c>
      <c r="BF194">
        <f t="shared" si="336"/>
        <v>0</v>
      </c>
      <c r="BG194">
        <f t="shared" si="336"/>
        <v>0</v>
      </c>
      <c r="BH194">
        <f t="shared" si="336"/>
        <v>0</v>
      </c>
      <c r="BI194">
        <f t="shared" si="336"/>
        <v>0</v>
      </c>
      <c r="BJ194">
        <f t="shared" si="336"/>
        <v>0</v>
      </c>
      <c r="BK194">
        <f t="shared" si="336"/>
        <v>0</v>
      </c>
      <c r="BL194">
        <f t="shared" si="336"/>
        <v>0</v>
      </c>
      <c r="BM194">
        <f t="shared" si="336"/>
        <v>0</v>
      </c>
      <c r="BN194">
        <f t="shared" si="336"/>
        <v>0</v>
      </c>
      <c r="BO194">
        <f t="shared" si="336"/>
        <v>0</v>
      </c>
      <c r="BP194">
        <f t="shared" ref="BP194:CC194" si="337">BP191/$B194</f>
        <v>0</v>
      </c>
      <c r="BQ194">
        <f t="shared" si="337"/>
        <v>0</v>
      </c>
      <c r="BR194">
        <f t="shared" si="337"/>
        <v>0</v>
      </c>
      <c r="BS194">
        <f t="shared" si="337"/>
        <v>0</v>
      </c>
      <c r="BT194">
        <f t="shared" si="337"/>
        <v>0</v>
      </c>
      <c r="BU194">
        <f t="shared" si="337"/>
        <v>0</v>
      </c>
      <c r="BV194">
        <f t="shared" si="337"/>
        <v>0</v>
      </c>
      <c r="BW194">
        <f t="shared" si="337"/>
        <v>0</v>
      </c>
      <c r="BX194">
        <f t="shared" si="337"/>
        <v>0</v>
      </c>
      <c r="BY194">
        <f t="shared" si="337"/>
        <v>0</v>
      </c>
      <c r="BZ194">
        <f t="shared" si="337"/>
        <v>0</v>
      </c>
      <c r="CA194">
        <f t="shared" si="337"/>
        <v>0</v>
      </c>
      <c r="CB194">
        <f t="shared" si="337"/>
        <v>0</v>
      </c>
      <c r="CC194">
        <f t="shared" si="337"/>
        <v>0</v>
      </c>
    </row>
    <row r="195" spans="1:81" x14ac:dyDescent="0.2">
      <c r="B195" s="67">
        <f>SUM(D199:AJ199)/SUM($D$263:$AJ$263)</f>
        <v>7.0439070204273303E-3</v>
      </c>
      <c r="C195" s="9" t="s">
        <v>216</v>
      </c>
      <c r="D195">
        <f t="shared" ref="D195:AI195" si="338">D189-D192</f>
        <v>0</v>
      </c>
      <c r="E195">
        <f t="shared" si="338"/>
        <v>0</v>
      </c>
      <c r="F195">
        <f t="shared" si="338"/>
        <v>0</v>
      </c>
      <c r="G195">
        <f t="shared" si="338"/>
        <v>0</v>
      </c>
      <c r="H195">
        <f t="shared" si="338"/>
        <v>0</v>
      </c>
      <c r="I195">
        <f t="shared" si="338"/>
        <v>0</v>
      </c>
      <c r="J195">
        <f t="shared" si="338"/>
        <v>0</v>
      </c>
      <c r="K195">
        <f t="shared" si="338"/>
        <v>0</v>
      </c>
      <c r="L195">
        <f t="shared" si="338"/>
        <v>0</v>
      </c>
      <c r="M195">
        <f t="shared" si="338"/>
        <v>0</v>
      </c>
      <c r="N195">
        <f t="shared" si="338"/>
        <v>0</v>
      </c>
      <c r="O195">
        <f t="shared" si="338"/>
        <v>0</v>
      </c>
      <c r="P195">
        <f t="shared" si="338"/>
        <v>0</v>
      </c>
      <c r="Q195">
        <f t="shared" si="338"/>
        <v>0</v>
      </c>
      <c r="R195">
        <f t="shared" si="338"/>
        <v>0</v>
      </c>
      <c r="S195">
        <f t="shared" si="338"/>
        <v>0</v>
      </c>
      <c r="T195">
        <f t="shared" si="338"/>
        <v>0</v>
      </c>
      <c r="U195">
        <f t="shared" si="338"/>
        <v>0</v>
      </c>
      <c r="V195">
        <f t="shared" si="338"/>
        <v>0</v>
      </c>
      <c r="W195">
        <f t="shared" si="338"/>
        <v>0</v>
      </c>
      <c r="X195">
        <f t="shared" si="338"/>
        <v>0</v>
      </c>
      <c r="Y195">
        <f t="shared" si="338"/>
        <v>0</v>
      </c>
      <c r="Z195">
        <f t="shared" si="338"/>
        <v>0</v>
      </c>
      <c r="AA195">
        <f t="shared" si="338"/>
        <v>0</v>
      </c>
      <c r="AB195">
        <f t="shared" si="338"/>
        <v>0</v>
      </c>
      <c r="AC195">
        <f t="shared" si="338"/>
        <v>0</v>
      </c>
      <c r="AD195">
        <f t="shared" si="338"/>
        <v>0</v>
      </c>
      <c r="AE195">
        <f t="shared" si="338"/>
        <v>0</v>
      </c>
      <c r="AF195">
        <f t="shared" si="338"/>
        <v>0</v>
      </c>
      <c r="AG195">
        <f t="shared" si="338"/>
        <v>0</v>
      </c>
      <c r="AH195">
        <f t="shared" si="338"/>
        <v>0</v>
      </c>
      <c r="AI195">
        <f t="shared" si="338"/>
        <v>0</v>
      </c>
      <c r="AJ195">
        <f t="shared" ref="AJ195:BO195" si="339">AJ189-AJ192</f>
        <v>0</v>
      </c>
      <c r="AK195">
        <f t="shared" si="339"/>
        <v>0</v>
      </c>
      <c r="AL195">
        <f t="shared" si="339"/>
        <v>0</v>
      </c>
      <c r="AM195">
        <f t="shared" si="339"/>
        <v>0</v>
      </c>
      <c r="AN195">
        <f t="shared" si="339"/>
        <v>0</v>
      </c>
      <c r="AO195">
        <f t="shared" si="339"/>
        <v>0</v>
      </c>
      <c r="AP195">
        <f t="shared" si="339"/>
        <v>0</v>
      </c>
      <c r="AQ195">
        <f t="shared" si="339"/>
        <v>0</v>
      </c>
      <c r="AR195">
        <f t="shared" si="339"/>
        <v>0</v>
      </c>
      <c r="AS195">
        <f t="shared" si="339"/>
        <v>0</v>
      </c>
      <c r="AT195">
        <f t="shared" si="339"/>
        <v>0</v>
      </c>
      <c r="AU195">
        <f t="shared" si="339"/>
        <v>0</v>
      </c>
      <c r="AV195">
        <f t="shared" si="339"/>
        <v>0</v>
      </c>
      <c r="AW195">
        <f t="shared" si="339"/>
        <v>0</v>
      </c>
      <c r="AX195">
        <f t="shared" si="339"/>
        <v>0</v>
      </c>
      <c r="AY195">
        <f t="shared" si="339"/>
        <v>0</v>
      </c>
      <c r="AZ195">
        <f t="shared" si="339"/>
        <v>0</v>
      </c>
      <c r="BA195">
        <f t="shared" si="339"/>
        <v>0</v>
      </c>
      <c r="BB195">
        <f t="shared" si="339"/>
        <v>0</v>
      </c>
      <c r="BC195">
        <f t="shared" si="339"/>
        <v>0</v>
      </c>
      <c r="BD195">
        <f t="shared" si="339"/>
        <v>0</v>
      </c>
      <c r="BE195">
        <f t="shared" si="339"/>
        <v>0</v>
      </c>
      <c r="BF195">
        <f t="shared" si="339"/>
        <v>0</v>
      </c>
      <c r="BG195">
        <f t="shared" si="339"/>
        <v>0</v>
      </c>
      <c r="BH195">
        <f t="shared" si="339"/>
        <v>0</v>
      </c>
      <c r="BI195">
        <f t="shared" si="339"/>
        <v>0</v>
      </c>
      <c r="BJ195">
        <f t="shared" si="339"/>
        <v>0</v>
      </c>
      <c r="BK195">
        <f t="shared" si="339"/>
        <v>0</v>
      </c>
      <c r="BL195">
        <f t="shared" si="339"/>
        <v>0</v>
      </c>
      <c r="BM195">
        <f t="shared" si="339"/>
        <v>0</v>
      </c>
      <c r="BN195">
        <f t="shared" si="339"/>
        <v>0</v>
      </c>
      <c r="BO195">
        <f t="shared" si="339"/>
        <v>0</v>
      </c>
      <c r="BP195">
        <f t="shared" ref="BP195:CC195" si="340">BP189-BP192</f>
        <v>0</v>
      </c>
      <c r="BQ195">
        <f t="shared" si="340"/>
        <v>0</v>
      </c>
      <c r="BR195">
        <f t="shared" si="340"/>
        <v>0</v>
      </c>
      <c r="BS195">
        <f t="shared" si="340"/>
        <v>0</v>
      </c>
      <c r="BT195">
        <f t="shared" si="340"/>
        <v>0</v>
      </c>
      <c r="BU195">
        <f t="shared" si="340"/>
        <v>0</v>
      </c>
      <c r="BV195">
        <f t="shared" si="340"/>
        <v>0</v>
      </c>
      <c r="BW195">
        <f t="shared" si="340"/>
        <v>0</v>
      </c>
      <c r="BX195">
        <f t="shared" si="340"/>
        <v>0</v>
      </c>
      <c r="BY195">
        <f t="shared" si="340"/>
        <v>0</v>
      </c>
      <c r="BZ195">
        <f t="shared" si="340"/>
        <v>0</v>
      </c>
      <c r="CA195">
        <f t="shared" si="340"/>
        <v>0</v>
      </c>
      <c r="CB195">
        <f t="shared" si="340"/>
        <v>0</v>
      </c>
      <c r="CC195">
        <f t="shared" si="340"/>
        <v>0</v>
      </c>
    </row>
    <row r="196" spans="1:81" x14ac:dyDescent="0.2">
      <c r="A196" s="43" t="s">
        <v>315</v>
      </c>
      <c r="B196" s="44" t="s">
        <v>208</v>
      </c>
      <c r="C196" s="9" t="s">
        <v>38</v>
      </c>
      <c r="D196" s="58">
        <f>IFERROR(VLOOKUP(A196,OS!$A:$B,2,0),0)</f>
        <v>180</v>
      </c>
      <c r="E196" s="5">
        <f>(D196+D197-D199)</f>
        <v>180</v>
      </c>
      <c r="F196" s="5">
        <f>(E196+E197-E199)</f>
        <v>100</v>
      </c>
      <c r="G196" s="5">
        <f>(F196+F197-F199)</f>
        <v>100</v>
      </c>
      <c r="H196" s="5">
        <f>(G196+G197-G199)</f>
        <v>100</v>
      </c>
      <c r="I196" s="5">
        <f t="shared" ref="I196:AN196" si="341">(H196+H197-H199+D198)</f>
        <v>20</v>
      </c>
      <c r="J196" s="5">
        <f t="shared" si="341"/>
        <v>200</v>
      </c>
      <c r="K196" s="5">
        <f t="shared" si="341"/>
        <v>200</v>
      </c>
      <c r="L196" s="5">
        <f t="shared" si="341"/>
        <v>120</v>
      </c>
      <c r="M196" s="5">
        <f t="shared" si="341"/>
        <v>120</v>
      </c>
      <c r="N196" s="5">
        <f t="shared" si="341"/>
        <v>40</v>
      </c>
      <c r="O196" s="5">
        <f t="shared" si="341"/>
        <v>40</v>
      </c>
      <c r="P196" s="5">
        <f t="shared" si="341"/>
        <v>40</v>
      </c>
      <c r="Q196" s="5">
        <f t="shared" si="341"/>
        <v>40</v>
      </c>
      <c r="R196" s="5">
        <f t="shared" si="341"/>
        <v>40</v>
      </c>
      <c r="S196" s="5">
        <f t="shared" si="341"/>
        <v>40</v>
      </c>
      <c r="T196" s="5">
        <f t="shared" si="341"/>
        <v>40</v>
      </c>
      <c r="U196" s="5">
        <f t="shared" si="341"/>
        <v>40</v>
      </c>
      <c r="V196" s="5">
        <f t="shared" si="341"/>
        <v>20</v>
      </c>
      <c r="W196" s="5">
        <f t="shared" si="341"/>
        <v>0</v>
      </c>
      <c r="X196" s="5">
        <f t="shared" si="341"/>
        <v>-20</v>
      </c>
      <c r="Y196" s="5">
        <f t="shared" si="341"/>
        <v>-40</v>
      </c>
      <c r="Z196" s="5">
        <f t="shared" si="341"/>
        <v>-60</v>
      </c>
      <c r="AA196" s="5">
        <f t="shared" si="341"/>
        <v>-80</v>
      </c>
      <c r="AB196" s="5">
        <f t="shared" si="341"/>
        <v>-100</v>
      </c>
      <c r="AC196" s="5">
        <f t="shared" si="341"/>
        <v>-120</v>
      </c>
      <c r="AD196" s="5">
        <f t="shared" si="341"/>
        <v>-160</v>
      </c>
      <c r="AE196" s="5">
        <f t="shared" si="341"/>
        <v>-200</v>
      </c>
      <c r="AF196" s="5">
        <f t="shared" si="341"/>
        <v>-240</v>
      </c>
      <c r="AG196" s="5">
        <f t="shared" si="341"/>
        <v>-280</v>
      </c>
      <c r="AH196" s="5">
        <f t="shared" si="341"/>
        <v>-280</v>
      </c>
      <c r="AI196" s="5">
        <f t="shared" si="341"/>
        <v>-320</v>
      </c>
      <c r="AJ196" s="5">
        <f t="shared" si="341"/>
        <v>-360</v>
      </c>
      <c r="AK196" s="5">
        <f t="shared" si="341"/>
        <v>-360</v>
      </c>
      <c r="AL196" s="5">
        <f t="shared" si="341"/>
        <v>-360</v>
      </c>
      <c r="AM196" s="5">
        <f t="shared" si="341"/>
        <v>-360</v>
      </c>
      <c r="AN196" s="5">
        <f t="shared" si="341"/>
        <v>-360</v>
      </c>
      <c r="AO196" s="5">
        <f t="shared" ref="AO196:BT196" si="342">(AN196+AN197-AN199+AJ198)</f>
        <v>-380</v>
      </c>
      <c r="AP196" s="5">
        <f t="shared" si="342"/>
        <v>-400</v>
      </c>
      <c r="AQ196" s="5">
        <f t="shared" si="342"/>
        <v>-420</v>
      </c>
      <c r="AR196" s="5">
        <f t="shared" si="342"/>
        <v>-444</v>
      </c>
      <c r="AS196" s="5">
        <f t="shared" si="342"/>
        <v>-468</v>
      </c>
      <c r="AT196" s="5">
        <f t="shared" si="342"/>
        <v>-487</v>
      </c>
      <c r="AU196" s="5">
        <f t="shared" si="342"/>
        <v>-511</v>
      </c>
      <c r="AV196" s="5">
        <f t="shared" si="342"/>
        <v>-533</v>
      </c>
      <c r="AW196" s="5">
        <f t="shared" si="342"/>
        <v>-555</v>
      </c>
      <c r="AX196" s="5">
        <f t="shared" si="342"/>
        <v>-577</v>
      </c>
      <c r="AY196" s="5">
        <f t="shared" si="342"/>
        <v>-599</v>
      </c>
      <c r="AZ196" s="5">
        <f t="shared" si="342"/>
        <v>-617</v>
      </c>
      <c r="BA196" s="5">
        <f t="shared" si="342"/>
        <v>-633</v>
      </c>
      <c r="BB196" s="5">
        <f t="shared" si="342"/>
        <v>-649</v>
      </c>
      <c r="BC196" s="5">
        <f t="shared" si="342"/>
        <v>-665</v>
      </c>
      <c r="BD196" s="5">
        <f t="shared" si="342"/>
        <v>-683</v>
      </c>
      <c r="BE196" s="5">
        <f t="shared" si="342"/>
        <v>-701</v>
      </c>
      <c r="BF196" s="5">
        <f t="shared" si="342"/>
        <v>-719</v>
      </c>
      <c r="BG196" s="5">
        <f t="shared" si="342"/>
        <v>-737</v>
      </c>
      <c r="BH196" s="5">
        <f t="shared" si="342"/>
        <v>-755</v>
      </c>
      <c r="BI196" s="5">
        <f t="shared" si="342"/>
        <v>-773</v>
      </c>
      <c r="BJ196" s="5">
        <f t="shared" si="342"/>
        <v>-791</v>
      </c>
      <c r="BK196" s="5">
        <f t="shared" si="342"/>
        <v>-809</v>
      </c>
      <c r="BL196" s="5">
        <f t="shared" si="342"/>
        <v>-827</v>
      </c>
      <c r="BM196" s="5">
        <f t="shared" si="342"/>
        <v>-845</v>
      </c>
      <c r="BN196" s="5">
        <f t="shared" si="342"/>
        <v>-863</v>
      </c>
      <c r="BO196" s="5">
        <f t="shared" si="342"/>
        <v>-895</v>
      </c>
      <c r="BP196" s="5">
        <f t="shared" si="342"/>
        <v>-895</v>
      </c>
      <c r="BQ196" s="5">
        <f t="shared" si="342"/>
        <v>-895</v>
      </c>
      <c r="BR196" s="5">
        <f t="shared" si="342"/>
        <v>-895</v>
      </c>
      <c r="BS196" s="5">
        <f t="shared" si="342"/>
        <v>-895</v>
      </c>
      <c r="BT196" s="5">
        <f t="shared" si="342"/>
        <v>-910</v>
      </c>
      <c r="BU196" s="5">
        <f t="shared" ref="BU196:CC196" si="343">(BT196+BT197-BT199+BP198)</f>
        <v>-925</v>
      </c>
      <c r="BV196" s="5">
        <f t="shared" si="343"/>
        <v>-940</v>
      </c>
      <c r="BW196" s="5">
        <f t="shared" si="343"/>
        <v>-955</v>
      </c>
      <c r="BX196" s="5">
        <f t="shared" si="343"/>
        <v>-970</v>
      </c>
      <c r="BY196" s="5">
        <f t="shared" si="343"/>
        <v>-985</v>
      </c>
      <c r="BZ196" s="5">
        <f t="shared" si="343"/>
        <v>-1000</v>
      </c>
      <c r="CA196" s="5">
        <f t="shared" si="343"/>
        <v>-1015</v>
      </c>
      <c r="CB196" s="5">
        <f t="shared" si="343"/>
        <v>-1030</v>
      </c>
      <c r="CC196" s="5">
        <f t="shared" si="343"/>
        <v>-1045</v>
      </c>
    </row>
    <row r="197" spans="1:81" x14ac:dyDescent="0.2">
      <c r="A197" s="5" t="s">
        <v>209</v>
      </c>
      <c r="B197" s="5">
        <v>12.19506</v>
      </c>
      <c r="C197" s="45" t="s">
        <v>39</v>
      </c>
      <c r="D197" s="59">
        <f>IFERROR(VLOOKUP(A196,WIP!$A:$B,2,0),0)</f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</row>
    <row r="198" spans="1:81" x14ac:dyDescent="0.2">
      <c r="A198" s="5" t="s">
        <v>210</v>
      </c>
      <c r="B198" s="5">
        <v>0.32100000000000001</v>
      </c>
      <c r="C198" s="9" t="s">
        <v>211</v>
      </c>
      <c r="D198" s="60">
        <f>IFERROR(VLOOKUP($A196,Plan!$A:B,D$4,0),0)</f>
        <v>0</v>
      </c>
      <c r="E198" s="60">
        <f>IFERROR(VLOOKUP($A196,Plan!$A:C,E$4,0),0)</f>
        <v>180</v>
      </c>
      <c r="F198" s="60">
        <f>IFERROR(VLOOKUP($A196,Plan!$A:D,F$4,0),0)</f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</row>
    <row r="199" spans="1:81" x14ac:dyDescent="0.2">
      <c r="A199" s="5" t="s">
        <v>212</v>
      </c>
      <c r="B199" s="5">
        <v>7.4999999999999997E-2</v>
      </c>
      <c r="C199" s="9" t="s">
        <v>213</v>
      </c>
      <c r="D199" s="61">
        <f>IFERROR(VLOOKUP($A196,Sales!$A:B,D$2,0),0)</f>
        <v>0</v>
      </c>
      <c r="E199" s="61">
        <f>IFERROR(VLOOKUP($A196,Sales!$A:C,E$2,0),0)</f>
        <v>80</v>
      </c>
      <c r="F199" s="61">
        <f>IFERROR(VLOOKUP($A196,Sales!$A:D,F$2,0),0)</f>
        <v>0</v>
      </c>
      <c r="G199" s="61">
        <f>IFERROR(VLOOKUP($A196,Sales!$A:E,G$2,0),0)</f>
        <v>0</v>
      </c>
      <c r="H199" s="61">
        <f>IFERROR(VLOOKUP($A196,Sales!$A:F,H$2,0),0)</f>
        <v>80</v>
      </c>
      <c r="I199" s="61">
        <f>IFERROR(VLOOKUP($A196,Sales!$A:G,I$2,0),0)</f>
        <v>0</v>
      </c>
      <c r="J199" s="61">
        <f>IFERROR(VLOOKUP($A196,Sales!$A:H,J$2,0),0)</f>
        <v>0</v>
      </c>
      <c r="K199" s="61">
        <f>IFERROR(VLOOKUP($A196,Sales!$A:I,K$2,0),0)</f>
        <v>80</v>
      </c>
      <c r="L199" s="61">
        <f>IFERROR(VLOOKUP($A196,Sales!$A:J,L$2,0),0)</f>
        <v>0</v>
      </c>
      <c r="M199" s="61">
        <f>IFERROR(VLOOKUP($A196,Sales!$A:K,M$2,0),0)</f>
        <v>80</v>
      </c>
      <c r="N199" s="61">
        <f>IFERROR(VLOOKUP($A196,Sales!$A:L,N$2,0),0)</f>
        <v>0</v>
      </c>
      <c r="O199" s="61">
        <f>IFERROR(VLOOKUP($A196,Sales!$A:M,O$2,0),0)</f>
        <v>0</v>
      </c>
      <c r="P199" s="61">
        <f>IFERROR(VLOOKUP($A196,Sales!$A:N,P$2,0),0)</f>
        <v>0</v>
      </c>
      <c r="Q199" s="61">
        <f>IFERROR(VLOOKUP($A196,Sales!$A:O,Q$2,0),0)</f>
        <v>0</v>
      </c>
      <c r="R199" s="61">
        <f>IFERROR(VLOOKUP($A196,Sales!$A:P,R$2,0),0)</f>
        <v>0</v>
      </c>
      <c r="S199" s="61">
        <f>IFERROR(VLOOKUP($A196,Sales!$A:Q,S$2,0),0)</f>
        <v>0</v>
      </c>
      <c r="T199" s="61">
        <f>IFERROR(VLOOKUP($A196,Sales!$A:R,T$2,0),0)</f>
        <v>0</v>
      </c>
      <c r="U199" s="61">
        <f>IFERROR(VLOOKUP($A196,Sales!$A:S,U$2,0),0)</f>
        <v>20</v>
      </c>
      <c r="V199" s="61">
        <f>IFERROR(VLOOKUP($A196,Sales!$A:T,V$2,0),0)</f>
        <v>20</v>
      </c>
      <c r="W199" s="61">
        <f>IFERROR(VLOOKUP($A196,Sales!$A:U,W$2,0),0)</f>
        <v>20</v>
      </c>
      <c r="X199" s="61">
        <f>IFERROR(VLOOKUP($A196,Sales!$A:V,X$2,0),0)</f>
        <v>20</v>
      </c>
      <c r="Y199" s="61">
        <f>IFERROR(VLOOKUP($A196,Sales!$A:W,Y$2,0),0)</f>
        <v>20</v>
      </c>
      <c r="Z199" s="61">
        <f>IFERROR(VLOOKUP($A196,Sales!$A:X,Z$2,0),0)</f>
        <v>20</v>
      </c>
      <c r="AA199" s="61">
        <f>IFERROR(VLOOKUP($A196,Sales!$A:Y,AA$2,0),0)</f>
        <v>20</v>
      </c>
      <c r="AB199" s="61">
        <f>IFERROR(VLOOKUP($A196,Sales!$A:Z,AB$2,0),0)</f>
        <v>20</v>
      </c>
      <c r="AC199" s="61">
        <f>IFERROR(VLOOKUP($A196,Sales!$A:AA,AC$2,0),0)</f>
        <v>40</v>
      </c>
      <c r="AD199" s="61">
        <f>IFERROR(VLOOKUP($A196,Sales!$A:AB,AD$2,0),0)</f>
        <v>40</v>
      </c>
      <c r="AE199" s="61">
        <f>IFERROR(VLOOKUP($A196,Sales!$A:AC,AE$2,0),0)</f>
        <v>40</v>
      </c>
      <c r="AF199" s="61">
        <f>IFERROR(VLOOKUP($A196,Sales!$A:AD,AF$2,0),0)</f>
        <v>40</v>
      </c>
      <c r="AG199" s="61">
        <f>IFERROR(VLOOKUP($A196,Sales!$A:AE,AG$2,0),0)</f>
        <v>0</v>
      </c>
      <c r="AH199" s="61">
        <f>IFERROR(VLOOKUP($A196,Sales!$A:AF,AH$2,0),0)</f>
        <v>40</v>
      </c>
      <c r="AI199" s="61">
        <f>IFERROR(VLOOKUP($A196,Sales!$A:AG,AI$2,0),0)</f>
        <v>40</v>
      </c>
      <c r="AJ199" s="61">
        <f>IFERROR(VLOOKUP($A196,Sales!$A:AH,AJ$2,0),0)</f>
        <v>0</v>
      </c>
      <c r="AK199" s="74">
        <f t="shared" ref="AK199:CC199" si="344">CEILING(AK$5*$B195,1)</f>
        <v>0</v>
      </c>
      <c r="AL199" s="74">
        <f t="shared" si="344"/>
        <v>0</v>
      </c>
      <c r="AM199" s="74">
        <f t="shared" si="344"/>
        <v>0</v>
      </c>
      <c r="AN199" s="74">
        <f t="shared" si="344"/>
        <v>20</v>
      </c>
      <c r="AO199" s="74">
        <f t="shared" si="344"/>
        <v>20</v>
      </c>
      <c r="AP199" s="74">
        <f t="shared" si="344"/>
        <v>20</v>
      </c>
      <c r="AQ199" s="74">
        <f t="shared" si="344"/>
        <v>24</v>
      </c>
      <c r="AR199" s="74">
        <f t="shared" si="344"/>
        <v>24</v>
      </c>
      <c r="AS199" s="74">
        <f t="shared" si="344"/>
        <v>19</v>
      </c>
      <c r="AT199" s="74">
        <f t="shared" si="344"/>
        <v>24</v>
      </c>
      <c r="AU199" s="74">
        <f t="shared" si="344"/>
        <v>22</v>
      </c>
      <c r="AV199" s="74">
        <f t="shared" si="344"/>
        <v>22</v>
      </c>
      <c r="AW199" s="74">
        <f t="shared" si="344"/>
        <v>22</v>
      </c>
      <c r="AX199" s="74">
        <f t="shared" si="344"/>
        <v>22</v>
      </c>
      <c r="AY199" s="74">
        <f t="shared" si="344"/>
        <v>18</v>
      </c>
      <c r="AZ199" s="74">
        <f t="shared" si="344"/>
        <v>16</v>
      </c>
      <c r="BA199" s="74">
        <f t="shared" si="344"/>
        <v>16</v>
      </c>
      <c r="BB199" s="74">
        <f t="shared" si="344"/>
        <v>16</v>
      </c>
      <c r="BC199" s="74">
        <f t="shared" si="344"/>
        <v>18</v>
      </c>
      <c r="BD199" s="74">
        <f t="shared" si="344"/>
        <v>18</v>
      </c>
      <c r="BE199" s="74">
        <f t="shared" si="344"/>
        <v>18</v>
      </c>
      <c r="BF199" s="74">
        <f t="shared" si="344"/>
        <v>18</v>
      </c>
      <c r="BG199" s="74">
        <f t="shared" si="344"/>
        <v>18</v>
      </c>
      <c r="BH199" s="74">
        <f t="shared" si="344"/>
        <v>18</v>
      </c>
      <c r="BI199" s="74">
        <f t="shared" si="344"/>
        <v>18</v>
      </c>
      <c r="BJ199" s="74">
        <f t="shared" si="344"/>
        <v>18</v>
      </c>
      <c r="BK199" s="74">
        <f t="shared" si="344"/>
        <v>18</v>
      </c>
      <c r="BL199" s="74">
        <f t="shared" si="344"/>
        <v>18</v>
      </c>
      <c r="BM199" s="74">
        <f t="shared" si="344"/>
        <v>18</v>
      </c>
      <c r="BN199" s="74">
        <f t="shared" si="344"/>
        <v>32</v>
      </c>
      <c r="BO199" s="74">
        <f t="shared" si="344"/>
        <v>0</v>
      </c>
      <c r="BP199" s="74">
        <f t="shared" si="344"/>
        <v>0</v>
      </c>
      <c r="BQ199" s="74">
        <f t="shared" si="344"/>
        <v>0</v>
      </c>
      <c r="BR199" s="74">
        <f t="shared" si="344"/>
        <v>0</v>
      </c>
      <c r="BS199" s="74">
        <f t="shared" si="344"/>
        <v>15</v>
      </c>
      <c r="BT199" s="74">
        <f t="shared" si="344"/>
        <v>15</v>
      </c>
      <c r="BU199" s="74">
        <f t="shared" si="344"/>
        <v>15</v>
      </c>
      <c r="BV199" s="74">
        <f t="shared" si="344"/>
        <v>15</v>
      </c>
      <c r="BW199" s="74">
        <f t="shared" si="344"/>
        <v>15</v>
      </c>
      <c r="BX199" s="74">
        <f t="shared" si="344"/>
        <v>15</v>
      </c>
      <c r="BY199" s="74">
        <f t="shared" si="344"/>
        <v>15</v>
      </c>
      <c r="BZ199" s="74">
        <f t="shared" si="344"/>
        <v>15</v>
      </c>
      <c r="CA199" s="74">
        <f t="shared" si="344"/>
        <v>15</v>
      </c>
      <c r="CB199" s="74">
        <f t="shared" si="344"/>
        <v>15</v>
      </c>
      <c r="CC199" s="74">
        <f t="shared" si="344"/>
        <v>15</v>
      </c>
    </row>
    <row r="200" spans="1:81" x14ac:dyDescent="0.2">
      <c r="A200" s="5" t="s">
        <v>214</v>
      </c>
      <c r="B200" s="5">
        <v>0.39600000000000002</v>
      </c>
      <c r="C200" s="46" t="s">
        <v>215</v>
      </c>
      <c r="D200" s="11">
        <f t="shared" ref="D200:AI200" si="345">IF(D199=0,0, ROUND(D196 * 1/D199* D$13,1))</f>
        <v>0</v>
      </c>
      <c r="E200" s="11">
        <f t="shared" si="345"/>
        <v>11.3</v>
      </c>
      <c r="F200" s="11">
        <f t="shared" si="345"/>
        <v>0</v>
      </c>
      <c r="G200" s="11">
        <f t="shared" si="345"/>
        <v>0</v>
      </c>
      <c r="H200" s="11">
        <f t="shared" si="345"/>
        <v>6.3</v>
      </c>
      <c r="I200" s="11">
        <f t="shared" si="345"/>
        <v>0</v>
      </c>
      <c r="J200" s="11">
        <f t="shared" si="345"/>
        <v>0</v>
      </c>
      <c r="K200" s="11">
        <f t="shared" si="345"/>
        <v>12.5</v>
      </c>
      <c r="L200" s="11">
        <f t="shared" si="345"/>
        <v>0</v>
      </c>
      <c r="M200" s="11">
        <f t="shared" si="345"/>
        <v>7.5</v>
      </c>
      <c r="N200" s="11">
        <f t="shared" si="345"/>
        <v>0</v>
      </c>
      <c r="O200" s="11">
        <f t="shared" si="345"/>
        <v>0</v>
      </c>
      <c r="P200" s="11">
        <f t="shared" si="345"/>
        <v>0</v>
      </c>
      <c r="Q200" s="11">
        <f t="shared" si="345"/>
        <v>0</v>
      </c>
      <c r="R200" s="11">
        <f t="shared" si="345"/>
        <v>0</v>
      </c>
      <c r="S200" s="11">
        <f t="shared" si="345"/>
        <v>0</v>
      </c>
      <c r="T200" s="11">
        <f t="shared" si="345"/>
        <v>0</v>
      </c>
      <c r="U200" s="11">
        <f t="shared" si="345"/>
        <v>10</v>
      </c>
      <c r="V200" s="11">
        <f t="shared" si="345"/>
        <v>5</v>
      </c>
      <c r="W200" s="11">
        <f t="shared" si="345"/>
        <v>0</v>
      </c>
      <c r="X200" s="11">
        <f t="shared" si="345"/>
        <v>-5</v>
      </c>
      <c r="Y200" s="11">
        <f t="shared" si="345"/>
        <v>-10</v>
      </c>
      <c r="Z200" s="11">
        <f t="shared" si="345"/>
        <v>-15</v>
      </c>
      <c r="AA200" s="11">
        <f t="shared" si="345"/>
        <v>-20</v>
      </c>
      <c r="AB200" s="11">
        <f t="shared" si="345"/>
        <v>-25</v>
      </c>
      <c r="AC200" s="11">
        <f t="shared" si="345"/>
        <v>-15</v>
      </c>
      <c r="AD200" s="11">
        <f t="shared" si="345"/>
        <v>-20</v>
      </c>
      <c r="AE200" s="11">
        <f t="shared" si="345"/>
        <v>-25</v>
      </c>
      <c r="AF200" s="11">
        <f t="shared" si="345"/>
        <v>-30</v>
      </c>
      <c r="AG200" s="11">
        <f t="shared" si="345"/>
        <v>0</v>
      </c>
      <c r="AH200" s="11">
        <f t="shared" si="345"/>
        <v>-35</v>
      </c>
      <c r="AI200" s="11">
        <f t="shared" si="345"/>
        <v>-40</v>
      </c>
      <c r="AJ200" s="11">
        <f t="shared" ref="AJ200:BO200" si="346">IF(AJ199=0,0, ROUND(AJ196 * 1/AJ199* AJ$13,1))</f>
        <v>0</v>
      </c>
      <c r="AK200" s="11">
        <f t="shared" si="346"/>
        <v>0</v>
      </c>
      <c r="AL200" s="11">
        <f t="shared" si="346"/>
        <v>0</v>
      </c>
      <c r="AM200" s="11">
        <f t="shared" si="346"/>
        <v>0</v>
      </c>
      <c r="AN200" s="11">
        <f t="shared" si="346"/>
        <v>-90</v>
      </c>
      <c r="AO200" s="11">
        <f t="shared" si="346"/>
        <v>-95</v>
      </c>
      <c r="AP200" s="11">
        <f t="shared" si="346"/>
        <v>-100</v>
      </c>
      <c r="AQ200" s="11">
        <f t="shared" si="346"/>
        <v>-87.5</v>
      </c>
      <c r="AR200" s="11">
        <f t="shared" si="346"/>
        <v>-92.5</v>
      </c>
      <c r="AS200" s="11">
        <f t="shared" si="346"/>
        <v>-123.2</v>
      </c>
      <c r="AT200" s="11">
        <f t="shared" si="346"/>
        <v>-101.5</v>
      </c>
      <c r="AU200" s="11">
        <f t="shared" si="346"/>
        <v>-116.1</v>
      </c>
      <c r="AV200" s="11">
        <f t="shared" si="346"/>
        <v>-121.1</v>
      </c>
      <c r="AW200" s="11">
        <f t="shared" si="346"/>
        <v>-126.1</v>
      </c>
      <c r="AX200" s="11">
        <f t="shared" si="346"/>
        <v>-131.1</v>
      </c>
      <c r="AY200" s="11">
        <f t="shared" si="346"/>
        <v>-166.4</v>
      </c>
      <c r="AZ200" s="11">
        <f t="shared" si="346"/>
        <v>-192.8</v>
      </c>
      <c r="BA200" s="11">
        <f t="shared" si="346"/>
        <v>-197.8</v>
      </c>
      <c r="BB200" s="11">
        <f t="shared" si="346"/>
        <v>-202.8</v>
      </c>
      <c r="BC200" s="11">
        <f t="shared" si="346"/>
        <v>-184.7</v>
      </c>
      <c r="BD200" s="11">
        <f t="shared" si="346"/>
        <v>-189.7</v>
      </c>
      <c r="BE200" s="11">
        <f t="shared" si="346"/>
        <v>-194.7</v>
      </c>
      <c r="BF200" s="11">
        <f t="shared" si="346"/>
        <v>-199.7</v>
      </c>
      <c r="BG200" s="11">
        <f t="shared" si="346"/>
        <v>-204.7</v>
      </c>
      <c r="BH200" s="11">
        <f t="shared" si="346"/>
        <v>-209.7</v>
      </c>
      <c r="BI200" s="11">
        <f t="shared" si="346"/>
        <v>-214.7</v>
      </c>
      <c r="BJ200" s="11">
        <f t="shared" si="346"/>
        <v>-219.7</v>
      </c>
      <c r="BK200" s="11">
        <f t="shared" si="346"/>
        <v>-224.7</v>
      </c>
      <c r="BL200" s="11">
        <f t="shared" si="346"/>
        <v>-229.7</v>
      </c>
      <c r="BM200" s="11">
        <f t="shared" si="346"/>
        <v>-234.7</v>
      </c>
      <c r="BN200" s="11">
        <f t="shared" si="346"/>
        <v>-134.80000000000001</v>
      </c>
      <c r="BO200" s="11">
        <f t="shared" si="346"/>
        <v>0</v>
      </c>
      <c r="BP200" s="11">
        <f t="shared" ref="BP200:CC200" si="347">IF(BP199=0,0, ROUND(BP196 * 1/BP199* BP$13,1))</f>
        <v>0</v>
      </c>
      <c r="BQ200" s="11">
        <f t="shared" si="347"/>
        <v>0</v>
      </c>
      <c r="BR200" s="11">
        <f t="shared" si="347"/>
        <v>0</v>
      </c>
      <c r="BS200" s="11">
        <f t="shared" si="347"/>
        <v>-298.3</v>
      </c>
      <c r="BT200" s="11">
        <f t="shared" si="347"/>
        <v>-303.3</v>
      </c>
      <c r="BU200" s="11">
        <f t="shared" si="347"/>
        <v>-308.3</v>
      </c>
      <c r="BV200" s="11">
        <f t="shared" si="347"/>
        <v>-313.3</v>
      </c>
      <c r="BW200" s="11">
        <f t="shared" si="347"/>
        <v>-318.3</v>
      </c>
      <c r="BX200" s="11">
        <f t="shared" si="347"/>
        <v>-323.3</v>
      </c>
      <c r="BY200" s="11">
        <f t="shared" si="347"/>
        <v>-328.3</v>
      </c>
      <c r="BZ200" s="11">
        <f t="shared" si="347"/>
        <v>-333.3</v>
      </c>
      <c r="CA200" s="11">
        <f t="shared" si="347"/>
        <v>-338.3</v>
      </c>
      <c r="CB200" s="11">
        <f t="shared" si="347"/>
        <v>-343.3</v>
      </c>
      <c r="CC200" s="11">
        <f t="shared" si="347"/>
        <v>-348.3</v>
      </c>
    </row>
    <row r="201" spans="1:81" x14ac:dyDescent="0.2">
      <c r="A201">
        <v>43</v>
      </c>
      <c r="B201">
        <v>1</v>
      </c>
      <c r="C201" s="8">
        <v>9.4266799999999993</v>
      </c>
      <c r="D201">
        <f t="shared" ref="D201:AI201" si="348">D198/$B201</f>
        <v>0</v>
      </c>
      <c r="E201">
        <f t="shared" si="348"/>
        <v>180</v>
      </c>
      <c r="F201">
        <f t="shared" si="348"/>
        <v>0</v>
      </c>
      <c r="G201">
        <f t="shared" si="348"/>
        <v>0</v>
      </c>
      <c r="H201">
        <f t="shared" si="348"/>
        <v>0</v>
      </c>
      <c r="I201">
        <f t="shared" si="348"/>
        <v>0</v>
      </c>
      <c r="J201">
        <f t="shared" si="348"/>
        <v>0</v>
      </c>
      <c r="K201">
        <f t="shared" si="348"/>
        <v>0</v>
      </c>
      <c r="L201">
        <f t="shared" si="348"/>
        <v>0</v>
      </c>
      <c r="M201">
        <f t="shared" si="348"/>
        <v>0</v>
      </c>
      <c r="N201">
        <f t="shared" si="348"/>
        <v>0</v>
      </c>
      <c r="O201">
        <f t="shared" si="348"/>
        <v>0</v>
      </c>
      <c r="P201">
        <f t="shared" si="348"/>
        <v>0</v>
      </c>
      <c r="Q201">
        <f t="shared" si="348"/>
        <v>0</v>
      </c>
      <c r="R201">
        <f t="shared" si="348"/>
        <v>0</v>
      </c>
      <c r="S201">
        <f t="shared" si="348"/>
        <v>0</v>
      </c>
      <c r="T201">
        <f t="shared" si="348"/>
        <v>0</v>
      </c>
      <c r="U201">
        <f t="shared" si="348"/>
        <v>0</v>
      </c>
      <c r="V201">
        <f t="shared" si="348"/>
        <v>0</v>
      </c>
      <c r="W201">
        <f t="shared" si="348"/>
        <v>0</v>
      </c>
      <c r="X201">
        <f t="shared" si="348"/>
        <v>0</v>
      </c>
      <c r="Y201">
        <f t="shared" si="348"/>
        <v>0</v>
      </c>
      <c r="Z201">
        <f t="shared" si="348"/>
        <v>0</v>
      </c>
      <c r="AA201">
        <f t="shared" si="348"/>
        <v>0</v>
      </c>
      <c r="AB201">
        <f t="shared" si="348"/>
        <v>0</v>
      </c>
      <c r="AC201">
        <f t="shared" si="348"/>
        <v>0</v>
      </c>
      <c r="AD201">
        <f t="shared" si="348"/>
        <v>0</v>
      </c>
      <c r="AE201">
        <f t="shared" si="348"/>
        <v>0</v>
      </c>
      <c r="AF201">
        <f t="shared" si="348"/>
        <v>0</v>
      </c>
      <c r="AG201">
        <f t="shared" si="348"/>
        <v>0</v>
      </c>
      <c r="AH201">
        <f t="shared" si="348"/>
        <v>0</v>
      </c>
      <c r="AI201">
        <f t="shared" si="348"/>
        <v>0</v>
      </c>
      <c r="AJ201">
        <f t="shared" ref="AJ201:BO201" si="349">AJ198/$B201</f>
        <v>0</v>
      </c>
      <c r="AK201">
        <f t="shared" si="349"/>
        <v>0</v>
      </c>
      <c r="AL201">
        <f t="shared" si="349"/>
        <v>0</v>
      </c>
      <c r="AM201">
        <f t="shared" si="349"/>
        <v>0</v>
      </c>
      <c r="AN201">
        <f t="shared" si="349"/>
        <v>0</v>
      </c>
      <c r="AO201">
        <f t="shared" si="349"/>
        <v>0</v>
      </c>
      <c r="AP201">
        <f t="shared" si="349"/>
        <v>0</v>
      </c>
      <c r="AQ201">
        <f t="shared" si="349"/>
        <v>0</v>
      </c>
      <c r="AR201">
        <f t="shared" si="349"/>
        <v>0</v>
      </c>
      <c r="AS201">
        <f t="shared" si="349"/>
        <v>0</v>
      </c>
      <c r="AT201">
        <f t="shared" si="349"/>
        <v>0</v>
      </c>
      <c r="AU201">
        <f t="shared" si="349"/>
        <v>0</v>
      </c>
      <c r="AV201">
        <f t="shared" si="349"/>
        <v>0</v>
      </c>
      <c r="AW201">
        <f t="shared" si="349"/>
        <v>0</v>
      </c>
      <c r="AX201">
        <f t="shared" si="349"/>
        <v>0</v>
      </c>
      <c r="AY201">
        <f t="shared" si="349"/>
        <v>0</v>
      </c>
      <c r="AZ201">
        <f t="shared" si="349"/>
        <v>0</v>
      </c>
      <c r="BA201">
        <f t="shared" si="349"/>
        <v>0</v>
      </c>
      <c r="BB201">
        <f t="shared" si="349"/>
        <v>0</v>
      </c>
      <c r="BC201">
        <f t="shared" si="349"/>
        <v>0</v>
      </c>
      <c r="BD201">
        <f t="shared" si="349"/>
        <v>0</v>
      </c>
      <c r="BE201">
        <f t="shared" si="349"/>
        <v>0</v>
      </c>
      <c r="BF201">
        <f t="shared" si="349"/>
        <v>0</v>
      </c>
      <c r="BG201">
        <f t="shared" si="349"/>
        <v>0</v>
      </c>
      <c r="BH201">
        <f t="shared" si="349"/>
        <v>0</v>
      </c>
      <c r="BI201">
        <f t="shared" si="349"/>
        <v>0</v>
      </c>
      <c r="BJ201">
        <f t="shared" si="349"/>
        <v>0</v>
      </c>
      <c r="BK201">
        <f t="shared" si="349"/>
        <v>0</v>
      </c>
      <c r="BL201">
        <f t="shared" si="349"/>
        <v>0</v>
      </c>
      <c r="BM201">
        <f t="shared" si="349"/>
        <v>0</v>
      </c>
      <c r="BN201">
        <f t="shared" si="349"/>
        <v>0</v>
      </c>
      <c r="BO201">
        <f t="shared" si="349"/>
        <v>0</v>
      </c>
      <c r="BP201">
        <f t="shared" ref="BP201:CC201" si="350">BP198/$B201</f>
        <v>0</v>
      </c>
      <c r="BQ201">
        <f t="shared" si="350"/>
        <v>0</v>
      </c>
      <c r="BR201">
        <f t="shared" si="350"/>
        <v>0</v>
      </c>
      <c r="BS201">
        <f t="shared" si="350"/>
        <v>0</v>
      </c>
      <c r="BT201">
        <f t="shared" si="350"/>
        <v>0</v>
      </c>
      <c r="BU201">
        <f t="shared" si="350"/>
        <v>0</v>
      </c>
      <c r="BV201">
        <f t="shared" si="350"/>
        <v>0</v>
      </c>
      <c r="BW201">
        <f t="shared" si="350"/>
        <v>0</v>
      </c>
      <c r="BX201">
        <f t="shared" si="350"/>
        <v>0</v>
      </c>
      <c r="BY201">
        <f t="shared" si="350"/>
        <v>0</v>
      </c>
      <c r="BZ201">
        <f t="shared" si="350"/>
        <v>0</v>
      </c>
      <c r="CA201">
        <f t="shared" si="350"/>
        <v>0</v>
      </c>
      <c r="CB201">
        <f t="shared" si="350"/>
        <v>0</v>
      </c>
      <c r="CC201">
        <f t="shared" si="350"/>
        <v>0</v>
      </c>
    </row>
    <row r="202" spans="1:81" x14ac:dyDescent="0.2">
      <c r="B202" s="67">
        <f>SUM(D206:AJ206)/SUM($D$263:$AJ$263)</f>
        <v>0</v>
      </c>
      <c r="C202" s="9" t="s">
        <v>216</v>
      </c>
      <c r="D202">
        <f t="shared" ref="D202:AI202" si="351">D196-D199</f>
        <v>180</v>
      </c>
      <c r="E202">
        <f t="shared" si="351"/>
        <v>100</v>
      </c>
      <c r="F202">
        <f t="shared" si="351"/>
        <v>100</v>
      </c>
      <c r="G202">
        <f t="shared" si="351"/>
        <v>100</v>
      </c>
      <c r="H202">
        <f t="shared" si="351"/>
        <v>20</v>
      </c>
      <c r="I202">
        <f t="shared" si="351"/>
        <v>20</v>
      </c>
      <c r="J202">
        <f t="shared" si="351"/>
        <v>200</v>
      </c>
      <c r="K202">
        <f t="shared" si="351"/>
        <v>120</v>
      </c>
      <c r="L202">
        <f t="shared" si="351"/>
        <v>120</v>
      </c>
      <c r="M202">
        <f t="shared" si="351"/>
        <v>40</v>
      </c>
      <c r="N202">
        <f t="shared" si="351"/>
        <v>40</v>
      </c>
      <c r="O202">
        <f t="shared" si="351"/>
        <v>40</v>
      </c>
      <c r="P202">
        <f t="shared" si="351"/>
        <v>40</v>
      </c>
      <c r="Q202">
        <f t="shared" si="351"/>
        <v>40</v>
      </c>
      <c r="R202">
        <f t="shared" si="351"/>
        <v>40</v>
      </c>
      <c r="S202">
        <f t="shared" si="351"/>
        <v>40</v>
      </c>
      <c r="T202">
        <f t="shared" si="351"/>
        <v>40</v>
      </c>
      <c r="U202">
        <f t="shared" si="351"/>
        <v>20</v>
      </c>
      <c r="V202">
        <f t="shared" si="351"/>
        <v>0</v>
      </c>
      <c r="W202">
        <f t="shared" si="351"/>
        <v>-20</v>
      </c>
      <c r="X202">
        <f t="shared" si="351"/>
        <v>-40</v>
      </c>
      <c r="Y202">
        <f t="shared" si="351"/>
        <v>-60</v>
      </c>
      <c r="Z202">
        <f t="shared" si="351"/>
        <v>-80</v>
      </c>
      <c r="AA202">
        <f t="shared" si="351"/>
        <v>-100</v>
      </c>
      <c r="AB202">
        <f t="shared" si="351"/>
        <v>-120</v>
      </c>
      <c r="AC202">
        <f t="shared" si="351"/>
        <v>-160</v>
      </c>
      <c r="AD202">
        <f t="shared" si="351"/>
        <v>-200</v>
      </c>
      <c r="AE202">
        <f t="shared" si="351"/>
        <v>-240</v>
      </c>
      <c r="AF202">
        <f t="shared" si="351"/>
        <v>-280</v>
      </c>
      <c r="AG202">
        <f t="shared" si="351"/>
        <v>-280</v>
      </c>
      <c r="AH202">
        <f t="shared" si="351"/>
        <v>-320</v>
      </c>
      <c r="AI202">
        <f t="shared" si="351"/>
        <v>-360</v>
      </c>
      <c r="AJ202">
        <f t="shared" ref="AJ202:BO202" si="352">AJ196-AJ199</f>
        <v>-360</v>
      </c>
      <c r="AK202">
        <f t="shared" si="352"/>
        <v>-360</v>
      </c>
      <c r="AL202">
        <f t="shared" si="352"/>
        <v>-360</v>
      </c>
      <c r="AM202">
        <f t="shared" si="352"/>
        <v>-360</v>
      </c>
      <c r="AN202">
        <f t="shared" si="352"/>
        <v>-380</v>
      </c>
      <c r="AO202">
        <f t="shared" si="352"/>
        <v>-400</v>
      </c>
      <c r="AP202">
        <f t="shared" si="352"/>
        <v>-420</v>
      </c>
      <c r="AQ202">
        <f t="shared" si="352"/>
        <v>-444</v>
      </c>
      <c r="AR202">
        <f t="shared" si="352"/>
        <v>-468</v>
      </c>
      <c r="AS202">
        <f t="shared" si="352"/>
        <v>-487</v>
      </c>
      <c r="AT202">
        <f t="shared" si="352"/>
        <v>-511</v>
      </c>
      <c r="AU202">
        <f t="shared" si="352"/>
        <v>-533</v>
      </c>
      <c r="AV202">
        <f t="shared" si="352"/>
        <v>-555</v>
      </c>
      <c r="AW202">
        <f t="shared" si="352"/>
        <v>-577</v>
      </c>
      <c r="AX202">
        <f t="shared" si="352"/>
        <v>-599</v>
      </c>
      <c r="AY202">
        <f t="shared" si="352"/>
        <v>-617</v>
      </c>
      <c r="AZ202">
        <f t="shared" si="352"/>
        <v>-633</v>
      </c>
      <c r="BA202">
        <f t="shared" si="352"/>
        <v>-649</v>
      </c>
      <c r="BB202">
        <f t="shared" si="352"/>
        <v>-665</v>
      </c>
      <c r="BC202">
        <f t="shared" si="352"/>
        <v>-683</v>
      </c>
      <c r="BD202">
        <f t="shared" si="352"/>
        <v>-701</v>
      </c>
      <c r="BE202">
        <f t="shared" si="352"/>
        <v>-719</v>
      </c>
      <c r="BF202">
        <f t="shared" si="352"/>
        <v>-737</v>
      </c>
      <c r="BG202">
        <f t="shared" si="352"/>
        <v>-755</v>
      </c>
      <c r="BH202">
        <f t="shared" si="352"/>
        <v>-773</v>
      </c>
      <c r="BI202">
        <f t="shared" si="352"/>
        <v>-791</v>
      </c>
      <c r="BJ202">
        <f t="shared" si="352"/>
        <v>-809</v>
      </c>
      <c r="BK202">
        <f t="shared" si="352"/>
        <v>-827</v>
      </c>
      <c r="BL202">
        <f t="shared" si="352"/>
        <v>-845</v>
      </c>
      <c r="BM202">
        <f t="shared" si="352"/>
        <v>-863</v>
      </c>
      <c r="BN202">
        <f t="shared" si="352"/>
        <v>-895</v>
      </c>
      <c r="BO202">
        <f t="shared" si="352"/>
        <v>-895</v>
      </c>
      <c r="BP202">
        <f t="shared" ref="BP202:CC202" si="353">BP196-BP199</f>
        <v>-895</v>
      </c>
      <c r="BQ202">
        <f t="shared" si="353"/>
        <v>-895</v>
      </c>
      <c r="BR202">
        <f t="shared" si="353"/>
        <v>-895</v>
      </c>
      <c r="BS202">
        <f t="shared" si="353"/>
        <v>-910</v>
      </c>
      <c r="BT202">
        <f t="shared" si="353"/>
        <v>-925</v>
      </c>
      <c r="BU202">
        <f t="shared" si="353"/>
        <v>-940</v>
      </c>
      <c r="BV202">
        <f t="shared" si="353"/>
        <v>-955</v>
      </c>
      <c r="BW202">
        <f t="shared" si="353"/>
        <v>-970</v>
      </c>
      <c r="BX202">
        <f t="shared" si="353"/>
        <v>-985</v>
      </c>
      <c r="BY202">
        <f t="shared" si="353"/>
        <v>-1000</v>
      </c>
      <c r="BZ202">
        <f t="shared" si="353"/>
        <v>-1015</v>
      </c>
      <c r="CA202">
        <f t="shared" si="353"/>
        <v>-1030</v>
      </c>
      <c r="CB202">
        <f t="shared" si="353"/>
        <v>-1045</v>
      </c>
      <c r="CC202">
        <f t="shared" si="353"/>
        <v>-1060</v>
      </c>
    </row>
    <row r="203" spans="1:81" x14ac:dyDescent="0.2">
      <c r="A203" s="43" t="s">
        <v>316</v>
      </c>
      <c r="B203" s="44" t="s">
        <v>208</v>
      </c>
      <c r="C203" s="9" t="s">
        <v>38</v>
      </c>
      <c r="D203" s="58">
        <f>IFERROR(VLOOKUP(A203,OS!$A:$B,2,0),0)</f>
        <v>0</v>
      </c>
      <c r="E203" s="5">
        <f>(D203+D204-D206)</f>
        <v>0</v>
      </c>
      <c r="F203" s="5">
        <f>(E203+E204-E206)</f>
        <v>0</v>
      </c>
      <c r="G203" s="5">
        <f>(F203+F204-F206)</f>
        <v>0</v>
      </c>
      <c r="H203" s="5">
        <f>(G203+G204-G206)</f>
        <v>0</v>
      </c>
      <c r="I203" s="5">
        <f t="shared" ref="I203:AN203" si="354">(H203+H204-H206+D205)</f>
        <v>0</v>
      </c>
      <c r="J203" s="5">
        <f t="shared" si="354"/>
        <v>0</v>
      </c>
      <c r="K203" s="5">
        <f t="shared" si="354"/>
        <v>0</v>
      </c>
      <c r="L203" s="5">
        <f t="shared" si="354"/>
        <v>0</v>
      </c>
      <c r="M203" s="5">
        <f t="shared" si="354"/>
        <v>0</v>
      </c>
      <c r="N203" s="5">
        <f t="shared" si="354"/>
        <v>0</v>
      </c>
      <c r="O203" s="5">
        <f t="shared" si="354"/>
        <v>0</v>
      </c>
      <c r="P203" s="5">
        <f t="shared" si="354"/>
        <v>0</v>
      </c>
      <c r="Q203" s="5">
        <f t="shared" si="354"/>
        <v>0</v>
      </c>
      <c r="R203" s="5">
        <f t="shared" si="354"/>
        <v>0</v>
      </c>
      <c r="S203" s="5">
        <f t="shared" si="354"/>
        <v>0</v>
      </c>
      <c r="T203" s="5">
        <f t="shared" si="354"/>
        <v>0</v>
      </c>
      <c r="U203" s="5">
        <f t="shared" si="354"/>
        <v>0</v>
      </c>
      <c r="V203" s="5">
        <f t="shared" si="354"/>
        <v>0</v>
      </c>
      <c r="W203" s="5">
        <f t="shared" si="354"/>
        <v>0</v>
      </c>
      <c r="X203" s="5">
        <f t="shared" si="354"/>
        <v>0</v>
      </c>
      <c r="Y203" s="5">
        <f t="shared" si="354"/>
        <v>0</v>
      </c>
      <c r="Z203" s="5">
        <f t="shared" si="354"/>
        <v>0</v>
      </c>
      <c r="AA203" s="5">
        <f t="shared" si="354"/>
        <v>0</v>
      </c>
      <c r="AB203" s="5">
        <f t="shared" si="354"/>
        <v>0</v>
      </c>
      <c r="AC203" s="5">
        <f t="shared" si="354"/>
        <v>0</v>
      </c>
      <c r="AD203" s="5">
        <f t="shared" si="354"/>
        <v>0</v>
      </c>
      <c r="AE203" s="5">
        <f t="shared" si="354"/>
        <v>0</v>
      </c>
      <c r="AF203" s="5">
        <f t="shared" si="354"/>
        <v>0</v>
      </c>
      <c r="AG203" s="5">
        <f t="shared" si="354"/>
        <v>0</v>
      </c>
      <c r="AH203" s="5">
        <f t="shared" si="354"/>
        <v>0</v>
      </c>
      <c r="AI203" s="5">
        <f t="shared" si="354"/>
        <v>0</v>
      </c>
      <c r="AJ203" s="5">
        <f t="shared" si="354"/>
        <v>0</v>
      </c>
      <c r="AK203" s="5">
        <f t="shared" si="354"/>
        <v>0</v>
      </c>
      <c r="AL203" s="5">
        <f t="shared" si="354"/>
        <v>0</v>
      </c>
      <c r="AM203" s="5">
        <f t="shared" si="354"/>
        <v>0</v>
      </c>
      <c r="AN203" s="5">
        <f t="shared" si="354"/>
        <v>0</v>
      </c>
      <c r="AO203" s="5">
        <f t="shared" ref="AO203:BT203" si="355">(AN203+AN204-AN206+AJ205)</f>
        <v>0</v>
      </c>
      <c r="AP203" s="5">
        <f t="shared" si="355"/>
        <v>0</v>
      </c>
      <c r="AQ203" s="5">
        <f t="shared" si="355"/>
        <v>0</v>
      </c>
      <c r="AR203" s="5">
        <f t="shared" si="355"/>
        <v>0</v>
      </c>
      <c r="AS203" s="5">
        <f t="shared" si="355"/>
        <v>0</v>
      </c>
      <c r="AT203" s="5">
        <f t="shared" si="355"/>
        <v>0</v>
      </c>
      <c r="AU203" s="5">
        <f t="shared" si="355"/>
        <v>0</v>
      </c>
      <c r="AV203" s="5">
        <f t="shared" si="355"/>
        <v>0</v>
      </c>
      <c r="AW203" s="5">
        <f t="shared" si="355"/>
        <v>0</v>
      </c>
      <c r="AX203" s="5">
        <f t="shared" si="355"/>
        <v>0</v>
      </c>
      <c r="AY203" s="5">
        <f t="shared" si="355"/>
        <v>0</v>
      </c>
      <c r="AZ203" s="5">
        <f t="shared" si="355"/>
        <v>0</v>
      </c>
      <c r="BA203" s="5">
        <f t="shared" si="355"/>
        <v>0</v>
      </c>
      <c r="BB203" s="5">
        <f t="shared" si="355"/>
        <v>0</v>
      </c>
      <c r="BC203" s="5">
        <f t="shared" si="355"/>
        <v>0</v>
      </c>
      <c r="BD203" s="5">
        <f t="shared" si="355"/>
        <v>0</v>
      </c>
      <c r="BE203" s="5">
        <f t="shared" si="355"/>
        <v>0</v>
      </c>
      <c r="BF203" s="5">
        <f t="shared" si="355"/>
        <v>0</v>
      </c>
      <c r="BG203" s="5">
        <f t="shared" si="355"/>
        <v>0</v>
      </c>
      <c r="BH203" s="5">
        <f t="shared" si="355"/>
        <v>0</v>
      </c>
      <c r="BI203" s="5">
        <f t="shared" si="355"/>
        <v>0</v>
      </c>
      <c r="BJ203" s="5">
        <f t="shared" si="355"/>
        <v>0</v>
      </c>
      <c r="BK203" s="5">
        <f t="shared" si="355"/>
        <v>0</v>
      </c>
      <c r="BL203" s="5">
        <f t="shared" si="355"/>
        <v>0</v>
      </c>
      <c r="BM203" s="5">
        <f t="shared" si="355"/>
        <v>0</v>
      </c>
      <c r="BN203" s="5">
        <f t="shared" si="355"/>
        <v>0</v>
      </c>
      <c r="BO203" s="5">
        <f t="shared" si="355"/>
        <v>0</v>
      </c>
      <c r="BP203" s="5">
        <f t="shared" si="355"/>
        <v>0</v>
      </c>
      <c r="BQ203" s="5">
        <f t="shared" si="355"/>
        <v>0</v>
      </c>
      <c r="BR203" s="5">
        <f t="shared" si="355"/>
        <v>0</v>
      </c>
      <c r="BS203" s="5">
        <f t="shared" si="355"/>
        <v>0</v>
      </c>
      <c r="BT203" s="5">
        <f t="shared" si="355"/>
        <v>0</v>
      </c>
      <c r="BU203" s="5">
        <f t="shared" ref="BU203:CC203" si="356">(BT203+BT204-BT206+BP205)</f>
        <v>0</v>
      </c>
      <c r="BV203" s="5">
        <f t="shared" si="356"/>
        <v>0</v>
      </c>
      <c r="BW203" s="5">
        <f t="shared" si="356"/>
        <v>0</v>
      </c>
      <c r="BX203" s="5">
        <f t="shared" si="356"/>
        <v>0</v>
      </c>
      <c r="BY203" s="5">
        <f t="shared" si="356"/>
        <v>0</v>
      </c>
      <c r="BZ203" s="5">
        <f t="shared" si="356"/>
        <v>0</v>
      </c>
      <c r="CA203" s="5">
        <f t="shared" si="356"/>
        <v>0</v>
      </c>
      <c r="CB203" s="5">
        <f t="shared" si="356"/>
        <v>0</v>
      </c>
      <c r="CC203" s="5">
        <f t="shared" si="356"/>
        <v>0</v>
      </c>
    </row>
    <row r="204" spans="1:81" x14ac:dyDescent="0.2">
      <c r="A204" s="5" t="s">
        <v>209</v>
      </c>
      <c r="B204" s="5">
        <v>21.616009999999999</v>
      </c>
      <c r="C204" s="45" t="s">
        <v>39</v>
      </c>
      <c r="D204" s="59">
        <f>IFERROR(VLOOKUP(A203,WIP!$A:$B,2,0),0)</f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</row>
    <row r="205" spans="1:81" x14ac:dyDescent="0.2">
      <c r="A205" s="5" t="s">
        <v>210</v>
      </c>
      <c r="B205" s="5">
        <v>0.33224999999999999</v>
      </c>
      <c r="C205" s="9" t="s">
        <v>211</v>
      </c>
      <c r="D205" s="60">
        <f>IFERROR(VLOOKUP($A203,Plan!$A:B,D$4,0),0)</f>
        <v>0</v>
      </c>
      <c r="E205" s="60">
        <f>IFERROR(VLOOKUP($A203,Plan!$A:C,E$4,0),0)</f>
        <v>0</v>
      </c>
      <c r="F205" s="60">
        <f>IFERROR(VLOOKUP($A203,Plan!$A:D,F$4,0),0)</f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</row>
    <row r="206" spans="1:81" x14ac:dyDescent="0.2">
      <c r="A206" s="5" t="s">
        <v>212</v>
      </c>
      <c r="B206" s="5">
        <v>5.006E-2</v>
      </c>
      <c r="C206" s="9" t="s">
        <v>213</v>
      </c>
      <c r="D206" s="61">
        <f>IFERROR(VLOOKUP($A203,Sales!$A:B,D$2,0),0)</f>
        <v>0</v>
      </c>
      <c r="E206" s="61">
        <f>IFERROR(VLOOKUP($A203,Sales!$A:C,E$2,0),0)</f>
        <v>0</v>
      </c>
      <c r="F206" s="61">
        <f>IFERROR(VLOOKUP($A203,Sales!$A:D,F$2,0),0)</f>
        <v>0</v>
      </c>
      <c r="G206" s="61">
        <f>IFERROR(VLOOKUP($A203,Sales!$A:E,G$2,0),0)</f>
        <v>0</v>
      </c>
      <c r="H206" s="61">
        <f>IFERROR(VLOOKUP($A203,Sales!$A:F,H$2,0),0)</f>
        <v>0</v>
      </c>
      <c r="I206" s="61">
        <f>IFERROR(VLOOKUP($A203,Sales!$A:G,I$2,0),0)</f>
        <v>0</v>
      </c>
      <c r="J206" s="61">
        <f>IFERROR(VLOOKUP($A203,Sales!$A:H,J$2,0),0)</f>
        <v>0</v>
      </c>
      <c r="K206" s="61">
        <f>IFERROR(VLOOKUP($A203,Sales!$A:I,K$2,0),0)</f>
        <v>0</v>
      </c>
      <c r="L206" s="61">
        <f>IFERROR(VLOOKUP($A203,Sales!$A:J,L$2,0),0)</f>
        <v>0</v>
      </c>
      <c r="M206" s="61">
        <f>IFERROR(VLOOKUP($A203,Sales!$A:K,M$2,0),0)</f>
        <v>0</v>
      </c>
      <c r="N206" s="61">
        <f>IFERROR(VLOOKUP($A203,Sales!$A:L,N$2,0),0)</f>
        <v>0</v>
      </c>
      <c r="O206" s="61">
        <f>IFERROR(VLOOKUP($A203,Sales!$A:M,O$2,0),0)</f>
        <v>0</v>
      </c>
      <c r="P206" s="61">
        <f>IFERROR(VLOOKUP($A203,Sales!$A:N,P$2,0),0)</f>
        <v>0</v>
      </c>
      <c r="Q206" s="61">
        <f>IFERROR(VLOOKUP($A203,Sales!$A:O,Q$2,0),0)</f>
        <v>0</v>
      </c>
      <c r="R206" s="61">
        <f>IFERROR(VLOOKUP($A203,Sales!$A:P,R$2,0),0)</f>
        <v>0</v>
      </c>
      <c r="S206" s="61">
        <f>IFERROR(VLOOKUP($A203,Sales!$A:Q,S$2,0),0)</f>
        <v>0</v>
      </c>
      <c r="T206" s="61">
        <f>IFERROR(VLOOKUP($A203,Sales!$A:R,T$2,0),0)</f>
        <v>0</v>
      </c>
      <c r="U206" s="61">
        <f>IFERROR(VLOOKUP($A203,Sales!$A:S,U$2,0),0)</f>
        <v>0</v>
      </c>
      <c r="V206" s="61">
        <f>IFERROR(VLOOKUP($A203,Sales!$A:T,V$2,0),0)</f>
        <v>0</v>
      </c>
      <c r="W206" s="61">
        <f>IFERROR(VLOOKUP($A203,Sales!$A:U,W$2,0),0)</f>
        <v>0</v>
      </c>
      <c r="X206" s="61">
        <f>IFERROR(VLOOKUP($A203,Sales!$A:V,X$2,0),0)</f>
        <v>0</v>
      </c>
      <c r="Y206" s="61">
        <f>IFERROR(VLOOKUP($A203,Sales!$A:W,Y$2,0),0)</f>
        <v>0</v>
      </c>
      <c r="Z206" s="61">
        <f>IFERROR(VLOOKUP($A203,Sales!$A:X,Z$2,0),0)</f>
        <v>0</v>
      </c>
      <c r="AA206" s="61">
        <f>IFERROR(VLOOKUP($A203,Sales!$A:Y,AA$2,0),0)</f>
        <v>0</v>
      </c>
      <c r="AB206" s="61">
        <f>IFERROR(VLOOKUP($A203,Sales!$A:Z,AB$2,0),0)</f>
        <v>0</v>
      </c>
      <c r="AC206" s="61">
        <f>IFERROR(VLOOKUP($A203,Sales!$A:AA,AC$2,0),0)</f>
        <v>0</v>
      </c>
      <c r="AD206" s="61">
        <f>IFERROR(VLOOKUP($A203,Sales!$A:AB,AD$2,0),0)</f>
        <v>0</v>
      </c>
      <c r="AE206" s="61">
        <f>IFERROR(VLOOKUP($A203,Sales!$A:AC,AE$2,0),0)</f>
        <v>0</v>
      </c>
      <c r="AF206" s="61">
        <f>IFERROR(VLOOKUP($A203,Sales!$A:AD,AF$2,0),0)</f>
        <v>0</v>
      </c>
      <c r="AG206" s="61">
        <f>IFERROR(VLOOKUP($A203,Sales!$A:AE,AG$2,0),0)</f>
        <v>0</v>
      </c>
      <c r="AH206" s="61">
        <f>IFERROR(VLOOKUP($A203,Sales!$A:AF,AH$2,0),0)</f>
        <v>0</v>
      </c>
      <c r="AI206" s="61">
        <f>IFERROR(VLOOKUP($A203,Sales!$A:AG,AI$2,0),0)</f>
        <v>0</v>
      </c>
      <c r="AJ206" s="61">
        <f>IFERROR(VLOOKUP($A203,Sales!$A:AH,AJ$2,0),0)</f>
        <v>0</v>
      </c>
      <c r="AK206" s="74">
        <f t="shared" ref="AK206:CC206" si="357">CEILING(AK$5*$B202,1)</f>
        <v>0</v>
      </c>
      <c r="AL206" s="74">
        <f t="shared" si="357"/>
        <v>0</v>
      </c>
      <c r="AM206" s="74">
        <f t="shared" si="357"/>
        <v>0</v>
      </c>
      <c r="AN206" s="74">
        <f t="shared" si="357"/>
        <v>0</v>
      </c>
      <c r="AO206" s="74">
        <f t="shared" si="357"/>
        <v>0</v>
      </c>
      <c r="AP206" s="74">
        <f t="shared" si="357"/>
        <v>0</v>
      </c>
      <c r="AQ206" s="74">
        <f t="shared" si="357"/>
        <v>0</v>
      </c>
      <c r="AR206" s="74">
        <f t="shared" si="357"/>
        <v>0</v>
      </c>
      <c r="AS206" s="74">
        <f t="shared" si="357"/>
        <v>0</v>
      </c>
      <c r="AT206" s="74">
        <f t="shared" si="357"/>
        <v>0</v>
      </c>
      <c r="AU206" s="74">
        <f t="shared" si="357"/>
        <v>0</v>
      </c>
      <c r="AV206" s="74">
        <f t="shared" si="357"/>
        <v>0</v>
      </c>
      <c r="AW206" s="74">
        <f t="shared" si="357"/>
        <v>0</v>
      </c>
      <c r="AX206" s="74">
        <f t="shared" si="357"/>
        <v>0</v>
      </c>
      <c r="AY206" s="74">
        <f t="shared" si="357"/>
        <v>0</v>
      </c>
      <c r="AZ206" s="74">
        <f t="shared" si="357"/>
        <v>0</v>
      </c>
      <c r="BA206" s="74">
        <f t="shared" si="357"/>
        <v>0</v>
      </c>
      <c r="BB206" s="74">
        <f t="shared" si="357"/>
        <v>0</v>
      </c>
      <c r="BC206" s="74">
        <f t="shared" si="357"/>
        <v>0</v>
      </c>
      <c r="BD206" s="74">
        <f t="shared" si="357"/>
        <v>0</v>
      </c>
      <c r="BE206" s="74">
        <f t="shared" si="357"/>
        <v>0</v>
      </c>
      <c r="BF206" s="74">
        <f t="shared" si="357"/>
        <v>0</v>
      </c>
      <c r="BG206" s="74">
        <f t="shared" si="357"/>
        <v>0</v>
      </c>
      <c r="BH206" s="74">
        <f t="shared" si="357"/>
        <v>0</v>
      </c>
      <c r="BI206" s="74">
        <f t="shared" si="357"/>
        <v>0</v>
      </c>
      <c r="BJ206" s="74">
        <f t="shared" si="357"/>
        <v>0</v>
      </c>
      <c r="BK206" s="74">
        <f t="shared" si="357"/>
        <v>0</v>
      </c>
      <c r="BL206" s="74">
        <f t="shared" si="357"/>
        <v>0</v>
      </c>
      <c r="BM206" s="74">
        <f t="shared" si="357"/>
        <v>0</v>
      </c>
      <c r="BN206" s="74">
        <f t="shared" si="357"/>
        <v>0</v>
      </c>
      <c r="BO206" s="74">
        <f t="shared" si="357"/>
        <v>0</v>
      </c>
      <c r="BP206" s="74">
        <f t="shared" si="357"/>
        <v>0</v>
      </c>
      <c r="BQ206" s="74">
        <f t="shared" si="357"/>
        <v>0</v>
      </c>
      <c r="BR206" s="74">
        <f t="shared" si="357"/>
        <v>0</v>
      </c>
      <c r="BS206" s="74">
        <f t="shared" si="357"/>
        <v>0</v>
      </c>
      <c r="BT206" s="74">
        <f t="shared" si="357"/>
        <v>0</v>
      </c>
      <c r="BU206" s="74">
        <f t="shared" si="357"/>
        <v>0</v>
      </c>
      <c r="BV206" s="74">
        <f t="shared" si="357"/>
        <v>0</v>
      </c>
      <c r="BW206" s="74">
        <f t="shared" si="357"/>
        <v>0</v>
      </c>
      <c r="BX206" s="74">
        <f t="shared" si="357"/>
        <v>0</v>
      </c>
      <c r="BY206" s="74">
        <f t="shared" si="357"/>
        <v>0</v>
      </c>
      <c r="BZ206" s="74">
        <f t="shared" si="357"/>
        <v>0</v>
      </c>
      <c r="CA206" s="74">
        <f t="shared" si="357"/>
        <v>0</v>
      </c>
      <c r="CB206" s="74">
        <f t="shared" si="357"/>
        <v>0</v>
      </c>
      <c r="CC206" s="74">
        <f t="shared" si="357"/>
        <v>0</v>
      </c>
    </row>
    <row r="207" spans="1:81" x14ac:dyDescent="0.2">
      <c r="A207" s="5" t="s">
        <v>214</v>
      </c>
      <c r="B207" s="5">
        <v>0.41227999999999998</v>
      </c>
      <c r="C207" s="46" t="s">
        <v>215</v>
      </c>
      <c r="D207" s="11">
        <f t="shared" ref="D207:AI207" si="358">IF(D206=0,0, ROUND(D203 * 1/D206* D$13,1))</f>
        <v>0</v>
      </c>
      <c r="E207" s="11">
        <f t="shared" si="358"/>
        <v>0</v>
      </c>
      <c r="F207" s="11">
        <f t="shared" si="358"/>
        <v>0</v>
      </c>
      <c r="G207" s="11">
        <f t="shared" si="358"/>
        <v>0</v>
      </c>
      <c r="H207" s="11">
        <f t="shared" si="358"/>
        <v>0</v>
      </c>
      <c r="I207" s="11">
        <f t="shared" si="358"/>
        <v>0</v>
      </c>
      <c r="J207" s="11">
        <f t="shared" si="358"/>
        <v>0</v>
      </c>
      <c r="K207" s="11">
        <f t="shared" si="358"/>
        <v>0</v>
      </c>
      <c r="L207" s="11">
        <f t="shared" si="358"/>
        <v>0</v>
      </c>
      <c r="M207" s="11">
        <f t="shared" si="358"/>
        <v>0</v>
      </c>
      <c r="N207" s="11">
        <f t="shared" si="358"/>
        <v>0</v>
      </c>
      <c r="O207" s="11">
        <f t="shared" si="358"/>
        <v>0</v>
      </c>
      <c r="P207" s="11">
        <f t="shared" si="358"/>
        <v>0</v>
      </c>
      <c r="Q207" s="11">
        <f t="shared" si="358"/>
        <v>0</v>
      </c>
      <c r="R207" s="11">
        <f t="shared" si="358"/>
        <v>0</v>
      </c>
      <c r="S207" s="11">
        <f t="shared" si="358"/>
        <v>0</v>
      </c>
      <c r="T207" s="11">
        <f t="shared" si="358"/>
        <v>0</v>
      </c>
      <c r="U207" s="11">
        <f t="shared" si="358"/>
        <v>0</v>
      </c>
      <c r="V207" s="11">
        <f t="shared" si="358"/>
        <v>0</v>
      </c>
      <c r="W207" s="11">
        <f t="shared" si="358"/>
        <v>0</v>
      </c>
      <c r="X207" s="11">
        <f t="shared" si="358"/>
        <v>0</v>
      </c>
      <c r="Y207" s="11">
        <f t="shared" si="358"/>
        <v>0</v>
      </c>
      <c r="Z207" s="11">
        <f t="shared" si="358"/>
        <v>0</v>
      </c>
      <c r="AA207" s="11">
        <f t="shared" si="358"/>
        <v>0</v>
      </c>
      <c r="AB207" s="11">
        <f t="shared" si="358"/>
        <v>0</v>
      </c>
      <c r="AC207" s="11">
        <f t="shared" si="358"/>
        <v>0</v>
      </c>
      <c r="AD207" s="11">
        <f t="shared" si="358"/>
        <v>0</v>
      </c>
      <c r="AE207" s="11">
        <f t="shared" si="358"/>
        <v>0</v>
      </c>
      <c r="AF207" s="11">
        <f t="shared" si="358"/>
        <v>0</v>
      </c>
      <c r="AG207" s="11">
        <f t="shared" si="358"/>
        <v>0</v>
      </c>
      <c r="AH207" s="11">
        <f t="shared" si="358"/>
        <v>0</v>
      </c>
      <c r="AI207" s="11">
        <f t="shared" si="358"/>
        <v>0</v>
      </c>
      <c r="AJ207" s="11">
        <f t="shared" ref="AJ207:BO207" si="359">IF(AJ206=0,0, ROUND(AJ203 * 1/AJ206* AJ$13,1))</f>
        <v>0</v>
      </c>
      <c r="AK207" s="11">
        <f t="shared" si="359"/>
        <v>0</v>
      </c>
      <c r="AL207" s="11">
        <f t="shared" si="359"/>
        <v>0</v>
      </c>
      <c r="AM207" s="11">
        <f t="shared" si="359"/>
        <v>0</v>
      </c>
      <c r="AN207" s="11">
        <f t="shared" si="359"/>
        <v>0</v>
      </c>
      <c r="AO207" s="11">
        <f t="shared" si="359"/>
        <v>0</v>
      </c>
      <c r="AP207" s="11">
        <f t="shared" si="359"/>
        <v>0</v>
      </c>
      <c r="AQ207" s="11">
        <f t="shared" si="359"/>
        <v>0</v>
      </c>
      <c r="AR207" s="11">
        <f t="shared" si="359"/>
        <v>0</v>
      </c>
      <c r="AS207" s="11">
        <f t="shared" si="359"/>
        <v>0</v>
      </c>
      <c r="AT207" s="11">
        <f t="shared" si="359"/>
        <v>0</v>
      </c>
      <c r="AU207" s="11">
        <f t="shared" si="359"/>
        <v>0</v>
      </c>
      <c r="AV207" s="11">
        <f t="shared" si="359"/>
        <v>0</v>
      </c>
      <c r="AW207" s="11">
        <f t="shared" si="359"/>
        <v>0</v>
      </c>
      <c r="AX207" s="11">
        <f t="shared" si="359"/>
        <v>0</v>
      </c>
      <c r="AY207" s="11">
        <f t="shared" si="359"/>
        <v>0</v>
      </c>
      <c r="AZ207" s="11">
        <f t="shared" si="359"/>
        <v>0</v>
      </c>
      <c r="BA207" s="11">
        <f t="shared" si="359"/>
        <v>0</v>
      </c>
      <c r="BB207" s="11">
        <f t="shared" si="359"/>
        <v>0</v>
      </c>
      <c r="BC207" s="11">
        <f t="shared" si="359"/>
        <v>0</v>
      </c>
      <c r="BD207" s="11">
        <f t="shared" si="359"/>
        <v>0</v>
      </c>
      <c r="BE207" s="11">
        <f t="shared" si="359"/>
        <v>0</v>
      </c>
      <c r="BF207" s="11">
        <f t="shared" si="359"/>
        <v>0</v>
      </c>
      <c r="BG207" s="11">
        <f t="shared" si="359"/>
        <v>0</v>
      </c>
      <c r="BH207" s="11">
        <f t="shared" si="359"/>
        <v>0</v>
      </c>
      <c r="BI207" s="11">
        <f t="shared" si="359"/>
        <v>0</v>
      </c>
      <c r="BJ207" s="11">
        <f t="shared" si="359"/>
        <v>0</v>
      </c>
      <c r="BK207" s="11">
        <f t="shared" si="359"/>
        <v>0</v>
      </c>
      <c r="BL207" s="11">
        <f t="shared" si="359"/>
        <v>0</v>
      </c>
      <c r="BM207" s="11">
        <f t="shared" si="359"/>
        <v>0</v>
      </c>
      <c r="BN207" s="11">
        <f t="shared" si="359"/>
        <v>0</v>
      </c>
      <c r="BO207" s="11">
        <f t="shared" si="359"/>
        <v>0</v>
      </c>
      <c r="BP207" s="11">
        <f t="shared" ref="BP207:CC207" si="360">IF(BP206=0,0, ROUND(BP203 * 1/BP206* BP$13,1))</f>
        <v>0</v>
      </c>
      <c r="BQ207" s="11">
        <f t="shared" si="360"/>
        <v>0</v>
      </c>
      <c r="BR207" s="11">
        <f t="shared" si="360"/>
        <v>0</v>
      </c>
      <c r="BS207" s="11">
        <f t="shared" si="360"/>
        <v>0</v>
      </c>
      <c r="BT207" s="11">
        <f t="shared" si="360"/>
        <v>0</v>
      </c>
      <c r="BU207" s="11">
        <f t="shared" si="360"/>
        <v>0</v>
      </c>
      <c r="BV207" s="11">
        <f t="shared" si="360"/>
        <v>0</v>
      </c>
      <c r="BW207" s="11">
        <f t="shared" si="360"/>
        <v>0</v>
      </c>
      <c r="BX207" s="11">
        <f t="shared" si="360"/>
        <v>0</v>
      </c>
      <c r="BY207" s="11">
        <f t="shared" si="360"/>
        <v>0</v>
      </c>
      <c r="BZ207" s="11">
        <f t="shared" si="360"/>
        <v>0</v>
      </c>
      <c r="CA207" s="11">
        <f t="shared" si="360"/>
        <v>0</v>
      </c>
      <c r="CB207" s="11">
        <f t="shared" si="360"/>
        <v>0</v>
      </c>
      <c r="CC207" s="11">
        <f t="shared" si="360"/>
        <v>0</v>
      </c>
    </row>
    <row r="208" spans="1:81" x14ac:dyDescent="0.2">
      <c r="A208">
        <v>45</v>
      </c>
      <c r="B208">
        <v>1</v>
      </c>
      <c r="C208" s="8">
        <v>9.6828699999999994</v>
      </c>
      <c r="D208">
        <f t="shared" ref="D208:AI208" si="361">D205/$B208</f>
        <v>0</v>
      </c>
      <c r="E208">
        <f t="shared" si="361"/>
        <v>0</v>
      </c>
      <c r="F208">
        <f t="shared" si="361"/>
        <v>0</v>
      </c>
      <c r="G208">
        <f t="shared" si="361"/>
        <v>0</v>
      </c>
      <c r="H208">
        <f t="shared" si="361"/>
        <v>0</v>
      </c>
      <c r="I208">
        <f t="shared" si="361"/>
        <v>0</v>
      </c>
      <c r="J208">
        <f t="shared" si="361"/>
        <v>0</v>
      </c>
      <c r="K208">
        <f t="shared" si="361"/>
        <v>0</v>
      </c>
      <c r="L208">
        <f t="shared" si="361"/>
        <v>0</v>
      </c>
      <c r="M208">
        <f t="shared" si="361"/>
        <v>0</v>
      </c>
      <c r="N208">
        <f t="shared" si="361"/>
        <v>0</v>
      </c>
      <c r="O208">
        <f t="shared" si="361"/>
        <v>0</v>
      </c>
      <c r="P208">
        <f t="shared" si="361"/>
        <v>0</v>
      </c>
      <c r="Q208">
        <f t="shared" si="361"/>
        <v>0</v>
      </c>
      <c r="R208">
        <f t="shared" si="361"/>
        <v>0</v>
      </c>
      <c r="S208">
        <f t="shared" si="361"/>
        <v>0</v>
      </c>
      <c r="T208">
        <f t="shared" si="361"/>
        <v>0</v>
      </c>
      <c r="U208">
        <f t="shared" si="361"/>
        <v>0</v>
      </c>
      <c r="V208">
        <f t="shared" si="361"/>
        <v>0</v>
      </c>
      <c r="W208">
        <f t="shared" si="361"/>
        <v>0</v>
      </c>
      <c r="X208">
        <f t="shared" si="361"/>
        <v>0</v>
      </c>
      <c r="Y208">
        <f t="shared" si="361"/>
        <v>0</v>
      </c>
      <c r="Z208">
        <f t="shared" si="361"/>
        <v>0</v>
      </c>
      <c r="AA208">
        <f t="shared" si="361"/>
        <v>0</v>
      </c>
      <c r="AB208">
        <f t="shared" si="361"/>
        <v>0</v>
      </c>
      <c r="AC208">
        <f t="shared" si="361"/>
        <v>0</v>
      </c>
      <c r="AD208">
        <f t="shared" si="361"/>
        <v>0</v>
      </c>
      <c r="AE208">
        <f t="shared" si="361"/>
        <v>0</v>
      </c>
      <c r="AF208">
        <f t="shared" si="361"/>
        <v>0</v>
      </c>
      <c r="AG208">
        <f t="shared" si="361"/>
        <v>0</v>
      </c>
      <c r="AH208">
        <f t="shared" si="361"/>
        <v>0</v>
      </c>
      <c r="AI208">
        <f t="shared" si="361"/>
        <v>0</v>
      </c>
      <c r="AJ208">
        <f t="shared" ref="AJ208:BO208" si="362">AJ205/$B208</f>
        <v>0</v>
      </c>
      <c r="AK208">
        <f t="shared" si="362"/>
        <v>0</v>
      </c>
      <c r="AL208">
        <f t="shared" si="362"/>
        <v>0</v>
      </c>
      <c r="AM208">
        <f t="shared" si="362"/>
        <v>0</v>
      </c>
      <c r="AN208">
        <f t="shared" si="362"/>
        <v>0</v>
      </c>
      <c r="AO208">
        <f t="shared" si="362"/>
        <v>0</v>
      </c>
      <c r="AP208">
        <f t="shared" si="362"/>
        <v>0</v>
      </c>
      <c r="AQ208">
        <f t="shared" si="362"/>
        <v>0</v>
      </c>
      <c r="AR208">
        <f t="shared" si="362"/>
        <v>0</v>
      </c>
      <c r="AS208">
        <f t="shared" si="362"/>
        <v>0</v>
      </c>
      <c r="AT208">
        <f t="shared" si="362"/>
        <v>0</v>
      </c>
      <c r="AU208">
        <f t="shared" si="362"/>
        <v>0</v>
      </c>
      <c r="AV208">
        <f t="shared" si="362"/>
        <v>0</v>
      </c>
      <c r="AW208">
        <f t="shared" si="362"/>
        <v>0</v>
      </c>
      <c r="AX208">
        <f t="shared" si="362"/>
        <v>0</v>
      </c>
      <c r="AY208">
        <f t="shared" si="362"/>
        <v>0</v>
      </c>
      <c r="AZ208">
        <f t="shared" si="362"/>
        <v>0</v>
      </c>
      <c r="BA208">
        <f t="shared" si="362"/>
        <v>0</v>
      </c>
      <c r="BB208">
        <f t="shared" si="362"/>
        <v>0</v>
      </c>
      <c r="BC208">
        <f t="shared" si="362"/>
        <v>0</v>
      </c>
      <c r="BD208">
        <f t="shared" si="362"/>
        <v>0</v>
      </c>
      <c r="BE208">
        <f t="shared" si="362"/>
        <v>0</v>
      </c>
      <c r="BF208">
        <f t="shared" si="362"/>
        <v>0</v>
      </c>
      <c r="BG208">
        <f t="shared" si="362"/>
        <v>0</v>
      </c>
      <c r="BH208">
        <f t="shared" si="362"/>
        <v>0</v>
      </c>
      <c r="BI208">
        <f t="shared" si="362"/>
        <v>0</v>
      </c>
      <c r="BJ208">
        <f t="shared" si="362"/>
        <v>0</v>
      </c>
      <c r="BK208">
        <f t="shared" si="362"/>
        <v>0</v>
      </c>
      <c r="BL208">
        <f t="shared" si="362"/>
        <v>0</v>
      </c>
      <c r="BM208">
        <f t="shared" si="362"/>
        <v>0</v>
      </c>
      <c r="BN208">
        <f t="shared" si="362"/>
        <v>0</v>
      </c>
      <c r="BO208">
        <f t="shared" si="362"/>
        <v>0</v>
      </c>
      <c r="BP208">
        <f t="shared" ref="BP208:CC208" si="363">BP205/$B208</f>
        <v>0</v>
      </c>
      <c r="BQ208">
        <f t="shared" si="363"/>
        <v>0</v>
      </c>
      <c r="BR208">
        <f t="shared" si="363"/>
        <v>0</v>
      </c>
      <c r="BS208">
        <f t="shared" si="363"/>
        <v>0</v>
      </c>
      <c r="BT208">
        <f t="shared" si="363"/>
        <v>0</v>
      </c>
      <c r="BU208">
        <f t="shared" si="363"/>
        <v>0</v>
      </c>
      <c r="BV208">
        <f t="shared" si="363"/>
        <v>0</v>
      </c>
      <c r="BW208">
        <f t="shared" si="363"/>
        <v>0</v>
      </c>
      <c r="BX208">
        <f t="shared" si="363"/>
        <v>0</v>
      </c>
      <c r="BY208">
        <f t="shared" si="363"/>
        <v>0</v>
      </c>
      <c r="BZ208">
        <f t="shared" si="363"/>
        <v>0</v>
      </c>
      <c r="CA208">
        <f t="shared" si="363"/>
        <v>0</v>
      </c>
      <c r="CB208">
        <f t="shared" si="363"/>
        <v>0</v>
      </c>
      <c r="CC208">
        <f t="shared" si="363"/>
        <v>0</v>
      </c>
    </row>
    <row r="209" spans="1:81" x14ac:dyDescent="0.2">
      <c r="B209" s="67">
        <f>SUM(D213:AJ213)/SUM($D$263:$AJ$263)</f>
        <v>4.8916020975189791E-3</v>
      </c>
      <c r="C209" s="9" t="s">
        <v>216</v>
      </c>
      <c r="D209">
        <f t="shared" ref="D209:AI209" si="364">D203-D206</f>
        <v>0</v>
      </c>
      <c r="E209">
        <f t="shared" si="364"/>
        <v>0</v>
      </c>
      <c r="F209">
        <f t="shared" si="364"/>
        <v>0</v>
      </c>
      <c r="G209">
        <f t="shared" si="364"/>
        <v>0</v>
      </c>
      <c r="H209">
        <f t="shared" si="364"/>
        <v>0</v>
      </c>
      <c r="I209">
        <f t="shared" si="364"/>
        <v>0</v>
      </c>
      <c r="J209">
        <f t="shared" si="364"/>
        <v>0</v>
      </c>
      <c r="K209">
        <f t="shared" si="364"/>
        <v>0</v>
      </c>
      <c r="L209">
        <f t="shared" si="364"/>
        <v>0</v>
      </c>
      <c r="M209">
        <f t="shared" si="364"/>
        <v>0</v>
      </c>
      <c r="N209">
        <f t="shared" si="364"/>
        <v>0</v>
      </c>
      <c r="O209">
        <f t="shared" si="364"/>
        <v>0</v>
      </c>
      <c r="P209">
        <f t="shared" si="364"/>
        <v>0</v>
      </c>
      <c r="Q209">
        <f t="shared" si="364"/>
        <v>0</v>
      </c>
      <c r="R209">
        <f t="shared" si="364"/>
        <v>0</v>
      </c>
      <c r="S209">
        <f t="shared" si="364"/>
        <v>0</v>
      </c>
      <c r="T209">
        <f t="shared" si="364"/>
        <v>0</v>
      </c>
      <c r="U209">
        <f t="shared" si="364"/>
        <v>0</v>
      </c>
      <c r="V209">
        <f t="shared" si="364"/>
        <v>0</v>
      </c>
      <c r="W209">
        <f t="shared" si="364"/>
        <v>0</v>
      </c>
      <c r="X209">
        <f t="shared" si="364"/>
        <v>0</v>
      </c>
      <c r="Y209">
        <f t="shared" si="364"/>
        <v>0</v>
      </c>
      <c r="Z209">
        <f t="shared" si="364"/>
        <v>0</v>
      </c>
      <c r="AA209">
        <f t="shared" si="364"/>
        <v>0</v>
      </c>
      <c r="AB209">
        <f t="shared" si="364"/>
        <v>0</v>
      </c>
      <c r="AC209">
        <f t="shared" si="364"/>
        <v>0</v>
      </c>
      <c r="AD209">
        <f t="shared" si="364"/>
        <v>0</v>
      </c>
      <c r="AE209">
        <f t="shared" si="364"/>
        <v>0</v>
      </c>
      <c r="AF209">
        <f t="shared" si="364"/>
        <v>0</v>
      </c>
      <c r="AG209">
        <f t="shared" si="364"/>
        <v>0</v>
      </c>
      <c r="AH209">
        <f t="shared" si="364"/>
        <v>0</v>
      </c>
      <c r="AI209">
        <f t="shared" si="364"/>
        <v>0</v>
      </c>
      <c r="AJ209">
        <f t="shared" ref="AJ209:BO209" si="365">AJ203-AJ206</f>
        <v>0</v>
      </c>
      <c r="AK209">
        <f t="shared" si="365"/>
        <v>0</v>
      </c>
      <c r="AL209">
        <f t="shared" si="365"/>
        <v>0</v>
      </c>
      <c r="AM209">
        <f t="shared" si="365"/>
        <v>0</v>
      </c>
      <c r="AN209">
        <f t="shared" si="365"/>
        <v>0</v>
      </c>
      <c r="AO209">
        <f t="shared" si="365"/>
        <v>0</v>
      </c>
      <c r="AP209">
        <f t="shared" si="365"/>
        <v>0</v>
      </c>
      <c r="AQ209">
        <f t="shared" si="365"/>
        <v>0</v>
      </c>
      <c r="AR209">
        <f t="shared" si="365"/>
        <v>0</v>
      </c>
      <c r="AS209">
        <f t="shared" si="365"/>
        <v>0</v>
      </c>
      <c r="AT209">
        <f t="shared" si="365"/>
        <v>0</v>
      </c>
      <c r="AU209">
        <f t="shared" si="365"/>
        <v>0</v>
      </c>
      <c r="AV209">
        <f t="shared" si="365"/>
        <v>0</v>
      </c>
      <c r="AW209">
        <f t="shared" si="365"/>
        <v>0</v>
      </c>
      <c r="AX209">
        <f t="shared" si="365"/>
        <v>0</v>
      </c>
      <c r="AY209">
        <f t="shared" si="365"/>
        <v>0</v>
      </c>
      <c r="AZ209">
        <f t="shared" si="365"/>
        <v>0</v>
      </c>
      <c r="BA209">
        <f t="shared" si="365"/>
        <v>0</v>
      </c>
      <c r="BB209">
        <f t="shared" si="365"/>
        <v>0</v>
      </c>
      <c r="BC209">
        <f t="shared" si="365"/>
        <v>0</v>
      </c>
      <c r="BD209">
        <f t="shared" si="365"/>
        <v>0</v>
      </c>
      <c r="BE209">
        <f t="shared" si="365"/>
        <v>0</v>
      </c>
      <c r="BF209">
        <f t="shared" si="365"/>
        <v>0</v>
      </c>
      <c r="BG209">
        <f t="shared" si="365"/>
        <v>0</v>
      </c>
      <c r="BH209">
        <f t="shared" si="365"/>
        <v>0</v>
      </c>
      <c r="BI209">
        <f t="shared" si="365"/>
        <v>0</v>
      </c>
      <c r="BJ209">
        <f t="shared" si="365"/>
        <v>0</v>
      </c>
      <c r="BK209">
        <f t="shared" si="365"/>
        <v>0</v>
      </c>
      <c r="BL209">
        <f t="shared" si="365"/>
        <v>0</v>
      </c>
      <c r="BM209">
        <f t="shared" si="365"/>
        <v>0</v>
      </c>
      <c r="BN209">
        <f t="shared" si="365"/>
        <v>0</v>
      </c>
      <c r="BO209">
        <f t="shared" si="365"/>
        <v>0</v>
      </c>
      <c r="BP209">
        <f t="shared" ref="BP209:CC209" si="366">BP203-BP206</f>
        <v>0</v>
      </c>
      <c r="BQ209">
        <f t="shared" si="366"/>
        <v>0</v>
      </c>
      <c r="BR209">
        <f t="shared" si="366"/>
        <v>0</v>
      </c>
      <c r="BS209">
        <f t="shared" si="366"/>
        <v>0</v>
      </c>
      <c r="BT209">
        <f t="shared" si="366"/>
        <v>0</v>
      </c>
      <c r="BU209">
        <f t="shared" si="366"/>
        <v>0</v>
      </c>
      <c r="BV209">
        <f t="shared" si="366"/>
        <v>0</v>
      </c>
      <c r="BW209">
        <f t="shared" si="366"/>
        <v>0</v>
      </c>
      <c r="BX209">
        <f t="shared" si="366"/>
        <v>0</v>
      </c>
      <c r="BY209">
        <f t="shared" si="366"/>
        <v>0</v>
      </c>
      <c r="BZ209">
        <f t="shared" si="366"/>
        <v>0</v>
      </c>
      <c r="CA209">
        <f t="shared" si="366"/>
        <v>0</v>
      </c>
      <c r="CB209">
        <f t="shared" si="366"/>
        <v>0</v>
      </c>
      <c r="CC209">
        <f t="shared" si="366"/>
        <v>0</v>
      </c>
    </row>
    <row r="210" spans="1:81" x14ac:dyDescent="0.2">
      <c r="A210" s="43" t="s">
        <v>317</v>
      </c>
      <c r="B210" s="44" t="s">
        <v>208</v>
      </c>
      <c r="C210" s="9" t="s">
        <v>38</v>
      </c>
      <c r="D210" s="58">
        <f>IFERROR(VLOOKUP(A210,OS!$A:$B,2,0),0)</f>
        <v>200</v>
      </c>
      <c r="E210" s="5">
        <f>(D210+D211-D213)</f>
        <v>201</v>
      </c>
      <c r="F210" s="5">
        <f>(E210+E211-E213)</f>
        <v>101</v>
      </c>
      <c r="G210" s="5">
        <f>(F210+F211-F213)</f>
        <v>101</v>
      </c>
      <c r="H210" s="5">
        <f>(G210+G211-G213)</f>
        <v>101</v>
      </c>
      <c r="I210" s="5">
        <f t="shared" ref="I210:AN210" si="367">(H210+H211-H213+D212)</f>
        <v>101</v>
      </c>
      <c r="J210" s="5">
        <f t="shared" si="367"/>
        <v>1</v>
      </c>
      <c r="K210" s="5">
        <f t="shared" si="367"/>
        <v>1</v>
      </c>
      <c r="L210" s="5">
        <f t="shared" si="367"/>
        <v>1</v>
      </c>
      <c r="M210" s="5">
        <f t="shared" si="367"/>
        <v>1</v>
      </c>
      <c r="N210" s="5">
        <f t="shared" si="367"/>
        <v>-99</v>
      </c>
      <c r="O210" s="5">
        <f t="shared" si="367"/>
        <v>-99</v>
      </c>
      <c r="P210" s="5">
        <f t="shared" si="367"/>
        <v>-99</v>
      </c>
      <c r="Q210" s="5">
        <f t="shared" si="367"/>
        <v>-99</v>
      </c>
      <c r="R210" s="5">
        <f t="shared" si="367"/>
        <v>-99</v>
      </c>
      <c r="S210" s="5">
        <f t="shared" si="367"/>
        <v>-99</v>
      </c>
      <c r="T210" s="5">
        <f t="shared" si="367"/>
        <v>-99</v>
      </c>
      <c r="U210" s="5">
        <f t="shared" si="367"/>
        <v>-99</v>
      </c>
      <c r="V210" s="5">
        <f t="shared" si="367"/>
        <v>-129</v>
      </c>
      <c r="W210" s="5">
        <f t="shared" si="367"/>
        <v>-159</v>
      </c>
      <c r="X210" s="5">
        <f t="shared" si="367"/>
        <v>-189</v>
      </c>
      <c r="Y210" s="5">
        <f t="shared" si="367"/>
        <v>-199</v>
      </c>
      <c r="Z210" s="5">
        <f t="shared" si="367"/>
        <v>-199</v>
      </c>
      <c r="AA210" s="5">
        <f t="shared" si="367"/>
        <v>-199</v>
      </c>
      <c r="AB210" s="5">
        <f t="shared" si="367"/>
        <v>-199</v>
      </c>
      <c r="AC210" s="5">
        <f t="shared" si="367"/>
        <v>-199</v>
      </c>
      <c r="AD210" s="5">
        <f t="shared" si="367"/>
        <v>-219</v>
      </c>
      <c r="AE210" s="5">
        <f t="shared" si="367"/>
        <v>-239</v>
      </c>
      <c r="AF210" s="5">
        <f t="shared" si="367"/>
        <v>-259</v>
      </c>
      <c r="AG210" s="5">
        <f t="shared" si="367"/>
        <v>-279</v>
      </c>
      <c r="AH210" s="5">
        <f t="shared" si="367"/>
        <v>-299</v>
      </c>
      <c r="AI210" s="5">
        <f t="shared" si="367"/>
        <v>-299</v>
      </c>
      <c r="AJ210" s="5">
        <f t="shared" si="367"/>
        <v>-299</v>
      </c>
      <c r="AK210" s="5">
        <f t="shared" si="367"/>
        <v>-299</v>
      </c>
      <c r="AL210" s="5">
        <f t="shared" si="367"/>
        <v>-299</v>
      </c>
      <c r="AM210" s="5">
        <f t="shared" si="367"/>
        <v>-299</v>
      </c>
      <c r="AN210" s="5">
        <f t="shared" si="367"/>
        <v>-299</v>
      </c>
      <c r="AO210" s="5">
        <f t="shared" ref="AO210:BT210" si="368">(AN210+AN211-AN213+AJ212)</f>
        <v>-313</v>
      </c>
      <c r="AP210" s="5">
        <f t="shared" si="368"/>
        <v>-327</v>
      </c>
      <c r="AQ210" s="5">
        <f t="shared" si="368"/>
        <v>-341</v>
      </c>
      <c r="AR210" s="5">
        <f t="shared" si="368"/>
        <v>-358</v>
      </c>
      <c r="AS210" s="5">
        <f t="shared" si="368"/>
        <v>-375</v>
      </c>
      <c r="AT210" s="5">
        <f t="shared" si="368"/>
        <v>-388</v>
      </c>
      <c r="AU210" s="5">
        <f t="shared" si="368"/>
        <v>-405</v>
      </c>
      <c r="AV210" s="5">
        <f t="shared" si="368"/>
        <v>-421</v>
      </c>
      <c r="AW210" s="5">
        <f t="shared" si="368"/>
        <v>-437</v>
      </c>
      <c r="AX210" s="5">
        <f t="shared" si="368"/>
        <v>-453</v>
      </c>
      <c r="AY210" s="5">
        <f t="shared" si="368"/>
        <v>-469</v>
      </c>
      <c r="AZ210" s="5">
        <f t="shared" si="368"/>
        <v>-482</v>
      </c>
      <c r="BA210" s="5">
        <f t="shared" si="368"/>
        <v>-493</v>
      </c>
      <c r="BB210" s="5">
        <f t="shared" si="368"/>
        <v>-504</v>
      </c>
      <c r="BC210" s="5">
        <f t="shared" si="368"/>
        <v>-515</v>
      </c>
      <c r="BD210" s="5">
        <f t="shared" si="368"/>
        <v>-528</v>
      </c>
      <c r="BE210" s="5">
        <f t="shared" si="368"/>
        <v>-541</v>
      </c>
      <c r="BF210" s="5">
        <f t="shared" si="368"/>
        <v>-554</v>
      </c>
      <c r="BG210" s="5">
        <f t="shared" si="368"/>
        <v>-567</v>
      </c>
      <c r="BH210" s="5">
        <f t="shared" si="368"/>
        <v>-580</v>
      </c>
      <c r="BI210" s="5">
        <f t="shared" si="368"/>
        <v>-593</v>
      </c>
      <c r="BJ210" s="5">
        <f t="shared" si="368"/>
        <v>-606</v>
      </c>
      <c r="BK210" s="5">
        <f t="shared" si="368"/>
        <v>-619</v>
      </c>
      <c r="BL210" s="5">
        <f t="shared" si="368"/>
        <v>-632</v>
      </c>
      <c r="BM210" s="5">
        <f t="shared" si="368"/>
        <v>-645</v>
      </c>
      <c r="BN210" s="5">
        <f t="shared" si="368"/>
        <v>-658</v>
      </c>
      <c r="BO210" s="5">
        <f t="shared" si="368"/>
        <v>-681</v>
      </c>
      <c r="BP210" s="5">
        <f t="shared" si="368"/>
        <v>-681</v>
      </c>
      <c r="BQ210" s="5">
        <f t="shared" si="368"/>
        <v>-681</v>
      </c>
      <c r="BR210" s="5">
        <f t="shared" si="368"/>
        <v>-681</v>
      </c>
      <c r="BS210" s="5">
        <f t="shared" si="368"/>
        <v>-681</v>
      </c>
      <c r="BT210" s="5">
        <f t="shared" si="368"/>
        <v>-691</v>
      </c>
      <c r="BU210" s="5">
        <f t="shared" ref="BU210:CC210" si="369">(BT210+BT211-BT213+BP212)</f>
        <v>-701</v>
      </c>
      <c r="BV210" s="5">
        <f t="shared" si="369"/>
        <v>-711</v>
      </c>
      <c r="BW210" s="5">
        <f t="shared" si="369"/>
        <v>-721</v>
      </c>
      <c r="BX210" s="5">
        <f t="shared" si="369"/>
        <v>-731</v>
      </c>
      <c r="BY210" s="5">
        <f t="shared" si="369"/>
        <v>-741</v>
      </c>
      <c r="BZ210" s="5">
        <f t="shared" si="369"/>
        <v>-751</v>
      </c>
      <c r="CA210" s="5">
        <f t="shared" si="369"/>
        <v>-761</v>
      </c>
      <c r="CB210" s="5">
        <f t="shared" si="369"/>
        <v>-771</v>
      </c>
      <c r="CC210" s="5">
        <f t="shared" si="369"/>
        <v>-781</v>
      </c>
    </row>
    <row r="211" spans="1:81" x14ac:dyDescent="0.2">
      <c r="A211" s="5" t="s">
        <v>209</v>
      </c>
      <c r="B211" s="5">
        <v>9.4100300000000008</v>
      </c>
      <c r="C211" s="45" t="s">
        <v>39</v>
      </c>
      <c r="D211" s="59">
        <f>IFERROR(VLOOKUP(A210,WIP!$A:$B,2,0),0)</f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</row>
    <row r="212" spans="1:81" x14ac:dyDescent="0.2">
      <c r="A212" s="5" t="s">
        <v>210</v>
      </c>
      <c r="B212" s="5">
        <v>0.27200000000000002</v>
      </c>
      <c r="C212" s="9" t="s">
        <v>211</v>
      </c>
      <c r="D212" s="60">
        <f>IFERROR(VLOOKUP($A210,Plan!$A:B,D$4,0),0)</f>
        <v>0</v>
      </c>
      <c r="E212" s="60">
        <f>IFERROR(VLOOKUP($A210,Plan!$A:C,E$4,0),0)</f>
        <v>0</v>
      </c>
      <c r="F212" s="60">
        <f>IFERROR(VLOOKUP($A210,Plan!$A:D,F$4,0),0)</f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</row>
    <row r="213" spans="1:81" x14ac:dyDescent="0.2">
      <c r="A213" s="5" t="s">
        <v>212</v>
      </c>
      <c r="B213" s="5">
        <v>4.1000000000000002E-2</v>
      </c>
      <c r="C213" s="9" t="s">
        <v>213</v>
      </c>
      <c r="D213" s="61">
        <f>IFERROR(VLOOKUP($A210,Sales!$A:B,D$2,0),0)</f>
        <v>0</v>
      </c>
      <c r="E213" s="61">
        <f>IFERROR(VLOOKUP($A210,Sales!$A:C,E$2,0),0)</f>
        <v>100</v>
      </c>
      <c r="F213" s="61">
        <f>IFERROR(VLOOKUP($A210,Sales!$A:D,F$2,0),0)</f>
        <v>0</v>
      </c>
      <c r="G213" s="61">
        <f>IFERROR(VLOOKUP($A210,Sales!$A:E,G$2,0),0)</f>
        <v>0</v>
      </c>
      <c r="H213" s="61">
        <f>IFERROR(VLOOKUP($A210,Sales!$A:F,H$2,0),0)</f>
        <v>0</v>
      </c>
      <c r="I213" s="61">
        <f>IFERROR(VLOOKUP($A210,Sales!$A:G,I$2,0),0)</f>
        <v>100</v>
      </c>
      <c r="J213" s="61">
        <f>IFERROR(VLOOKUP($A210,Sales!$A:H,J$2,0),0)</f>
        <v>0</v>
      </c>
      <c r="K213" s="61">
        <f>IFERROR(VLOOKUP($A210,Sales!$A:I,K$2,0),0)</f>
        <v>0</v>
      </c>
      <c r="L213" s="61">
        <f>IFERROR(VLOOKUP($A210,Sales!$A:J,L$2,0),0)</f>
        <v>0</v>
      </c>
      <c r="M213" s="61">
        <f>IFERROR(VLOOKUP($A210,Sales!$A:K,M$2,0),0)</f>
        <v>100</v>
      </c>
      <c r="N213" s="61">
        <f>IFERROR(VLOOKUP($A210,Sales!$A:L,N$2,0),0)</f>
        <v>0</v>
      </c>
      <c r="O213" s="61">
        <f>IFERROR(VLOOKUP($A210,Sales!$A:M,O$2,0),0)</f>
        <v>0</v>
      </c>
      <c r="P213" s="61">
        <f>IFERROR(VLOOKUP($A210,Sales!$A:N,P$2,0),0)</f>
        <v>0</v>
      </c>
      <c r="Q213" s="61">
        <f>IFERROR(VLOOKUP($A210,Sales!$A:O,Q$2,0),0)</f>
        <v>0</v>
      </c>
      <c r="R213" s="61">
        <f>IFERROR(VLOOKUP($A210,Sales!$A:P,R$2,0),0)</f>
        <v>0</v>
      </c>
      <c r="S213" s="61">
        <f>IFERROR(VLOOKUP($A210,Sales!$A:Q,S$2,0),0)</f>
        <v>0</v>
      </c>
      <c r="T213" s="61">
        <f>IFERROR(VLOOKUP($A210,Sales!$A:R,T$2,0),0)</f>
        <v>0</v>
      </c>
      <c r="U213" s="61">
        <f>IFERROR(VLOOKUP($A210,Sales!$A:S,U$2,0),0)</f>
        <v>30</v>
      </c>
      <c r="V213" s="61">
        <f>IFERROR(VLOOKUP($A210,Sales!$A:T,V$2,0),0)</f>
        <v>30</v>
      </c>
      <c r="W213" s="61">
        <f>IFERROR(VLOOKUP($A210,Sales!$A:U,W$2,0),0)</f>
        <v>30</v>
      </c>
      <c r="X213" s="61">
        <f>IFERROR(VLOOKUP($A210,Sales!$A:V,X$2,0),0)</f>
        <v>10</v>
      </c>
      <c r="Y213" s="61">
        <f>IFERROR(VLOOKUP($A210,Sales!$A:W,Y$2,0),0)</f>
        <v>0</v>
      </c>
      <c r="Z213" s="61">
        <f>IFERROR(VLOOKUP($A210,Sales!$A:X,Z$2,0),0)</f>
        <v>0</v>
      </c>
      <c r="AA213" s="61">
        <f>IFERROR(VLOOKUP($A210,Sales!$A:Y,AA$2,0),0)</f>
        <v>0</v>
      </c>
      <c r="AB213" s="61">
        <f>IFERROR(VLOOKUP($A210,Sales!$A:Z,AB$2,0),0)</f>
        <v>0</v>
      </c>
      <c r="AC213" s="61">
        <f>IFERROR(VLOOKUP($A210,Sales!$A:AA,AC$2,0),0)</f>
        <v>20</v>
      </c>
      <c r="AD213" s="61">
        <f>IFERROR(VLOOKUP($A210,Sales!$A:AB,AD$2,0),0)</f>
        <v>20</v>
      </c>
      <c r="AE213" s="61">
        <f>IFERROR(VLOOKUP($A210,Sales!$A:AC,AE$2,0),0)</f>
        <v>20</v>
      </c>
      <c r="AF213" s="61">
        <f>IFERROR(VLOOKUP($A210,Sales!$A:AD,AF$2,0),0)</f>
        <v>20</v>
      </c>
      <c r="AG213" s="61">
        <f>IFERROR(VLOOKUP($A210,Sales!$A:AE,AG$2,0),0)</f>
        <v>20</v>
      </c>
      <c r="AH213" s="61">
        <f>IFERROR(VLOOKUP($A210,Sales!$A:AF,AH$2,0),0)</f>
        <v>0</v>
      </c>
      <c r="AI213" s="61">
        <f>IFERROR(VLOOKUP($A210,Sales!$A:AG,AI$2,0),0)</f>
        <v>0</v>
      </c>
      <c r="AJ213" s="61">
        <f>IFERROR(VLOOKUP($A210,Sales!$A:AH,AJ$2,0),0)</f>
        <v>0</v>
      </c>
      <c r="AK213" s="74">
        <f t="shared" ref="AK213:CC213" si="370">CEILING(AK$5*$B209,1)</f>
        <v>0</v>
      </c>
      <c r="AL213" s="74">
        <f t="shared" si="370"/>
        <v>0</v>
      </c>
      <c r="AM213" s="74">
        <f t="shared" si="370"/>
        <v>0</v>
      </c>
      <c r="AN213" s="74">
        <f t="shared" si="370"/>
        <v>14</v>
      </c>
      <c r="AO213" s="74">
        <f t="shared" si="370"/>
        <v>14</v>
      </c>
      <c r="AP213" s="74">
        <f t="shared" si="370"/>
        <v>14</v>
      </c>
      <c r="AQ213" s="74">
        <f t="shared" si="370"/>
        <v>17</v>
      </c>
      <c r="AR213" s="74">
        <f t="shared" si="370"/>
        <v>17</v>
      </c>
      <c r="AS213" s="74">
        <f t="shared" si="370"/>
        <v>13</v>
      </c>
      <c r="AT213" s="74">
        <f t="shared" si="370"/>
        <v>17</v>
      </c>
      <c r="AU213" s="74">
        <f t="shared" si="370"/>
        <v>16</v>
      </c>
      <c r="AV213" s="74">
        <f t="shared" si="370"/>
        <v>16</v>
      </c>
      <c r="AW213" s="74">
        <f t="shared" si="370"/>
        <v>16</v>
      </c>
      <c r="AX213" s="74">
        <f t="shared" si="370"/>
        <v>16</v>
      </c>
      <c r="AY213" s="74">
        <f t="shared" si="370"/>
        <v>13</v>
      </c>
      <c r="AZ213" s="74">
        <f t="shared" si="370"/>
        <v>11</v>
      </c>
      <c r="BA213" s="74">
        <f t="shared" si="370"/>
        <v>11</v>
      </c>
      <c r="BB213" s="74">
        <f t="shared" si="370"/>
        <v>11</v>
      </c>
      <c r="BC213" s="74">
        <f t="shared" si="370"/>
        <v>13</v>
      </c>
      <c r="BD213" s="74">
        <f t="shared" si="370"/>
        <v>13</v>
      </c>
      <c r="BE213" s="74">
        <f t="shared" si="370"/>
        <v>13</v>
      </c>
      <c r="BF213" s="74">
        <f t="shared" si="370"/>
        <v>13</v>
      </c>
      <c r="BG213" s="74">
        <f t="shared" si="370"/>
        <v>13</v>
      </c>
      <c r="BH213" s="74">
        <f t="shared" si="370"/>
        <v>13</v>
      </c>
      <c r="BI213" s="74">
        <f t="shared" si="370"/>
        <v>13</v>
      </c>
      <c r="BJ213" s="74">
        <f t="shared" si="370"/>
        <v>13</v>
      </c>
      <c r="BK213" s="74">
        <f t="shared" si="370"/>
        <v>13</v>
      </c>
      <c r="BL213" s="74">
        <f t="shared" si="370"/>
        <v>13</v>
      </c>
      <c r="BM213" s="74">
        <f t="shared" si="370"/>
        <v>13</v>
      </c>
      <c r="BN213" s="74">
        <f t="shared" si="370"/>
        <v>23</v>
      </c>
      <c r="BO213" s="74">
        <f t="shared" si="370"/>
        <v>0</v>
      </c>
      <c r="BP213" s="74">
        <f t="shared" si="370"/>
        <v>0</v>
      </c>
      <c r="BQ213" s="74">
        <f t="shared" si="370"/>
        <v>0</v>
      </c>
      <c r="BR213" s="74">
        <f t="shared" si="370"/>
        <v>0</v>
      </c>
      <c r="BS213" s="74">
        <f t="shared" si="370"/>
        <v>10</v>
      </c>
      <c r="BT213" s="74">
        <f t="shared" si="370"/>
        <v>10</v>
      </c>
      <c r="BU213" s="74">
        <f t="shared" si="370"/>
        <v>10</v>
      </c>
      <c r="BV213" s="74">
        <f t="shared" si="370"/>
        <v>10</v>
      </c>
      <c r="BW213" s="74">
        <f t="shared" si="370"/>
        <v>10</v>
      </c>
      <c r="BX213" s="74">
        <f t="shared" si="370"/>
        <v>10</v>
      </c>
      <c r="BY213" s="74">
        <f t="shared" si="370"/>
        <v>10</v>
      </c>
      <c r="BZ213" s="74">
        <f t="shared" si="370"/>
        <v>10</v>
      </c>
      <c r="CA213" s="74">
        <f t="shared" si="370"/>
        <v>10</v>
      </c>
      <c r="CB213" s="74">
        <f t="shared" si="370"/>
        <v>10</v>
      </c>
      <c r="CC213" s="74">
        <f t="shared" si="370"/>
        <v>10</v>
      </c>
    </row>
    <row r="214" spans="1:81" x14ac:dyDescent="0.2">
      <c r="A214" s="5" t="s">
        <v>214</v>
      </c>
      <c r="B214" s="5">
        <v>0.313</v>
      </c>
      <c r="C214" s="46" t="s">
        <v>215</v>
      </c>
      <c r="D214" s="11">
        <f t="shared" ref="D214:AI214" si="371">IF(D213=0,0, ROUND(D210 * 1/D213* D$13,1))</f>
        <v>0</v>
      </c>
      <c r="E214" s="11">
        <f t="shared" si="371"/>
        <v>10.1</v>
      </c>
      <c r="F214" s="11">
        <f t="shared" si="371"/>
        <v>0</v>
      </c>
      <c r="G214" s="11">
        <f t="shared" si="371"/>
        <v>0</v>
      </c>
      <c r="H214" s="11">
        <f t="shared" si="371"/>
        <v>0</v>
      </c>
      <c r="I214" s="11">
        <f t="shared" si="371"/>
        <v>5.0999999999999996</v>
      </c>
      <c r="J214" s="11">
        <f t="shared" si="371"/>
        <v>0</v>
      </c>
      <c r="K214" s="11">
        <f t="shared" si="371"/>
        <v>0</v>
      </c>
      <c r="L214" s="11">
        <f t="shared" si="371"/>
        <v>0</v>
      </c>
      <c r="M214" s="11">
        <f t="shared" si="371"/>
        <v>0.1</v>
      </c>
      <c r="N214" s="11">
        <f t="shared" si="371"/>
        <v>0</v>
      </c>
      <c r="O214" s="11">
        <f t="shared" si="371"/>
        <v>0</v>
      </c>
      <c r="P214" s="11">
        <f t="shared" si="371"/>
        <v>0</v>
      </c>
      <c r="Q214" s="11">
        <f t="shared" si="371"/>
        <v>0</v>
      </c>
      <c r="R214" s="11">
        <f t="shared" si="371"/>
        <v>0</v>
      </c>
      <c r="S214" s="11">
        <f t="shared" si="371"/>
        <v>0</v>
      </c>
      <c r="T214" s="11">
        <f t="shared" si="371"/>
        <v>0</v>
      </c>
      <c r="U214" s="11">
        <f t="shared" si="371"/>
        <v>-16.5</v>
      </c>
      <c r="V214" s="11">
        <f t="shared" si="371"/>
        <v>-21.5</v>
      </c>
      <c r="W214" s="11">
        <f t="shared" si="371"/>
        <v>-26.5</v>
      </c>
      <c r="X214" s="11">
        <f t="shared" si="371"/>
        <v>-94.5</v>
      </c>
      <c r="Y214" s="11">
        <f t="shared" si="371"/>
        <v>0</v>
      </c>
      <c r="Z214" s="11">
        <f t="shared" si="371"/>
        <v>0</v>
      </c>
      <c r="AA214" s="11">
        <f t="shared" si="371"/>
        <v>0</v>
      </c>
      <c r="AB214" s="11">
        <f t="shared" si="371"/>
        <v>0</v>
      </c>
      <c r="AC214" s="11">
        <f t="shared" si="371"/>
        <v>-49.8</v>
      </c>
      <c r="AD214" s="11">
        <f t="shared" si="371"/>
        <v>-54.8</v>
      </c>
      <c r="AE214" s="11">
        <f t="shared" si="371"/>
        <v>-59.8</v>
      </c>
      <c r="AF214" s="11">
        <f t="shared" si="371"/>
        <v>-64.8</v>
      </c>
      <c r="AG214" s="11">
        <f t="shared" si="371"/>
        <v>-69.8</v>
      </c>
      <c r="AH214" s="11">
        <f t="shared" si="371"/>
        <v>0</v>
      </c>
      <c r="AI214" s="11">
        <f t="shared" si="371"/>
        <v>0</v>
      </c>
      <c r="AJ214" s="11">
        <f t="shared" ref="AJ214:BO214" si="372">IF(AJ213=0,0, ROUND(AJ210 * 1/AJ213* AJ$13,1))</f>
        <v>0</v>
      </c>
      <c r="AK214" s="11">
        <f t="shared" si="372"/>
        <v>0</v>
      </c>
      <c r="AL214" s="11">
        <f t="shared" si="372"/>
        <v>0</v>
      </c>
      <c r="AM214" s="11">
        <f t="shared" si="372"/>
        <v>0</v>
      </c>
      <c r="AN214" s="11">
        <f t="shared" si="372"/>
        <v>-106.8</v>
      </c>
      <c r="AO214" s="11">
        <f t="shared" si="372"/>
        <v>-111.8</v>
      </c>
      <c r="AP214" s="11">
        <f t="shared" si="372"/>
        <v>-116.8</v>
      </c>
      <c r="AQ214" s="11">
        <f t="shared" si="372"/>
        <v>-100.3</v>
      </c>
      <c r="AR214" s="11">
        <f t="shared" si="372"/>
        <v>-105.3</v>
      </c>
      <c r="AS214" s="11">
        <f t="shared" si="372"/>
        <v>-144.19999999999999</v>
      </c>
      <c r="AT214" s="11">
        <f t="shared" si="372"/>
        <v>-114.1</v>
      </c>
      <c r="AU214" s="11">
        <f t="shared" si="372"/>
        <v>-126.6</v>
      </c>
      <c r="AV214" s="11">
        <f t="shared" si="372"/>
        <v>-131.6</v>
      </c>
      <c r="AW214" s="11">
        <f t="shared" si="372"/>
        <v>-136.6</v>
      </c>
      <c r="AX214" s="11">
        <f t="shared" si="372"/>
        <v>-141.6</v>
      </c>
      <c r="AY214" s="11">
        <f t="shared" si="372"/>
        <v>-180.4</v>
      </c>
      <c r="AZ214" s="11">
        <f t="shared" si="372"/>
        <v>-219.1</v>
      </c>
      <c r="BA214" s="11">
        <f t="shared" si="372"/>
        <v>-224.1</v>
      </c>
      <c r="BB214" s="11">
        <f t="shared" si="372"/>
        <v>-229.1</v>
      </c>
      <c r="BC214" s="11">
        <f t="shared" si="372"/>
        <v>-198.1</v>
      </c>
      <c r="BD214" s="11">
        <f t="shared" si="372"/>
        <v>-203.1</v>
      </c>
      <c r="BE214" s="11">
        <f t="shared" si="372"/>
        <v>-208.1</v>
      </c>
      <c r="BF214" s="11">
        <f t="shared" si="372"/>
        <v>-213.1</v>
      </c>
      <c r="BG214" s="11">
        <f t="shared" si="372"/>
        <v>-218.1</v>
      </c>
      <c r="BH214" s="11">
        <f t="shared" si="372"/>
        <v>-223.1</v>
      </c>
      <c r="BI214" s="11">
        <f t="shared" si="372"/>
        <v>-228.1</v>
      </c>
      <c r="BJ214" s="11">
        <f t="shared" si="372"/>
        <v>-233.1</v>
      </c>
      <c r="BK214" s="11">
        <f t="shared" si="372"/>
        <v>-238.1</v>
      </c>
      <c r="BL214" s="11">
        <f t="shared" si="372"/>
        <v>-243.1</v>
      </c>
      <c r="BM214" s="11">
        <f t="shared" si="372"/>
        <v>-248.1</v>
      </c>
      <c r="BN214" s="11">
        <f t="shared" si="372"/>
        <v>-143</v>
      </c>
      <c r="BO214" s="11">
        <f t="shared" si="372"/>
        <v>0</v>
      </c>
      <c r="BP214" s="11">
        <f t="shared" ref="BP214:CC214" si="373">IF(BP213=0,0, ROUND(BP210 * 1/BP213* BP$13,1))</f>
        <v>0</v>
      </c>
      <c r="BQ214" s="11">
        <f t="shared" si="373"/>
        <v>0</v>
      </c>
      <c r="BR214" s="11">
        <f t="shared" si="373"/>
        <v>0</v>
      </c>
      <c r="BS214" s="11">
        <f t="shared" si="373"/>
        <v>-340.5</v>
      </c>
      <c r="BT214" s="11">
        <f t="shared" si="373"/>
        <v>-345.5</v>
      </c>
      <c r="BU214" s="11">
        <f t="shared" si="373"/>
        <v>-350.5</v>
      </c>
      <c r="BV214" s="11">
        <f t="shared" si="373"/>
        <v>-355.5</v>
      </c>
      <c r="BW214" s="11">
        <f t="shared" si="373"/>
        <v>-360.5</v>
      </c>
      <c r="BX214" s="11">
        <f t="shared" si="373"/>
        <v>-365.5</v>
      </c>
      <c r="BY214" s="11">
        <f t="shared" si="373"/>
        <v>-370.5</v>
      </c>
      <c r="BZ214" s="11">
        <f t="shared" si="373"/>
        <v>-375.5</v>
      </c>
      <c r="CA214" s="11">
        <f t="shared" si="373"/>
        <v>-380.5</v>
      </c>
      <c r="CB214" s="11">
        <f t="shared" si="373"/>
        <v>-385.5</v>
      </c>
      <c r="CC214" s="11">
        <f t="shared" si="373"/>
        <v>-390.5</v>
      </c>
    </row>
    <row r="215" spans="1:81" x14ac:dyDescent="0.2">
      <c r="A215">
        <v>24</v>
      </c>
      <c r="B215">
        <v>1</v>
      </c>
      <c r="C215" s="8">
        <v>7.2293799999999999</v>
      </c>
      <c r="D215">
        <f t="shared" ref="D215:AI215" si="374">D212/$B215</f>
        <v>0</v>
      </c>
      <c r="E215">
        <f t="shared" si="374"/>
        <v>0</v>
      </c>
      <c r="F215">
        <f t="shared" si="374"/>
        <v>0</v>
      </c>
      <c r="G215">
        <f t="shared" si="374"/>
        <v>0</v>
      </c>
      <c r="H215">
        <f t="shared" si="374"/>
        <v>0</v>
      </c>
      <c r="I215">
        <f t="shared" si="374"/>
        <v>0</v>
      </c>
      <c r="J215">
        <f t="shared" si="374"/>
        <v>0</v>
      </c>
      <c r="K215">
        <f t="shared" si="374"/>
        <v>0</v>
      </c>
      <c r="L215">
        <f t="shared" si="374"/>
        <v>0</v>
      </c>
      <c r="M215">
        <f t="shared" si="374"/>
        <v>0</v>
      </c>
      <c r="N215">
        <f t="shared" si="374"/>
        <v>0</v>
      </c>
      <c r="O215">
        <f t="shared" si="374"/>
        <v>0</v>
      </c>
      <c r="P215">
        <f t="shared" si="374"/>
        <v>0</v>
      </c>
      <c r="Q215">
        <f t="shared" si="374"/>
        <v>0</v>
      </c>
      <c r="R215">
        <f t="shared" si="374"/>
        <v>0</v>
      </c>
      <c r="S215">
        <f t="shared" si="374"/>
        <v>0</v>
      </c>
      <c r="T215">
        <f t="shared" si="374"/>
        <v>0</v>
      </c>
      <c r="U215">
        <f t="shared" si="374"/>
        <v>0</v>
      </c>
      <c r="V215">
        <f t="shared" si="374"/>
        <v>0</v>
      </c>
      <c r="W215">
        <f t="shared" si="374"/>
        <v>0</v>
      </c>
      <c r="X215">
        <f t="shared" si="374"/>
        <v>0</v>
      </c>
      <c r="Y215">
        <f t="shared" si="374"/>
        <v>0</v>
      </c>
      <c r="Z215">
        <f t="shared" si="374"/>
        <v>0</v>
      </c>
      <c r="AA215">
        <f t="shared" si="374"/>
        <v>0</v>
      </c>
      <c r="AB215">
        <f t="shared" si="374"/>
        <v>0</v>
      </c>
      <c r="AC215">
        <f t="shared" si="374"/>
        <v>0</v>
      </c>
      <c r="AD215">
        <f t="shared" si="374"/>
        <v>0</v>
      </c>
      <c r="AE215">
        <f t="shared" si="374"/>
        <v>0</v>
      </c>
      <c r="AF215">
        <f t="shared" si="374"/>
        <v>0</v>
      </c>
      <c r="AG215">
        <f t="shared" si="374"/>
        <v>0</v>
      </c>
      <c r="AH215">
        <f t="shared" si="374"/>
        <v>0</v>
      </c>
      <c r="AI215">
        <f t="shared" si="374"/>
        <v>0</v>
      </c>
      <c r="AJ215">
        <f t="shared" ref="AJ215:BO215" si="375">AJ212/$B215</f>
        <v>0</v>
      </c>
      <c r="AK215">
        <f t="shared" si="375"/>
        <v>0</v>
      </c>
      <c r="AL215">
        <f t="shared" si="375"/>
        <v>0</v>
      </c>
      <c r="AM215">
        <f t="shared" si="375"/>
        <v>0</v>
      </c>
      <c r="AN215">
        <f t="shared" si="375"/>
        <v>0</v>
      </c>
      <c r="AO215">
        <f t="shared" si="375"/>
        <v>0</v>
      </c>
      <c r="AP215">
        <f t="shared" si="375"/>
        <v>0</v>
      </c>
      <c r="AQ215">
        <f t="shared" si="375"/>
        <v>0</v>
      </c>
      <c r="AR215">
        <f t="shared" si="375"/>
        <v>0</v>
      </c>
      <c r="AS215">
        <f t="shared" si="375"/>
        <v>0</v>
      </c>
      <c r="AT215">
        <f t="shared" si="375"/>
        <v>0</v>
      </c>
      <c r="AU215">
        <f t="shared" si="375"/>
        <v>0</v>
      </c>
      <c r="AV215">
        <f t="shared" si="375"/>
        <v>0</v>
      </c>
      <c r="AW215">
        <f t="shared" si="375"/>
        <v>0</v>
      </c>
      <c r="AX215">
        <f t="shared" si="375"/>
        <v>0</v>
      </c>
      <c r="AY215">
        <f t="shared" si="375"/>
        <v>0</v>
      </c>
      <c r="AZ215">
        <f t="shared" si="375"/>
        <v>0</v>
      </c>
      <c r="BA215">
        <f t="shared" si="375"/>
        <v>0</v>
      </c>
      <c r="BB215">
        <f t="shared" si="375"/>
        <v>0</v>
      </c>
      <c r="BC215">
        <f t="shared" si="375"/>
        <v>0</v>
      </c>
      <c r="BD215">
        <f t="shared" si="375"/>
        <v>0</v>
      </c>
      <c r="BE215">
        <f t="shared" si="375"/>
        <v>0</v>
      </c>
      <c r="BF215">
        <f t="shared" si="375"/>
        <v>0</v>
      </c>
      <c r="BG215">
        <f t="shared" si="375"/>
        <v>0</v>
      </c>
      <c r="BH215">
        <f t="shared" si="375"/>
        <v>0</v>
      </c>
      <c r="BI215">
        <f t="shared" si="375"/>
        <v>0</v>
      </c>
      <c r="BJ215">
        <f t="shared" si="375"/>
        <v>0</v>
      </c>
      <c r="BK215">
        <f t="shared" si="375"/>
        <v>0</v>
      </c>
      <c r="BL215">
        <f t="shared" si="375"/>
        <v>0</v>
      </c>
      <c r="BM215">
        <f t="shared" si="375"/>
        <v>0</v>
      </c>
      <c r="BN215">
        <f t="shared" si="375"/>
        <v>0</v>
      </c>
      <c r="BO215">
        <f t="shared" si="375"/>
        <v>0</v>
      </c>
      <c r="BP215">
        <f t="shared" ref="BP215:CC215" si="376">BP212/$B215</f>
        <v>0</v>
      </c>
      <c r="BQ215">
        <f t="shared" si="376"/>
        <v>0</v>
      </c>
      <c r="BR215">
        <f t="shared" si="376"/>
        <v>0</v>
      </c>
      <c r="BS215">
        <f t="shared" si="376"/>
        <v>0</v>
      </c>
      <c r="BT215">
        <f t="shared" si="376"/>
        <v>0</v>
      </c>
      <c r="BU215">
        <f t="shared" si="376"/>
        <v>0</v>
      </c>
      <c r="BV215">
        <f t="shared" si="376"/>
        <v>0</v>
      </c>
      <c r="BW215">
        <f t="shared" si="376"/>
        <v>0</v>
      </c>
      <c r="BX215">
        <f t="shared" si="376"/>
        <v>0</v>
      </c>
      <c r="BY215">
        <f t="shared" si="376"/>
        <v>0</v>
      </c>
      <c r="BZ215">
        <f t="shared" si="376"/>
        <v>0</v>
      </c>
      <c r="CA215">
        <f t="shared" si="376"/>
        <v>0</v>
      </c>
      <c r="CB215">
        <f t="shared" si="376"/>
        <v>0</v>
      </c>
      <c r="CC215">
        <f t="shared" si="376"/>
        <v>0</v>
      </c>
    </row>
    <row r="216" spans="1:81" x14ac:dyDescent="0.2">
      <c r="B216" s="67">
        <f>SUM(D220:AJ220)/SUM($D$263:$AJ$263)</f>
        <v>1.5653126712060735E-3</v>
      </c>
      <c r="C216" s="9" t="s">
        <v>216</v>
      </c>
      <c r="D216">
        <f t="shared" ref="D216:AI216" si="377">D210-D213</f>
        <v>200</v>
      </c>
      <c r="E216">
        <f t="shared" si="377"/>
        <v>101</v>
      </c>
      <c r="F216">
        <f t="shared" si="377"/>
        <v>101</v>
      </c>
      <c r="G216">
        <f t="shared" si="377"/>
        <v>101</v>
      </c>
      <c r="H216">
        <f t="shared" si="377"/>
        <v>101</v>
      </c>
      <c r="I216">
        <f t="shared" si="377"/>
        <v>1</v>
      </c>
      <c r="J216">
        <f t="shared" si="377"/>
        <v>1</v>
      </c>
      <c r="K216">
        <f t="shared" si="377"/>
        <v>1</v>
      </c>
      <c r="L216">
        <f t="shared" si="377"/>
        <v>1</v>
      </c>
      <c r="M216">
        <f t="shared" si="377"/>
        <v>-99</v>
      </c>
      <c r="N216">
        <f t="shared" si="377"/>
        <v>-99</v>
      </c>
      <c r="O216">
        <f t="shared" si="377"/>
        <v>-99</v>
      </c>
      <c r="P216">
        <f t="shared" si="377"/>
        <v>-99</v>
      </c>
      <c r="Q216">
        <f t="shared" si="377"/>
        <v>-99</v>
      </c>
      <c r="R216">
        <f t="shared" si="377"/>
        <v>-99</v>
      </c>
      <c r="S216">
        <f t="shared" si="377"/>
        <v>-99</v>
      </c>
      <c r="T216">
        <f t="shared" si="377"/>
        <v>-99</v>
      </c>
      <c r="U216">
        <f t="shared" si="377"/>
        <v>-129</v>
      </c>
      <c r="V216">
        <f t="shared" si="377"/>
        <v>-159</v>
      </c>
      <c r="W216">
        <f t="shared" si="377"/>
        <v>-189</v>
      </c>
      <c r="X216">
        <f t="shared" si="377"/>
        <v>-199</v>
      </c>
      <c r="Y216">
        <f t="shared" si="377"/>
        <v>-199</v>
      </c>
      <c r="Z216">
        <f t="shared" si="377"/>
        <v>-199</v>
      </c>
      <c r="AA216">
        <f t="shared" si="377"/>
        <v>-199</v>
      </c>
      <c r="AB216">
        <f t="shared" si="377"/>
        <v>-199</v>
      </c>
      <c r="AC216">
        <f t="shared" si="377"/>
        <v>-219</v>
      </c>
      <c r="AD216">
        <f t="shared" si="377"/>
        <v>-239</v>
      </c>
      <c r="AE216">
        <f t="shared" si="377"/>
        <v>-259</v>
      </c>
      <c r="AF216">
        <f t="shared" si="377"/>
        <v>-279</v>
      </c>
      <c r="AG216">
        <f t="shared" si="377"/>
        <v>-299</v>
      </c>
      <c r="AH216">
        <f t="shared" si="377"/>
        <v>-299</v>
      </c>
      <c r="AI216">
        <f t="shared" si="377"/>
        <v>-299</v>
      </c>
      <c r="AJ216">
        <f t="shared" ref="AJ216:BO216" si="378">AJ210-AJ213</f>
        <v>-299</v>
      </c>
      <c r="AK216">
        <f t="shared" si="378"/>
        <v>-299</v>
      </c>
      <c r="AL216">
        <f t="shared" si="378"/>
        <v>-299</v>
      </c>
      <c r="AM216">
        <f t="shared" si="378"/>
        <v>-299</v>
      </c>
      <c r="AN216">
        <f t="shared" si="378"/>
        <v>-313</v>
      </c>
      <c r="AO216">
        <f t="shared" si="378"/>
        <v>-327</v>
      </c>
      <c r="AP216">
        <f t="shared" si="378"/>
        <v>-341</v>
      </c>
      <c r="AQ216">
        <f t="shared" si="378"/>
        <v>-358</v>
      </c>
      <c r="AR216">
        <f t="shared" si="378"/>
        <v>-375</v>
      </c>
      <c r="AS216">
        <f t="shared" si="378"/>
        <v>-388</v>
      </c>
      <c r="AT216">
        <f t="shared" si="378"/>
        <v>-405</v>
      </c>
      <c r="AU216">
        <f t="shared" si="378"/>
        <v>-421</v>
      </c>
      <c r="AV216">
        <f t="shared" si="378"/>
        <v>-437</v>
      </c>
      <c r="AW216">
        <f t="shared" si="378"/>
        <v>-453</v>
      </c>
      <c r="AX216">
        <f t="shared" si="378"/>
        <v>-469</v>
      </c>
      <c r="AY216">
        <f t="shared" si="378"/>
        <v>-482</v>
      </c>
      <c r="AZ216">
        <f t="shared" si="378"/>
        <v>-493</v>
      </c>
      <c r="BA216">
        <f t="shared" si="378"/>
        <v>-504</v>
      </c>
      <c r="BB216">
        <f t="shared" si="378"/>
        <v>-515</v>
      </c>
      <c r="BC216">
        <f t="shared" si="378"/>
        <v>-528</v>
      </c>
      <c r="BD216">
        <f t="shared" si="378"/>
        <v>-541</v>
      </c>
      <c r="BE216">
        <f t="shared" si="378"/>
        <v>-554</v>
      </c>
      <c r="BF216">
        <f t="shared" si="378"/>
        <v>-567</v>
      </c>
      <c r="BG216">
        <f t="shared" si="378"/>
        <v>-580</v>
      </c>
      <c r="BH216">
        <f t="shared" si="378"/>
        <v>-593</v>
      </c>
      <c r="BI216">
        <f t="shared" si="378"/>
        <v>-606</v>
      </c>
      <c r="BJ216">
        <f t="shared" si="378"/>
        <v>-619</v>
      </c>
      <c r="BK216">
        <f t="shared" si="378"/>
        <v>-632</v>
      </c>
      <c r="BL216">
        <f t="shared" si="378"/>
        <v>-645</v>
      </c>
      <c r="BM216">
        <f t="shared" si="378"/>
        <v>-658</v>
      </c>
      <c r="BN216">
        <f t="shared" si="378"/>
        <v>-681</v>
      </c>
      <c r="BO216">
        <f t="shared" si="378"/>
        <v>-681</v>
      </c>
      <c r="BP216">
        <f t="shared" ref="BP216:CC216" si="379">BP210-BP213</f>
        <v>-681</v>
      </c>
      <c r="BQ216">
        <f t="shared" si="379"/>
        <v>-681</v>
      </c>
      <c r="BR216">
        <f t="shared" si="379"/>
        <v>-681</v>
      </c>
      <c r="BS216">
        <f t="shared" si="379"/>
        <v>-691</v>
      </c>
      <c r="BT216">
        <f t="shared" si="379"/>
        <v>-701</v>
      </c>
      <c r="BU216">
        <f t="shared" si="379"/>
        <v>-711</v>
      </c>
      <c r="BV216">
        <f t="shared" si="379"/>
        <v>-721</v>
      </c>
      <c r="BW216">
        <f t="shared" si="379"/>
        <v>-731</v>
      </c>
      <c r="BX216">
        <f t="shared" si="379"/>
        <v>-741</v>
      </c>
      <c r="BY216">
        <f t="shared" si="379"/>
        <v>-751</v>
      </c>
      <c r="BZ216">
        <f t="shared" si="379"/>
        <v>-761</v>
      </c>
      <c r="CA216">
        <f t="shared" si="379"/>
        <v>-771</v>
      </c>
      <c r="CB216">
        <f t="shared" si="379"/>
        <v>-781</v>
      </c>
      <c r="CC216">
        <f t="shared" si="379"/>
        <v>-791</v>
      </c>
    </row>
    <row r="217" spans="1:81" x14ac:dyDescent="0.2">
      <c r="A217" s="43" t="s">
        <v>318</v>
      </c>
      <c r="B217" s="44" t="s">
        <v>208</v>
      </c>
      <c r="C217" s="9" t="s">
        <v>38</v>
      </c>
      <c r="D217" s="58">
        <f>IFERROR(VLOOKUP(A217,OS!$A:$B,2,0),0)</f>
        <v>0</v>
      </c>
      <c r="E217" s="5">
        <f>(D217+D218-D220)</f>
        <v>0</v>
      </c>
      <c r="F217" s="5">
        <f>(E217+E218-E220)</f>
        <v>0</v>
      </c>
      <c r="G217" s="5">
        <f>(F217+F218-F220)</f>
        <v>0</v>
      </c>
      <c r="H217" s="5">
        <f>(G217+G218-G220)</f>
        <v>0</v>
      </c>
      <c r="I217" s="5">
        <f t="shared" ref="I217:AN217" si="380">(H217+H218-H220+D219)</f>
        <v>0</v>
      </c>
      <c r="J217" s="5">
        <f t="shared" si="380"/>
        <v>0</v>
      </c>
      <c r="K217" s="5">
        <f t="shared" si="380"/>
        <v>0</v>
      </c>
      <c r="L217" s="5">
        <f t="shared" si="380"/>
        <v>0</v>
      </c>
      <c r="M217" s="5">
        <f t="shared" si="380"/>
        <v>0</v>
      </c>
      <c r="N217" s="5">
        <f t="shared" si="380"/>
        <v>0</v>
      </c>
      <c r="O217" s="5">
        <f t="shared" si="380"/>
        <v>0</v>
      </c>
      <c r="P217" s="5">
        <f t="shared" si="380"/>
        <v>0</v>
      </c>
      <c r="Q217" s="5">
        <f t="shared" si="380"/>
        <v>0</v>
      </c>
      <c r="R217" s="5">
        <f t="shared" si="380"/>
        <v>0</v>
      </c>
      <c r="S217" s="5">
        <f t="shared" si="380"/>
        <v>0</v>
      </c>
      <c r="T217" s="5">
        <f t="shared" si="380"/>
        <v>0</v>
      </c>
      <c r="U217" s="5">
        <f t="shared" si="380"/>
        <v>0</v>
      </c>
      <c r="V217" s="5">
        <f t="shared" si="380"/>
        <v>-40</v>
      </c>
      <c r="W217" s="5">
        <f t="shared" si="380"/>
        <v>-80</v>
      </c>
      <c r="X217" s="5">
        <f t="shared" si="380"/>
        <v>-120</v>
      </c>
      <c r="Y217" s="5">
        <f t="shared" si="380"/>
        <v>-160</v>
      </c>
      <c r="Z217" s="5">
        <f t="shared" si="380"/>
        <v>-160</v>
      </c>
      <c r="AA217" s="5">
        <f t="shared" si="380"/>
        <v>-160</v>
      </c>
      <c r="AB217" s="5">
        <f t="shared" si="380"/>
        <v>-160</v>
      </c>
      <c r="AC217" s="5">
        <f t="shared" si="380"/>
        <v>-160</v>
      </c>
      <c r="AD217" s="5">
        <f t="shared" si="380"/>
        <v>-160</v>
      </c>
      <c r="AE217" s="5">
        <f t="shared" si="380"/>
        <v>-160</v>
      </c>
      <c r="AF217" s="5">
        <f t="shared" si="380"/>
        <v>-160</v>
      </c>
      <c r="AG217" s="5">
        <f t="shared" si="380"/>
        <v>-160</v>
      </c>
      <c r="AH217" s="5">
        <f t="shared" si="380"/>
        <v>-160</v>
      </c>
      <c r="AI217" s="5">
        <f t="shared" si="380"/>
        <v>-160</v>
      </c>
      <c r="AJ217" s="5">
        <f t="shared" si="380"/>
        <v>-160</v>
      </c>
      <c r="AK217" s="5">
        <f t="shared" si="380"/>
        <v>-160</v>
      </c>
      <c r="AL217" s="5">
        <f t="shared" si="380"/>
        <v>-160</v>
      </c>
      <c r="AM217" s="5">
        <f t="shared" si="380"/>
        <v>-160</v>
      </c>
      <c r="AN217" s="5">
        <f t="shared" si="380"/>
        <v>-160</v>
      </c>
      <c r="AO217" s="5">
        <f t="shared" ref="AO217:BT217" si="381">(AN217+AN218-AN220+AJ219)</f>
        <v>-165</v>
      </c>
      <c r="AP217" s="5">
        <f t="shared" si="381"/>
        <v>-170</v>
      </c>
      <c r="AQ217" s="5">
        <f t="shared" si="381"/>
        <v>-175</v>
      </c>
      <c r="AR217" s="5">
        <f t="shared" si="381"/>
        <v>-181</v>
      </c>
      <c r="AS217" s="5">
        <f t="shared" si="381"/>
        <v>-187</v>
      </c>
      <c r="AT217" s="5">
        <f t="shared" si="381"/>
        <v>-192</v>
      </c>
      <c r="AU217" s="5">
        <f t="shared" si="381"/>
        <v>-198</v>
      </c>
      <c r="AV217" s="5">
        <f t="shared" si="381"/>
        <v>-203</v>
      </c>
      <c r="AW217" s="5">
        <f t="shared" si="381"/>
        <v>-208</v>
      </c>
      <c r="AX217" s="5">
        <f t="shared" si="381"/>
        <v>-213</v>
      </c>
      <c r="AY217" s="5">
        <f t="shared" si="381"/>
        <v>-218</v>
      </c>
      <c r="AZ217" s="5">
        <f t="shared" si="381"/>
        <v>-222</v>
      </c>
      <c r="BA217" s="5">
        <f t="shared" si="381"/>
        <v>-226</v>
      </c>
      <c r="BB217" s="5">
        <f t="shared" si="381"/>
        <v>-230</v>
      </c>
      <c r="BC217" s="5">
        <f t="shared" si="381"/>
        <v>-234</v>
      </c>
      <c r="BD217" s="5">
        <f t="shared" si="381"/>
        <v>-238</v>
      </c>
      <c r="BE217" s="5">
        <f t="shared" si="381"/>
        <v>-242</v>
      </c>
      <c r="BF217" s="5">
        <f t="shared" si="381"/>
        <v>-246</v>
      </c>
      <c r="BG217" s="5">
        <f t="shared" si="381"/>
        <v>-250</v>
      </c>
      <c r="BH217" s="5">
        <f t="shared" si="381"/>
        <v>-254</v>
      </c>
      <c r="BI217" s="5">
        <f t="shared" si="381"/>
        <v>-258</v>
      </c>
      <c r="BJ217" s="5">
        <f t="shared" si="381"/>
        <v>-262</v>
      </c>
      <c r="BK217" s="5">
        <f t="shared" si="381"/>
        <v>-266</v>
      </c>
      <c r="BL217" s="5">
        <f t="shared" si="381"/>
        <v>-270</v>
      </c>
      <c r="BM217" s="5">
        <f t="shared" si="381"/>
        <v>-274</v>
      </c>
      <c r="BN217" s="5">
        <f t="shared" si="381"/>
        <v>-278</v>
      </c>
      <c r="BO217" s="5">
        <f t="shared" si="381"/>
        <v>-286</v>
      </c>
      <c r="BP217" s="5">
        <f t="shared" si="381"/>
        <v>-286</v>
      </c>
      <c r="BQ217" s="5">
        <f t="shared" si="381"/>
        <v>-286</v>
      </c>
      <c r="BR217" s="5">
        <f t="shared" si="381"/>
        <v>-286</v>
      </c>
      <c r="BS217" s="5">
        <f t="shared" si="381"/>
        <v>-286</v>
      </c>
      <c r="BT217" s="5">
        <f t="shared" si="381"/>
        <v>-290</v>
      </c>
      <c r="BU217" s="5">
        <f t="shared" ref="BU217:CC217" si="382">(BT217+BT218-BT220+BP219)</f>
        <v>-294</v>
      </c>
      <c r="BV217" s="5">
        <f t="shared" si="382"/>
        <v>-298</v>
      </c>
      <c r="BW217" s="5">
        <f t="shared" si="382"/>
        <v>-302</v>
      </c>
      <c r="BX217" s="5">
        <f t="shared" si="382"/>
        <v>-306</v>
      </c>
      <c r="BY217" s="5">
        <f t="shared" si="382"/>
        <v>-310</v>
      </c>
      <c r="BZ217" s="5">
        <f t="shared" si="382"/>
        <v>-314</v>
      </c>
      <c r="CA217" s="5">
        <f t="shared" si="382"/>
        <v>-318</v>
      </c>
      <c r="CB217" s="5">
        <f t="shared" si="382"/>
        <v>-322</v>
      </c>
      <c r="CC217" s="5">
        <f t="shared" si="382"/>
        <v>-326</v>
      </c>
    </row>
    <row r="218" spans="1:81" x14ac:dyDescent="0.2">
      <c r="A218" s="5" t="s">
        <v>209</v>
      </c>
      <c r="B218" s="5">
        <v>7.3073199999999998</v>
      </c>
      <c r="C218" s="45" t="s">
        <v>39</v>
      </c>
      <c r="D218" s="59">
        <f>IFERROR(VLOOKUP(A217,WIP!$A:$B,2,0),0)</f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</row>
    <row r="219" spans="1:81" x14ac:dyDescent="0.2">
      <c r="A219" s="5" t="s">
        <v>210</v>
      </c>
      <c r="B219" s="5">
        <v>0.20799999999999999</v>
      </c>
      <c r="C219" s="9" t="s">
        <v>211</v>
      </c>
      <c r="D219" s="60">
        <f>IFERROR(VLOOKUP($A217,Plan!$A:B,D$4,0),0)</f>
        <v>0</v>
      </c>
      <c r="E219" s="60">
        <f>IFERROR(VLOOKUP($A217,Plan!$A:C,E$4,0),0)</f>
        <v>0</v>
      </c>
      <c r="F219" s="60">
        <f>IFERROR(VLOOKUP($A217,Plan!$A:D,F$4,0),0)</f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 spans="1:81" x14ac:dyDescent="0.2">
      <c r="A220" s="5" t="s">
        <v>212</v>
      </c>
      <c r="B220" s="5">
        <v>2.4E-2</v>
      </c>
      <c r="C220" s="9" t="s">
        <v>213</v>
      </c>
      <c r="D220" s="61">
        <f>IFERROR(VLOOKUP($A217,Sales!$A:B,D$2,0),0)</f>
        <v>0</v>
      </c>
      <c r="E220" s="61">
        <f>IFERROR(VLOOKUP($A217,Sales!$A:C,E$2,0),0)</f>
        <v>0</v>
      </c>
      <c r="F220" s="61">
        <f>IFERROR(VLOOKUP($A217,Sales!$A:D,F$2,0),0)</f>
        <v>0</v>
      </c>
      <c r="G220" s="61">
        <f>IFERROR(VLOOKUP($A217,Sales!$A:E,G$2,0),0)</f>
        <v>0</v>
      </c>
      <c r="H220" s="61">
        <f>IFERROR(VLOOKUP($A217,Sales!$A:F,H$2,0),0)</f>
        <v>0</v>
      </c>
      <c r="I220" s="61">
        <f>IFERROR(VLOOKUP($A217,Sales!$A:G,I$2,0),0)</f>
        <v>0</v>
      </c>
      <c r="J220" s="61">
        <f>IFERROR(VLOOKUP($A217,Sales!$A:H,J$2,0),0)</f>
        <v>0</v>
      </c>
      <c r="K220" s="61">
        <f>IFERROR(VLOOKUP($A217,Sales!$A:I,K$2,0),0)</f>
        <v>0</v>
      </c>
      <c r="L220" s="61">
        <f>IFERROR(VLOOKUP($A217,Sales!$A:J,L$2,0),0)</f>
        <v>0</v>
      </c>
      <c r="M220" s="61">
        <f>IFERROR(VLOOKUP($A217,Sales!$A:K,M$2,0),0)</f>
        <v>0</v>
      </c>
      <c r="N220" s="61">
        <f>IFERROR(VLOOKUP($A217,Sales!$A:L,N$2,0),0)</f>
        <v>0</v>
      </c>
      <c r="O220" s="61">
        <f>IFERROR(VLOOKUP($A217,Sales!$A:M,O$2,0),0)</f>
        <v>0</v>
      </c>
      <c r="P220" s="61">
        <f>IFERROR(VLOOKUP($A217,Sales!$A:N,P$2,0),0)</f>
        <v>0</v>
      </c>
      <c r="Q220" s="61">
        <f>IFERROR(VLOOKUP($A217,Sales!$A:O,Q$2,0),0)</f>
        <v>0</v>
      </c>
      <c r="R220" s="61">
        <f>IFERROR(VLOOKUP($A217,Sales!$A:P,R$2,0),0)</f>
        <v>0</v>
      </c>
      <c r="S220" s="61">
        <f>IFERROR(VLOOKUP($A217,Sales!$A:Q,S$2,0),0)</f>
        <v>0</v>
      </c>
      <c r="T220" s="61">
        <f>IFERROR(VLOOKUP($A217,Sales!$A:R,T$2,0),0)</f>
        <v>0</v>
      </c>
      <c r="U220" s="61">
        <f>IFERROR(VLOOKUP($A217,Sales!$A:S,U$2,0),0)</f>
        <v>40</v>
      </c>
      <c r="V220" s="61">
        <f>IFERROR(VLOOKUP($A217,Sales!$A:T,V$2,0),0)</f>
        <v>40</v>
      </c>
      <c r="W220" s="61">
        <f>IFERROR(VLOOKUP($A217,Sales!$A:U,W$2,0),0)</f>
        <v>40</v>
      </c>
      <c r="X220" s="61">
        <f>IFERROR(VLOOKUP($A217,Sales!$A:V,X$2,0),0)</f>
        <v>40</v>
      </c>
      <c r="Y220" s="61">
        <f>IFERROR(VLOOKUP($A217,Sales!$A:W,Y$2,0),0)</f>
        <v>0</v>
      </c>
      <c r="Z220" s="61">
        <f>IFERROR(VLOOKUP($A217,Sales!$A:X,Z$2,0),0)</f>
        <v>0</v>
      </c>
      <c r="AA220" s="61">
        <f>IFERROR(VLOOKUP($A217,Sales!$A:Y,AA$2,0),0)</f>
        <v>0</v>
      </c>
      <c r="AB220" s="61">
        <f>IFERROR(VLOOKUP($A217,Sales!$A:Z,AB$2,0),0)</f>
        <v>0</v>
      </c>
      <c r="AC220" s="61">
        <f>IFERROR(VLOOKUP($A217,Sales!$A:AA,AC$2,0),0)</f>
        <v>0</v>
      </c>
      <c r="AD220" s="61">
        <f>IFERROR(VLOOKUP($A217,Sales!$A:AB,AD$2,0),0)</f>
        <v>0</v>
      </c>
      <c r="AE220" s="61">
        <f>IFERROR(VLOOKUP($A217,Sales!$A:AC,AE$2,0),0)</f>
        <v>0</v>
      </c>
      <c r="AF220" s="61">
        <f>IFERROR(VLOOKUP($A217,Sales!$A:AD,AF$2,0),0)</f>
        <v>0</v>
      </c>
      <c r="AG220" s="61">
        <f>IFERROR(VLOOKUP($A217,Sales!$A:AE,AG$2,0),0)</f>
        <v>0</v>
      </c>
      <c r="AH220" s="61">
        <f>IFERROR(VLOOKUP($A217,Sales!$A:AF,AH$2,0),0)</f>
        <v>0</v>
      </c>
      <c r="AI220" s="61">
        <f>IFERROR(VLOOKUP($A217,Sales!$A:AG,AI$2,0),0)</f>
        <v>0</v>
      </c>
      <c r="AJ220" s="61">
        <f>IFERROR(VLOOKUP($A217,Sales!$A:AH,AJ$2,0),0)</f>
        <v>0</v>
      </c>
      <c r="AK220" s="74">
        <f t="shared" ref="AK220:CC220" si="383">CEILING(AK$5*$B216,1)</f>
        <v>0</v>
      </c>
      <c r="AL220" s="74">
        <f t="shared" si="383"/>
        <v>0</v>
      </c>
      <c r="AM220" s="74">
        <f t="shared" si="383"/>
        <v>0</v>
      </c>
      <c r="AN220" s="74">
        <f t="shared" si="383"/>
        <v>5</v>
      </c>
      <c r="AO220" s="74">
        <f t="shared" si="383"/>
        <v>5</v>
      </c>
      <c r="AP220" s="74">
        <f t="shared" si="383"/>
        <v>5</v>
      </c>
      <c r="AQ220" s="74">
        <f t="shared" si="383"/>
        <v>6</v>
      </c>
      <c r="AR220" s="74">
        <f t="shared" si="383"/>
        <v>6</v>
      </c>
      <c r="AS220" s="74">
        <f t="shared" si="383"/>
        <v>5</v>
      </c>
      <c r="AT220" s="74">
        <f t="shared" si="383"/>
        <v>6</v>
      </c>
      <c r="AU220" s="74">
        <f t="shared" si="383"/>
        <v>5</v>
      </c>
      <c r="AV220" s="74">
        <f t="shared" si="383"/>
        <v>5</v>
      </c>
      <c r="AW220" s="74">
        <f t="shared" si="383"/>
        <v>5</v>
      </c>
      <c r="AX220" s="74">
        <f t="shared" si="383"/>
        <v>5</v>
      </c>
      <c r="AY220" s="74">
        <f t="shared" si="383"/>
        <v>4</v>
      </c>
      <c r="AZ220" s="74">
        <f t="shared" si="383"/>
        <v>4</v>
      </c>
      <c r="BA220" s="74">
        <f t="shared" si="383"/>
        <v>4</v>
      </c>
      <c r="BB220" s="74">
        <f t="shared" si="383"/>
        <v>4</v>
      </c>
      <c r="BC220" s="74">
        <f t="shared" si="383"/>
        <v>4</v>
      </c>
      <c r="BD220" s="74">
        <f t="shared" si="383"/>
        <v>4</v>
      </c>
      <c r="BE220" s="74">
        <f t="shared" si="383"/>
        <v>4</v>
      </c>
      <c r="BF220" s="74">
        <f t="shared" si="383"/>
        <v>4</v>
      </c>
      <c r="BG220" s="74">
        <f t="shared" si="383"/>
        <v>4</v>
      </c>
      <c r="BH220" s="74">
        <f t="shared" si="383"/>
        <v>4</v>
      </c>
      <c r="BI220" s="74">
        <f t="shared" si="383"/>
        <v>4</v>
      </c>
      <c r="BJ220" s="74">
        <f t="shared" si="383"/>
        <v>4</v>
      </c>
      <c r="BK220" s="74">
        <f t="shared" si="383"/>
        <v>4</v>
      </c>
      <c r="BL220" s="74">
        <f t="shared" si="383"/>
        <v>4</v>
      </c>
      <c r="BM220" s="74">
        <f t="shared" si="383"/>
        <v>4</v>
      </c>
      <c r="BN220" s="74">
        <f t="shared" si="383"/>
        <v>8</v>
      </c>
      <c r="BO220" s="74">
        <f t="shared" si="383"/>
        <v>0</v>
      </c>
      <c r="BP220" s="74">
        <f t="shared" si="383"/>
        <v>0</v>
      </c>
      <c r="BQ220" s="74">
        <f t="shared" si="383"/>
        <v>0</v>
      </c>
      <c r="BR220" s="74">
        <f t="shared" si="383"/>
        <v>0</v>
      </c>
      <c r="BS220" s="74">
        <f t="shared" si="383"/>
        <v>4</v>
      </c>
      <c r="BT220" s="74">
        <f t="shared" si="383"/>
        <v>4</v>
      </c>
      <c r="BU220" s="74">
        <f t="shared" si="383"/>
        <v>4</v>
      </c>
      <c r="BV220" s="74">
        <f t="shared" si="383"/>
        <v>4</v>
      </c>
      <c r="BW220" s="74">
        <f t="shared" si="383"/>
        <v>4</v>
      </c>
      <c r="BX220" s="74">
        <f t="shared" si="383"/>
        <v>4</v>
      </c>
      <c r="BY220" s="74">
        <f t="shared" si="383"/>
        <v>4</v>
      </c>
      <c r="BZ220" s="74">
        <f t="shared" si="383"/>
        <v>4</v>
      </c>
      <c r="CA220" s="74">
        <f t="shared" si="383"/>
        <v>4</v>
      </c>
      <c r="CB220" s="74">
        <f t="shared" si="383"/>
        <v>4</v>
      </c>
      <c r="CC220" s="74">
        <f t="shared" si="383"/>
        <v>4</v>
      </c>
    </row>
    <row r="221" spans="1:81" x14ac:dyDescent="0.2">
      <c r="A221" s="5" t="s">
        <v>214</v>
      </c>
      <c r="B221" s="5">
        <v>0.23200000000000001</v>
      </c>
      <c r="C221" s="46" t="s">
        <v>215</v>
      </c>
      <c r="D221" s="11">
        <f t="shared" ref="D221:AI221" si="384">IF(D220=0,0, ROUND(D217 * 1/D220* D$13,1))</f>
        <v>0</v>
      </c>
      <c r="E221" s="11">
        <f t="shared" si="384"/>
        <v>0</v>
      </c>
      <c r="F221" s="11">
        <f t="shared" si="384"/>
        <v>0</v>
      </c>
      <c r="G221" s="11">
        <f t="shared" si="384"/>
        <v>0</v>
      </c>
      <c r="H221" s="11">
        <f t="shared" si="384"/>
        <v>0</v>
      </c>
      <c r="I221" s="11">
        <f t="shared" si="384"/>
        <v>0</v>
      </c>
      <c r="J221" s="11">
        <f t="shared" si="384"/>
        <v>0</v>
      </c>
      <c r="K221" s="11">
        <f t="shared" si="384"/>
        <v>0</v>
      </c>
      <c r="L221" s="11">
        <f t="shared" si="384"/>
        <v>0</v>
      </c>
      <c r="M221" s="11">
        <f t="shared" si="384"/>
        <v>0</v>
      </c>
      <c r="N221" s="11">
        <f t="shared" si="384"/>
        <v>0</v>
      </c>
      <c r="O221" s="11">
        <f t="shared" si="384"/>
        <v>0</v>
      </c>
      <c r="P221" s="11">
        <f t="shared" si="384"/>
        <v>0</v>
      </c>
      <c r="Q221" s="11">
        <f t="shared" si="384"/>
        <v>0</v>
      </c>
      <c r="R221" s="11">
        <f t="shared" si="384"/>
        <v>0</v>
      </c>
      <c r="S221" s="11">
        <f t="shared" si="384"/>
        <v>0</v>
      </c>
      <c r="T221" s="11">
        <f t="shared" si="384"/>
        <v>0</v>
      </c>
      <c r="U221" s="11">
        <f t="shared" si="384"/>
        <v>0</v>
      </c>
      <c r="V221" s="11">
        <f t="shared" si="384"/>
        <v>-5</v>
      </c>
      <c r="W221" s="11">
        <f t="shared" si="384"/>
        <v>-10</v>
      </c>
      <c r="X221" s="11">
        <f t="shared" si="384"/>
        <v>-15</v>
      </c>
      <c r="Y221" s="11">
        <f t="shared" si="384"/>
        <v>0</v>
      </c>
      <c r="Z221" s="11">
        <f t="shared" si="384"/>
        <v>0</v>
      </c>
      <c r="AA221" s="11">
        <f t="shared" si="384"/>
        <v>0</v>
      </c>
      <c r="AB221" s="11">
        <f t="shared" si="384"/>
        <v>0</v>
      </c>
      <c r="AC221" s="11">
        <f t="shared" si="384"/>
        <v>0</v>
      </c>
      <c r="AD221" s="11">
        <f t="shared" si="384"/>
        <v>0</v>
      </c>
      <c r="AE221" s="11">
        <f t="shared" si="384"/>
        <v>0</v>
      </c>
      <c r="AF221" s="11">
        <f t="shared" si="384"/>
        <v>0</v>
      </c>
      <c r="AG221" s="11">
        <f t="shared" si="384"/>
        <v>0</v>
      </c>
      <c r="AH221" s="11">
        <f t="shared" si="384"/>
        <v>0</v>
      </c>
      <c r="AI221" s="11">
        <f t="shared" si="384"/>
        <v>0</v>
      </c>
      <c r="AJ221" s="11">
        <f t="shared" ref="AJ221:BO221" si="385">IF(AJ220=0,0, ROUND(AJ217 * 1/AJ220* AJ$13,1))</f>
        <v>0</v>
      </c>
      <c r="AK221" s="11">
        <f t="shared" si="385"/>
        <v>0</v>
      </c>
      <c r="AL221" s="11">
        <f t="shared" si="385"/>
        <v>0</v>
      </c>
      <c r="AM221" s="11">
        <f t="shared" si="385"/>
        <v>0</v>
      </c>
      <c r="AN221" s="11">
        <f t="shared" si="385"/>
        <v>-160</v>
      </c>
      <c r="AO221" s="11">
        <f t="shared" si="385"/>
        <v>-165</v>
      </c>
      <c r="AP221" s="11">
        <f t="shared" si="385"/>
        <v>-170</v>
      </c>
      <c r="AQ221" s="11">
        <f t="shared" si="385"/>
        <v>-145.80000000000001</v>
      </c>
      <c r="AR221" s="11">
        <f t="shared" si="385"/>
        <v>-150.80000000000001</v>
      </c>
      <c r="AS221" s="11">
        <f t="shared" si="385"/>
        <v>-187</v>
      </c>
      <c r="AT221" s="11">
        <f t="shared" si="385"/>
        <v>-160</v>
      </c>
      <c r="AU221" s="11">
        <f t="shared" si="385"/>
        <v>-198</v>
      </c>
      <c r="AV221" s="11">
        <f t="shared" si="385"/>
        <v>-203</v>
      </c>
      <c r="AW221" s="11">
        <f t="shared" si="385"/>
        <v>-208</v>
      </c>
      <c r="AX221" s="11">
        <f t="shared" si="385"/>
        <v>-213</v>
      </c>
      <c r="AY221" s="11">
        <f t="shared" si="385"/>
        <v>-272.5</v>
      </c>
      <c r="AZ221" s="11">
        <f t="shared" si="385"/>
        <v>-277.5</v>
      </c>
      <c r="BA221" s="11">
        <f t="shared" si="385"/>
        <v>-282.5</v>
      </c>
      <c r="BB221" s="11">
        <f t="shared" si="385"/>
        <v>-287.5</v>
      </c>
      <c r="BC221" s="11">
        <f t="shared" si="385"/>
        <v>-292.5</v>
      </c>
      <c r="BD221" s="11">
        <f t="shared" si="385"/>
        <v>-297.5</v>
      </c>
      <c r="BE221" s="11">
        <f t="shared" si="385"/>
        <v>-302.5</v>
      </c>
      <c r="BF221" s="11">
        <f t="shared" si="385"/>
        <v>-307.5</v>
      </c>
      <c r="BG221" s="11">
        <f t="shared" si="385"/>
        <v>-312.5</v>
      </c>
      <c r="BH221" s="11">
        <f t="shared" si="385"/>
        <v>-317.5</v>
      </c>
      <c r="BI221" s="11">
        <f t="shared" si="385"/>
        <v>-322.5</v>
      </c>
      <c r="BJ221" s="11">
        <f t="shared" si="385"/>
        <v>-327.5</v>
      </c>
      <c r="BK221" s="11">
        <f t="shared" si="385"/>
        <v>-332.5</v>
      </c>
      <c r="BL221" s="11">
        <f t="shared" si="385"/>
        <v>-337.5</v>
      </c>
      <c r="BM221" s="11">
        <f t="shared" si="385"/>
        <v>-342.5</v>
      </c>
      <c r="BN221" s="11">
        <f t="shared" si="385"/>
        <v>-173.8</v>
      </c>
      <c r="BO221" s="11">
        <f t="shared" si="385"/>
        <v>0</v>
      </c>
      <c r="BP221" s="11">
        <f t="shared" ref="BP221:CC221" si="386">IF(BP220=0,0, ROUND(BP217 * 1/BP220* BP$13,1))</f>
        <v>0</v>
      </c>
      <c r="BQ221" s="11">
        <f t="shared" si="386"/>
        <v>0</v>
      </c>
      <c r="BR221" s="11">
        <f t="shared" si="386"/>
        <v>0</v>
      </c>
      <c r="BS221" s="11">
        <f t="shared" si="386"/>
        <v>-357.5</v>
      </c>
      <c r="BT221" s="11">
        <f t="shared" si="386"/>
        <v>-362.5</v>
      </c>
      <c r="BU221" s="11">
        <f t="shared" si="386"/>
        <v>-367.5</v>
      </c>
      <c r="BV221" s="11">
        <f t="shared" si="386"/>
        <v>-372.5</v>
      </c>
      <c r="BW221" s="11">
        <f t="shared" si="386"/>
        <v>-377.5</v>
      </c>
      <c r="BX221" s="11">
        <f t="shared" si="386"/>
        <v>-382.5</v>
      </c>
      <c r="BY221" s="11">
        <f t="shared" si="386"/>
        <v>-387.5</v>
      </c>
      <c r="BZ221" s="11">
        <f t="shared" si="386"/>
        <v>-392.5</v>
      </c>
      <c r="CA221" s="11">
        <f t="shared" si="386"/>
        <v>-397.5</v>
      </c>
      <c r="CB221" s="11">
        <f t="shared" si="386"/>
        <v>-402.5</v>
      </c>
      <c r="CC221" s="11">
        <f t="shared" si="386"/>
        <v>-407.5</v>
      </c>
    </row>
    <row r="222" spans="1:81" x14ac:dyDescent="0.2">
      <c r="A222">
        <v>14</v>
      </c>
      <c r="B222">
        <v>1</v>
      </c>
      <c r="C222" s="8">
        <v>5.6614300000000002</v>
      </c>
      <c r="D222">
        <f t="shared" ref="D222:AI222" si="387">D219/$B222</f>
        <v>0</v>
      </c>
      <c r="E222">
        <f t="shared" si="387"/>
        <v>0</v>
      </c>
      <c r="F222">
        <f t="shared" si="387"/>
        <v>0</v>
      </c>
      <c r="G222">
        <f t="shared" si="387"/>
        <v>0</v>
      </c>
      <c r="H222">
        <f t="shared" si="387"/>
        <v>0</v>
      </c>
      <c r="I222">
        <f t="shared" si="387"/>
        <v>0</v>
      </c>
      <c r="J222">
        <f t="shared" si="387"/>
        <v>0</v>
      </c>
      <c r="K222">
        <f t="shared" si="387"/>
        <v>0</v>
      </c>
      <c r="L222">
        <f t="shared" si="387"/>
        <v>0</v>
      </c>
      <c r="M222">
        <f t="shared" si="387"/>
        <v>0</v>
      </c>
      <c r="N222">
        <f t="shared" si="387"/>
        <v>0</v>
      </c>
      <c r="O222">
        <f t="shared" si="387"/>
        <v>0</v>
      </c>
      <c r="P222">
        <f t="shared" si="387"/>
        <v>0</v>
      </c>
      <c r="Q222">
        <f t="shared" si="387"/>
        <v>0</v>
      </c>
      <c r="R222">
        <f t="shared" si="387"/>
        <v>0</v>
      </c>
      <c r="S222">
        <f t="shared" si="387"/>
        <v>0</v>
      </c>
      <c r="T222">
        <f t="shared" si="387"/>
        <v>0</v>
      </c>
      <c r="U222">
        <f t="shared" si="387"/>
        <v>0</v>
      </c>
      <c r="V222">
        <f t="shared" si="387"/>
        <v>0</v>
      </c>
      <c r="W222">
        <f t="shared" si="387"/>
        <v>0</v>
      </c>
      <c r="X222">
        <f t="shared" si="387"/>
        <v>0</v>
      </c>
      <c r="Y222">
        <f t="shared" si="387"/>
        <v>0</v>
      </c>
      <c r="Z222">
        <f t="shared" si="387"/>
        <v>0</v>
      </c>
      <c r="AA222">
        <f t="shared" si="387"/>
        <v>0</v>
      </c>
      <c r="AB222">
        <f t="shared" si="387"/>
        <v>0</v>
      </c>
      <c r="AC222">
        <f t="shared" si="387"/>
        <v>0</v>
      </c>
      <c r="AD222">
        <f t="shared" si="387"/>
        <v>0</v>
      </c>
      <c r="AE222">
        <f t="shared" si="387"/>
        <v>0</v>
      </c>
      <c r="AF222">
        <f t="shared" si="387"/>
        <v>0</v>
      </c>
      <c r="AG222">
        <f t="shared" si="387"/>
        <v>0</v>
      </c>
      <c r="AH222">
        <f t="shared" si="387"/>
        <v>0</v>
      </c>
      <c r="AI222">
        <f t="shared" si="387"/>
        <v>0</v>
      </c>
      <c r="AJ222">
        <f t="shared" ref="AJ222:BO222" si="388">AJ219/$B222</f>
        <v>0</v>
      </c>
      <c r="AK222">
        <f t="shared" si="388"/>
        <v>0</v>
      </c>
      <c r="AL222">
        <f t="shared" si="388"/>
        <v>0</v>
      </c>
      <c r="AM222">
        <f t="shared" si="388"/>
        <v>0</v>
      </c>
      <c r="AN222">
        <f t="shared" si="388"/>
        <v>0</v>
      </c>
      <c r="AO222">
        <f t="shared" si="388"/>
        <v>0</v>
      </c>
      <c r="AP222">
        <f t="shared" si="388"/>
        <v>0</v>
      </c>
      <c r="AQ222">
        <f t="shared" si="388"/>
        <v>0</v>
      </c>
      <c r="AR222">
        <f t="shared" si="388"/>
        <v>0</v>
      </c>
      <c r="AS222">
        <f t="shared" si="388"/>
        <v>0</v>
      </c>
      <c r="AT222">
        <f t="shared" si="388"/>
        <v>0</v>
      </c>
      <c r="AU222">
        <f t="shared" si="388"/>
        <v>0</v>
      </c>
      <c r="AV222">
        <f t="shared" si="388"/>
        <v>0</v>
      </c>
      <c r="AW222">
        <f t="shared" si="388"/>
        <v>0</v>
      </c>
      <c r="AX222">
        <f t="shared" si="388"/>
        <v>0</v>
      </c>
      <c r="AY222">
        <f t="shared" si="388"/>
        <v>0</v>
      </c>
      <c r="AZ222">
        <f t="shared" si="388"/>
        <v>0</v>
      </c>
      <c r="BA222">
        <f t="shared" si="388"/>
        <v>0</v>
      </c>
      <c r="BB222">
        <f t="shared" si="388"/>
        <v>0</v>
      </c>
      <c r="BC222">
        <f t="shared" si="388"/>
        <v>0</v>
      </c>
      <c r="BD222">
        <f t="shared" si="388"/>
        <v>0</v>
      </c>
      <c r="BE222">
        <f t="shared" si="388"/>
        <v>0</v>
      </c>
      <c r="BF222">
        <f t="shared" si="388"/>
        <v>0</v>
      </c>
      <c r="BG222">
        <f t="shared" si="388"/>
        <v>0</v>
      </c>
      <c r="BH222">
        <f t="shared" si="388"/>
        <v>0</v>
      </c>
      <c r="BI222">
        <f t="shared" si="388"/>
        <v>0</v>
      </c>
      <c r="BJ222">
        <f t="shared" si="388"/>
        <v>0</v>
      </c>
      <c r="BK222">
        <f t="shared" si="388"/>
        <v>0</v>
      </c>
      <c r="BL222">
        <f t="shared" si="388"/>
        <v>0</v>
      </c>
      <c r="BM222">
        <f t="shared" si="388"/>
        <v>0</v>
      </c>
      <c r="BN222">
        <f t="shared" si="388"/>
        <v>0</v>
      </c>
      <c r="BO222">
        <f t="shared" si="388"/>
        <v>0</v>
      </c>
      <c r="BP222">
        <f t="shared" ref="BP222:CC222" si="389">BP219/$B222</f>
        <v>0</v>
      </c>
      <c r="BQ222">
        <f t="shared" si="389"/>
        <v>0</v>
      </c>
      <c r="BR222">
        <f t="shared" si="389"/>
        <v>0</v>
      </c>
      <c r="BS222">
        <f t="shared" si="389"/>
        <v>0</v>
      </c>
      <c r="BT222">
        <f t="shared" si="389"/>
        <v>0</v>
      </c>
      <c r="BU222">
        <f t="shared" si="389"/>
        <v>0</v>
      </c>
      <c r="BV222">
        <f t="shared" si="389"/>
        <v>0</v>
      </c>
      <c r="BW222">
        <f t="shared" si="389"/>
        <v>0</v>
      </c>
      <c r="BX222">
        <f t="shared" si="389"/>
        <v>0</v>
      </c>
      <c r="BY222">
        <f t="shared" si="389"/>
        <v>0</v>
      </c>
      <c r="BZ222">
        <f t="shared" si="389"/>
        <v>0</v>
      </c>
      <c r="CA222">
        <f t="shared" si="389"/>
        <v>0</v>
      </c>
      <c r="CB222">
        <f t="shared" si="389"/>
        <v>0</v>
      </c>
      <c r="CC222">
        <f t="shared" si="389"/>
        <v>0</v>
      </c>
    </row>
    <row r="223" spans="1:81" x14ac:dyDescent="0.2">
      <c r="B223" s="67">
        <f>SUM(D227:AJ227)/SUM($D$263:$AJ$263)</f>
        <v>0</v>
      </c>
      <c r="C223" s="9" t="s">
        <v>216</v>
      </c>
      <c r="D223">
        <f t="shared" ref="D223:AI223" si="390">D217-D220</f>
        <v>0</v>
      </c>
      <c r="E223">
        <f t="shared" si="390"/>
        <v>0</v>
      </c>
      <c r="F223">
        <f t="shared" si="390"/>
        <v>0</v>
      </c>
      <c r="G223">
        <f t="shared" si="390"/>
        <v>0</v>
      </c>
      <c r="H223">
        <f t="shared" si="390"/>
        <v>0</v>
      </c>
      <c r="I223">
        <f t="shared" si="390"/>
        <v>0</v>
      </c>
      <c r="J223">
        <f t="shared" si="390"/>
        <v>0</v>
      </c>
      <c r="K223">
        <f t="shared" si="390"/>
        <v>0</v>
      </c>
      <c r="L223">
        <f t="shared" si="390"/>
        <v>0</v>
      </c>
      <c r="M223">
        <f t="shared" si="390"/>
        <v>0</v>
      </c>
      <c r="N223">
        <f t="shared" si="390"/>
        <v>0</v>
      </c>
      <c r="O223">
        <f t="shared" si="390"/>
        <v>0</v>
      </c>
      <c r="P223">
        <f t="shared" si="390"/>
        <v>0</v>
      </c>
      <c r="Q223">
        <f t="shared" si="390"/>
        <v>0</v>
      </c>
      <c r="R223">
        <f t="shared" si="390"/>
        <v>0</v>
      </c>
      <c r="S223">
        <f t="shared" si="390"/>
        <v>0</v>
      </c>
      <c r="T223">
        <f t="shared" si="390"/>
        <v>0</v>
      </c>
      <c r="U223">
        <f t="shared" si="390"/>
        <v>-40</v>
      </c>
      <c r="V223">
        <f t="shared" si="390"/>
        <v>-80</v>
      </c>
      <c r="W223">
        <f t="shared" si="390"/>
        <v>-120</v>
      </c>
      <c r="X223">
        <f t="shared" si="390"/>
        <v>-160</v>
      </c>
      <c r="Y223">
        <f t="shared" si="390"/>
        <v>-160</v>
      </c>
      <c r="Z223">
        <f t="shared" si="390"/>
        <v>-160</v>
      </c>
      <c r="AA223">
        <f t="shared" si="390"/>
        <v>-160</v>
      </c>
      <c r="AB223">
        <f t="shared" si="390"/>
        <v>-160</v>
      </c>
      <c r="AC223">
        <f t="shared" si="390"/>
        <v>-160</v>
      </c>
      <c r="AD223">
        <f t="shared" si="390"/>
        <v>-160</v>
      </c>
      <c r="AE223">
        <f t="shared" si="390"/>
        <v>-160</v>
      </c>
      <c r="AF223">
        <f t="shared" si="390"/>
        <v>-160</v>
      </c>
      <c r="AG223">
        <f t="shared" si="390"/>
        <v>-160</v>
      </c>
      <c r="AH223">
        <f t="shared" si="390"/>
        <v>-160</v>
      </c>
      <c r="AI223">
        <f t="shared" si="390"/>
        <v>-160</v>
      </c>
      <c r="AJ223">
        <f t="shared" ref="AJ223:BO223" si="391">AJ217-AJ220</f>
        <v>-160</v>
      </c>
      <c r="AK223">
        <f t="shared" si="391"/>
        <v>-160</v>
      </c>
      <c r="AL223">
        <f t="shared" si="391"/>
        <v>-160</v>
      </c>
      <c r="AM223">
        <f t="shared" si="391"/>
        <v>-160</v>
      </c>
      <c r="AN223">
        <f t="shared" si="391"/>
        <v>-165</v>
      </c>
      <c r="AO223">
        <f t="shared" si="391"/>
        <v>-170</v>
      </c>
      <c r="AP223">
        <f t="shared" si="391"/>
        <v>-175</v>
      </c>
      <c r="AQ223">
        <f t="shared" si="391"/>
        <v>-181</v>
      </c>
      <c r="AR223">
        <f t="shared" si="391"/>
        <v>-187</v>
      </c>
      <c r="AS223">
        <f t="shared" si="391"/>
        <v>-192</v>
      </c>
      <c r="AT223">
        <f t="shared" si="391"/>
        <v>-198</v>
      </c>
      <c r="AU223">
        <f t="shared" si="391"/>
        <v>-203</v>
      </c>
      <c r="AV223">
        <f t="shared" si="391"/>
        <v>-208</v>
      </c>
      <c r="AW223">
        <f t="shared" si="391"/>
        <v>-213</v>
      </c>
      <c r="AX223">
        <f t="shared" si="391"/>
        <v>-218</v>
      </c>
      <c r="AY223">
        <f t="shared" si="391"/>
        <v>-222</v>
      </c>
      <c r="AZ223">
        <f t="shared" si="391"/>
        <v>-226</v>
      </c>
      <c r="BA223">
        <f t="shared" si="391"/>
        <v>-230</v>
      </c>
      <c r="BB223">
        <f t="shared" si="391"/>
        <v>-234</v>
      </c>
      <c r="BC223">
        <f t="shared" si="391"/>
        <v>-238</v>
      </c>
      <c r="BD223">
        <f t="shared" si="391"/>
        <v>-242</v>
      </c>
      <c r="BE223">
        <f t="shared" si="391"/>
        <v>-246</v>
      </c>
      <c r="BF223">
        <f t="shared" si="391"/>
        <v>-250</v>
      </c>
      <c r="BG223">
        <f t="shared" si="391"/>
        <v>-254</v>
      </c>
      <c r="BH223">
        <f t="shared" si="391"/>
        <v>-258</v>
      </c>
      <c r="BI223">
        <f t="shared" si="391"/>
        <v>-262</v>
      </c>
      <c r="BJ223">
        <f t="shared" si="391"/>
        <v>-266</v>
      </c>
      <c r="BK223">
        <f t="shared" si="391"/>
        <v>-270</v>
      </c>
      <c r="BL223">
        <f t="shared" si="391"/>
        <v>-274</v>
      </c>
      <c r="BM223">
        <f t="shared" si="391"/>
        <v>-278</v>
      </c>
      <c r="BN223">
        <f t="shared" si="391"/>
        <v>-286</v>
      </c>
      <c r="BO223">
        <f t="shared" si="391"/>
        <v>-286</v>
      </c>
      <c r="BP223">
        <f t="shared" ref="BP223:CC223" si="392">BP217-BP220</f>
        <v>-286</v>
      </c>
      <c r="BQ223">
        <f t="shared" si="392"/>
        <v>-286</v>
      </c>
      <c r="BR223">
        <f t="shared" si="392"/>
        <v>-286</v>
      </c>
      <c r="BS223">
        <f t="shared" si="392"/>
        <v>-290</v>
      </c>
      <c r="BT223">
        <f t="shared" si="392"/>
        <v>-294</v>
      </c>
      <c r="BU223">
        <f t="shared" si="392"/>
        <v>-298</v>
      </c>
      <c r="BV223">
        <f t="shared" si="392"/>
        <v>-302</v>
      </c>
      <c r="BW223">
        <f t="shared" si="392"/>
        <v>-306</v>
      </c>
      <c r="BX223">
        <f t="shared" si="392"/>
        <v>-310</v>
      </c>
      <c r="BY223">
        <f t="shared" si="392"/>
        <v>-314</v>
      </c>
      <c r="BZ223">
        <f t="shared" si="392"/>
        <v>-318</v>
      </c>
      <c r="CA223">
        <f t="shared" si="392"/>
        <v>-322</v>
      </c>
      <c r="CB223">
        <f t="shared" si="392"/>
        <v>-326</v>
      </c>
      <c r="CC223">
        <f t="shared" si="392"/>
        <v>-330</v>
      </c>
    </row>
    <row r="224" spans="1:81" x14ac:dyDescent="0.2">
      <c r="A224" s="43" t="s">
        <v>319</v>
      </c>
      <c r="B224" s="44" t="s">
        <v>208</v>
      </c>
      <c r="C224" s="9" t="s">
        <v>38</v>
      </c>
      <c r="D224" s="58">
        <f>IFERROR(VLOOKUP(A224,OS!$A:$B,2,0),0)</f>
        <v>90</v>
      </c>
      <c r="E224" s="5">
        <f>(D224+D225-D227)</f>
        <v>90</v>
      </c>
      <c r="F224" s="5">
        <f>(E224+E225-E227)</f>
        <v>90</v>
      </c>
      <c r="G224" s="5">
        <f>(F224+F225-F227)</f>
        <v>90</v>
      </c>
      <c r="H224" s="5">
        <f>(G224+G225-G227)</f>
        <v>90</v>
      </c>
      <c r="I224" s="5">
        <f t="shared" ref="I224:AN224" si="393">(H224+H225-H227+D226)</f>
        <v>90</v>
      </c>
      <c r="J224" s="5">
        <f t="shared" si="393"/>
        <v>90</v>
      </c>
      <c r="K224" s="5">
        <f t="shared" si="393"/>
        <v>90</v>
      </c>
      <c r="L224" s="5">
        <f t="shared" si="393"/>
        <v>90</v>
      </c>
      <c r="M224" s="5">
        <f t="shared" si="393"/>
        <v>90</v>
      </c>
      <c r="N224" s="5">
        <f t="shared" si="393"/>
        <v>90</v>
      </c>
      <c r="O224" s="5">
        <f t="shared" si="393"/>
        <v>90</v>
      </c>
      <c r="P224" s="5">
        <f t="shared" si="393"/>
        <v>90</v>
      </c>
      <c r="Q224" s="5">
        <f t="shared" si="393"/>
        <v>90</v>
      </c>
      <c r="R224" s="5">
        <f t="shared" si="393"/>
        <v>90</v>
      </c>
      <c r="S224" s="5">
        <f t="shared" si="393"/>
        <v>90</v>
      </c>
      <c r="T224" s="5">
        <f t="shared" si="393"/>
        <v>90</v>
      </c>
      <c r="U224" s="5">
        <f t="shared" si="393"/>
        <v>90</v>
      </c>
      <c r="V224" s="5">
        <f t="shared" si="393"/>
        <v>90</v>
      </c>
      <c r="W224" s="5">
        <f t="shared" si="393"/>
        <v>90</v>
      </c>
      <c r="X224" s="5">
        <f t="shared" si="393"/>
        <v>90</v>
      </c>
      <c r="Y224" s="5">
        <f t="shared" si="393"/>
        <v>90</v>
      </c>
      <c r="Z224" s="5">
        <f t="shared" si="393"/>
        <v>90</v>
      </c>
      <c r="AA224" s="5">
        <f t="shared" si="393"/>
        <v>90</v>
      </c>
      <c r="AB224" s="5">
        <f t="shared" si="393"/>
        <v>90</v>
      </c>
      <c r="AC224" s="5">
        <f t="shared" si="393"/>
        <v>90</v>
      </c>
      <c r="AD224" s="5">
        <f t="shared" si="393"/>
        <v>90</v>
      </c>
      <c r="AE224" s="5">
        <f t="shared" si="393"/>
        <v>90</v>
      </c>
      <c r="AF224" s="5">
        <f t="shared" si="393"/>
        <v>90</v>
      </c>
      <c r="AG224" s="5">
        <f t="shared" si="393"/>
        <v>90</v>
      </c>
      <c r="AH224" s="5">
        <f t="shared" si="393"/>
        <v>90</v>
      </c>
      <c r="AI224" s="5">
        <f t="shared" si="393"/>
        <v>90</v>
      </c>
      <c r="AJ224" s="5">
        <f t="shared" si="393"/>
        <v>90</v>
      </c>
      <c r="AK224" s="5">
        <f t="shared" si="393"/>
        <v>90</v>
      </c>
      <c r="AL224" s="5">
        <f t="shared" si="393"/>
        <v>90</v>
      </c>
      <c r="AM224" s="5">
        <f t="shared" si="393"/>
        <v>90</v>
      </c>
      <c r="AN224" s="5">
        <f t="shared" si="393"/>
        <v>90</v>
      </c>
      <c r="AO224" s="5">
        <f t="shared" ref="AO224:BT224" si="394">(AN224+AN225-AN227+AJ226)</f>
        <v>90</v>
      </c>
      <c r="AP224" s="5">
        <f t="shared" si="394"/>
        <v>90</v>
      </c>
      <c r="AQ224" s="5">
        <f t="shared" si="394"/>
        <v>90</v>
      </c>
      <c r="AR224" s="5">
        <f t="shared" si="394"/>
        <v>90</v>
      </c>
      <c r="AS224" s="5">
        <f t="shared" si="394"/>
        <v>90</v>
      </c>
      <c r="AT224" s="5">
        <f t="shared" si="394"/>
        <v>90</v>
      </c>
      <c r="AU224" s="5">
        <f t="shared" si="394"/>
        <v>90</v>
      </c>
      <c r="AV224" s="5">
        <f t="shared" si="394"/>
        <v>90</v>
      </c>
      <c r="AW224" s="5">
        <f t="shared" si="394"/>
        <v>90</v>
      </c>
      <c r="AX224" s="5">
        <f t="shared" si="394"/>
        <v>90</v>
      </c>
      <c r="AY224" s="5">
        <f t="shared" si="394"/>
        <v>90</v>
      </c>
      <c r="AZ224" s="5">
        <f t="shared" si="394"/>
        <v>90</v>
      </c>
      <c r="BA224" s="5">
        <f t="shared" si="394"/>
        <v>90</v>
      </c>
      <c r="BB224" s="5">
        <f t="shared" si="394"/>
        <v>90</v>
      </c>
      <c r="BC224" s="5">
        <f t="shared" si="394"/>
        <v>90</v>
      </c>
      <c r="BD224" s="5">
        <f t="shared" si="394"/>
        <v>90</v>
      </c>
      <c r="BE224" s="5">
        <f t="shared" si="394"/>
        <v>90</v>
      </c>
      <c r="BF224" s="5">
        <f t="shared" si="394"/>
        <v>90</v>
      </c>
      <c r="BG224" s="5">
        <f t="shared" si="394"/>
        <v>90</v>
      </c>
      <c r="BH224" s="5">
        <f t="shared" si="394"/>
        <v>90</v>
      </c>
      <c r="BI224" s="5">
        <f t="shared" si="394"/>
        <v>90</v>
      </c>
      <c r="BJ224" s="5">
        <f t="shared" si="394"/>
        <v>90</v>
      </c>
      <c r="BK224" s="5">
        <f t="shared" si="394"/>
        <v>90</v>
      </c>
      <c r="BL224" s="5">
        <f t="shared" si="394"/>
        <v>90</v>
      </c>
      <c r="BM224" s="5">
        <f t="shared" si="394"/>
        <v>90</v>
      </c>
      <c r="BN224" s="5">
        <f t="shared" si="394"/>
        <v>90</v>
      </c>
      <c r="BO224" s="5">
        <f t="shared" si="394"/>
        <v>90</v>
      </c>
      <c r="BP224" s="5">
        <f t="shared" si="394"/>
        <v>90</v>
      </c>
      <c r="BQ224" s="5">
        <f t="shared" si="394"/>
        <v>90</v>
      </c>
      <c r="BR224" s="5">
        <f t="shared" si="394"/>
        <v>90</v>
      </c>
      <c r="BS224" s="5">
        <f t="shared" si="394"/>
        <v>90</v>
      </c>
      <c r="BT224" s="5">
        <f t="shared" si="394"/>
        <v>90</v>
      </c>
      <c r="BU224" s="5">
        <f t="shared" ref="BU224:CC224" si="395">(BT224+BT225-BT227+BP226)</f>
        <v>90</v>
      </c>
      <c r="BV224" s="5">
        <f t="shared" si="395"/>
        <v>90</v>
      </c>
      <c r="BW224" s="5">
        <f t="shared" si="395"/>
        <v>90</v>
      </c>
      <c r="BX224" s="5">
        <f t="shared" si="395"/>
        <v>90</v>
      </c>
      <c r="BY224" s="5">
        <f t="shared" si="395"/>
        <v>90</v>
      </c>
      <c r="BZ224" s="5">
        <f t="shared" si="395"/>
        <v>90</v>
      </c>
      <c r="CA224" s="5">
        <f t="shared" si="395"/>
        <v>90</v>
      </c>
      <c r="CB224" s="5">
        <f t="shared" si="395"/>
        <v>90</v>
      </c>
      <c r="CC224" s="5">
        <f t="shared" si="395"/>
        <v>90</v>
      </c>
    </row>
    <row r="225" spans="1:81" x14ac:dyDescent="0.2">
      <c r="A225" s="5" t="s">
        <v>209</v>
      </c>
      <c r="B225" s="5">
        <v>13.545389999999999</v>
      </c>
      <c r="C225" s="45" t="s">
        <v>39</v>
      </c>
      <c r="D225" s="59">
        <f>IFERROR(VLOOKUP(A224,WIP!$A:$B,2,0),0)</f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</row>
    <row r="226" spans="1:81" x14ac:dyDescent="0.2">
      <c r="A226" s="5" t="s">
        <v>210</v>
      </c>
      <c r="B226" s="5">
        <v>0.36699999999999999</v>
      </c>
      <c r="C226" s="9" t="s">
        <v>211</v>
      </c>
      <c r="D226" s="60">
        <f>IFERROR(VLOOKUP($A224,Plan!$A:B,D$4,0),0)</f>
        <v>0</v>
      </c>
      <c r="E226" s="60">
        <f>IFERROR(VLOOKUP($A224,Plan!$A:C,E$4,0),0)</f>
        <v>0</v>
      </c>
      <c r="F226" s="60">
        <f>IFERROR(VLOOKUP($A224,Plan!$A:D,F$4,0),0)</f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</row>
    <row r="227" spans="1:81" x14ac:dyDescent="0.2">
      <c r="A227" s="5" t="s">
        <v>212</v>
      </c>
      <c r="B227" s="5">
        <v>8.5000000000000006E-2</v>
      </c>
      <c r="C227" s="9" t="s">
        <v>213</v>
      </c>
      <c r="D227" s="61">
        <f>IFERROR(VLOOKUP($A224,Sales!$A:B,D$2,0),0)</f>
        <v>0</v>
      </c>
      <c r="E227" s="61">
        <f>IFERROR(VLOOKUP($A224,Sales!$A:C,E$2,0),0)</f>
        <v>0</v>
      </c>
      <c r="F227" s="61">
        <f>IFERROR(VLOOKUP($A224,Sales!$A:D,F$2,0),0)</f>
        <v>0</v>
      </c>
      <c r="G227" s="61">
        <f>IFERROR(VLOOKUP($A224,Sales!$A:E,G$2,0),0)</f>
        <v>0</v>
      </c>
      <c r="H227" s="61">
        <f>IFERROR(VLOOKUP($A224,Sales!$A:F,H$2,0),0)</f>
        <v>0</v>
      </c>
      <c r="I227" s="61">
        <f>IFERROR(VLOOKUP($A224,Sales!$A:G,I$2,0),0)</f>
        <v>0</v>
      </c>
      <c r="J227" s="61">
        <f>IFERROR(VLOOKUP($A224,Sales!$A:H,J$2,0),0)</f>
        <v>0</v>
      </c>
      <c r="K227" s="61">
        <f>IFERROR(VLOOKUP($A224,Sales!$A:I,K$2,0),0)</f>
        <v>0</v>
      </c>
      <c r="L227" s="61">
        <f>IFERROR(VLOOKUP($A224,Sales!$A:J,L$2,0),0)</f>
        <v>0</v>
      </c>
      <c r="M227" s="61">
        <f>IFERROR(VLOOKUP($A224,Sales!$A:K,M$2,0),0)</f>
        <v>0</v>
      </c>
      <c r="N227" s="61">
        <f>IFERROR(VLOOKUP($A224,Sales!$A:L,N$2,0),0)</f>
        <v>0</v>
      </c>
      <c r="O227" s="61">
        <f>IFERROR(VLOOKUP($A224,Sales!$A:M,O$2,0),0)</f>
        <v>0</v>
      </c>
      <c r="P227" s="61">
        <f>IFERROR(VLOOKUP($A224,Sales!$A:N,P$2,0),0)</f>
        <v>0</v>
      </c>
      <c r="Q227" s="61">
        <f>IFERROR(VLOOKUP($A224,Sales!$A:O,Q$2,0),0)</f>
        <v>0</v>
      </c>
      <c r="R227" s="61">
        <f>IFERROR(VLOOKUP($A224,Sales!$A:P,R$2,0),0)</f>
        <v>0</v>
      </c>
      <c r="S227" s="61">
        <f>IFERROR(VLOOKUP($A224,Sales!$A:Q,S$2,0),0)</f>
        <v>0</v>
      </c>
      <c r="T227" s="61">
        <f>IFERROR(VLOOKUP($A224,Sales!$A:R,T$2,0),0)</f>
        <v>0</v>
      </c>
      <c r="U227" s="61">
        <f>IFERROR(VLOOKUP($A224,Sales!$A:S,U$2,0),0)</f>
        <v>0</v>
      </c>
      <c r="V227" s="61">
        <f>IFERROR(VLOOKUP($A224,Sales!$A:T,V$2,0),0)</f>
        <v>0</v>
      </c>
      <c r="W227" s="61">
        <f>IFERROR(VLOOKUP($A224,Sales!$A:U,W$2,0),0)</f>
        <v>0</v>
      </c>
      <c r="X227" s="61">
        <f>IFERROR(VLOOKUP($A224,Sales!$A:V,X$2,0),0)</f>
        <v>0</v>
      </c>
      <c r="Y227" s="61">
        <f>IFERROR(VLOOKUP($A224,Sales!$A:W,Y$2,0),0)</f>
        <v>0</v>
      </c>
      <c r="Z227" s="61">
        <f>IFERROR(VLOOKUP($A224,Sales!$A:X,Z$2,0),0)</f>
        <v>0</v>
      </c>
      <c r="AA227" s="61">
        <f>IFERROR(VLOOKUP($A224,Sales!$A:Y,AA$2,0),0)</f>
        <v>0</v>
      </c>
      <c r="AB227" s="61">
        <f>IFERROR(VLOOKUP($A224,Sales!$A:Z,AB$2,0),0)</f>
        <v>0</v>
      </c>
      <c r="AC227" s="61">
        <f>IFERROR(VLOOKUP($A224,Sales!$A:AA,AC$2,0),0)</f>
        <v>0</v>
      </c>
      <c r="AD227" s="61">
        <f>IFERROR(VLOOKUP($A224,Sales!$A:AB,AD$2,0),0)</f>
        <v>0</v>
      </c>
      <c r="AE227" s="61">
        <f>IFERROR(VLOOKUP($A224,Sales!$A:AC,AE$2,0),0)</f>
        <v>0</v>
      </c>
      <c r="AF227" s="61">
        <f>IFERROR(VLOOKUP($A224,Sales!$A:AD,AF$2,0),0)</f>
        <v>0</v>
      </c>
      <c r="AG227" s="61">
        <f>IFERROR(VLOOKUP($A224,Sales!$A:AE,AG$2,0),0)</f>
        <v>0</v>
      </c>
      <c r="AH227" s="61">
        <f>IFERROR(VLOOKUP($A224,Sales!$A:AF,AH$2,0),0)</f>
        <v>0</v>
      </c>
      <c r="AI227" s="61">
        <f>IFERROR(VLOOKUP($A224,Sales!$A:AG,AI$2,0),0)</f>
        <v>0</v>
      </c>
      <c r="AJ227" s="61">
        <f>IFERROR(VLOOKUP($A224,Sales!$A:AH,AJ$2,0),0)</f>
        <v>0</v>
      </c>
      <c r="AK227" s="74">
        <f t="shared" ref="AK227:CC227" si="396">CEILING(AK$5*$B223,1)</f>
        <v>0</v>
      </c>
      <c r="AL227" s="74">
        <f t="shared" si="396"/>
        <v>0</v>
      </c>
      <c r="AM227" s="74">
        <f t="shared" si="396"/>
        <v>0</v>
      </c>
      <c r="AN227" s="74">
        <f t="shared" si="396"/>
        <v>0</v>
      </c>
      <c r="AO227" s="74">
        <f t="shared" si="396"/>
        <v>0</v>
      </c>
      <c r="AP227" s="74">
        <f t="shared" si="396"/>
        <v>0</v>
      </c>
      <c r="AQ227" s="74">
        <f t="shared" si="396"/>
        <v>0</v>
      </c>
      <c r="AR227" s="74">
        <f t="shared" si="396"/>
        <v>0</v>
      </c>
      <c r="AS227" s="74">
        <f t="shared" si="396"/>
        <v>0</v>
      </c>
      <c r="AT227" s="74">
        <f t="shared" si="396"/>
        <v>0</v>
      </c>
      <c r="AU227" s="74">
        <f t="shared" si="396"/>
        <v>0</v>
      </c>
      <c r="AV227" s="74">
        <f t="shared" si="396"/>
        <v>0</v>
      </c>
      <c r="AW227" s="74">
        <f t="shared" si="396"/>
        <v>0</v>
      </c>
      <c r="AX227" s="74">
        <f t="shared" si="396"/>
        <v>0</v>
      </c>
      <c r="AY227" s="74">
        <f t="shared" si="396"/>
        <v>0</v>
      </c>
      <c r="AZ227" s="74">
        <f t="shared" si="396"/>
        <v>0</v>
      </c>
      <c r="BA227" s="74">
        <f t="shared" si="396"/>
        <v>0</v>
      </c>
      <c r="BB227" s="74">
        <f t="shared" si="396"/>
        <v>0</v>
      </c>
      <c r="BC227" s="74">
        <f t="shared" si="396"/>
        <v>0</v>
      </c>
      <c r="BD227" s="74">
        <f t="shared" si="396"/>
        <v>0</v>
      </c>
      <c r="BE227" s="74">
        <f t="shared" si="396"/>
        <v>0</v>
      </c>
      <c r="BF227" s="74">
        <f t="shared" si="396"/>
        <v>0</v>
      </c>
      <c r="BG227" s="74">
        <f t="shared" si="396"/>
        <v>0</v>
      </c>
      <c r="BH227" s="74">
        <f t="shared" si="396"/>
        <v>0</v>
      </c>
      <c r="BI227" s="74">
        <f t="shared" si="396"/>
        <v>0</v>
      </c>
      <c r="BJ227" s="74">
        <f t="shared" si="396"/>
        <v>0</v>
      </c>
      <c r="BK227" s="74">
        <f t="shared" si="396"/>
        <v>0</v>
      </c>
      <c r="BL227" s="74">
        <f t="shared" si="396"/>
        <v>0</v>
      </c>
      <c r="BM227" s="74">
        <f t="shared" si="396"/>
        <v>0</v>
      </c>
      <c r="BN227" s="74">
        <f t="shared" si="396"/>
        <v>0</v>
      </c>
      <c r="BO227" s="74">
        <f t="shared" si="396"/>
        <v>0</v>
      </c>
      <c r="BP227" s="74">
        <f t="shared" si="396"/>
        <v>0</v>
      </c>
      <c r="BQ227" s="74">
        <f t="shared" si="396"/>
        <v>0</v>
      </c>
      <c r="BR227" s="74">
        <f t="shared" si="396"/>
        <v>0</v>
      </c>
      <c r="BS227" s="74">
        <f t="shared" si="396"/>
        <v>0</v>
      </c>
      <c r="BT227" s="74">
        <f t="shared" si="396"/>
        <v>0</v>
      </c>
      <c r="BU227" s="74">
        <f t="shared" si="396"/>
        <v>0</v>
      </c>
      <c r="BV227" s="74">
        <f t="shared" si="396"/>
        <v>0</v>
      </c>
      <c r="BW227" s="74">
        <f t="shared" si="396"/>
        <v>0</v>
      </c>
      <c r="BX227" s="74">
        <f t="shared" si="396"/>
        <v>0</v>
      </c>
      <c r="BY227" s="74">
        <f t="shared" si="396"/>
        <v>0</v>
      </c>
      <c r="BZ227" s="74">
        <f t="shared" si="396"/>
        <v>0</v>
      </c>
      <c r="CA227" s="74">
        <f t="shared" si="396"/>
        <v>0</v>
      </c>
      <c r="CB227" s="74">
        <f t="shared" si="396"/>
        <v>0</v>
      </c>
      <c r="CC227" s="74">
        <f t="shared" si="396"/>
        <v>0</v>
      </c>
    </row>
    <row r="228" spans="1:81" x14ac:dyDescent="0.2">
      <c r="A228" s="5" t="s">
        <v>214</v>
      </c>
      <c r="B228" s="5">
        <v>0.45200000000000001</v>
      </c>
      <c r="C228" s="46" t="s">
        <v>215</v>
      </c>
      <c r="D228" s="11">
        <f t="shared" ref="D228:AI228" si="397">IF(D227=0,0, ROUND(D224 * 1/D227* D$13,1))</f>
        <v>0</v>
      </c>
      <c r="E228" s="11">
        <f t="shared" si="397"/>
        <v>0</v>
      </c>
      <c r="F228" s="11">
        <f t="shared" si="397"/>
        <v>0</v>
      </c>
      <c r="G228" s="11">
        <f t="shared" si="397"/>
        <v>0</v>
      </c>
      <c r="H228" s="11">
        <f t="shared" si="397"/>
        <v>0</v>
      </c>
      <c r="I228" s="11">
        <f t="shared" si="397"/>
        <v>0</v>
      </c>
      <c r="J228" s="11">
        <f t="shared" si="397"/>
        <v>0</v>
      </c>
      <c r="K228" s="11">
        <f t="shared" si="397"/>
        <v>0</v>
      </c>
      <c r="L228" s="11">
        <f t="shared" si="397"/>
        <v>0</v>
      </c>
      <c r="M228" s="11">
        <f t="shared" si="397"/>
        <v>0</v>
      </c>
      <c r="N228" s="11">
        <f t="shared" si="397"/>
        <v>0</v>
      </c>
      <c r="O228" s="11">
        <f t="shared" si="397"/>
        <v>0</v>
      </c>
      <c r="P228" s="11">
        <f t="shared" si="397"/>
        <v>0</v>
      </c>
      <c r="Q228" s="11">
        <f t="shared" si="397"/>
        <v>0</v>
      </c>
      <c r="R228" s="11">
        <f t="shared" si="397"/>
        <v>0</v>
      </c>
      <c r="S228" s="11">
        <f t="shared" si="397"/>
        <v>0</v>
      </c>
      <c r="T228" s="11">
        <f t="shared" si="397"/>
        <v>0</v>
      </c>
      <c r="U228" s="11">
        <f t="shared" si="397"/>
        <v>0</v>
      </c>
      <c r="V228" s="11">
        <f t="shared" si="397"/>
        <v>0</v>
      </c>
      <c r="W228" s="11">
        <f t="shared" si="397"/>
        <v>0</v>
      </c>
      <c r="X228" s="11">
        <f t="shared" si="397"/>
        <v>0</v>
      </c>
      <c r="Y228" s="11">
        <f t="shared" si="397"/>
        <v>0</v>
      </c>
      <c r="Z228" s="11">
        <f t="shared" si="397"/>
        <v>0</v>
      </c>
      <c r="AA228" s="11">
        <f t="shared" si="397"/>
        <v>0</v>
      </c>
      <c r="AB228" s="11">
        <f t="shared" si="397"/>
        <v>0</v>
      </c>
      <c r="AC228" s="11">
        <f t="shared" si="397"/>
        <v>0</v>
      </c>
      <c r="AD228" s="11">
        <f t="shared" si="397"/>
        <v>0</v>
      </c>
      <c r="AE228" s="11">
        <f t="shared" si="397"/>
        <v>0</v>
      </c>
      <c r="AF228" s="11">
        <f t="shared" si="397"/>
        <v>0</v>
      </c>
      <c r="AG228" s="11">
        <f t="shared" si="397"/>
        <v>0</v>
      </c>
      <c r="AH228" s="11">
        <f t="shared" si="397"/>
        <v>0</v>
      </c>
      <c r="AI228" s="11">
        <f t="shared" si="397"/>
        <v>0</v>
      </c>
      <c r="AJ228" s="11">
        <f t="shared" ref="AJ228:BO228" si="398">IF(AJ227=0,0, ROUND(AJ224 * 1/AJ227* AJ$13,1))</f>
        <v>0</v>
      </c>
      <c r="AK228" s="11">
        <f t="shared" si="398"/>
        <v>0</v>
      </c>
      <c r="AL228" s="11">
        <f t="shared" si="398"/>
        <v>0</v>
      </c>
      <c r="AM228" s="11">
        <f t="shared" si="398"/>
        <v>0</v>
      </c>
      <c r="AN228" s="11">
        <f t="shared" si="398"/>
        <v>0</v>
      </c>
      <c r="AO228" s="11">
        <f t="shared" si="398"/>
        <v>0</v>
      </c>
      <c r="AP228" s="11">
        <f t="shared" si="398"/>
        <v>0</v>
      </c>
      <c r="AQ228" s="11">
        <f t="shared" si="398"/>
        <v>0</v>
      </c>
      <c r="AR228" s="11">
        <f t="shared" si="398"/>
        <v>0</v>
      </c>
      <c r="AS228" s="11">
        <f t="shared" si="398"/>
        <v>0</v>
      </c>
      <c r="AT228" s="11">
        <f t="shared" si="398"/>
        <v>0</v>
      </c>
      <c r="AU228" s="11">
        <f t="shared" si="398"/>
        <v>0</v>
      </c>
      <c r="AV228" s="11">
        <f t="shared" si="398"/>
        <v>0</v>
      </c>
      <c r="AW228" s="11">
        <f t="shared" si="398"/>
        <v>0</v>
      </c>
      <c r="AX228" s="11">
        <f t="shared" si="398"/>
        <v>0</v>
      </c>
      <c r="AY228" s="11">
        <f t="shared" si="398"/>
        <v>0</v>
      </c>
      <c r="AZ228" s="11">
        <f t="shared" si="398"/>
        <v>0</v>
      </c>
      <c r="BA228" s="11">
        <f t="shared" si="398"/>
        <v>0</v>
      </c>
      <c r="BB228" s="11">
        <f t="shared" si="398"/>
        <v>0</v>
      </c>
      <c r="BC228" s="11">
        <f t="shared" si="398"/>
        <v>0</v>
      </c>
      <c r="BD228" s="11">
        <f t="shared" si="398"/>
        <v>0</v>
      </c>
      <c r="BE228" s="11">
        <f t="shared" si="398"/>
        <v>0</v>
      </c>
      <c r="BF228" s="11">
        <f t="shared" si="398"/>
        <v>0</v>
      </c>
      <c r="BG228" s="11">
        <f t="shared" si="398"/>
        <v>0</v>
      </c>
      <c r="BH228" s="11">
        <f t="shared" si="398"/>
        <v>0</v>
      </c>
      <c r="BI228" s="11">
        <f t="shared" si="398"/>
        <v>0</v>
      </c>
      <c r="BJ228" s="11">
        <f t="shared" si="398"/>
        <v>0</v>
      </c>
      <c r="BK228" s="11">
        <f t="shared" si="398"/>
        <v>0</v>
      </c>
      <c r="BL228" s="11">
        <f t="shared" si="398"/>
        <v>0</v>
      </c>
      <c r="BM228" s="11">
        <f t="shared" si="398"/>
        <v>0</v>
      </c>
      <c r="BN228" s="11">
        <f t="shared" si="398"/>
        <v>0</v>
      </c>
      <c r="BO228" s="11">
        <f t="shared" si="398"/>
        <v>0</v>
      </c>
      <c r="BP228" s="11">
        <f t="shared" ref="BP228:CC228" si="399">IF(BP227=0,0, ROUND(BP224 * 1/BP227* BP$13,1))</f>
        <v>0</v>
      </c>
      <c r="BQ228" s="11">
        <f t="shared" si="399"/>
        <v>0</v>
      </c>
      <c r="BR228" s="11">
        <f t="shared" si="399"/>
        <v>0</v>
      </c>
      <c r="BS228" s="11">
        <f t="shared" si="399"/>
        <v>0</v>
      </c>
      <c r="BT228" s="11">
        <f t="shared" si="399"/>
        <v>0</v>
      </c>
      <c r="BU228" s="11">
        <f t="shared" si="399"/>
        <v>0</v>
      </c>
      <c r="BV228" s="11">
        <f t="shared" si="399"/>
        <v>0</v>
      </c>
      <c r="BW228" s="11">
        <f t="shared" si="399"/>
        <v>0</v>
      </c>
      <c r="BX228" s="11">
        <f t="shared" si="399"/>
        <v>0</v>
      </c>
      <c r="BY228" s="11">
        <f t="shared" si="399"/>
        <v>0</v>
      </c>
      <c r="BZ228" s="11">
        <f t="shared" si="399"/>
        <v>0</v>
      </c>
      <c r="CA228" s="11">
        <f t="shared" si="399"/>
        <v>0</v>
      </c>
      <c r="CB228" s="11">
        <f t="shared" si="399"/>
        <v>0</v>
      </c>
      <c r="CC228" s="11">
        <f t="shared" si="399"/>
        <v>0</v>
      </c>
    </row>
    <row r="229" spans="1:81" x14ac:dyDescent="0.2">
      <c r="A229">
        <v>50</v>
      </c>
      <c r="B229">
        <v>1</v>
      </c>
      <c r="C229" s="8">
        <v>10.41746</v>
      </c>
      <c r="D229">
        <f t="shared" ref="D229:AI229" si="400">D226/$B229</f>
        <v>0</v>
      </c>
      <c r="E229">
        <f t="shared" si="400"/>
        <v>0</v>
      </c>
      <c r="F229">
        <f t="shared" si="400"/>
        <v>0</v>
      </c>
      <c r="G229">
        <f t="shared" si="400"/>
        <v>0</v>
      </c>
      <c r="H229">
        <f t="shared" si="400"/>
        <v>0</v>
      </c>
      <c r="I229">
        <f t="shared" si="400"/>
        <v>0</v>
      </c>
      <c r="J229">
        <f t="shared" si="400"/>
        <v>0</v>
      </c>
      <c r="K229">
        <f t="shared" si="400"/>
        <v>0</v>
      </c>
      <c r="L229">
        <f t="shared" si="400"/>
        <v>0</v>
      </c>
      <c r="M229">
        <f t="shared" si="400"/>
        <v>0</v>
      </c>
      <c r="N229">
        <f t="shared" si="400"/>
        <v>0</v>
      </c>
      <c r="O229">
        <f t="shared" si="400"/>
        <v>0</v>
      </c>
      <c r="P229">
        <f t="shared" si="400"/>
        <v>0</v>
      </c>
      <c r="Q229">
        <f t="shared" si="400"/>
        <v>0</v>
      </c>
      <c r="R229">
        <f t="shared" si="400"/>
        <v>0</v>
      </c>
      <c r="S229">
        <f t="shared" si="400"/>
        <v>0</v>
      </c>
      <c r="T229">
        <f t="shared" si="400"/>
        <v>0</v>
      </c>
      <c r="U229">
        <f t="shared" si="400"/>
        <v>0</v>
      </c>
      <c r="V229">
        <f t="shared" si="400"/>
        <v>0</v>
      </c>
      <c r="W229">
        <f t="shared" si="400"/>
        <v>0</v>
      </c>
      <c r="X229">
        <f t="shared" si="400"/>
        <v>0</v>
      </c>
      <c r="Y229">
        <f t="shared" si="400"/>
        <v>0</v>
      </c>
      <c r="Z229">
        <f t="shared" si="400"/>
        <v>0</v>
      </c>
      <c r="AA229">
        <f t="shared" si="400"/>
        <v>0</v>
      </c>
      <c r="AB229">
        <f t="shared" si="400"/>
        <v>0</v>
      </c>
      <c r="AC229">
        <f t="shared" si="400"/>
        <v>0</v>
      </c>
      <c r="AD229">
        <f t="shared" si="400"/>
        <v>0</v>
      </c>
      <c r="AE229">
        <f t="shared" si="400"/>
        <v>0</v>
      </c>
      <c r="AF229">
        <f t="shared" si="400"/>
        <v>0</v>
      </c>
      <c r="AG229">
        <f t="shared" si="400"/>
        <v>0</v>
      </c>
      <c r="AH229">
        <f t="shared" si="400"/>
        <v>0</v>
      </c>
      <c r="AI229">
        <f t="shared" si="400"/>
        <v>0</v>
      </c>
      <c r="AJ229">
        <f t="shared" ref="AJ229:BO229" si="401">AJ226/$B229</f>
        <v>0</v>
      </c>
      <c r="AK229">
        <f t="shared" si="401"/>
        <v>0</v>
      </c>
      <c r="AL229">
        <f t="shared" si="401"/>
        <v>0</v>
      </c>
      <c r="AM229">
        <f t="shared" si="401"/>
        <v>0</v>
      </c>
      <c r="AN229">
        <f t="shared" si="401"/>
        <v>0</v>
      </c>
      <c r="AO229">
        <f t="shared" si="401"/>
        <v>0</v>
      </c>
      <c r="AP229">
        <f t="shared" si="401"/>
        <v>0</v>
      </c>
      <c r="AQ229">
        <f t="shared" si="401"/>
        <v>0</v>
      </c>
      <c r="AR229">
        <f t="shared" si="401"/>
        <v>0</v>
      </c>
      <c r="AS229">
        <f t="shared" si="401"/>
        <v>0</v>
      </c>
      <c r="AT229">
        <f t="shared" si="401"/>
        <v>0</v>
      </c>
      <c r="AU229">
        <f t="shared" si="401"/>
        <v>0</v>
      </c>
      <c r="AV229">
        <f t="shared" si="401"/>
        <v>0</v>
      </c>
      <c r="AW229">
        <f t="shared" si="401"/>
        <v>0</v>
      </c>
      <c r="AX229">
        <f t="shared" si="401"/>
        <v>0</v>
      </c>
      <c r="AY229">
        <f t="shared" si="401"/>
        <v>0</v>
      </c>
      <c r="AZ229">
        <f t="shared" si="401"/>
        <v>0</v>
      </c>
      <c r="BA229">
        <f t="shared" si="401"/>
        <v>0</v>
      </c>
      <c r="BB229">
        <f t="shared" si="401"/>
        <v>0</v>
      </c>
      <c r="BC229">
        <f t="shared" si="401"/>
        <v>0</v>
      </c>
      <c r="BD229">
        <f t="shared" si="401"/>
        <v>0</v>
      </c>
      <c r="BE229">
        <f t="shared" si="401"/>
        <v>0</v>
      </c>
      <c r="BF229">
        <f t="shared" si="401"/>
        <v>0</v>
      </c>
      <c r="BG229">
        <f t="shared" si="401"/>
        <v>0</v>
      </c>
      <c r="BH229">
        <f t="shared" si="401"/>
        <v>0</v>
      </c>
      <c r="BI229">
        <f t="shared" si="401"/>
        <v>0</v>
      </c>
      <c r="BJ229">
        <f t="shared" si="401"/>
        <v>0</v>
      </c>
      <c r="BK229">
        <f t="shared" si="401"/>
        <v>0</v>
      </c>
      <c r="BL229">
        <f t="shared" si="401"/>
        <v>0</v>
      </c>
      <c r="BM229">
        <f t="shared" si="401"/>
        <v>0</v>
      </c>
      <c r="BN229">
        <f t="shared" si="401"/>
        <v>0</v>
      </c>
      <c r="BO229">
        <f t="shared" si="401"/>
        <v>0</v>
      </c>
      <c r="BP229">
        <f t="shared" ref="BP229:CC229" si="402">BP226/$B229</f>
        <v>0</v>
      </c>
      <c r="BQ229">
        <f t="shared" si="402"/>
        <v>0</v>
      </c>
      <c r="BR229">
        <f t="shared" si="402"/>
        <v>0</v>
      </c>
      <c r="BS229">
        <f t="shared" si="402"/>
        <v>0</v>
      </c>
      <c r="BT229">
        <f t="shared" si="402"/>
        <v>0</v>
      </c>
      <c r="BU229">
        <f t="shared" si="402"/>
        <v>0</v>
      </c>
      <c r="BV229">
        <f t="shared" si="402"/>
        <v>0</v>
      </c>
      <c r="BW229">
        <f t="shared" si="402"/>
        <v>0</v>
      </c>
      <c r="BX229">
        <f t="shared" si="402"/>
        <v>0</v>
      </c>
      <c r="BY229">
        <f t="shared" si="402"/>
        <v>0</v>
      </c>
      <c r="BZ229">
        <f t="shared" si="402"/>
        <v>0</v>
      </c>
      <c r="CA229">
        <f t="shared" si="402"/>
        <v>0</v>
      </c>
      <c r="CB229">
        <f t="shared" si="402"/>
        <v>0</v>
      </c>
      <c r="CC229">
        <f t="shared" si="402"/>
        <v>0</v>
      </c>
    </row>
    <row r="230" spans="1:81" x14ac:dyDescent="0.2">
      <c r="B230" s="67">
        <f>SUM(D234:AJ234)/SUM($D$263:$AJ$263)</f>
        <v>3.6002191437739688E-2</v>
      </c>
      <c r="C230" s="9" t="s">
        <v>216</v>
      </c>
      <c r="D230">
        <f t="shared" ref="D230:AI230" si="403">D224-D227</f>
        <v>90</v>
      </c>
      <c r="E230">
        <f t="shared" si="403"/>
        <v>90</v>
      </c>
      <c r="F230">
        <f t="shared" si="403"/>
        <v>90</v>
      </c>
      <c r="G230">
        <f t="shared" si="403"/>
        <v>90</v>
      </c>
      <c r="H230">
        <f t="shared" si="403"/>
        <v>90</v>
      </c>
      <c r="I230">
        <f t="shared" si="403"/>
        <v>90</v>
      </c>
      <c r="J230">
        <f t="shared" si="403"/>
        <v>90</v>
      </c>
      <c r="K230">
        <f t="shared" si="403"/>
        <v>90</v>
      </c>
      <c r="L230">
        <f t="shared" si="403"/>
        <v>90</v>
      </c>
      <c r="M230">
        <f t="shared" si="403"/>
        <v>90</v>
      </c>
      <c r="N230">
        <f t="shared" si="403"/>
        <v>90</v>
      </c>
      <c r="O230">
        <f t="shared" si="403"/>
        <v>90</v>
      </c>
      <c r="P230">
        <f t="shared" si="403"/>
        <v>90</v>
      </c>
      <c r="Q230">
        <f t="shared" si="403"/>
        <v>90</v>
      </c>
      <c r="R230">
        <f t="shared" si="403"/>
        <v>90</v>
      </c>
      <c r="S230">
        <f t="shared" si="403"/>
        <v>90</v>
      </c>
      <c r="T230">
        <f t="shared" si="403"/>
        <v>90</v>
      </c>
      <c r="U230">
        <f t="shared" si="403"/>
        <v>90</v>
      </c>
      <c r="V230">
        <f t="shared" si="403"/>
        <v>90</v>
      </c>
      <c r="W230">
        <f t="shared" si="403"/>
        <v>90</v>
      </c>
      <c r="X230">
        <f t="shared" si="403"/>
        <v>90</v>
      </c>
      <c r="Y230">
        <f t="shared" si="403"/>
        <v>90</v>
      </c>
      <c r="Z230">
        <f t="shared" si="403"/>
        <v>90</v>
      </c>
      <c r="AA230">
        <f t="shared" si="403"/>
        <v>90</v>
      </c>
      <c r="AB230">
        <f t="shared" si="403"/>
        <v>90</v>
      </c>
      <c r="AC230">
        <f t="shared" si="403"/>
        <v>90</v>
      </c>
      <c r="AD230">
        <f t="shared" si="403"/>
        <v>90</v>
      </c>
      <c r="AE230">
        <f t="shared" si="403"/>
        <v>90</v>
      </c>
      <c r="AF230">
        <f t="shared" si="403"/>
        <v>90</v>
      </c>
      <c r="AG230">
        <f t="shared" si="403"/>
        <v>90</v>
      </c>
      <c r="AH230">
        <f t="shared" si="403"/>
        <v>90</v>
      </c>
      <c r="AI230">
        <f t="shared" si="403"/>
        <v>90</v>
      </c>
      <c r="AJ230">
        <f t="shared" ref="AJ230:BO230" si="404">AJ224-AJ227</f>
        <v>90</v>
      </c>
      <c r="AK230">
        <f t="shared" si="404"/>
        <v>90</v>
      </c>
      <c r="AL230">
        <f t="shared" si="404"/>
        <v>90</v>
      </c>
      <c r="AM230">
        <f t="shared" si="404"/>
        <v>90</v>
      </c>
      <c r="AN230">
        <f t="shared" si="404"/>
        <v>90</v>
      </c>
      <c r="AO230">
        <f t="shared" si="404"/>
        <v>90</v>
      </c>
      <c r="AP230">
        <f t="shared" si="404"/>
        <v>90</v>
      </c>
      <c r="AQ230">
        <f t="shared" si="404"/>
        <v>90</v>
      </c>
      <c r="AR230">
        <f t="shared" si="404"/>
        <v>90</v>
      </c>
      <c r="AS230">
        <f t="shared" si="404"/>
        <v>90</v>
      </c>
      <c r="AT230">
        <f t="shared" si="404"/>
        <v>90</v>
      </c>
      <c r="AU230">
        <f t="shared" si="404"/>
        <v>90</v>
      </c>
      <c r="AV230">
        <f t="shared" si="404"/>
        <v>90</v>
      </c>
      <c r="AW230">
        <f t="shared" si="404"/>
        <v>90</v>
      </c>
      <c r="AX230">
        <f t="shared" si="404"/>
        <v>90</v>
      </c>
      <c r="AY230">
        <f t="shared" si="404"/>
        <v>90</v>
      </c>
      <c r="AZ230">
        <f t="shared" si="404"/>
        <v>90</v>
      </c>
      <c r="BA230">
        <f t="shared" si="404"/>
        <v>90</v>
      </c>
      <c r="BB230">
        <f t="shared" si="404"/>
        <v>90</v>
      </c>
      <c r="BC230">
        <f t="shared" si="404"/>
        <v>90</v>
      </c>
      <c r="BD230">
        <f t="shared" si="404"/>
        <v>90</v>
      </c>
      <c r="BE230">
        <f t="shared" si="404"/>
        <v>90</v>
      </c>
      <c r="BF230">
        <f t="shared" si="404"/>
        <v>90</v>
      </c>
      <c r="BG230">
        <f t="shared" si="404"/>
        <v>90</v>
      </c>
      <c r="BH230">
        <f t="shared" si="404"/>
        <v>90</v>
      </c>
      <c r="BI230">
        <f t="shared" si="404"/>
        <v>90</v>
      </c>
      <c r="BJ230">
        <f t="shared" si="404"/>
        <v>90</v>
      </c>
      <c r="BK230">
        <f t="shared" si="404"/>
        <v>90</v>
      </c>
      <c r="BL230">
        <f t="shared" si="404"/>
        <v>90</v>
      </c>
      <c r="BM230">
        <f t="shared" si="404"/>
        <v>90</v>
      </c>
      <c r="BN230">
        <f t="shared" si="404"/>
        <v>90</v>
      </c>
      <c r="BO230">
        <f t="shared" si="404"/>
        <v>90</v>
      </c>
      <c r="BP230">
        <f t="shared" ref="BP230:CC230" si="405">BP224-BP227</f>
        <v>90</v>
      </c>
      <c r="BQ230">
        <f t="shared" si="405"/>
        <v>90</v>
      </c>
      <c r="BR230">
        <f t="shared" si="405"/>
        <v>90</v>
      </c>
      <c r="BS230">
        <f t="shared" si="405"/>
        <v>90</v>
      </c>
      <c r="BT230">
        <f t="shared" si="405"/>
        <v>90</v>
      </c>
      <c r="BU230">
        <f t="shared" si="405"/>
        <v>90</v>
      </c>
      <c r="BV230">
        <f t="shared" si="405"/>
        <v>90</v>
      </c>
      <c r="BW230">
        <f t="shared" si="405"/>
        <v>90</v>
      </c>
      <c r="BX230">
        <f t="shared" si="405"/>
        <v>90</v>
      </c>
      <c r="BY230">
        <f t="shared" si="405"/>
        <v>90</v>
      </c>
      <c r="BZ230">
        <f t="shared" si="405"/>
        <v>90</v>
      </c>
      <c r="CA230">
        <f t="shared" si="405"/>
        <v>90</v>
      </c>
      <c r="CB230">
        <f t="shared" si="405"/>
        <v>90</v>
      </c>
      <c r="CC230">
        <f t="shared" si="405"/>
        <v>90</v>
      </c>
    </row>
    <row r="231" spans="1:81" x14ac:dyDescent="0.2">
      <c r="A231" s="43" t="s">
        <v>320</v>
      </c>
      <c r="B231" s="44" t="s">
        <v>208</v>
      </c>
      <c r="C231" s="9" t="s">
        <v>38</v>
      </c>
      <c r="D231" s="58">
        <f>IFERROR(VLOOKUP(A231,OS!$A:$B,2,0),0)</f>
        <v>680</v>
      </c>
      <c r="E231" s="5">
        <f>(D231+D232-D234)</f>
        <v>800</v>
      </c>
      <c r="F231" s="5">
        <f>(E231+E232-E234)</f>
        <v>640</v>
      </c>
      <c r="G231" s="5">
        <f>(F231+F232-F234)</f>
        <v>480</v>
      </c>
      <c r="H231" s="5">
        <f>(G231+G232-G234)</f>
        <v>320</v>
      </c>
      <c r="I231" s="5">
        <f t="shared" ref="I231:AN231" si="406">(H231+H232-H234+D233)</f>
        <v>460</v>
      </c>
      <c r="J231" s="5">
        <f t="shared" si="406"/>
        <v>496</v>
      </c>
      <c r="K231" s="5">
        <f t="shared" si="406"/>
        <v>336</v>
      </c>
      <c r="L231" s="5">
        <f t="shared" si="406"/>
        <v>256</v>
      </c>
      <c r="M231" s="5">
        <f t="shared" si="406"/>
        <v>96</v>
      </c>
      <c r="N231" s="5">
        <f t="shared" si="406"/>
        <v>-64</v>
      </c>
      <c r="O231" s="5">
        <f t="shared" si="406"/>
        <v>-64</v>
      </c>
      <c r="P231" s="5">
        <f t="shared" si="406"/>
        <v>-64</v>
      </c>
      <c r="Q231" s="5">
        <f t="shared" si="406"/>
        <v>-64</v>
      </c>
      <c r="R231" s="5">
        <f t="shared" si="406"/>
        <v>-64</v>
      </c>
      <c r="S231" s="5">
        <f t="shared" si="406"/>
        <v>-224</v>
      </c>
      <c r="T231" s="5">
        <f t="shared" si="406"/>
        <v>-304</v>
      </c>
      <c r="U231" s="5">
        <f t="shared" si="406"/>
        <v>-464</v>
      </c>
      <c r="V231" s="5">
        <f t="shared" si="406"/>
        <v>-604</v>
      </c>
      <c r="W231" s="5">
        <f t="shared" si="406"/>
        <v>-744</v>
      </c>
      <c r="X231" s="5">
        <f t="shared" si="406"/>
        <v>-884</v>
      </c>
      <c r="Y231" s="5">
        <f t="shared" si="406"/>
        <v>-1024</v>
      </c>
      <c r="Z231" s="5">
        <f t="shared" si="406"/>
        <v>-1124</v>
      </c>
      <c r="AA231" s="5">
        <f t="shared" si="406"/>
        <v>-1224</v>
      </c>
      <c r="AB231" s="5">
        <f t="shared" si="406"/>
        <v>-1324</v>
      </c>
      <c r="AC231" s="5">
        <f t="shared" si="406"/>
        <v>-1424</v>
      </c>
      <c r="AD231" s="5">
        <f t="shared" si="406"/>
        <v>-1574</v>
      </c>
      <c r="AE231" s="5">
        <f t="shared" si="406"/>
        <v>-1724</v>
      </c>
      <c r="AF231" s="5">
        <f t="shared" si="406"/>
        <v>-1874</v>
      </c>
      <c r="AG231" s="5">
        <f t="shared" si="406"/>
        <v>-2024</v>
      </c>
      <c r="AH231" s="5">
        <f t="shared" si="406"/>
        <v>-2144</v>
      </c>
      <c r="AI231" s="5">
        <f t="shared" si="406"/>
        <v>-2264</v>
      </c>
      <c r="AJ231" s="5">
        <f t="shared" si="406"/>
        <v>-2384</v>
      </c>
      <c r="AK231" s="5">
        <f t="shared" si="406"/>
        <v>-2384</v>
      </c>
      <c r="AL231" s="5">
        <f t="shared" si="406"/>
        <v>-2384</v>
      </c>
      <c r="AM231" s="5">
        <f t="shared" si="406"/>
        <v>-2384</v>
      </c>
      <c r="AN231" s="5">
        <f t="shared" si="406"/>
        <v>-2384</v>
      </c>
      <c r="AO231" s="5">
        <f t="shared" ref="AO231:BT231" si="407">(AN231+AN232-AN234+AJ233)</f>
        <v>-2482</v>
      </c>
      <c r="AP231" s="5">
        <f t="shared" si="407"/>
        <v>-2580</v>
      </c>
      <c r="AQ231" s="5">
        <f t="shared" si="407"/>
        <v>-2678</v>
      </c>
      <c r="AR231" s="5">
        <f t="shared" si="407"/>
        <v>-2796</v>
      </c>
      <c r="AS231" s="5">
        <f t="shared" si="407"/>
        <v>-2914</v>
      </c>
      <c r="AT231" s="5">
        <f t="shared" si="407"/>
        <v>-3009</v>
      </c>
      <c r="AU231" s="5">
        <f t="shared" si="407"/>
        <v>-3127</v>
      </c>
      <c r="AV231" s="5">
        <f t="shared" si="407"/>
        <v>-3239</v>
      </c>
      <c r="AW231" s="5">
        <f t="shared" si="407"/>
        <v>-3351</v>
      </c>
      <c r="AX231" s="5">
        <f t="shared" si="407"/>
        <v>-3463</v>
      </c>
      <c r="AY231" s="5">
        <f t="shared" si="407"/>
        <v>-3575</v>
      </c>
      <c r="AZ231" s="5">
        <f t="shared" si="407"/>
        <v>-3665</v>
      </c>
      <c r="BA231" s="5">
        <f t="shared" si="407"/>
        <v>-3745</v>
      </c>
      <c r="BB231" s="5">
        <f t="shared" si="407"/>
        <v>-3825</v>
      </c>
      <c r="BC231" s="5">
        <f t="shared" si="407"/>
        <v>-3905</v>
      </c>
      <c r="BD231" s="5">
        <f t="shared" si="407"/>
        <v>-3995</v>
      </c>
      <c r="BE231" s="5">
        <f t="shared" si="407"/>
        <v>-4085</v>
      </c>
      <c r="BF231" s="5">
        <f t="shared" si="407"/>
        <v>-4175</v>
      </c>
      <c r="BG231" s="5">
        <f t="shared" si="407"/>
        <v>-4265</v>
      </c>
      <c r="BH231" s="5">
        <f t="shared" si="407"/>
        <v>-4355</v>
      </c>
      <c r="BI231" s="5">
        <f t="shared" si="407"/>
        <v>-4445</v>
      </c>
      <c r="BJ231" s="5">
        <f t="shared" si="407"/>
        <v>-4535</v>
      </c>
      <c r="BK231" s="5">
        <f t="shared" si="407"/>
        <v>-4625</v>
      </c>
      <c r="BL231" s="5">
        <f t="shared" si="407"/>
        <v>-4715</v>
      </c>
      <c r="BM231" s="5">
        <f t="shared" si="407"/>
        <v>-4805</v>
      </c>
      <c r="BN231" s="5">
        <f t="shared" si="407"/>
        <v>-4895</v>
      </c>
      <c r="BO231" s="5">
        <f t="shared" si="407"/>
        <v>-5058</v>
      </c>
      <c r="BP231" s="5">
        <f t="shared" si="407"/>
        <v>-5058</v>
      </c>
      <c r="BQ231" s="5">
        <f t="shared" si="407"/>
        <v>-5058</v>
      </c>
      <c r="BR231" s="5">
        <f t="shared" si="407"/>
        <v>-5058</v>
      </c>
      <c r="BS231" s="5">
        <f t="shared" si="407"/>
        <v>-5058</v>
      </c>
      <c r="BT231" s="5">
        <f t="shared" si="407"/>
        <v>-5132</v>
      </c>
      <c r="BU231" s="5">
        <f t="shared" ref="BU231:CC231" si="408">(BT231+BT232-BT234+BP233)</f>
        <v>-5206</v>
      </c>
      <c r="BV231" s="5">
        <f t="shared" si="408"/>
        <v>-5280</v>
      </c>
      <c r="BW231" s="5">
        <f t="shared" si="408"/>
        <v>-5354</v>
      </c>
      <c r="BX231" s="5">
        <f t="shared" si="408"/>
        <v>-5428</v>
      </c>
      <c r="BY231" s="5">
        <f t="shared" si="408"/>
        <v>-5502</v>
      </c>
      <c r="BZ231" s="5">
        <f t="shared" si="408"/>
        <v>-5576</v>
      </c>
      <c r="CA231" s="5">
        <f t="shared" si="408"/>
        <v>-5650</v>
      </c>
      <c r="CB231" s="5">
        <f t="shared" si="408"/>
        <v>-5724</v>
      </c>
      <c r="CC231" s="5">
        <f t="shared" si="408"/>
        <v>-5798</v>
      </c>
    </row>
    <row r="232" spans="1:81" x14ac:dyDescent="0.2">
      <c r="A232" s="5" t="s">
        <v>209</v>
      </c>
      <c r="B232" s="5">
        <v>13.190580000000001</v>
      </c>
      <c r="C232" s="45" t="s">
        <v>39</v>
      </c>
      <c r="D232" s="59">
        <f>IFERROR(VLOOKUP(A231,WIP!$A:$B,2,0),0)</f>
        <v>120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</row>
    <row r="233" spans="1:81" x14ac:dyDescent="0.2">
      <c r="A233" s="5" t="s">
        <v>210</v>
      </c>
      <c r="B233" s="5">
        <v>0.35499999999999998</v>
      </c>
      <c r="C233" s="9" t="s">
        <v>211</v>
      </c>
      <c r="D233" s="60">
        <f>IFERROR(VLOOKUP($A231,Plan!$A:B,D$4,0),0)</f>
        <v>300</v>
      </c>
      <c r="E233" s="60">
        <f>IFERROR(VLOOKUP($A231,Plan!$A:C,E$4,0),0)</f>
        <v>196</v>
      </c>
      <c r="F233" s="60">
        <f>IFERROR(VLOOKUP($A231,Plan!$A:D,F$4,0),0)</f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</row>
    <row r="234" spans="1:81" x14ac:dyDescent="0.2">
      <c r="A234" s="5" t="s">
        <v>212</v>
      </c>
      <c r="B234" s="5">
        <v>8.1000000000000003E-2</v>
      </c>
      <c r="C234" s="9" t="s">
        <v>213</v>
      </c>
      <c r="D234" s="61">
        <f>IFERROR(VLOOKUP($A231,Sales!$A:B,D$2,0),0)</f>
        <v>0</v>
      </c>
      <c r="E234" s="61">
        <f>IFERROR(VLOOKUP($A231,Sales!$A:C,E$2,0),0)</f>
        <v>160</v>
      </c>
      <c r="F234" s="61">
        <f>IFERROR(VLOOKUP($A231,Sales!$A:D,F$2,0),0)</f>
        <v>160</v>
      </c>
      <c r="G234" s="61">
        <f>IFERROR(VLOOKUP($A231,Sales!$A:E,G$2,0),0)</f>
        <v>160</v>
      </c>
      <c r="H234" s="61">
        <f>IFERROR(VLOOKUP($A231,Sales!$A:F,H$2,0),0)</f>
        <v>160</v>
      </c>
      <c r="I234" s="61">
        <f>IFERROR(VLOOKUP($A231,Sales!$A:G,I$2,0),0)</f>
        <v>160</v>
      </c>
      <c r="J234" s="61">
        <f>IFERROR(VLOOKUP($A231,Sales!$A:H,J$2,0),0)</f>
        <v>160</v>
      </c>
      <c r="K234" s="61">
        <f>IFERROR(VLOOKUP($A231,Sales!$A:I,K$2,0),0)</f>
        <v>80</v>
      </c>
      <c r="L234" s="61">
        <f>IFERROR(VLOOKUP($A231,Sales!$A:J,L$2,0),0)</f>
        <v>160</v>
      </c>
      <c r="M234" s="61">
        <f>IFERROR(VLOOKUP($A231,Sales!$A:K,M$2,0),0)</f>
        <v>160</v>
      </c>
      <c r="N234" s="61">
        <f>IFERROR(VLOOKUP($A231,Sales!$A:L,N$2,0),0)</f>
        <v>0</v>
      </c>
      <c r="O234" s="61">
        <f>IFERROR(VLOOKUP($A231,Sales!$A:M,O$2,0),0)</f>
        <v>0</v>
      </c>
      <c r="P234" s="61">
        <f>IFERROR(VLOOKUP($A231,Sales!$A:N,P$2,0),0)</f>
        <v>0</v>
      </c>
      <c r="Q234" s="61">
        <f>IFERROR(VLOOKUP($A231,Sales!$A:O,Q$2,0),0)</f>
        <v>0</v>
      </c>
      <c r="R234" s="61">
        <f>IFERROR(VLOOKUP($A231,Sales!$A:P,R$2,0),0)</f>
        <v>160</v>
      </c>
      <c r="S234" s="61">
        <f>IFERROR(VLOOKUP($A231,Sales!$A:Q,S$2,0),0)</f>
        <v>80</v>
      </c>
      <c r="T234" s="61">
        <f>IFERROR(VLOOKUP($A231,Sales!$A:R,T$2,0),0)</f>
        <v>160</v>
      </c>
      <c r="U234" s="61">
        <f>IFERROR(VLOOKUP($A231,Sales!$A:S,U$2,0),0)</f>
        <v>140</v>
      </c>
      <c r="V234" s="61">
        <f>IFERROR(VLOOKUP($A231,Sales!$A:T,V$2,0),0)</f>
        <v>140</v>
      </c>
      <c r="W234" s="61">
        <f>IFERROR(VLOOKUP($A231,Sales!$A:U,W$2,0),0)</f>
        <v>140</v>
      </c>
      <c r="X234" s="61">
        <f>IFERROR(VLOOKUP($A231,Sales!$A:V,X$2,0),0)</f>
        <v>140</v>
      </c>
      <c r="Y234" s="61">
        <f>IFERROR(VLOOKUP($A231,Sales!$A:W,Y$2,0),0)</f>
        <v>100</v>
      </c>
      <c r="Z234" s="61">
        <f>IFERROR(VLOOKUP($A231,Sales!$A:X,Z$2,0),0)</f>
        <v>100</v>
      </c>
      <c r="AA234" s="61">
        <f>IFERROR(VLOOKUP($A231,Sales!$A:Y,AA$2,0),0)</f>
        <v>100</v>
      </c>
      <c r="AB234" s="61">
        <f>IFERROR(VLOOKUP($A231,Sales!$A:Z,AB$2,0),0)</f>
        <v>100</v>
      </c>
      <c r="AC234" s="61">
        <f>IFERROR(VLOOKUP($A231,Sales!$A:AA,AC$2,0),0)</f>
        <v>150</v>
      </c>
      <c r="AD234" s="61">
        <f>IFERROR(VLOOKUP($A231,Sales!$A:AB,AD$2,0),0)</f>
        <v>150</v>
      </c>
      <c r="AE234" s="61">
        <f>IFERROR(VLOOKUP($A231,Sales!$A:AC,AE$2,0),0)</f>
        <v>150</v>
      </c>
      <c r="AF234" s="61">
        <f>IFERROR(VLOOKUP($A231,Sales!$A:AD,AF$2,0),0)</f>
        <v>150</v>
      </c>
      <c r="AG234" s="61">
        <f>IFERROR(VLOOKUP($A231,Sales!$A:AE,AG$2,0),0)</f>
        <v>120</v>
      </c>
      <c r="AH234" s="61">
        <f>IFERROR(VLOOKUP($A231,Sales!$A:AF,AH$2,0),0)</f>
        <v>120</v>
      </c>
      <c r="AI234" s="61">
        <f>IFERROR(VLOOKUP($A231,Sales!$A:AG,AI$2,0),0)</f>
        <v>120</v>
      </c>
      <c r="AJ234" s="61">
        <f>IFERROR(VLOOKUP($A231,Sales!$A:AH,AJ$2,0),0)</f>
        <v>0</v>
      </c>
      <c r="AK234" s="74">
        <f t="shared" ref="AK234:CC234" si="409">CEILING(AK$5*$B230,1)</f>
        <v>0</v>
      </c>
      <c r="AL234" s="74">
        <f t="shared" si="409"/>
        <v>0</v>
      </c>
      <c r="AM234" s="74">
        <f t="shared" si="409"/>
        <v>0</v>
      </c>
      <c r="AN234" s="74">
        <f t="shared" si="409"/>
        <v>98</v>
      </c>
      <c r="AO234" s="74">
        <f t="shared" si="409"/>
        <v>98</v>
      </c>
      <c r="AP234" s="74">
        <f t="shared" si="409"/>
        <v>98</v>
      </c>
      <c r="AQ234" s="74">
        <f t="shared" si="409"/>
        <v>118</v>
      </c>
      <c r="AR234" s="74">
        <f t="shared" si="409"/>
        <v>118</v>
      </c>
      <c r="AS234" s="74">
        <f t="shared" si="409"/>
        <v>95</v>
      </c>
      <c r="AT234" s="74">
        <f t="shared" si="409"/>
        <v>118</v>
      </c>
      <c r="AU234" s="74">
        <f t="shared" si="409"/>
        <v>112</v>
      </c>
      <c r="AV234" s="74">
        <f t="shared" si="409"/>
        <v>112</v>
      </c>
      <c r="AW234" s="74">
        <f t="shared" si="409"/>
        <v>112</v>
      </c>
      <c r="AX234" s="74">
        <f t="shared" si="409"/>
        <v>112</v>
      </c>
      <c r="AY234" s="74">
        <f t="shared" si="409"/>
        <v>90</v>
      </c>
      <c r="AZ234" s="74">
        <f t="shared" si="409"/>
        <v>80</v>
      </c>
      <c r="BA234" s="74">
        <f t="shared" si="409"/>
        <v>80</v>
      </c>
      <c r="BB234" s="74">
        <f t="shared" si="409"/>
        <v>80</v>
      </c>
      <c r="BC234" s="74">
        <f t="shared" si="409"/>
        <v>90</v>
      </c>
      <c r="BD234" s="74">
        <f t="shared" si="409"/>
        <v>90</v>
      </c>
      <c r="BE234" s="74">
        <f t="shared" si="409"/>
        <v>90</v>
      </c>
      <c r="BF234" s="74">
        <f t="shared" si="409"/>
        <v>90</v>
      </c>
      <c r="BG234" s="74">
        <f t="shared" si="409"/>
        <v>90</v>
      </c>
      <c r="BH234" s="74">
        <f t="shared" si="409"/>
        <v>90</v>
      </c>
      <c r="BI234" s="74">
        <f t="shared" si="409"/>
        <v>90</v>
      </c>
      <c r="BJ234" s="74">
        <f t="shared" si="409"/>
        <v>90</v>
      </c>
      <c r="BK234" s="74">
        <f t="shared" si="409"/>
        <v>90</v>
      </c>
      <c r="BL234" s="74">
        <f t="shared" si="409"/>
        <v>90</v>
      </c>
      <c r="BM234" s="74">
        <f t="shared" si="409"/>
        <v>90</v>
      </c>
      <c r="BN234" s="74">
        <f t="shared" si="409"/>
        <v>163</v>
      </c>
      <c r="BO234" s="74">
        <f t="shared" si="409"/>
        <v>0</v>
      </c>
      <c r="BP234" s="74">
        <f t="shared" si="409"/>
        <v>0</v>
      </c>
      <c r="BQ234" s="74">
        <f t="shared" si="409"/>
        <v>0</v>
      </c>
      <c r="BR234" s="74">
        <f t="shared" si="409"/>
        <v>0</v>
      </c>
      <c r="BS234" s="74">
        <f t="shared" si="409"/>
        <v>74</v>
      </c>
      <c r="BT234" s="74">
        <f t="shared" si="409"/>
        <v>74</v>
      </c>
      <c r="BU234" s="74">
        <f t="shared" si="409"/>
        <v>74</v>
      </c>
      <c r="BV234" s="74">
        <f t="shared" si="409"/>
        <v>74</v>
      </c>
      <c r="BW234" s="74">
        <f t="shared" si="409"/>
        <v>74</v>
      </c>
      <c r="BX234" s="74">
        <f t="shared" si="409"/>
        <v>74</v>
      </c>
      <c r="BY234" s="74">
        <f t="shared" si="409"/>
        <v>74</v>
      </c>
      <c r="BZ234" s="74">
        <f t="shared" si="409"/>
        <v>74</v>
      </c>
      <c r="CA234" s="74">
        <f t="shared" si="409"/>
        <v>74</v>
      </c>
      <c r="CB234" s="74">
        <f t="shared" si="409"/>
        <v>74</v>
      </c>
      <c r="CC234" s="74">
        <f t="shared" si="409"/>
        <v>74</v>
      </c>
    </row>
    <row r="235" spans="1:81" x14ac:dyDescent="0.2">
      <c r="A235" s="5" t="s">
        <v>214</v>
      </c>
      <c r="B235" s="5">
        <v>0.436</v>
      </c>
      <c r="C235" s="46" t="s">
        <v>215</v>
      </c>
      <c r="D235" s="11">
        <f t="shared" ref="D235:AI235" si="410">IF(D234=0,0, ROUND(D231 * 1/D234* D$13,1))</f>
        <v>0</v>
      </c>
      <c r="E235" s="11">
        <f t="shared" si="410"/>
        <v>25</v>
      </c>
      <c r="F235" s="11">
        <f t="shared" si="410"/>
        <v>20</v>
      </c>
      <c r="G235" s="11">
        <f t="shared" si="410"/>
        <v>15</v>
      </c>
      <c r="H235" s="11">
        <f t="shared" si="410"/>
        <v>10</v>
      </c>
      <c r="I235" s="11">
        <f t="shared" si="410"/>
        <v>14.4</v>
      </c>
      <c r="J235" s="11">
        <f t="shared" si="410"/>
        <v>15.5</v>
      </c>
      <c r="K235" s="11">
        <f t="shared" si="410"/>
        <v>21</v>
      </c>
      <c r="L235" s="11">
        <f t="shared" si="410"/>
        <v>8</v>
      </c>
      <c r="M235" s="11">
        <f t="shared" si="410"/>
        <v>3</v>
      </c>
      <c r="N235" s="11">
        <f t="shared" si="410"/>
        <v>0</v>
      </c>
      <c r="O235" s="11">
        <f t="shared" si="410"/>
        <v>0</v>
      </c>
      <c r="P235" s="11">
        <f t="shared" si="410"/>
        <v>0</v>
      </c>
      <c r="Q235" s="11">
        <f t="shared" si="410"/>
        <v>0</v>
      </c>
      <c r="R235" s="11">
        <f t="shared" si="410"/>
        <v>-2</v>
      </c>
      <c r="S235" s="11">
        <f t="shared" si="410"/>
        <v>-14</v>
      </c>
      <c r="T235" s="11">
        <f t="shared" si="410"/>
        <v>-9.5</v>
      </c>
      <c r="U235" s="11">
        <f t="shared" si="410"/>
        <v>-16.600000000000001</v>
      </c>
      <c r="V235" s="11">
        <f t="shared" si="410"/>
        <v>-21.6</v>
      </c>
      <c r="W235" s="11">
        <f t="shared" si="410"/>
        <v>-26.6</v>
      </c>
      <c r="X235" s="11">
        <f t="shared" si="410"/>
        <v>-31.6</v>
      </c>
      <c r="Y235" s="11">
        <f t="shared" si="410"/>
        <v>-51.2</v>
      </c>
      <c r="Z235" s="11">
        <f t="shared" si="410"/>
        <v>-56.2</v>
      </c>
      <c r="AA235" s="11">
        <f t="shared" si="410"/>
        <v>-61.2</v>
      </c>
      <c r="AB235" s="11">
        <f t="shared" si="410"/>
        <v>-66.2</v>
      </c>
      <c r="AC235" s="11">
        <f t="shared" si="410"/>
        <v>-47.5</v>
      </c>
      <c r="AD235" s="11">
        <f t="shared" si="410"/>
        <v>-52.5</v>
      </c>
      <c r="AE235" s="11">
        <f t="shared" si="410"/>
        <v>-57.5</v>
      </c>
      <c r="AF235" s="11">
        <f t="shared" si="410"/>
        <v>-62.5</v>
      </c>
      <c r="AG235" s="11">
        <f t="shared" si="410"/>
        <v>-84.3</v>
      </c>
      <c r="AH235" s="11">
        <f t="shared" si="410"/>
        <v>-89.3</v>
      </c>
      <c r="AI235" s="11">
        <f t="shared" si="410"/>
        <v>-94.3</v>
      </c>
      <c r="AJ235" s="11">
        <f t="shared" ref="AJ235:BO235" si="411">IF(AJ234=0,0, ROUND(AJ231 * 1/AJ234* AJ$13,1))</f>
        <v>0</v>
      </c>
      <c r="AK235" s="11">
        <f t="shared" si="411"/>
        <v>0</v>
      </c>
      <c r="AL235" s="11">
        <f t="shared" si="411"/>
        <v>0</v>
      </c>
      <c r="AM235" s="11">
        <f t="shared" si="411"/>
        <v>0</v>
      </c>
      <c r="AN235" s="11">
        <f t="shared" si="411"/>
        <v>-121.6</v>
      </c>
      <c r="AO235" s="11">
        <f t="shared" si="411"/>
        <v>-126.6</v>
      </c>
      <c r="AP235" s="11">
        <f t="shared" si="411"/>
        <v>-131.6</v>
      </c>
      <c r="AQ235" s="11">
        <f t="shared" si="411"/>
        <v>-113.5</v>
      </c>
      <c r="AR235" s="11">
        <f t="shared" si="411"/>
        <v>-118.5</v>
      </c>
      <c r="AS235" s="11">
        <f t="shared" si="411"/>
        <v>-153.4</v>
      </c>
      <c r="AT235" s="11">
        <f t="shared" si="411"/>
        <v>-127.5</v>
      </c>
      <c r="AU235" s="11">
        <f t="shared" si="411"/>
        <v>-139.6</v>
      </c>
      <c r="AV235" s="11">
        <f t="shared" si="411"/>
        <v>-144.6</v>
      </c>
      <c r="AW235" s="11">
        <f t="shared" si="411"/>
        <v>-149.6</v>
      </c>
      <c r="AX235" s="11">
        <f t="shared" si="411"/>
        <v>-154.6</v>
      </c>
      <c r="AY235" s="11">
        <f t="shared" si="411"/>
        <v>-198.6</v>
      </c>
      <c r="AZ235" s="11">
        <f t="shared" si="411"/>
        <v>-229.1</v>
      </c>
      <c r="BA235" s="11">
        <f t="shared" si="411"/>
        <v>-234.1</v>
      </c>
      <c r="BB235" s="11">
        <f t="shared" si="411"/>
        <v>-239.1</v>
      </c>
      <c r="BC235" s="11">
        <f t="shared" si="411"/>
        <v>-216.9</v>
      </c>
      <c r="BD235" s="11">
        <f t="shared" si="411"/>
        <v>-221.9</v>
      </c>
      <c r="BE235" s="11">
        <f t="shared" si="411"/>
        <v>-226.9</v>
      </c>
      <c r="BF235" s="11">
        <f t="shared" si="411"/>
        <v>-231.9</v>
      </c>
      <c r="BG235" s="11">
        <f t="shared" si="411"/>
        <v>-236.9</v>
      </c>
      <c r="BH235" s="11">
        <f t="shared" si="411"/>
        <v>-241.9</v>
      </c>
      <c r="BI235" s="11">
        <f t="shared" si="411"/>
        <v>-246.9</v>
      </c>
      <c r="BJ235" s="11">
        <f t="shared" si="411"/>
        <v>-251.9</v>
      </c>
      <c r="BK235" s="11">
        <f t="shared" si="411"/>
        <v>-256.89999999999998</v>
      </c>
      <c r="BL235" s="11">
        <f t="shared" si="411"/>
        <v>-261.89999999999998</v>
      </c>
      <c r="BM235" s="11">
        <f t="shared" si="411"/>
        <v>-266.89999999999998</v>
      </c>
      <c r="BN235" s="11">
        <f t="shared" si="411"/>
        <v>-150.19999999999999</v>
      </c>
      <c r="BO235" s="11">
        <f t="shared" si="411"/>
        <v>0</v>
      </c>
      <c r="BP235" s="11">
        <f t="shared" ref="BP235:CC235" si="412">IF(BP234=0,0, ROUND(BP231 * 1/BP234* BP$13,1))</f>
        <v>0</v>
      </c>
      <c r="BQ235" s="11">
        <f t="shared" si="412"/>
        <v>0</v>
      </c>
      <c r="BR235" s="11">
        <f t="shared" si="412"/>
        <v>0</v>
      </c>
      <c r="BS235" s="11">
        <f t="shared" si="412"/>
        <v>-341.8</v>
      </c>
      <c r="BT235" s="11">
        <f t="shared" si="412"/>
        <v>-346.8</v>
      </c>
      <c r="BU235" s="11">
        <f t="shared" si="412"/>
        <v>-351.8</v>
      </c>
      <c r="BV235" s="11">
        <f t="shared" si="412"/>
        <v>-356.8</v>
      </c>
      <c r="BW235" s="11">
        <f t="shared" si="412"/>
        <v>-361.8</v>
      </c>
      <c r="BX235" s="11">
        <f t="shared" si="412"/>
        <v>-366.8</v>
      </c>
      <c r="BY235" s="11">
        <f t="shared" si="412"/>
        <v>-371.8</v>
      </c>
      <c r="BZ235" s="11">
        <f t="shared" si="412"/>
        <v>-376.8</v>
      </c>
      <c r="CA235" s="11">
        <f t="shared" si="412"/>
        <v>-381.8</v>
      </c>
      <c r="CB235" s="11">
        <f t="shared" si="412"/>
        <v>-386.8</v>
      </c>
      <c r="CC235" s="11">
        <f t="shared" si="412"/>
        <v>-391.8</v>
      </c>
    </row>
    <row r="236" spans="1:81" x14ac:dyDescent="0.2">
      <c r="A236">
        <v>48</v>
      </c>
      <c r="B236">
        <v>1</v>
      </c>
      <c r="C236" s="8">
        <v>10.163460000000001</v>
      </c>
      <c r="D236">
        <f t="shared" ref="D236:AI236" si="413">D233/$B236</f>
        <v>300</v>
      </c>
      <c r="E236">
        <f t="shared" si="413"/>
        <v>196</v>
      </c>
      <c r="F236">
        <f t="shared" si="413"/>
        <v>0</v>
      </c>
      <c r="G236">
        <f t="shared" si="413"/>
        <v>0</v>
      </c>
      <c r="H236">
        <f t="shared" si="413"/>
        <v>0</v>
      </c>
      <c r="I236">
        <f t="shared" si="413"/>
        <v>0</v>
      </c>
      <c r="J236">
        <f t="shared" si="413"/>
        <v>0</v>
      </c>
      <c r="K236">
        <f t="shared" si="413"/>
        <v>0</v>
      </c>
      <c r="L236">
        <f t="shared" si="413"/>
        <v>0</v>
      </c>
      <c r="M236">
        <f t="shared" si="413"/>
        <v>0</v>
      </c>
      <c r="N236">
        <f t="shared" si="413"/>
        <v>0</v>
      </c>
      <c r="O236">
        <f t="shared" si="413"/>
        <v>0</v>
      </c>
      <c r="P236">
        <f t="shared" si="413"/>
        <v>0</v>
      </c>
      <c r="Q236">
        <f t="shared" si="413"/>
        <v>0</v>
      </c>
      <c r="R236">
        <f t="shared" si="413"/>
        <v>0</v>
      </c>
      <c r="S236">
        <f t="shared" si="413"/>
        <v>0</v>
      </c>
      <c r="T236">
        <f t="shared" si="413"/>
        <v>0</v>
      </c>
      <c r="U236">
        <f t="shared" si="413"/>
        <v>0</v>
      </c>
      <c r="V236">
        <f t="shared" si="413"/>
        <v>0</v>
      </c>
      <c r="W236">
        <f t="shared" si="413"/>
        <v>0</v>
      </c>
      <c r="X236">
        <f t="shared" si="413"/>
        <v>0</v>
      </c>
      <c r="Y236">
        <f t="shared" si="413"/>
        <v>0</v>
      </c>
      <c r="Z236">
        <f t="shared" si="413"/>
        <v>0</v>
      </c>
      <c r="AA236">
        <f t="shared" si="413"/>
        <v>0</v>
      </c>
      <c r="AB236">
        <f t="shared" si="413"/>
        <v>0</v>
      </c>
      <c r="AC236">
        <f t="shared" si="413"/>
        <v>0</v>
      </c>
      <c r="AD236">
        <f t="shared" si="413"/>
        <v>0</v>
      </c>
      <c r="AE236">
        <f t="shared" si="413"/>
        <v>0</v>
      </c>
      <c r="AF236">
        <f t="shared" si="413"/>
        <v>0</v>
      </c>
      <c r="AG236">
        <f t="shared" si="413"/>
        <v>0</v>
      </c>
      <c r="AH236">
        <f t="shared" si="413"/>
        <v>0</v>
      </c>
      <c r="AI236">
        <f t="shared" si="413"/>
        <v>0</v>
      </c>
      <c r="AJ236">
        <f t="shared" ref="AJ236:BO236" si="414">AJ233/$B236</f>
        <v>0</v>
      </c>
      <c r="AK236">
        <f t="shared" si="414"/>
        <v>0</v>
      </c>
      <c r="AL236">
        <f t="shared" si="414"/>
        <v>0</v>
      </c>
      <c r="AM236">
        <f t="shared" si="414"/>
        <v>0</v>
      </c>
      <c r="AN236">
        <f t="shared" si="414"/>
        <v>0</v>
      </c>
      <c r="AO236">
        <f t="shared" si="414"/>
        <v>0</v>
      </c>
      <c r="AP236">
        <f t="shared" si="414"/>
        <v>0</v>
      </c>
      <c r="AQ236">
        <f t="shared" si="414"/>
        <v>0</v>
      </c>
      <c r="AR236">
        <f t="shared" si="414"/>
        <v>0</v>
      </c>
      <c r="AS236">
        <f t="shared" si="414"/>
        <v>0</v>
      </c>
      <c r="AT236">
        <f t="shared" si="414"/>
        <v>0</v>
      </c>
      <c r="AU236">
        <f t="shared" si="414"/>
        <v>0</v>
      </c>
      <c r="AV236">
        <f t="shared" si="414"/>
        <v>0</v>
      </c>
      <c r="AW236">
        <f t="shared" si="414"/>
        <v>0</v>
      </c>
      <c r="AX236">
        <f t="shared" si="414"/>
        <v>0</v>
      </c>
      <c r="AY236">
        <f t="shared" si="414"/>
        <v>0</v>
      </c>
      <c r="AZ236">
        <f t="shared" si="414"/>
        <v>0</v>
      </c>
      <c r="BA236">
        <f t="shared" si="414"/>
        <v>0</v>
      </c>
      <c r="BB236">
        <f t="shared" si="414"/>
        <v>0</v>
      </c>
      <c r="BC236">
        <f t="shared" si="414"/>
        <v>0</v>
      </c>
      <c r="BD236">
        <f t="shared" si="414"/>
        <v>0</v>
      </c>
      <c r="BE236">
        <f t="shared" si="414"/>
        <v>0</v>
      </c>
      <c r="BF236">
        <f t="shared" si="414"/>
        <v>0</v>
      </c>
      <c r="BG236">
        <f t="shared" si="414"/>
        <v>0</v>
      </c>
      <c r="BH236">
        <f t="shared" si="414"/>
        <v>0</v>
      </c>
      <c r="BI236">
        <f t="shared" si="414"/>
        <v>0</v>
      </c>
      <c r="BJ236">
        <f t="shared" si="414"/>
        <v>0</v>
      </c>
      <c r="BK236">
        <f t="shared" si="414"/>
        <v>0</v>
      </c>
      <c r="BL236">
        <f t="shared" si="414"/>
        <v>0</v>
      </c>
      <c r="BM236">
        <f t="shared" si="414"/>
        <v>0</v>
      </c>
      <c r="BN236">
        <f t="shared" si="414"/>
        <v>0</v>
      </c>
      <c r="BO236">
        <f t="shared" si="414"/>
        <v>0</v>
      </c>
      <c r="BP236">
        <f t="shared" ref="BP236:CC236" si="415">BP233/$B236</f>
        <v>0</v>
      </c>
      <c r="BQ236">
        <f t="shared" si="415"/>
        <v>0</v>
      </c>
      <c r="BR236">
        <f t="shared" si="415"/>
        <v>0</v>
      </c>
      <c r="BS236">
        <f t="shared" si="415"/>
        <v>0</v>
      </c>
      <c r="BT236">
        <f t="shared" si="415"/>
        <v>0</v>
      </c>
      <c r="BU236">
        <f t="shared" si="415"/>
        <v>0</v>
      </c>
      <c r="BV236">
        <f t="shared" si="415"/>
        <v>0</v>
      </c>
      <c r="BW236">
        <f t="shared" si="415"/>
        <v>0</v>
      </c>
      <c r="BX236">
        <f t="shared" si="415"/>
        <v>0</v>
      </c>
      <c r="BY236">
        <f t="shared" si="415"/>
        <v>0</v>
      </c>
      <c r="BZ236">
        <f t="shared" si="415"/>
        <v>0</v>
      </c>
      <c r="CA236">
        <f t="shared" si="415"/>
        <v>0</v>
      </c>
      <c r="CB236">
        <f t="shared" si="415"/>
        <v>0</v>
      </c>
      <c r="CC236">
        <f t="shared" si="415"/>
        <v>0</v>
      </c>
    </row>
    <row r="237" spans="1:81" x14ac:dyDescent="0.2">
      <c r="B237" s="67">
        <f>SUM(D241:AJ241)/SUM($D$263:$AJ$263)</f>
        <v>1.5653126712060735E-3</v>
      </c>
      <c r="C237" s="9" t="s">
        <v>216</v>
      </c>
      <c r="D237">
        <f t="shared" ref="D237:AI237" si="416">D231-D234</f>
        <v>680</v>
      </c>
      <c r="E237">
        <f t="shared" si="416"/>
        <v>640</v>
      </c>
      <c r="F237">
        <f t="shared" si="416"/>
        <v>480</v>
      </c>
      <c r="G237">
        <f t="shared" si="416"/>
        <v>320</v>
      </c>
      <c r="H237">
        <f t="shared" si="416"/>
        <v>160</v>
      </c>
      <c r="I237">
        <f t="shared" si="416"/>
        <v>300</v>
      </c>
      <c r="J237">
        <f t="shared" si="416"/>
        <v>336</v>
      </c>
      <c r="K237">
        <f t="shared" si="416"/>
        <v>256</v>
      </c>
      <c r="L237">
        <f t="shared" si="416"/>
        <v>96</v>
      </c>
      <c r="M237">
        <f t="shared" si="416"/>
        <v>-64</v>
      </c>
      <c r="N237">
        <f t="shared" si="416"/>
        <v>-64</v>
      </c>
      <c r="O237">
        <f t="shared" si="416"/>
        <v>-64</v>
      </c>
      <c r="P237">
        <f t="shared" si="416"/>
        <v>-64</v>
      </c>
      <c r="Q237">
        <f t="shared" si="416"/>
        <v>-64</v>
      </c>
      <c r="R237">
        <f t="shared" si="416"/>
        <v>-224</v>
      </c>
      <c r="S237">
        <f t="shared" si="416"/>
        <v>-304</v>
      </c>
      <c r="T237">
        <f t="shared" si="416"/>
        <v>-464</v>
      </c>
      <c r="U237">
        <f t="shared" si="416"/>
        <v>-604</v>
      </c>
      <c r="V237">
        <f t="shared" si="416"/>
        <v>-744</v>
      </c>
      <c r="W237">
        <f t="shared" si="416"/>
        <v>-884</v>
      </c>
      <c r="X237">
        <f t="shared" si="416"/>
        <v>-1024</v>
      </c>
      <c r="Y237">
        <f t="shared" si="416"/>
        <v>-1124</v>
      </c>
      <c r="Z237">
        <f t="shared" si="416"/>
        <v>-1224</v>
      </c>
      <c r="AA237">
        <f t="shared" si="416"/>
        <v>-1324</v>
      </c>
      <c r="AB237">
        <f t="shared" si="416"/>
        <v>-1424</v>
      </c>
      <c r="AC237">
        <f t="shared" si="416"/>
        <v>-1574</v>
      </c>
      <c r="AD237">
        <f t="shared" si="416"/>
        <v>-1724</v>
      </c>
      <c r="AE237">
        <f t="shared" si="416"/>
        <v>-1874</v>
      </c>
      <c r="AF237">
        <f t="shared" si="416"/>
        <v>-2024</v>
      </c>
      <c r="AG237">
        <f t="shared" si="416"/>
        <v>-2144</v>
      </c>
      <c r="AH237">
        <f t="shared" si="416"/>
        <v>-2264</v>
      </c>
      <c r="AI237">
        <f t="shared" si="416"/>
        <v>-2384</v>
      </c>
      <c r="AJ237">
        <f t="shared" ref="AJ237:BO237" si="417">AJ231-AJ234</f>
        <v>-2384</v>
      </c>
      <c r="AK237">
        <f t="shared" si="417"/>
        <v>-2384</v>
      </c>
      <c r="AL237">
        <f t="shared" si="417"/>
        <v>-2384</v>
      </c>
      <c r="AM237">
        <f t="shared" si="417"/>
        <v>-2384</v>
      </c>
      <c r="AN237">
        <f t="shared" si="417"/>
        <v>-2482</v>
      </c>
      <c r="AO237">
        <f t="shared" si="417"/>
        <v>-2580</v>
      </c>
      <c r="AP237">
        <f t="shared" si="417"/>
        <v>-2678</v>
      </c>
      <c r="AQ237">
        <f t="shared" si="417"/>
        <v>-2796</v>
      </c>
      <c r="AR237">
        <f t="shared" si="417"/>
        <v>-2914</v>
      </c>
      <c r="AS237">
        <f t="shared" si="417"/>
        <v>-3009</v>
      </c>
      <c r="AT237">
        <f t="shared" si="417"/>
        <v>-3127</v>
      </c>
      <c r="AU237">
        <f t="shared" si="417"/>
        <v>-3239</v>
      </c>
      <c r="AV237">
        <f t="shared" si="417"/>
        <v>-3351</v>
      </c>
      <c r="AW237">
        <f t="shared" si="417"/>
        <v>-3463</v>
      </c>
      <c r="AX237">
        <f t="shared" si="417"/>
        <v>-3575</v>
      </c>
      <c r="AY237">
        <f t="shared" si="417"/>
        <v>-3665</v>
      </c>
      <c r="AZ237">
        <f t="shared" si="417"/>
        <v>-3745</v>
      </c>
      <c r="BA237">
        <f t="shared" si="417"/>
        <v>-3825</v>
      </c>
      <c r="BB237">
        <f t="shared" si="417"/>
        <v>-3905</v>
      </c>
      <c r="BC237">
        <f t="shared" si="417"/>
        <v>-3995</v>
      </c>
      <c r="BD237">
        <f t="shared" si="417"/>
        <v>-4085</v>
      </c>
      <c r="BE237">
        <f t="shared" si="417"/>
        <v>-4175</v>
      </c>
      <c r="BF237">
        <f t="shared" si="417"/>
        <v>-4265</v>
      </c>
      <c r="BG237">
        <f t="shared" si="417"/>
        <v>-4355</v>
      </c>
      <c r="BH237">
        <f t="shared" si="417"/>
        <v>-4445</v>
      </c>
      <c r="BI237">
        <f t="shared" si="417"/>
        <v>-4535</v>
      </c>
      <c r="BJ237">
        <f t="shared" si="417"/>
        <v>-4625</v>
      </c>
      <c r="BK237">
        <f t="shared" si="417"/>
        <v>-4715</v>
      </c>
      <c r="BL237">
        <f t="shared" si="417"/>
        <v>-4805</v>
      </c>
      <c r="BM237">
        <f t="shared" si="417"/>
        <v>-4895</v>
      </c>
      <c r="BN237">
        <f t="shared" si="417"/>
        <v>-5058</v>
      </c>
      <c r="BO237">
        <f t="shared" si="417"/>
        <v>-5058</v>
      </c>
      <c r="BP237">
        <f t="shared" ref="BP237:CC237" si="418">BP231-BP234</f>
        <v>-5058</v>
      </c>
      <c r="BQ237">
        <f t="shared" si="418"/>
        <v>-5058</v>
      </c>
      <c r="BR237">
        <f t="shared" si="418"/>
        <v>-5058</v>
      </c>
      <c r="BS237">
        <f t="shared" si="418"/>
        <v>-5132</v>
      </c>
      <c r="BT237">
        <f t="shared" si="418"/>
        <v>-5206</v>
      </c>
      <c r="BU237">
        <f t="shared" si="418"/>
        <v>-5280</v>
      </c>
      <c r="BV237">
        <f t="shared" si="418"/>
        <v>-5354</v>
      </c>
      <c r="BW237">
        <f t="shared" si="418"/>
        <v>-5428</v>
      </c>
      <c r="BX237">
        <f t="shared" si="418"/>
        <v>-5502</v>
      </c>
      <c r="BY237">
        <f t="shared" si="418"/>
        <v>-5576</v>
      </c>
      <c r="BZ237">
        <f t="shared" si="418"/>
        <v>-5650</v>
      </c>
      <c r="CA237">
        <f t="shared" si="418"/>
        <v>-5724</v>
      </c>
      <c r="CB237">
        <f t="shared" si="418"/>
        <v>-5798</v>
      </c>
      <c r="CC237">
        <f t="shared" si="418"/>
        <v>-5872</v>
      </c>
    </row>
    <row r="238" spans="1:81" x14ac:dyDescent="0.2">
      <c r="A238" s="43" t="s">
        <v>321</v>
      </c>
      <c r="B238" s="44" t="s">
        <v>208</v>
      </c>
      <c r="C238" s="9" t="s">
        <v>38</v>
      </c>
      <c r="D238" s="58">
        <f>IFERROR(VLOOKUP(A238,OS!$A:$B,2,0),0)</f>
        <v>220</v>
      </c>
      <c r="E238" s="5">
        <f>(D238+D239-D241)</f>
        <v>220</v>
      </c>
      <c r="F238" s="5">
        <f>(E238+E239-E241)</f>
        <v>220</v>
      </c>
      <c r="G238" s="5">
        <f>(F238+F239-F241)</f>
        <v>220</v>
      </c>
      <c r="H238" s="5">
        <f>(G238+G239-G241)</f>
        <v>220</v>
      </c>
      <c r="I238" s="5">
        <f t="shared" ref="I238:AN238" si="419">(H238+H239-H241+D240)</f>
        <v>220</v>
      </c>
      <c r="J238" s="5">
        <f t="shared" si="419"/>
        <v>140</v>
      </c>
      <c r="K238" s="5">
        <f t="shared" si="419"/>
        <v>140</v>
      </c>
      <c r="L238" s="5">
        <f t="shared" si="419"/>
        <v>140</v>
      </c>
      <c r="M238" s="5">
        <f t="shared" si="419"/>
        <v>140</v>
      </c>
      <c r="N238" s="5">
        <f t="shared" si="419"/>
        <v>60</v>
      </c>
      <c r="O238" s="5">
        <f t="shared" si="419"/>
        <v>60</v>
      </c>
      <c r="P238" s="5">
        <f t="shared" si="419"/>
        <v>60</v>
      </c>
      <c r="Q238" s="5">
        <f t="shared" si="419"/>
        <v>60</v>
      </c>
      <c r="R238" s="5">
        <f t="shared" si="419"/>
        <v>60</v>
      </c>
      <c r="S238" s="5">
        <f t="shared" si="419"/>
        <v>60</v>
      </c>
      <c r="T238" s="5">
        <f t="shared" si="419"/>
        <v>60</v>
      </c>
      <c r="U238" s="5">
        <f t="shared" si="419"/>
        <v>60</v>
      </c>
      <c r="V238" s="5">
        <f t="shared" si="419"/>
        <v>60</v>
      </c>
      <c r="W238" s="5">
        <f t="shared" si="419"/>
        <v>60</v>
      </c>
      <c r="X238" s="5">
        <f t="shared" si="419"/>
        <v>60</v>
      </c>
      <c r="Y238" s="5">
        <f t="shared" si="419"/>
        <v>60</v>
      </c>
      <c r="Z238" s="5">
        <f t="shared" si="419"/>
        <v>60</v>
      </c>
      <c r="AA238" s="5">
        <f t="shared" si="419"/>
        <v>60</v>
      </c>
      <c r="AB238" s="5">
        <f t="shared" si="419"/>
        <v>60</v>
      </c>
      <c r="AC238" s="5">
        <f t="shared" si="419"/>
        <v>60</v>
      </c>
      <c r="AD238" s="5">
        <f t="shared" si="419"/>
        <v>60</v>
      </c>
      <c r="AE238" s="5">
        <f t="shared" si="419"/>
        <v>60</v>
      </c>
      <c r="AF238" s="5">
        <f t="shared" si="419"/>
        <v>60</v>
      </c>
      <c r="AG238" s="5">
        <f t="shared" si="419"/>
        <v>60</v>
      </c>
      <c r="AH238" s="5">
        <f t="shared" si="419"/>
        <v>60</v>
      </c>
      <c r="AI238" s="5">
        <f t="shared" si="419"/>
        <v>60</v>
      </c>
      <c r="AJ238" s="5">
        <f t="shared" si="419"/>
        <v>60</v>
      </c>
      <c r="AK238" s="5">
        <f t="shared" si="419"/>
        <v>60</v>
      </c>
      <c r="AL238" s="5">
        <f t="shared" si="419"/>
        <v>60</v>
      </c>
      <c r="AM238" s="5">
        <f t="shared" si="419"/>
        <v>60</v>
      </c>
      <c r="AN238" s="5">
        <f t="shared" si="419"/>
        <v>60</v>
      </c>
      <c r="AO238" s="5">
        <f t="shared" ref="AO238:BT238" si="420">(AN238+AN239-AN241+AJ240)</f>
        <v>55</v>
      </c>
      <c r="AP238" s="5">
        <f t="shared" si="420"/>
        <v>50</v>
      </c>
      <c r="AQ238" s="5">
        <f t="shared" si="420"/>
        <v>45</v>
      </c>
      <c r="AR238" s="5">
        <f t="shared" si="420"/>
        <v>39</v>
      </c>
      <c r="AS238" s="5">
        <f t="shared" si="420"/>
        <v>33</v>
      </c>
      <c r="AT238" s="5">
        <f t="shared" si="420"/>
        <v>28</v>
      </c>
      <c r="AU238" s="5">
        <f t="shared" si="420"/>
        <v>22</v>
      </c>
      <c r="AV238" s="5">
        <f t="shared" si="420"/>
        <v>17</v>
      </c>
      <c r="AW238" s="5">
        <f t="shared" si="420"/>
        <v>12</v>
      </c>
      <c r="AX238" s="5">
        <f t="shared" si="420"/>
        <v>7</v>
      </c>
      <c r="AY238" s="5">
        <f t="shared" si="420"/>
        <v>2</v>
      </c>
      <c r="AZ238" s="5">
        <f t="shared" si="420"/>
        <v>-2</v>
      </c>
      <c r="BA238" s="5">
        <f t="shared" si="420"/>
        <v>-6</v>
      </c>
      <c r="BB238" s="5">
        <f t="shared" si="420"/>
        <v>-10</v>
      </c>
      <c r="BC238" s="5">
        <f t="shared" si="420"/>
        <v>-14</v>
      </c>
      <c r="BD238" s="5">
        <f t="shared" si="420"/>
        <v>-18</v>
      </c>
      <c r="BE238" s="5">
        <f t="shared" si="420"/>
        <v>-22</v>
      </c>
      <c r="BF238" s="5">
        <f t="shared" si="420"/>
        <v>-26</v>
      </c>
      <c r="BG238" s="5">
        <f t="shared" si="420"/>
        <v>-30</v>
      </c>
      <c r="BH238" s="5">
        <f t="shared" si="420"/>
        <v>-34</v>
      </c>
      <c r="BI238" s="5">
        <f t="shared" si="420"/>
        <v>-38</v>
      </c>
      <c r="BJ238" s="5">
        <f t="shared" si="420"/>
        <v>-42</v>
      </c>
      <c r="BK238" s="5">
        <f t="shared" si="420"/>
        <v>-46</v>
      </c>
      <c r="BL238" s="5">
        <f t="shared" si="420"/>
        <v>-50</v>
      </c>
      <c r="BM238" s="5">
        <f t="shared" si="420"/>
        <v>-54</v>
      </c>
      <c r="BN238" s="5">
        <f t="shared" si="420"/>
        <v>-58</v>
      </c>
      <c r="BO238" s="5">
        <f t="shared" si="420"/>
        <v>-66</v>
      </c>
      <c r="BP238" s="5">
        <f t="shared" si="420"/>
        <v>-66</v>
      </c>
      <c r="BQ238" s="5">
        <f t="shared" si="420"/>
        <v>-66</v>
      </c>
      <c r="BR238" s="5">
        <f t="shared" si="420"/>
        <v>-66</v>
      </c>
      <c r="BS238" s="5">
        <f t="shared" si="420"/>
        <v>-66</v>
      </c>
      <c r="BT238" s="5">
        <f t="shared" si="420"/>
        <v>-70</v>
      </c>
      <c r="BU238" s="5">
        <f t="shared" ref="BU238:CC238" si="421">(BT238+BT239-BT241+BP240)</f>
        <v>-74</v>
      </c>
      <c r="BV238" s="5">
        <f t="shared" si="421"/>
        <v>-78</v>
      </c>
      <c r="BW238" s="5">
        <f t="shared" si="421"/>
        <v>-82</v>
      </c>
      <c r="BX238" s="5">
        <f t="shared" si="421"/>
        <v>-86</v>
      </c>
      <c r="BY238" s="5">
        <f t="shared" si="421"/>
        <v>-90</v>
      </c>
      <c r="BZ238" s="5">
        <f t="shared" si="421"/>
        <v>-94</v>
      </c>
      <c r="CA238" s="5">
        <f t="shared" si="421"/>
        <v>-98</v>
      </c>
      <c r="CB238" s="5">
        <f t="shared" si="421"/>
        <v>-102</v>
      </c>
      <c r="CC238" s="5">
        <f t="shared" si="421"/>
        <v>-106</v>
      </c>
    </row>
    <row r="239" spans="1:81" x14ac:dyDescent="0.2">
      <c r="A239" s="5" t="s">
        <v>209</v>
      </c>
      <c r="B239" s="5">
        <v>12.597110000000001</v>
      </c>
      <c r="C239" s="45" t="s">
        <v>39</v>
      </c>
      <c r="D239" s="59">
        <f>IFERROR(VLOOKUP(A238,WIP!$A:$B,2,0),0)</f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</row>
    <row r="240" spans="1:81" x14ac:dyDescent="0.2">
      <c r="A240" s="5" t="s">
        <v>210</v>
      </c>
      <c r="B240" s="5">
        <v>0.33300000000000002</v>
      </c>
      <c r="C240" s="9" t="s">
        <v>211</v>
      </c>
      <c r="D240" s="60">
        <f>IFERROR(VLOOKUP($A238,Plan!$A:B,D$4,0),0)</f>
        <v>0</v>
      </c>
      <c r="E240" s="60">
        <f>IFERROR(VLOOKUP($A238,Plan!$A:C,E$4,0),0)</f>
        <v>0</v>
      </c>
      <c r="F240" s="60">
        <f>IFERROR(VLOOKUP($A238,Plan!$A:D,F$4,0),0)</f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</row>
    <row r="241" spans="1:81" x14ac:dyDescent="0.2">
      <c r="A241" s="5" t="s">
        <v>212</v>
      </c>
      <c r="B241" s="5">
        <v>7.6999999999999999E-2</v>
      </c>
      <c r="C241" s="9" t="s">
        <v>213</v>
      </c>
      <c r="D241" s="61">
        <f>IFERROR(VLOOKUP($A238,Sales!$A:B,D$2,0),0)</f>
        <v>0</v>
      </c>
      <c r="E241" s="61">
        <f>IFERROR(VLOOKUP($A238,Sales!$A:C,E$2,0),0)</f>
        <v>0</v>
      </c>
      <c r="F241" s="61">
        <f>IFERROR(VLOOKUP($A238,Sales!$A:D,F$2,0),0)</f>
        <v>0</v>
      </c>
      <c r="G241" s="61">
        <f>IFERROR(VLOOKUP($A238,Sales!$A:E,G$2,0),0)</f>
        <v>0</v>
      </c>
      <c r="H241" s="61">
        <f>IFERROR(VLOOKUP($A238,Sales!$A:F,H$2,0),0)</f>
        <v>0</v>
      </c>
      <c r="I241" s="61">
        <f>IFERROR(VLOOKUP($A238,Sales!$A:G,I$2,0),0)</f>
        <v>80</v>
      </c>
      <c r="J241" s="61">
        <f>IFERROR(VLOOKUP($A238,Sales!$A:H,J$2,0),0)</f>
        <v>0</v>
      </c>
      <c r="K241" s="61">
        <f>IFERROR(VLOOKUP($A238,Sales!$A:I,K$2,0),0)</f>
        <v>0</v>
      </c>
      <c r="L241" s="61">
        <f>IFERROR(VLOOKUP($A238,Sales!$A:J,L$2,0),0)</f>
        <v>0</v>
      </c>
      <c r="M241" s="61">
        <f>IFERROR(VLOOKUP($A238,Sales!$A:K,M$2,0),0)</f>
        <v>80</v>
      </c>
      <c r="N241" s="61">
        <f>IFERROR(VLOOKUP($A238,Sales!$A:L,N$2,0),0)</f>
        <v>0</v>
      </c>
      <c r="O241" s="61">
        <f>IFERROR(VLOOKUP($A238,Sales!$A:M,O$2,0),0)</f>
        <v>0</v>
      </c>
      <c r="P241" s="61">
        <f>IFERROR(VLOOKUP($A238,Sales!$A:N,P$2,0),0)</f>
        <v>0</v>
      </c>
      <c r="Q241" s="61">
        <f>IFERROR(VLOOKUP($A238,Sales!$A:O,Q$2,0),0)</f>
        <v>0</v>
      </c>
      <c r="R241" s="61">
        <f>IFERROR(VLOOKUP($A238,Sales!$A:P,R$2,0),0)</f>
        <v>0</v>
      </c>
      <c r="S241" s="61">
        <f>IFERROR(VLOOKUP($A238,Sales!$A:Q,S$2,0),0)</f>
        <v>0</v>
      </c>
      <c r="T241" s="61">
        <f>IFERROR(VLOOKUP($A238,Sales!$A:R,T$2,0),0)</f>
        <v>0</v>
      </c>
      <c r="U241" s="61">
        <f>IFERROR(VLOOKUP($A238,Sales!$A:S,U$2,0),0)</f>
        <v>0</v>
      </c>
      <c r="V241" s="61">
        <f>IFERROR(VLOOKUP($A238,Sales!$A:T,V$2,0),0)</f>
        <v>0</v>
      </c>
      <c r="W241" s="61">
        <f>IFERROR(VLOOKUP($A238,Sales!$A:U,W$2,0),0)</f>
        <v>0</v>
      </c>
      <c r="X241" s="61">
        <f>IFERROR(VLOOKUP($A238,Sales!$A:V,X$2,0),0)</f>
        <v>0</v>
      </c>
      <c r="Y241" s="61">
        <f>IFERROR(VLOOKUP($A238,Sales!$A:W,Y$2,0),0)</f>
        <v>0</v>
      </c>
      <c r="Z241" s="61">
        <f>IFERROR(VLOOKUP($A238,Sales!$A:X,Z$2,0),0)</f>
        <v>0</v>
      </c>
      <c r="AA241" s="61">
        <f>IFERROR(VLOOKUP($A238,Sales!$A:Y,AA$2,0),0)</f>
        <v>0</v>
      </c>
      <c r="AB241" s="61">
        <f>IFERROR(VLOOKUP($A238,Sales!$A:Z,AB$2,0),0)</f>
        <v>0</v>
      </c>
      <c r="AC241" s="61">
        <f>IFERROR(VLOOKUP($A238,Sales!$A:AA,AC$2,0),0)</f>
        <v>0</v>
      </c>
      <c r="AD241" s="61">
        <f>IFERROR(VLOOKUP($A238,Sales!$A:AB,AD$2,0),0)</f>
        <v>0</v>
      </c>
      <c r="AE241" s="61">
        <f>IFERROR(VLOOKUP($A238,Sales!$A:AC,AE$2,0),0)</f>
        <v>0</v>
      </c>
      <c r="AF241" s="61">
        <f>IFERROR(VLOOKUP($A238,Sales!$A:AD,AF$2,0),0)</f>
        <v>0</v>
      </c>
      <c r="AG241" s="61">
        <f>IFERROR(VLOOKUP($A238,Sales!$A:AE,AG$2,0),0)</f>
        <v>0</v>
      </c>
      <c r="AH241" s="61">
        <f>IFERROR(VLOOKUP($A238,Sales!$A:AF,AH$2,0),0)</f>
        <v>0</v>
      </c>
      <c r="AI241" s="61">
        <f>IFERROR(VLOOKUP($A238,Sales!$A:AG,AI$2,0),0)</f>
        <v>0</v>
      </c>
      <c r="AJ241" s="61">
        <f>IFERROR(VLOOKUP($A238,Sales!$A:AH,AJ$2,0),0)</f>
        <v>0</v>
      </c>
      <c r="AK241" s="74">
        <f t="shared" ref="AK241:CC241" si="422">CEILING(AK$5*$B237,1)</f>
        <v>0</v>
      </c>
      <c r="AL241" s="74">
        <f t="shared" si="422"/>
        <v>0</v>
      </c>
      <c r="AM241" s="74">
        <f t="shared" si="422"/>
        <v>0</v>
      </c>
      <c r="AN241" s="74">
        <f t="shared" si="422"/>
        <v>5</v>
      </c>
      <c r="AO241" s="74">
        <f t="shared" si="422"/>
        <v>5</v>
      </c>
      <c r="AP241" s="74">
        <f t="shared" si="422"/>
        <v>5</v>
      </c>
      <c r="AQ241" s="74">
        <f t="shared" si="422"/>
        <v>6</v>
      </c>
      <c r="AR241" s="74">
        <f t="shared" si="422"/>
        <v>6</v>
      </c>
      <c r="AS241" s="74">
        <f t="shared" si="422"/>
        <v>5</v>
      </c>
      <c r="AT241" s="74">
        <f t="shared" si="422"/>
        <v>6</v>
      </c>
      <c r="AU241" s="74">
        <f t="shared" si="422"/>
        <v>5</v>
      </c>
      <c r="AV241" s="74">
        <f t="shared" si="422"/>
        <v>5</v>
      </c>
      <c r="AW241" s="74">
        <f t="shared" si="422"/>
        <v>5</v>
      </c>
      <c r="AX241" s="74">
        <f t="shared" si="422"/>
        <v>5</v>
      </c>
      <c r="AY241" s="74">
        <f t="shared" si="422"/>
        <v>4</v>
      </c>
      <c r="AZ241" s="74">
        <f t="shared" si="422"/>
        <v>4</v>
      </c>
      <c r="BA241" s="74">
        <f t="shared" si="422"/>
        <v>4</v>
      </c>
      <c r="BB241" s="74">
        <f t="shared" si="422"/>
        <v>4</v>
      </c>
      <c r="BC241" s="74">
        <f t="shared" si="422"/>
        <v>4</v>
      </c>
      <c r="BD241" s="74">
        <f t="shared" si="422"/>
        <v>4</v>
      </c>
      <c r="BE241" s="74">
        <f t="shared" si="422"/>
        <v>4</v>
      </c>
      <c r="BF241" s="74">
        <f t="shared" si="422"/>
        <v>4</v>
      </c>
      <c r="BG241" s="74">
        <f t="shared" si="422"/>
        <v>4</v>
      </c>
      <c r="BH241" s="74">
        <f t="shared" si="422"/>
        <v>4</v>
      </c>
      <c r="BI241" s="74">
        <f t="shared" si="422"/>
        <v>4</v>
      </c>
      <c r="BJ241" s="74">
        <f t="shared" si="422"/>
        <v>4</v>
      </c>
      <c r="BK241" s="74">
        <f t="shared" si="422"/>
        <v>4</v>
      </c>
      <c r="BL241" s="74">
        <f t="shared" si="422"/>
        <v>4</v>
      </c>
      <c r="BM241" s="74">
        <f t="shared" si="422"/>
        <v>4</v>
      </c>
      <c r="BN241" s="74">
        <f t="shared" si="422"/>
        <v>8</v>
      </c>
      <c r="BO241" s="74">
        <f t="shared" si="422"/>
        <v>0</v>
      </c>
      <c r="BP241" s="74">
        <f t="shared" si="422"/>
        <v>0</v>
      </c>
      <c r="BQ241" s="74">
        <f t="shared" si="422"/>
        <v>0</v>
      </c>
      <c r="BR241" s="74">
        <f t="shared" si="422"/>
        <v>0</v>
      </c>
      <c r="BS241" s="74">
        <f t="shared" si="422"/>
        <v>4</v>
      </c>
      <c r="BT241" s="74">
        <f t="shared" si="422"/>
        <v>4</v>
      </c>
      <c r="BU241" s="74">
        <f t="shared" si="422"/>
        <v>4</v>
      </c>
      <c r="BV241" s="74">
        <f t="shared" si="422"/>
        <v>4</v>
      </c>
      <c r="BW241" s="74">
        <f t="shared" si="422"/>
        <v>4</v>
      </c>
      <c r="BX241" s="74">
        <f t="shared" si="422"/>
        <v>4</v>
      </c>
      <c r="BY241" s="74">
        <f t="shared" si="422"/>
        <v>4</v>
      </c>
      <c r="BZ241" s="74">
        <f t="shared" si="422"/>
        <v>4</v>
      </c>
      <c r="CA241" s="74">
        <f t="shared" si="422"/>
        <v>4</v>
      </c>
      <c r="CB241" s="74">
        <f t="shared" si="422"/>
        <v>4</v>
      </c>
      <c r="CC241" s="74">
        <f t="shared" si="422"/>
        <v>4</v>
      </c>
    </row>
    <row r="242" spans="1:81" x14ac:dyDescent="0.2">
      <c r="A242" s="5" t="s">
        <v>214</v>
      </c>
      <c r="B242" s="5">
        <v>0.41</v>
      </c>
      <c r="C242" s="46" t="s">
        <v>215</v>
      </c>
      <c r="D242" s="11">
        <f t="shared" ref="D242:AI242" si="423">IF(D241=0,0, ROUND(D238 * 1/D241* D$13,1))</f>
        <v>0</v>
      </c>
      <c r="E242" s="11">
        <f t="shared" si="423"/>
        <v>0</v>
      </c>
      <c r="F242" s="11">
        <f t="shared" si="423"/>
        <v>0</v>
      </c>
      <c r="G242" s="11">
        <f t="shared" si="423"/>
        <v>0</v>
      </c>
      <c r="H242" s="11">
        <f t="shared" si="423"/>
        <v>0</v>
      </c>
      <c r="I242" s="11">
        <f t="shared" si="423"/>
        <v>13.8</v>
      </c>
      <c r="J242" s="11">
        <f t="shared" si="423"/>
        <v>0</v>
      </c>
      <c r="K242" s="11">
        <f t="shared" si="423"/>
        <v>0</v>
      </c>
      <c r="L242" s="11">
        <f t="shared" si="423"/>
        <v>0</v>
      </c>
      <c r="M242" s="11">
        <f t="shared" si="423"/>
        <v>8.8000000000000007</v>
      </c>
      <c r="N242" s="11">
        <f t="shared" si="423"/>
        <v>0</v>
      </c>
      <c r="O242" s="11">
        <f t="shared" si="423"/>
        <v>0</v>
      </c>
      <c r="P242" s="11">
        <f t="shared" si="423"/>
        <v>0</v>
      </c>
      <c r="Q242" s="11">
        <f t="shared" si="423"/>
        <v>0</v>
      </c>
      <c r="R242" s="11">
        <f t="shared" si="423"/>
        <v>0</v>
      </c>
      <c r="S242" s="11">
        <f t="shared" si="423"/>
        <v>0</v>
      </c>
      <c r="T242" s="11">
        <f t="shared" si="423"/>
        <v>0</v>
      </c>
      <c r="U242" s="11">
        <f t="shared" si="423"/>
        <v>0</v>
      </c>
      <c r="V242" s="11">
        <f t="shared" si="423"/>
        <v>0</v>
      </c>
      <c r="W242" s="11">
        <f t="shared" si="423"/>
        <v>0</v>
      </c>
      <c r="X242" s="11">
        <f t="shared" si="423"/>
        <v>0</v>
      </c>
      <c r="Y242" s="11">
        <f t="shared" si="423"/>
        <v>0</v>
      </c>
      <c r="Z242" s="11">
        <f t="shared" si="423"/>
        <v>0</v>
      </c>
      <c r="AA242" s="11">
        <f t="shared" si="423"/>
        <v>0</v>
      </c>
      <c r="AB242" s="11">
        <f t="shared" si="423"/>
        <v>0</v>
      </c>
      <c r="AC242" s="11">
        <f t="shared" si="423"/>
        <v>0</v>
      </c>
      <c r="AD242" s="11">
        <f t="shared" si="423"/>
        <v>0</v>
      </c>
      <c r="AE242" s="11">
        <f t="shared" si="423"/>
        <v>0</v>
      </c>
      <c r="AF242" s="11">
        <f t="shared" si="423"/>
        <v>0</v>
      </c>
      <c r="AG242" s="11">
        <f t="shared" si="423"/>
        <v>0</v>
      </c>
      <c r="AH242" s="11">
        <f t="shared" si="423"/>
        <v>0</v>
      </c>
      <c r="AI242" s="11">
        <f t="shared" si="423"/>
        <v>0</v>
      </c>
      <c r="AJ242" s="11">
        <f t="shared" ref="AJ242:BO242" si="424">IF(AJ241=0,0, ROUND(AJ238 * 1/AJ241* AJ$13,1))</f>
        <v>0</v>
      </c>
      <c r="AK242" s="11">
        <f t="shared" si="424"/>
        <v>0</v>
      </c>
      <c r="AL242" s="11">
        <f t="shared" si="424"/>
        <v>0</v>
      </c>
      <c r="AM242" s="11">
        <f t="shared" si="424"/>
        <v>0</v>
      </c>
      <c r="AN242" s="11">
        <f t="shared" si="424"/>
        <v>60</v>
      </c>
      <c r="AO242" s="11">
        <f t="shared" si="424"/>
        <v>55</v>
      </c>
      <c r="AP242" s="11">
        <f t="shared" si="424"/>
        <v>50</v>
      </c>
      <c r="AQ242" s="11">
        <f t="shared" si="424"/>
        <v>37.5</v>
      </c>
      <c r="AR242" s="11">
        <f t="shared" si="424"/>
        <v>32.5</v>
      </c>
      <c r="AS242" s="11">
        <f t="shared" si="424"/>
        <v>33</v>
      </c>
      <c r="AT242" s="11">
        <f t="shared" si="424"/>
        <v>23.3</v>
      </c>
      <c r="AU242" s="11">
        <f t="shared" si="424"/>
        <v>22</v>
      </c>
      <c r="AV242" s="11">
        <f t="shared" si="424"/>
        <v>17</v>
      </c>
      <c r="AW242" s="11">
        <f t="shared" si="424"/>
        <v>12</v>
      </c>
      <c r="AX242" s="11">
        <f t="shared" si="424"/>
        <v>7</v>
      </c>
      <c r="AY242" s="11">
        <f t="shared" si="424"/>
        <v>2.5</v>
      </c>
      <c r="AZ242" s="11">
        <f t="shared" si="424"/>
        <v>-2.5</v>
      </c>
      <c r="BA242" s="11">
        <f t="shared" si="424"/>
        <v>-7.5</v>
      </c>
      <c r="BB242" s="11">
        <f t="shared" si="424"/>
        <v>-12.5</v>
      </c>
      <c r="BC242" s="11">
        <f t="shared" si="424"/>
        <v>-17.5</v>
      </c>
      <c r="BD242" s="11">
        <f t="shared" si="424"/>
        <v>-22.5</v>
      </c>
      <c r="BE242" s="11">
        <f t="shared" si="424"/>
        <v>-27.5</v>
      </c>
      <c r="BF242" s="11">
        <f t="shared" si="424"/>
        <v>-32.5</v>
      </c>
      <c r="BG242" s="11">
        <f t="shared" si="424"/>
        <v>-37.5</v>
      </c>
      <c r="BH242" s="11">
        <f t="shared" si="424"/>
        <v>-42.5</v>
      </c>
      <c r="BI242" s="11">
        <f t="shared" si="424"/>
        <v>-47.5</v>
      </c>
      <c r="BJ242" s="11">
        <f t="shared" si="424"/>
        <v>-52.5</v>
      </c>
      <c r="BK242" s="11">
        <f t="shared" si="424"/>
        <v>-57.5</v>
      </c>
      <c r="BL242" s="11">
        <f t="shared" si="424"/>
        <v>-62.5</v>
      </c>
      <c r="BM242" s="11">
        <f t="shared" si="424"/>
        <v>-67.5</v>
      </c>
      <c r="BN242" s="11">
        <f t="shared" si="424"/>
        <v>-36.299999999999997</v>
      </c>
      <c r="BO242" s="11">
        <f t="shared" si="424"/>
        <v>0</v>
      </c>
      <c r="BP242" s="11">
        <f t="shared" ref="BP242:CC242" si="425">IF(BP241=0,0, ROUND(BP238 * 1/BP241* BP$13,1))</f>
        <v>0</v>
      </c>
      <c r="BQ242" s="11">
        <f t="shared" si="425"/>
        <v>0</v>
      </c>
      <c r="BR242" s="11">
        <f t="shared" si="425"/>
        <v>0</v>
      </c>
      <c r="BS242" s="11">
        <f t="shared" si="425"/>
        <v>-82.5</v>
      </c>
      <c r="BT242" s="11">
        <f t="shared" si="425"/>
        <v>-87.5</v>
      </c>
      <c r="BU242" s="11">
        <f t="shared" si="425"/>
        <v>-92.5</v>
      </c>
      <c r="BV242" s="11">
        <f t="shared" si="425"/>
        <v>-97.5</v>
      </c>
      <c r="BW242" s="11">
        <f t="shared" si="425"/>
        <v>-102.5</v>
      </c>
      <c r="BX242" s="11">
        <f t="shared" si="425"/>
        <v>-107.5</v>
      </c>
      <c r="BY242" s="11">
        <f t="shared" si="425"/>
        <v>-112.5</v>
      </c>
      <c r="BZ242" s="11">
        <f t="shared" si="425"/>
        <v>-117.5</v>
      </c>
      <c r="CA242" s="11">
        <f t="shared" si="425"/>
        <v>-122.5</v>
      </c>
      <c r="CB242" s="11">
        <f t="shared" si="425"/>
        <v>-127.5</v>
      </c>
      <c r="CC242" s="11">
        <f t="shared" si="425"/>
        <v>-132.5</v>
      </c>
    </row>
    <row r="243" spans="1:81" x14ac:dyDescent="0.2">
      <c r="A243">
        <v>41</v>
      </c>
      <c r="B243">
        <v>1</v>
      </c>
      <c r="C243" s="8">
        <v>9.7328299999999999</v>
      </c>
      <c r="D243">
        <f t="shared" ref="D243:AI243" si="426">D240/$B243</f>
        <v>0</v>
      </c>
      <c r="E243">
        <f t="shared" si="426"/>
        <v>0</v>
      </c>
      <c r="F243">
        <f t="shared" si="426"/>
        <v>0</v>
      </c>
      <c r="G243">
        <f t="shared" si="426"/>
        <v>0</v>
      </c>
      <c r="H243">
        <f t="shared" si="426"/>
        <v>0</v>
      </c>
      <c r="I243">
        <f t="shared" si="426"/>
        <v>0</v>
      </c>
      <c r="J243">
        <f t="shared" si="426"/>
        <v>0</v>
      </c>
      <c r="K243">
        <f t="shared" si="426"/>
        <v>0</v>
      </c>
      <c r="L243">
        <f t="shared" si="426"/>
        <v>0</v>
      </c>
      <c r="M243">
        <f t="shared" si="426"/>
        <v>0</v>
      </c>
      <c r="N243">
        <f t="shared" si="426"/>
        <v>0</v>
      </c>
      <c r="O243">
        <f t="shared" si="426"/>
        <v>0</v>
      </c>
      <c r="P243">
        <f t="shared" si="426"/>
        <v>0</v>
      </c>
      <c r="Q243">
        <f t="shared" si="426"/>
        <v>0</v>
      </c>
      <c r="R243">
        <f t="shared" si="426"/>
        <v>0</v>
      </c>
      <c r="S243">
        <f t="shared" si="426"/>
        <v>0</v>
      </c>
      <c r="T243">
        <f t="shared" si="426"/>
        <v>0</v>
      </c>
      <c r="U243">
        <f t="shared" si="426"/>
        <v>0</v>
      </c>
      <c r="V243">
        <f t="shared" si="426"/>
        <v>0</v>
      </c>
      <c r="W243">
        <f t="shared" si="426"/>
        <v>0</v>
      </c>
      <c r="X243">
        <f t="shared" si="426"/>
        <v>0</v>
      </c>
      <c r="Y243">
        <f t="shared" si="426"/>
        <v>0</v>
      </c>
      <c r="Z243">
        <f t="shared" si="426"/>
        <v>0</v>
      </c>
      <c r="AA243">
        <f t="shared" si="426"/>
        <v>0</v>
      </c>
      <c r="AB243">
        <f t="shared" si="426"/>
        <v>0</v>
      </c>
      <c r="AC243">
        <f t="shared" si="426"/>
        <v>0</v>
      </c>
      <c r="AD243">
        <f t="shared" si="426"/>
        <v>0</v>
      </c>
      <c r="AE243">
        <f t="shared" si="426"/>
        <v>0</v>
      </c>
      <c r="AF243">
        <f t="shared" si="426"/>
        <v>0</v>
      </c>
      <c r="AG243">
        <f t="shared" si="426"/>
        <v>0</v>
      </c>
      <c r="AH243">
        <f t="shared" si="426"/>
        <v>0</v>
      </c>
      <c r="AI243">
        <f t="shared" si="426"/>
        <v>0</v>
      </c>
      <c r="AJ243">
        <f t="shared" ref="AJ243:BO243" si="427">AJ240/$B243</f>
        <v>0</v>
      </c>
      <c r="AK243">
        <f t="shared" si="427"/>
        <v>0</v>
      </c>
      <c r="AL243">
        <f t="shared" si="427"/>
        <v>0</v>
      </c>
      <c r="AM243">
        <f t="shared" si="427"/>
        <v>0</v>
      </c>
      <c r="AN243">
        <f t="shared" si="427"/>
        <v>0</v>
      </c>
      <c r="AO243">
        <f t="shared" si="427"/>
        <v>0</v>
      </c>
      <c r="AP243">
        <f t="shared" si="427"/>
        <v>0</v>
      </c>
      <c r="AQ243">
        <f t="shared" si="427"/>
        <v>0</v>
      </c>
      <c r="AR243">
        <f t="shared" si="427"/>
        <v>0</v>
      </c>
      <c r="AS243">
        <f t="shared" si="427"/>
        <v>0</v>
      </c>
      <c r="AT243">
        <f t="shared" si="427"/>
        <v>0</v>
      </c>
      <c r="AU243">
        <f t="shared" si="427"/>
        <v>0</v>
      </c>
      <c r="AV243">
        <f t="shared" si="427"/>
        <v>0</v>
      </c>
      <c r="AW243">
        <f t="shared" si="427"/>
        <v>0</v>
      </c>
      <c r="AX243">
        <f t="shared" si="427"/>
        <v>0</v>
      </c>
      <c r="AY243">
        <f t="shared" si="427"/>
        <v>0</v>
      </c>
      <c r="AZ243">
        <f t="shared" si="427"/>
        <v>0</v>
      </c>
      <c r="BA243">
        <f t="shared" si="427"/>
        <v>0</v>
      </c>
      <c r="BB243">
        <f t="shared" si="427"/>
        <v>0</v>
      </c>
      <c r="BC243">
        <f t="shared" si="427"/>
        <v>0</v>
      </c>
      <c r="BD243">
        <f t="shared" si="427"/>
        <v>0</v>
      </c>
      <c r="BE243">
        <f t="shared" si="427"/>
        <v>0</v>
      </c>
      <c r="BF243">
        <f t="shared" si="427"/>
        <v>0</v>
      </c>
      <c r="BG243">
        <f t="shared" si="427"/>
        <v>0</v>
      </c>
      <c r="BH243">
        <f t="shared" si="427"/>
        <v>0</v>
      </c>
      <c r="BI243">
        <f t="shared" si="427"/>
        <v>0</v>
      </c>
      <c r="BJ243">
        <f t="shared" si="427"/>
        <v>0</v>
      </c>
      <c r="BK243">
        <f t="shared" si="427"/>
        <v>0</v>
      </c>
      <c r="BL243">
        <f t="shared" si="427"/>
        <v>0</v>
      </c>
      <c r="BM243">
        <f t="shared" si="427"/>
        <v>0</v>
      </c>
      <c r="BN243">
        <f t="shared" si="427"/>
        <v>0</v>
      </c>
      <c r="BO243">
        <f t="shared" si="427"/>
        <v>0</v>
      </c>
      <c r="BP243">
        <f t="shared" ref="BP243:CC243" si="428">BP240/$B243</f>
        <v>0</v>
      </c>
      <c r="BQ243">
        <f t="shared" si="428"/>
        <v>0</v>
      </c>
      <c r="BR243">
        <f t="shared" si="428"/>
        <v>0</v>
      </c>
      <c r="BS243">
        <f t="shared" si="428"/>
        <v>0</v>
      </c>
      <c r="BT243">
        <f t="shared" si="428"/>
        <v>0</v>
      </c>
      <c r="BU243">
        <f t="shared" si="428"/>
        <v>0</v>
      </c>
      <c r="BV243">
        <f t="shared" si="428"/>
        <v>0</v>
      </c>
      <c r="BW243">
        <f t="shared" si="428"/>
        <v>0</v>
      </c>
      <c r="BX243">
        <f t="shared" si="428"/>
        <v>0</v>
      </c>
      <c r="BY243">
        <f t="shared" si="428"/>
        <v>0</v>
      </c>
      <c r="BZ243">
        <f t="shared" si="428"/>
        <v>0</v>
      </c>
      <c r="CA243">
        <f t="shared" si="428"/>
        <v>0</v>
      </c>
      <c r="CB243">
        <f t="shared" si="428"/>
        <v>0</v>
      </c>
      <c r="CC243">
        <f t="shared" si="428"/>
        <v>0</v>
      </c>
    </row>
    <row r="244" spans="1:81" x14ac:dyDescent="0.2">
      <c r="B244" s="67">
        <f>SUM(D248:AJ248)/SUM($D$263:$AJ$263)</f>
        <v>0</v>
      </c>
      <c r="C244" s="9" t="s">
        <v>216</v>
      </c>
      <c r="D244">
        <f t="shared" ref="D244:AI244" si="429">D238-D241</f>
        <v>220</v>
      </c>
      <c r="E244">
        <f t="shared" si="429"/>
        <v>220</v>
      </c>
      <c r="F244">
        <f t="shared" si="429"/>
        <v>220</v>
      </c>
      <c r="G244">
        <f t="shared" si="429"/>
        <v>220</v>
      </c>
      <c r="H244">
        <f t="shared" si="429"/>
        <v>220</v>
      </c>
      <c r="I244">
        <f t="shared" si="429"/>
        <v>140</v>
      </c>
      <c r="J244">
        <f t="shared" si="429"/>
        <v>140</v>
      </c>
      <c r="K244">
        <f t="shared" si="429"/>
        <v>140</v>
      </c>
      <c r="L244">
        <f t="shared" si="429"/>
        <v>140</v>
      </c>
      <c r="M244">
        <f t="shared" si="429"/>
        <v>60</v>
      </c>
      <c r="N244">
        <f t="shared" si="429"/>
        <v>60</v>
      </c>
      <c r="O244">
        <f t="shared" si="429"/>
        <v>60</v>
      </c>
      <c r="P244">
        <f t="shared" si="429"/>
        <v>60</v>
      </c>
      <c r="Q244">
        <f t="shared" si="429"/>
        <v>60</v>
      </c>
      <c r="R244">
        <f t="shared" si="429"/>
        <v>60</v>
      </c>
      <c r="S244">
        <f t="shared" si="429"/>
        <v>60</v>
      </c>
      <c r="T244">
        <f t="shared" si="429"/>
        <v>60</v>
      </c>
      <c r="U244">
        <f t="shared" si="429"/>
        <v>60</v>
      </c>
      <c r="V244">
        <f t="shared" si="429"/>
        <v>60</v>
      </c>
      <c r="W244">
        <f t="shared" si="429"/>
        <v>60</v>
      </c>
      <c r="X244">
        <f t="shared" si="429"/>
        <v>60</v>
      </c>
      <c r="Y244">
        <f t="shared" si="429"/>
        <v>60</v>
      </c>
      <c r="Z244">
        <f t="shared" si="429"/>
        <v>60</v>
      </c>
      <c r="AA244">
        <f t="shared" si="429"/>
        <v>60</v>
      </c>
      <c r="AB244">
        <f t="shared" si="429"/>
        <v>60</v>
      </c>
      <c r="AC244">
        <f t="shared" si="429"/>
        <v>60</v>
      </c>
      <c r="AD244">
        <f t="shared" si="429"/>
        <v>60</v>
      </c>
      <c r="AE244">
        <f t="shared" si="429"/>
        <v>60</v>
      </c>
      <c r="AF244">
        <f t="shared" si="429"/>
        <v>60</v>
      </c>
      <c r="AG244">
        <f t="shared" si="429"/>
        <v>60</v>
      </c>
      <c r="AH244">
        <f t="shared" si="429"/>
        <v>60</v>
      </c>
      <c r="AI244">
        <f t="shared" si="429"/>
        <v>60</v>
      </c>
      <c r="AJ244">
        <f t="shared" ref="AJ244:BO244" si="430">AJ238-AJ241</f>
        <v>60</v>
      </c>
      <c r="AK244">
        <f t="shared" si="430"/>
        <v>60</v>
      </c>
      <c r="AL244">
        <f t="shared" si="430"/>
        <v>60</v>
      </c>
      <c r="AM244">
        <f t="shared" si="430"/>
        <v>60</v>
      </c>
      <c r="AN244">
        <f t="shared" si="430"/>
        <v>55</v>
      </c>
      <c r="AO244">
        <f t="shared" si="430"/>
        <v>50</v>
      </c>
      <c r="AP244">
        <f t="shared" si="430"/>
        <v>45</v>
      </c>
      <c r="AQ244">
        <f t="shared" si="430"/>
        <v>39</v>
      </c>
      <c r="AR244">
        <f t="shared" si="430"/>
        <v>33</v>
      </c>
      <c r="AS244">
        <f t="shared" si="430"/>
        <v>28</v>
      </c>
      <c r="AT244">
        <f t="shared" si="430"/>
        <v>22</v>
      </c>
      <c r="AU244">
        <f t="shared" si="430"/>
        <v>17</v>
      </c>
      <c r="AV244">
        <f t="shared" si="430"/>
        <v>12</v>
      </c>
      <c r="AW244">
        <f t="shared" si="430"/>
        <v>7</v>
      </c>
      <c r="AX244">
        <f t="shared" si="430"/>
        <v>2</v>
      </c>
      <c r="AY244">
        <f t="shared" si="430"/>
        <v>-2</v>
      </c>
      <c r="AZ244">
        <f t="shared" si="430"/>
        <v>-6</v>
      </c>
      <c r="BA244">
        <f t="shared" si="430"/>
        <v>-10</v>
      </c>
      <c r="BB244">
        <f t="shared" si="430"/>
        <v>-14</v>
      </c>
      <c r="BC244">
        <f t="shared" si="430"/>
        <v>-18</v>
      </c>
      <c r="BD244">
        <f t="shared" si="430"/>
        <v>-22</v>
      </c>
      <c r="BE244">
        <f t="shared" si="430"/>
        <v>-26</v>
      </c>
      <c r="BF244">
        <f t="shared" si="430"/>
        <v>-30</v>
      </c>
      <c r="BG244">
        <f t="shared" si="430"/>
        <v>-34</v>
      </c>
      <c r="BH244">
        <f t="shared" si="430"/>
        <v>-38</v>
      </c>
      <c r="BI244">
        <f t="shared" si="430"/>
        <v>-42</v>
      </c>
      <c r="BJ244">
        <f t="shared" si="430"/>
        <v>-46</v>
      </c>
      <c r="BK244">
        <f t="shared" si="430"/>
        <v>-50</v>
      </c>
      <c r="BL244">
        <f t="shared" si="430"/>
        <v>-54</v>
      </c>
      <c r="BM244">
        <f t="shared" si="430"/>
        <v>-58</v>
      </c>
      <c r="BN244">
        <f t="shared" si="430"/>
        <v>-66</v>
      </c>
      <c r="BO244">
        <f t="shared" si="430"/>
        <v>-66</v>
      </c>
      <c r="BP244">
        <f t="shared" ref="BP244:CC244" si="431">BP238-BP241</f>
        <v>-66</v>
      </c>
      <c r="BQ244">
        <f t="shared" si="431"/>
        <v>-66</v>
      </c>
      <c r="BR244">
        <f t="shared" si="431"/>
        <v>-66</v>
      </c>
      <c r="BS244">
        <f t="shared" si="431"/>
        <v>-70</v>
      </c>
      <c r="BT244">
        <f t="shared" si="431"/>
        <v>-74</v>
      </c>
      <c r="BU244">
        <f t="shared" si="431"/>
        <v>-78</v>
      </c>
      <c r="BV244">
        <f t="shared" si="431"/>
        <v>-82</v>
      </c>
      <c r="BW244">
        <f t="shared" si="431"/>
        <v>-86</v>
      </c>
      <c r="BX244">
        <f t="shared" si="431"/>
        <v>-90</v>
      </c>
      <c r="BY244">
        <f t="shared" si="431"/>
        <v>-94</v>
      </c>
      <c r="BZ244">
        <f t="shared" si="431"/>
        <v>-98</v>
      </c>
      <c r="CA244">
        <f t="shared" si="431"/>
        <v>-102</v>
      </c>
      <c r="CB244">
        <f t="shared" si="431"/>
        <v>-106</v>
      </c>
      <c r="CC244">
        <f t="shared" si="431"/>
        <v>-110</v>
      </c>
    </row>
    <row r="245" spans="1:81" x14ac:dyDescent="0.2">
      <c r="A245" s="43" t="s">
        <v>322</v>
      </c>
      <c r="B245" s="44" t="s">
        <v>208</v>
      </c>
      <c r="C245" s="9" t="s">
        <v>38</v>
      </c>
      <c r="D245" s="58">
        <f>IFERROR(VLOOKUP(A245,OS!$A:$B,2,0),0)</f>
        <v>0</v>
      </c>
      <c r="E245" s="5">
        <f>(D245+D246-D248)</f>
        <v>0</v>
      </c>
      <c r="F245" s="5">
        <f>(E245+E246-E248)</f>
        <v>0</v>
      </c>
      <c r="G245" s="5">
        <f>(F245+F246-F248)</f>
        <v>0</v>
      </c>
      <c r="H245" s="5">
        <f>(G245+G246-G248)</f>
        <v>0</v>
      </c>
      <c r="I245" s="5">
        <f t="shared" ref="I245:AN245" si="432">(H245+H246-H248+D247)</f>
        <v>0</v>
      </c>
      <c r="J245" s="5">
        <f t="shared" si="432"/>
        <v>0</v>
      </c>
      <c r="K245" s="5">
        <f t="shared" si="432"/>
        <v>0</v>
      </c>
      <c r="L245" s="5">
        <f t="shared" si="432"/>
        <v>0</v>
      </c>
      <c r="M245" s="5">
        <f t="shared" si="432"/>
        <v>0</v>
      </c>
      <c r="N245" s="5">
        <f t="shared" si="432"/>
        <v>0</v>
      </c>
      <c r="O245" s="5">
        <f t="shared" si="432"/>
        <v>0</v>
      </c>
      <c r="P245" s="5">
        <f t="shared" si="432"/>
        <v>0</v>
      </c>
      <c r="Q245" s="5">
        <f t="shared" si="432"/>
        <v>0</v>
      </c>
      <c r="R245" s="5">
        <f t="shared" si="432"/>
        <v>0</v>
      </c>
      <c r="S245" s="5">
        <f t="shared" si="432"/>
        <v>0</v>
      </c>
      <c r="T245" s="5">
        <f t="shared" si="432"/>
        <v>0</v>
      </c>
      <c r="U245" s="5">
        <f t="shared" si="432"/>
        <v>0</v>
      </c>
      <c r="V245" s="5">
        <f t="shared" si="432"/>
        <v>0</v>
      </c>
      <c r="W245" s="5">
        <f t="shared" si="432"/>
        <v>0</v>
      </c>
      <c r="X245" s="5">
        <f t="shared" si="432"/>
        <v>0</v>
      </c>
      <c r="Y245" s="5">
        <f t="shared" si="432"/>
        <v>0</v>
      </c>
      <c r="Z245" s="5">
        <f t="shared" si="432"/>
        <v>0</v>
      </c>
      <c r="AA245" s="5">
        <f t="shared" si="432"/>
        <v>0</v>
      </c>
      <c r="AB245" s="5">
        <f t="shared" si="432"/>
        <v>0</v>
      </c>
      <c r="AC245" s="5">
        <f t="shared" si="432"/>
        <v>0</v>
      </c>
      <c r="AD245" s="5">
        <f t="shared" si="432"/>
        <v>0</v>
      </c>
      <c r="AE245" s="5">
        <f t="shared" si="432"/>
        <v>0</v>
      </c>
      <c r="AF245" s="5">
        <f t="shared" si="432"/>
        <v>0</v>
      </c>
      <c r="AG245" s="5">
        <f t="shared" si="432"/>
        <v>0</v>
      </c>
      <c r="AH245" s="5">
        <f t="shared" si="432"/>
        <v>0</v>
      </c>
      <c r="AI245" s="5">
        <f t="shared" si="432"/>
        <v>0</v>
      </c>
      <c r="AJ245" s="5">
        <f t="shared" si="432"/>
        <v>0</v>
      </c>
      <c r="AK245" s="5">
        <f t="shared" si="432"/>
        <v>0</v>
      </c>
      <c r="AL245" s="5">
        <f t="shared" si="432"/>
        <v>0</v>
      </c>
      <c r="AM245" s="5">
        <f t="shared" si="432"/>
        <v>0</v>
      </c>
      <c r="AN245" s="5">
        <f t="shared" si="432"/>
        <v>0</v>
      </c>
      <c r="AO245" s="5">
        <f t="shared" ref="AO245:BT245" si="433">(AN245+AN246-AN248+AJ247)</f>
        <v>0</v>
      </c>
      <c r="AP245" s="5">
        <f t="shared" si="433"/>
        <v>0</v>
      </c>
      <c r="AQ245" s="5">
        <f t="shared" si="433"/>
        <v>0</v>
      </c>
      <c r="AR245" s="5">
        <f t="shared" si="433"/>
        <v>0</v>
      </c>
      <c r="AS245" s="5">
        <f t="shared" si="433"/>
        <v>0</v>
      </c>
      <c r="AT245" s="5">
        <f t="shared" si="433"/>
        <v>0</v>
      </c>
      <c r="AU245" s="5">
        <f t="shared" si="433"/>
        <v>0</v>
      </c>
      <c r="AV245" s="5">
        <f t="shared" si="433"/>
        <v>0</v>
      </c>
      <c r="AW245" s="5">
        <f t="shared" si="433"/>
        <v>0</v>
      </c>
      <c r="AX245" s="5">
        <f t="shared" si="433"/>
        <v>0</v>
      </c>
      <c r="AY245" s="5">
        <f t="shared" si="433"/>
        <v>0</v>
      </c>
      <c r="AZ245" s="5">
        <f t="shared" si="433"/>
        <v>0</v>
      </c>
      <c r="BA245" s="5">
        <f t="shared" si="433"/>
        <v>0</v>
      </c>
      <c r="BB245" s="5">
        <f t="shared" si="433"/>
        <v>0</v>
      </c>
      <c r="BC245" s="5">
        <f t="shared" si="433"/>
        <v>0</v>
      </c>
      <c r="BD245" s="5">
        <f t="shared" si="433"/>
        <v>0</v>
      </c>
      <c r="BE245" s="5">
        <f t="shared" si="433"/>
        <v>0</v>
      </c>
      <c r="BF245" s="5">
        <f t="shared" si="433"/>
        <v>0</v>
      </c>
      <c r="BG245" s="5">
        <f t="shared" si="433"/>
        <v>0</v>
      </c>
      <c r="BH245" s="5">
        <f t="shared" si="433"/>
        <v>0</v>
      </c>
      <c r="BI245" s="5">
        <f t="shared" si="433"/>
        <v>0</v>
      </c>
      <c r="BJ245" s="5">
        <f t="shared" si="433"/>
        <v>0</v>
      </c>
      <c r="BK245" s="5">
        <f t="shared" si="433"/>
        <v>0</v>
      </c>
      <c r="BL245" s="5">
        <f t="shared" si="433"/>
        <v>0</v>
      </c>
      <c r="BM245" s="5">
        <f t="shared" si="433"/>
        <v>0</v>
      </c>
      <c r="BN245" s="5">
        <f t="shared" si="433"/>
        <v>0</v>
      </c>
      <c r="BO245" s="5">
        <f t="shared" si="433"/>
        <v>0</v>
      </c>
      <c r="BP245" s="5">
        <f t="shared" si="433"/>
        <v>0</v>
      </c>
      <c r="BQ245" s="5">
        <f t="shared" si="433"/>
        <v>0</v>
      </c>
      <c r="BR245" s="5">
        <f t="shared" si="433"/>
        <v>0</v>
      </c>
      <c r="BS245" s="5">
        <f t="shared" si="433"/>
        <v>0</v>
      </c>
      <c r="BT245" s="5">
        <f t="shared" si="433"/>
        <v>0</v>
      </c>
      <c r="BU245" s="5">
        <f t="shared" ref="BU245:CC245" si="434">(BT245+BT246-BT248+BP247)</f>
        <v>0</v>
      </c>
      <c r="BV245" s="5">
        <f t="shared" si="434"/>
        <v>0</v>
      </c>
      <c r="BW245" s="5">
        <f t="shared" si="434"/>
        <v>0</v>
      </c>
      <c r="BX245" s="5">
        <f t="shared" si="434"/>
        <v>0</v>
      </c>
      <c r="BY245" s="5">
        <f t="shared" si="434"/>
        <v>0</v>
      </c>
      <c r="BZ245" s="5">
        <f t="shared" si="434"/>
        <v>0</v>
      </c>
      <c r="CA245" s="5">
        <f t="shared" si="434"/>
        <v>0</v>
      </c>
      <c r="CB245" s="5">
        <f t="shared" si="434"/>
        <v>0</v>
      </c>
      <c r="CC245" s="5">
        <f t="shared" si="434"/>
        <v>0</v>
      </c>
    </row>
    <row r="246" spans="1:81" x14ac:dyDescent="0.2">
      <c r="A246" s="5" t="s">
        <v>209</v>
      </c>
      <c r="B246" s="5">
        <v>5.7025199999999998</v>
      </c>
      <c r="C246" s="45" t="s">
        <v>39</v>
      </c>
      <c r="D246" s="59">
        <f>IFERROR(VLOOKUP(A245,WIP!$A:$B,2,0),0)</f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</row>
    <row r="247" spans="1:81" x14ac:dyDescent="0.2">
      <c r="A247" s="5" t="s">
        <v>210</v>
      </c>
      <c r="B247" s="5">
        <v>0.156</v>
      </c>
      <c r="C247" s="9" t="s">
        <v>211</v>
      </c>
      <c r="D247" s="60">
        <f>IFERROR(VLOOKUP($A245,Plan!$A:B,D$4,0),0)</f>
        <v>0</v>
      </c>
      <c r="E247" s="60">
        <f>IFERROR(VLOOKUP($A245,Plan!$A:C,E$4,0),0)</f>
        <v>0</v>
      </c>
      <c r="F247" s="60">
        <f>IFERROR(VLOOKUP($A245,Plan!$A:D,F$4,0),0)</f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</row>
    <row r="248" spans="1:81" x14ac:dyDescent="0.2">
      <c r="A248" s="5" t="s">
        <v>212</v>
      </c>
      <c r="B248" s="5">
        <v>1.9E-2</v>
      </c>
      <c r="C248" s="9" t="s">
        <v>213</v>
      </c>
      <c r="D248" s="61">
        <f>IFERROR(VLOOKUP($A245,Sales!$A:B,D$2,0),0)</f>
        <v>0</v>
      </c>
      <c r="E248" s="61">
        <f>IFERROR(VLOOKUP($A245,Sales!$A:C,E$2,0),0)</f>
        <v>0</v>
      </c>
      <c r="F248" s="61">
        <f>IFERROR(VLOOKUP($A245,Sales!$A:D,F$2,0),0)</f>
        <v>0</v>
      </c>
      <c r="G248" s="61">
        <f>IFERROR(VLOOKUP($A245,Sales!$A:E,G$2,0),0)</f>
        <v>0</v>
      </c>
      <c r="H248" s="61">
        <f>IFERROR(VLOOKUP($A245,Sales!$A:F,H$2,0),0)</f>
        <v>0</v>
      </c>
      <c r="I248" s="61">
        <f>IFERROR(VLOOKUP($A245,Sales!$A:G,I$2,0),0)</f>
        <v>0</v>
      </c>
      <c r="J248" s="61">
        <f>IFERROR(VLOOKUP($A245,Sales!$A:H,J$2,0),0)</f>
        <v>0</v>
      </c>
      <c r="K248" s="61">
        <f>IFERROR(VLOOKUP($A245,Sales!$A:I,K$2,0),0)</f>
        <v>0</v>
      </c>
      <c r="L248" s="61">
        <f>IFERROR(VLOOKUP($A245,Sales!$A:J,L$2,0),0)</f>
        <v>0</v>
      </c>
      <c r="M248" s="61">
        <f>IFERROR(VLOOKUP($A245,Sales!$A:K,M$2,0),0)</f>
        <v>0</v>
      </c>
      <c r="N248" s="61">
        <f>IFERROR(VLOOKUP($A245,Sales!$A:L,N$2,0),0)</f>
        <v>0</v>
      </c>
      <c r="O248" s="61">
        <f>IFERROR(VLOOKUP($A245,Sales!$A:M,O$2,0),0)</f>
        <v>0</v>
      </c>
      <c r="P248" s="61">
        <f>IFERROR(VLOOKUP($A245,Sales!$A:N,P$2,0),0)</f>
        <v>0</v>
      </c>
      <c r="Q248" s="61">
        <f>IFERROR(VLOOKUP($A245,Sales!$A:O,Q$2,0),0)</f>
        <v>0</v>
      </c>
      <c r="R248" s="61">
        <f>IFERROR(VLOOKUP($A245,Sales!$A:P,R$2,0),0)</f>
        <v>0</v>
      </c>
      <c r="S248" s="61">
        <f>IFERROR(VLOOKUP($A245,Sales!$A:Q,S$2,0),0)</f>
        <v>0</v>
      </c>
      <c r="T248" s="61">
        <f>IFERROR(VLOOKUP($A245,Sales!$A:R,T$2,0),0)</f>
        <v>0</v>
      </c>
      <c r="U248" s="61">
        <f>IFERROR(VLOOKUP($A245,Sales!$A:S,U$2,0),0)</f>
        <v>0</v>
      </c>
      <c r="V248" s="61">
        <f>IFERROR(VLOOKUP($A245,Sales!$A:T,V$2,0),0)</f>
        <v>0</v>
      </c>
      <c r="W248" s="61">
        <f>IFERROR(VLOOKUP($A245,Sales!$A:U,W$2,0),0)</f>
        <v>0</v>
      </c>
      <c r="X248" s="61">
        <f>IFERROR(VLOOKUP($A245,Sales!$A:V,X$2,0),0)</f>
        <v>0</v>
      </c>
      <c r="Y248" s="61">
        <f>IFERROR(VLOOKUP($A245,Sales!$A:W,Y$2,0),0)</f>
        <v>0</v>
      </c>
      <c r="Z248" s="61">
        <f>IFERROR(VLOOKUP($A245,Sales!$A:X,Z$2,0),0)</f>
        <v>0</v>
      </c>
      <c r="AA248" s="61">
        <f>IFERROR(VLOOKUP($A245,Sales!$A:Y,AA$2,0),0)</f>
        <v>0</v>
      </c>
      <c r="AB248" s="61">
        <f>IFERROR(VLOOKUP($A245,Sales!$A:Z,AB$2,0),0)</f>
        <v>0</v>
      </c>
      <c r="AC248" s="61">
        <f>IFERROR(VLOOKUP($A245,Sales!$A:AA,AC$2,0),0)</f>
        <v>0</v>
      </c>
      <c r="AD248" s="61">
        <f>IFERROR(VLOOKUP($A245,Sales!$A:AB,AD$2,0),0)</f>
        <v>0</v>
      </c>
      <c r="AE248" s="61">
        <f>IFERROR(VLOOKUP($A245,Sales!$A:AC,AE$2,0),0)</f>
        <v>0</v>
      </c>
      <c r="AF248" s="61">
        <f>IFERROR(VLOOKUP($A245,Sales!$A:AD,AF$2,0),0)</f>
        <v>0</v>
      </c>
      <c r="AG248" s="61">
        <f>IFERROR(VLOOKUP($A245,Sales!$A:AE,AG$2,0),0)</f>
        <v>0</v>
      </c>
      <c r="AH248" s="61">
        <f>IFERROR(VLOOKUP($A245,Sales!$A:AF,AH$2,0),0)</f>
        <v>0</v>
      </c>
      <c r="AI248" s="61">
        <f>IFERROR(VLOOKUP($A245,Sales!$A:AG,AI$2,0),0)</f>
        <v>0</v>
      </c>
      <c r="AJ248" s="61">
        <f>IFERROR(VLOOKUP($A245,Sales!$A:AH,AJ$2,0),0)</f>
        <v>0</v>
      </c>
      <c r="AK248" s="74">
        <f t="shared" ref="AK248:CC248" si="435">CEILING(AK$5*$B244,1)</f>
        <v>0</v>
      </c>
      <c r="AL248" s="74">
        <f t="shared" si="435"/>
        <v>0</v>
      </c>
      <c r="AM248" s="74">
        <f t="shared" si="435"/>
        <v>0</v>
      </c>
      <c r="AN248" s="74">
        <f t="shared" si="435"/>
        <v>0</v>
      </c>
      <c r="AO248" s="74">
        <f t="shared" si="435"/>
        <v>0</v>
      </c>
      <c r="AP248" s="74">
        <f t="shared" si="435"/>
        <v>0</v>
      </c>
      <c r="AQ248" s="74">
        <f t="shared" si="435"/>
        <v>0</v>
      </c>
      <c r="AR248" s="74">
        <f t="shared" si="435"/>
        <v>0</v>
      </c>
      <c r="AS248" s="74">
        <f t="shared" si="435"/>
        <v>0</v>
      </c>
      <c r="AT248" s="74">
        <f t="shared" si="435"/>
        <v>0</v>
      </c>
      <c r="AU248" s="74">
        <f t="shared" si="435"/>
        <v>0</v>
      </c>
      <c r="AV248" s="74">
        <f t="shared" si="435"/>
        <v>0</v>
      </c>
      <c r="AW248" s="74">
        <f t="shared" si="435"/>
        <v>0</v>
      </c>
      <c r="AX248" s="74">
        <f t="shared" si="435"/>
        <v>0</v>
      </c>
      <c r="AY248" s="74">
        <f t="shared" si="435"/>
        <v>0</v>
      </c>
      <c r="AZ248" s="74">
        <f t="shared" si="435"/>
        <v>0</v>
      </c>
      <c r="BA248" s="74">
        <f t="shared" si="435"/>
        <v>0</v>
      </c>
      <c r="BB248" s="74">
        <f t="shared" si="435"/>
        <v>0</v>
      </c>
      <c r="BC248" s="74">
        <f t="shared" si="435"/>
        <v>0</v>
      </c>
      <c r="BD248" s="74">
        <f t="shared" si="435"/>
        <v>0</v>
      </c>
      <c r="BE248" s="74">
        <f t="shared" si="435"/>
        <v>0</v>
      </c>
      <c r="BF248" s="74">
        <f t="shared" si="435"/>
        <v>0</v>
      </c>
      <c r="BG248" s="74">
        <f t="shared" si="435"/>
        <v>0</v>
      </c>
      <c r="BH248" s="74">
        <f t="shared" si="435"/>
        <v>0</v>
      </c>
      <c r="BI248" s="74">
        <f t="shared" si="435"/>
        <v>0</v>
      </c>
      <c r="BJ248" s="74">
        <f t="shared" si="435"/>
        <v>0</v>
      </c>
      <c r="BK248" s="74">
        <f t="shared" si="435"/>
        <v>0</v>
      </c>
      <c r="BL248" s="74">
        <f t="shared" si="435"/>
        <v>0</v>
      </c>
      <c r="BM248" s="74">
        <f t="shared" si="435"/>
        <v>0</v>
      </c>
      <c r="BN248" s="74">
        <f t="shared" si="435"/>
        <v>0</v>
      </c>
      <c r="BO248" s="74">
        <f t="shared" si="435"/>
        <v>0</v>
      </c>
      <c r="BP248" s="74">
        <f t="shared" si="435"/>
        <v>0</v>
      </c>
      <c r="BQ248" s="74">
        <f t="shared" si="435"/>
        <v>0</v>
      </c>
      <c r="BR248" s="74">
        <f t="shared" si="435"/>
        <v>0</v>
      </c>
      <c r="BS248" s="74">
        <f t="shared" si="435"/>
        <v>0</v>
      </c>
      <c r="BT248" s="74">
        <f t="shared" si="435"/>
        <v>0</v>
      </c>
      <c r="BU248" s="74">
        <f t="shared" si="435"/>
        <v>0</v>
      </c>
      <c r="BV248" s="74">
        <f t="shared" si="435"/>
        <v>0</v>
      </c>
      <c r="BW248" s="74">
        <f t="shared" si="435"/>
        <v>0</v>
      </c>
      <c r="BX248" s="74">
        <f t="shared" si="435"/>
        <v>0</v>
      </c>
      <c r="BY248" s="74">
        <f t="shared" si="435"/>
        <v>0</v>
      </c>
      <c r="BZ248" s="74">
        <f t="shared" si="435"/>
        <v>0</v>
      </c>
      <c r="CA248" s="74">
        <f t="shared" si="435"/>
        <v>0</v>
      </c>
      <c r="CB248" s="74">
        <f t="shared" si="435"/>
        <v>0</v>
      </c>
      <c r="CC248" s="74">
        <f t="shared" si="435"/>
        <v>0</v>
      </c>
    </row>
    <row r="249" spans="1:81" x14ac:dyDescent="0.2">
      <c r="A249" s="5" t="s">
        <v>214</v>
      </c>
      <c r="B249" s="5">
        <v>0.17499999999999999</v>
      </c>
      <c r="C249" s="46" t="s">
        <v>215</v>
      </c>
      <c r="D249" s="11">
        <f t="shared" ref="D249:AI249" si="436">IF(D248=0,0, ROUND(D245 * 1/D248* D$13,1))</f>
        <v>0</v>
      </c>
      <c r="E249" s="11">
        <f t="shared" si="436"/>
        <v>0</v>
      </c>
      <c r="F249" s="11">
        <f t="shared" si="436"/>
        <v>0</v>
      </c>
      <c r="G249" s="11">
        <f t="shared" si="436"/>
        <v>0</v>
      </c>
      <c r="H249" s="11">
        <f t="shared" si="436"/>
        <v>0</v>
      </c>
      <c r="I249" s="11">
        <f t="shared" si="436"/>
        <v>0</v>
      </c>
      <c r="J249" s="11">
        <f t="shared" si="436"/>
        <v>0</v>
      </c>
      <c r="K249" s="11">
        <f t="shared" si="436"/>
        <v>0</v>
      </c>
      <c r="L249" s="11">
        <f t="shared" si="436"/>
        <v>0</v>
      </c>
      <c r="M249" s="11">
        <f t="shared" si="436"/>
        <v>0</v>
      </c>
      <c r="N249" s="11">
        <f t="shared" si="436"/>
        <v>0</v>
      </c>
      <c r="O249" s="11">
        <f t="shared" si="436"/>
        <v>0</v>
      </c>
      <c r="P249" s="11">
        <f t="shared" si="436"/>
        <v>0</v>
      </c>
      <c r="Q249" s="11">
        <f t="shared" si="436"/>
        <v>0</v>
      </c>
      <c r="R249" s="11">
        <f t="shared" si="436"/>
        <v>0</v>
      </c>
      <c r="S249" s="11">
        <f t="shared" si="436"/>
        <v>0</v>
      </c>
      <c r="T249" s="11">
        <f t="shared" si="436"/>
        <v>0</v>
      </c>
      <c r="U249" s="11">
        <f t="shared" si="436"/>
        <v>0</v>
      </c>
      <c r="V249" s="11">
        <f t="shared" si="436"/>
        <v>0</v>
      </c>
      <c r="W249" s="11">
        <f t="shared" si="436"/>
        <v>0</v>
      </c>
      <c r="X249" s="11">
        <f t="shared" si="436"/>
        <v>0</v>
      </c>
      <c r="Y249" s="11">
        <f t="shared" si="436"/>
        <v>0</v>
      </c>
      <c r="Z249" s="11">
        <f t="shared" si="436"/>
        <v>0</v>
      </c>
      <c r="AA249" s="11">
        <f t="shared" si="436"/>
        <v>0</v>
      </c>
      <c r="AB249" s="11">
        <f t="shared" si="436"/>
        <v>0</v>
      </c>
      <c r="AC249" s="11">
        <f t="shared" si="436"/>
        <v>0</v>
      </c>
      <c r="AD249" s="11">
        <f t="shared" si="436"/>
        <v>0</v>
      </c>
      <c r="AE249" s="11">
        <f t="shared" si="436"/>
        <v>0</v>
      </c>
      <c r="AF249" s="11">
        <f t="shared" si="436"/>
        <v>0</v>
      </c>
      <c r="AG249" s="11">
        <f t="shared" si="436"/>
        <v>0</v>
      </c>
      <c r="AH249" s="11">
        <f t="shared" si="436"/>
        <v>0</v>
      </c>
      <c r="AI249" s="11">
        <f t="shared" si="436"/>
        <v>0</v>
      </c>
      <c r="AJ249" s="11">
        <f t="shared" ref="AJ249:BO249" si="437">IF(AJ248=0,0, ROUND(AJ245 * 1/AJ248* AJ$13,1))</f>
        <v>0</v>
      </c>
      <c r="AK249" s="11">
        <f t="shared" si="437"/>
        <v>0</v>
      </c>
      <c r="AL249" s="11">
        <f t="shared" si="437"/>
        <v>0</v>
      </c>
      <c r="AM249" s="11">
        <f t="shared" si="437"/>
        <v>0</v>
      </c>
      <c r="AN249" s="11">
        <f t="shared" si="437"/>
        <v>0</v>
      </c>
      <c r="AO249" s="11">
        <f t="shared" si="437"/>
        <v>0</v>
      </c>
      <c r="AP249" s="11">
        <f t="shared" si="437"/>
        <v>0</v>
      </c>
      <c r="AQ249" s="11">
        <f t="shared" si="437"/>
        <v>0</v>
      </c>
      <c r="AR249" s="11">
        <f t="shared" si="437"/>
        <v>0</v>
      </c>
      <c r="AS249" s="11">
        <f t="shared" si="437"/>
        <v>0</v>
      </c>
      <c r="AT249" s="11">
        <f t="shared" si="437"/>
        <v>0</v>
      </c>
      <c r="AU249" s="11">
        <f t="shared" si="437"/>
        <v>0</v>
      </c>
      <c r="AV249" s="11">
        <f t="shared" si="437"/>
        <v>0</v>
      </c>
      <c r="AW249" s="11">
        <f t="shared" si="437"/>
        <v>0</v>
      </c>
      <c r="AX249" s="11">
        <f t="shared" si="437"/>
        <v>0</v>
      </c>
      <c r="AY249" s="11">
        <f t="shared" si="437"/>
        <v>0</v>
      </c>
      <c r="AZ249" s="11">
        <f t="shared" si="437"/>
        <v>0</v>
      </c>
      <c r="BA249" s="11">
        <f t="shared" si="437"/>
        <v>0</v>
      </c>
      <c r="BB249" s="11">
        <f t="shared" si="437"/>
        <v>0</v>
      </c>
      <c r="BC249" s="11">
        <f t="shared" si="437"/>
        <v>0</v>
      </c>
      <c r="BD249" s="11">
        <f t="shared" si="437"/>
        <v>0</v>
      </c>
      <c r="BE249" s="11">
        <f t="shared" si="437"/>
        <v>0</v>
      </c>
      <c r="BF249" s="11">
        <f t="shared" si="437"/>
        <v>0</v>
      </c>
      <c r="BG249" s="11">
        <f t="shared" si="437"/>
        <v>0</v>
      </c>
      <c r="BH249" s="11">
        <f t="shared" si="437"/>
        <v>0</v>
      </c>
      <c r="BI249" s="11">
        <f t="shared" si="437"/>
        <v>0</v>
      </c>
      <c r="BJ249" s="11">
        <f t="shared" si="437"/>
        <v>0</v>
      </c>
      <c r="BK249" s="11">
        <f t="shared" si="437"/>
        <v>0</v>
      </c>
      <c r="BL249" s="11">
        <f t="shared" si="437"/>
        <v>0</v>
      </c>
      <c r="BM249" s="11">
        <f t="shared" si="437"/>
        <v>0</v>
      </c>
      <c r="BN249" s="11">
        <f t="shared" si="437"/>
        <v>0</v>
      </c>
      <c r="BO249" s="11">
        <f t="shared" si="437"/>
        <v>0</v>
      </c>
      <c r="BP249" s="11">
        <f t="shared" ref="BP249:CC249" si="438">IF(BP248=0,0, ROUND(BP245 * 1/BP248* BP$13,1))</f>
        <v>0</v>
      </c>
      <c r="BQ249" s="11">
        <f t="shared" si="438"/>
        <v>0</v>
      </c>
      <c r="BR249" s="11">
        <f t="shared" si="438"/>
        <v>0</v>
      </c>
      <c r="BS249" s="11">
        <f t="shared" si="438"/>
        <v>0</v>
      </c>
      <c r="BT249" s="11">
        <f t="shared" si="438"/>
        <v>0</v>
      </c>
      <c r="BU249" s="11">
        <f t="shared" si="438"/>
        <v>0</v>
      </c>
      <c r="BV249" s="11">
        <f t="shared" si="438"/>
        <v>0</v>
      </c>
      <c r="BW249" s="11">
        <f t="shared" si="438"/>
        <v>0</v>
      </c>
      <c r="BX249" s="11">
        <f t="shared" si="438"/>
        <v>0</v>
      </c>
      <c r="BY249" s="11">
        <f t="shared" si="438"/>
        <v>0</v>
      </c>
      <c r="BZ249" s="11">
        <f t="shared" si="438"/>
        <v>0</v>
      </c>
      <c r="CA249" s="11">
        <f t="shared" si="438"/>
        <v>0</v>
      </c>
      <c r="CB249" s="11">
        <f t="shared" si="438"/>
        <v>0</v>
      </c>
      <c r="CC249" s="11">
        <f t="shared" si="438"/>
        <v>0</v>
      </c>
    </row>
    <row r="250" spans="1:81" x14ac:dyDescent="0.2">
      <c r="A250">
        <v>7</v>
      </c>
      <c r="B250">
        <v>1</v>
      </c>
      <c r="C250" s="8">
        <v>4.44339</v>
      </c>
      <c r="D250">
        <f t="shared" ref="D250:AI250" si="439">D247/$B250</f>
        <v>0</v>
      </c>
      <c r="E250">
        <f t="shared" si="439"/>
        <v>0</v>
      </c>
      <c r="F250">
        <f t="shared" si="439"/>
        <v>0</v>
      </c>
      <c r="G250">
        <f t="shared" si="439"/>
        <v>0</v>
      </c>
      <c r="H250">
        <f t="shared" si="439"/>
        <v>0</v>
      </c>
      <c r="I250">
        <f t="shared" si="439"/>
        <v>0</v>
      </c>
      <c r="J250">
        <f t="shared" si="439"/>
        <v>0</v>
      </c>
      <c r="K250">
        <f t="shared" si="439"/>
        <v>0</v>
      </c>
      <c r="L250">
        <f t="shared" si="439"/>
        <v>0</v>
      </c>
      <c r="M250">
        <f t="shared" si="439"/>
        <v>0</v>
      </c>
      <c r="N250">
        <f t="shared" si="439"/>
        <v>0</v>
      </c>
      <c r="O250">
        <f t="shared" si="439"/>
        <v>0</v>
      </c>
      <c r="P250">
        <f t="shared" si="439"/>
        <v>0</v>
      </c>
      <c r="Q250">
        <f t="shared" si="439"/>
        <v>0</v>
      </c>
      <c r="R250">
        <f t="shared" si="439"/>
        <v>0</v>
      </c>
      <c r="S250">
        <f t="shared" si="439"/>
        <v>0</v>
      </c>
      <c r="T250">
        <f t="shared" si="439"/>
        <v>0</v>
      </c>
      <c r="U250">
        <f t="shared" si="439"/>
        <v>0</v>
      </c>
      <c r="V250">
        <f t="shared" si="439"/>
        <v>0</v>
      </c>
      <c r="W250">
        <f t="shared" si="439"/>
        <v>0</v>
      </c>
      <c r="X250">
        <f t="shared" si="439"/>
        <v>0</v>
      </c>
      <c r="Y250">
        <f t="shared" si="439"/>
        <v>0</v>
      </c>
      <c r="Z250">
        <f t="shared" si="439"/>
        <v>0</v>
      </c>
      <c r="AA250">
        <f t="shared" si="439"/>
        <v>0</v>
      </c>
      <c r="AB250">
        <f t="shared" si="439"/>
        <v>0</v>
      </c>
      <c r="AC250">
        <f t="shared" si="439"/>
        <v>0</v>
      </c>
      <c r="AD250">
        <f t="shared" si="439"/>
        <v>0</v>
      </c>
      <c r="AE250">
        <f t="shared" si="439"/>
        <v>0</v>
      </c>
      <c r="AF250">
        <f t="shared" si="439"/>
        <v>0</v>
      </c>
      <c r="AG250">
        <f t="shared" si="439"/>
        <v>0</v>
      </c>
      <c r="AH250">
        <f t="shared" si="439"/>
        <v>0</v>
      </c>
      <c r="AI250">
        <f t="shared" si="439"/>
        <v>0</v>
      </c>
      <c r="AJ250">
        <f t="shared" ref="AJ250:BO250" si="440">AJ247/$B250</f>
        <v>0</v>
      </c>
      <c r="AK250">
        <f t="shared" si="440"/>
        <v>0</v>
      </c>
      <c r="AL250">
        <f t="shared" si="440"/>
        <v>0</v>
      </c>
      <c r="AM250">
        <f t="shared" si="440"/>
        <v>0</v>
      </c>
      <c r="AN250">
        <f t="shared" si="440"/>
        <v>0</v>
      </c>
      <c r="AO250">
        <f t="shared" si="440"/>
        <v>0</v>
      </c>
      <c r="AP250">
        <f t="shared" si="440"/>
        <v>0</v>
      </c>
      <c r="AQ250">
        <f t="shared" si="440"/>
        <v>0</v>
      </c>
      <c r="AR250">
        <f t="shared" si="440"/>
        <v>0</v>
      </c>
      <c r="AS250">
        <f t="shared" si="440"/>
        <v>0</v>
      </c>
      <c r="AT250">
        <f t="shared" si="440"/>
        <v>0</v>
      </c>
      <c r="AU250">
        <f t="shared" si="440"/>
        <v>0</v>
      </c>
      <c r="AV250">
        <f t="shared" si="440"/>
        <v>0</v>
      </c>
      <c r="AW250">
        <f t="shared" si="440"/>
        <v>0</v>
      </c>
      <c r="AX250">
        <f t="shared" si="440"/>
        <v>0</v>
      </c>
      <c r="AY250">
        <f t="shared" si="440"/>
        <v>0</v>
      </c>
      <c r="AZ250">
        <f t="shared" si="440"/>
        <v>0</v>
      </c>
      <c r="BA250">
        <f t="shared" si="440"/>
        <v>0</v>
      </c>
      <c r="BB250">
        <f t="shared" si="440"/>
        <v>0</v>
      </c>
      <c r="BC250">
        <f t="shared" si="440"/>
        <v>0</v>
      </c>
      <c r="BD250">
        <f t="shared" si="440"/>
        <v>0</v>
      </c>
      <c r="BE250">
        <f t="shared" si="440"/>
        <v>0</v>
      </c>
      <c r="BF250">
        <f t="shared" si="440"/>
        <v>0</v>
      </c>
      <c r="BG250">
        <f t="shared" si="440"/>
        <v>0</v>
      </c>
      <c r="BH250">
        <f t="shared" si="440"/>
        <v>0</v>
      </c>
      <c r="BI250">
        <f t="shared" si="440"/>
        <v>0</v>
      </c>
      <c r="BJ250">
        <f t="shared" si="440"/>
        <v>0</v>
      </c>
      <c r="BK250">
        <f t="shared" si="440"/>
        <v>0</v>
      </c>
      <c r="BL250">
        <f t="shared" si="440"/>
        <v>0</v>
      </c>
      <c r="BM250">
        <f t="shared" si="440"/>
        <v>0</v>
      </c>
      <c r="BN250">
        <f t="shared" si="440"/>
        <v>0</v>
      </c>
      <c r="BO250">
        <f t="shared" si="440"/>
        <v>0</v>
      </c>
      <c r="BP250">
        <f t="shared" ref="BP250:CC250" si="441">BP247/$B250</f>
        <v>0</v>
      </c>
      <c r="BQ250">
        <f t="shared" si="441"/>
        <v>0</v>
      </c>
      <c r="BR250">
        <f t="shared" si="441"/>
        <v>0</v>
      </c>
      <c r="BS250">
        <f t="shared" si="441"/>
        <v>0</v>
      </c>
      <c r="BT250">
        <f t="shared" si="441"/>
        <v>0</v>
      </c>
      <c r="BU250">
        <f t="shared" si="441"/>
        <v>0</v>
      </c>
      <c r="BV250">
        <f t="shared" si="441"/>
        <v>0</v>
      </c>
      <c r="BW250">
        <f t="shared" si="441"/>
        <v>0</v>
      </c>
      <c r="BX250">
        <f t="shared" si="441"/>
        <v>0</v>
      </c>
      <c r="BY250">
        <f t="shared" si="441"/>
        <v>0</v>
      </c>
      <c r="BZ250">
        <f t="shared" si="441"/>
        <v>0</v>
      </c>
      <c r="CA250">
        <f t="shared" si="441"/>
        <v>0</v>
      </c>
      <c r="CB250">
        <f t="shared" si="441"/>
        <v>0</v>
      </c>
      <c r="CC250">
        <f t="shared" si="441"/>
        <v>0</v>
      </c>
    </row>
    <row r="251" spans="1:81" x14ac:dyDescent="0.2">
      <c r="B251" s="67">
        <f>SUM(D255:AJ255)/SUM($D$263:$AJ$263)</f>
        <v>1.5653126712060735E-3</v>
      </c>
      <c r="C251" s="9" t="s">
        <v>216</v>
      </c>
      <c r="D251">
        <f t="shared" ref="D251:AI251" si="442">D245-D248</f>
        <v>0</v>
      </c>
      <c r="E251">
        <f t="shared" si="442"/>
        <v>0</v>
      </c>
      <c r="F251">
        <f t="shared" si="442"/>
        <v>0</v>
      </c>
      <c r="G251">
        <f t="shared" si="442"/>
        <v>0</v>
      </c>
      <c r="H251">
        <f t="shared" si="442"/>
        <v>0</v>
      </c>
      <c r="I251">
        <f t="shared" si="442"/>
        <v>0</v>
      </c>
      <c r="J251">
        <f t="shared" si="442"/>
        <v>0</v>
      </c>
      <c r="K251">
        <f t="shared" si="442"/>
        <v>0</v>
      </c>
      <c r="L251">
        <f t="shared" si="442"/>
        <v>0</v>
      </c>
      <c r="M251">
        <f t="shared" si="442"/>
        <v>0</v>
      </c>
      <c r="N251">
        <f t="shared" si="442"/>
        <v>0</v>
      </c>
      <c r="O251">
        <f t="shared" si="442"/>
        <v>0</v>
      </c>
      <c r="P251">
        <f t="shared" si="442"/>
        <v>0</v>
      </c>
      <c r="Q251">
        <f t="shared" si="442"/>
        <v>0</v>
      </c>
      <c r="R251">
        <f t="shared" si="442"/>
        <v>0</v>
      </c>
      <c r="S251">
        <f t="shared" si="442"/>
        <v>0</v>
      </c>
      <c r="T251">
        <f t="shared" si="442"/>
        <v>0</v>
      </c>
      <c r="U251">
        <f t="shared" si="442"/>
        <v>0</v>
      </c>
      <c r="V251">
        <f t="shared" si="442"/>
        <v>0</v>
      </c>
      <c r="W251">
        <f t="shared" si="442"/>
        <v>0</v>
      </c>
      <c r="X251">
        <f t="shared" si="442"/>
        <v>0</v>
      </c>
      <c r="Y251">
        <f t="shared" si="442"/>
        <v>0</v>
      </c>
      <c r="Z251">
        <f t="shared" si="442"/>
        <v>0</v>
      </c>
      <c r="AA251">
        <f t="shared" si="442"/>
        <v>0</v>
      </c>
      <c r="AB251">
        <f t="shared" si="442"/>
        <v>0</v>
      </c>
      <c r="AC251">
        <f t="shared" si="442"/>
        <v>0</v>
      </c>
      <c r="AD251">
        <f t="shared" si="442"/>
        <v>0</v>
      </c>
      <c r="AE251">
        <f t="shared" si="442"/>
        <v>0</v>
      </c>
      <c r="AF251">
        <f t="shared" si="442"/>
        <v>0</v>
      </c>
      <c r="AG251">
        <f t="shared" si="442"/>
        <v>0</v>
      </c>
      <c r="AH251">
        <f t="shared" si="442"/>
        <v>0</v>
      </c>
      <c r="AI251">
        <f t="shared" si="442"/>
        <v>0</v>
      </c>
      <c r="AJ251">
        <f t="shared" ref="AJ251:BO251" si="443">AJ245-AJ248</f>
        <v>0</v>
      </c>
      <c r="AK251">
        <f t="shared" si="443"/>
        <v>0</v>
      </c>
      <c r="AL251">
        <f t="shared" si="443"/>
        <v>0</v>
      </c>
      <c r="AM251">
        <f t="shared" si="443"/>
        <v>0</v>
      </c>
      <c r="AN251">
        <f t="shared" si="443"/>
        <v>0</v>
      </c>
      <c r="AO251">
        <f t="shared" si="443"/>
        <v>0</v>
      </c>
      <c r="AP251">
        <f t="shared" si="443"/>
        <v>0</v>
      </c>
      <c r="AQ251">
        <f t="shared" si="443"/>
        <v>0</v>
      </c>
      <c r="AR251">
        <f t="shared" si="443"/>
        <v>0</v>
      </c>
      <c r="AS251">
        <f t="shared" si="443"/>
        <v>0</v>
      </c>
      <c r="AT251">
        <f t="shared" si="443"/>
        <v>0</v>
      </c>
      <c r="AU251">
        <f t="shared" si="443"/>
        <v>0</v>
      </c>
      <c r="AV251">
        <f t="shared" si="443"/>
        <v>0</v>
      </c>
      <c r="AW251">
        <f t="shared" si="443"/>
        <v>0</v>
      </c>
      <c r="AX251">
        <f t="shared" si="443"/>
        <v>0</v>
      </c>
      <c r="AY251">
        <f t="shared" si="443"/>
        <v>0</v>
      </c>
      <c r="AZ251">
        <f t="shared" si="443"/>
        <v>0</v>
      </c>
      <c r="BA251">
        <f t="shared" si="443"/>
        <v>0</v>
      </c>
      <c r="BB251">
        <f t="shared" si="443"/>
        <v>0</v>
      </c>
      <c r="BC251">
        <f t="shared" si="443"/>
        <v>0</v>
      </c>
      <c r="BD251">
        <f t="shared" si="443"/>
        <v>0</v>
      </c>
      <c r="BE251">
        <f t="shared" si="443"/>
        <v>0</v>
      </c>
      <c r="BF251">
        <f t="shared" si="443"/>
        <v>0</v>
      </c>
      <c r="BG251">
        <f t="shared" si="443"/>
        <v>0</v>
      </c>
      <c r="BH251">
        <f t="shared" si="443"/>
        <v>0</v>
      </c>
      <c r="BI251">
        <f t="shared" si="443"/>
        <v>0</v>
      </c>
      <c r="BJ251">
        <f t="shared" si="443"/>
        <v>0</v>
      </c>
      <c r="BK251">
        <f t="shared" si="443"/>
        <v>0</v>
      </c>
      <c r="BL251">
        <f t="shared" si="443"/>
        <v>0</v>
      </c>
      <c r="BM251">
        <f t="shared" si="443"/>
        <v>0</v>
      </c>
      <c r="BN251">
        <f t="shared" si="443"/>
        <v>0</v>
      </c>
      <c r="BO251">
        <f t="shared" si="443"/>
        <v>0</v>
      </c>
      <c r="BP251">
        <f t="shared" ref="BP251:CC251" si="444">BP245-BP248</f>
        <v>0</v>
      </c>
      <c r="BQ251">
        <f t="shared" si="444"/>
        <v>0</v>
      </c>
      <c r="BR251">
        <f t="shared" si="444"/>
        <v>0</v>
      </c>
      <c r="BS251">
        <f t="shared" si="444"/>
        <v>0</v>
      </c>
      <c r="BT251">
        <f t="shared" si="444"/>
        <v>0</v>
      </c>
      <c r="BU251">
        <f t="shared" si="444"/>
        <v>0</v>
      </c>
      <c r="BV251">
        <f t="shared" si="444"/>
        <v>0</v>
      </c>
      <c r="BW251">
        <f t="shared" si="444"/>
        <v>0</v>
      </c>
      <c r="BX251">
        <f t="shared" si="444"/>
        <v>0</v>
      </c>
      <c r="BY251">
        <f t="shared" si="444"/>
        <v>0</v>
      </c>
      <c r="BZ251">
        <f t="shared" si="444"/>
        <v>0</v>
      </c>
      <c r="CA251">
        <f t="shared" si="444"/>
        <v>0</v>
      </c>
      <c r="CB251">
        <f t="shared" si="444"/>
        <v>0</v>
      </c>
      <c r="CC251">
        <f t="shared" si="444"/>
        <v>0</v>
      </c>
    </row>
    <row r="252" spans="1:81" x14ac:dyDescent="0.2">
      <c r="A252" s="43" t="s">
        <v>323</v>
      </c>
      <c r="B252" s="44" t="s">
        <v>208</v>
      </c>
      <c r="C252" s="9" t="s">
        <v>38</v>
      </c>
      <c r="D252" s="58">
        <f>IFERROR(VLOOKUP(A252,OS!$A:$B,2,0),0)</f>
        <v>120</v>
      </c>
      <c r="E252" s="5">
        <f>(D252+D253-D255)</f>
        <v>120</v>
      </c>
      <c r="F252" s="5">
        <f>(E252+E253-E255)</f>
        <v>120</v>
      </c>
      <c r="G252" s="5">
        <f>(F252+F253-F255)</f>
        <v>120</v>
      </c>
      <c r="H252" s="5">
        <f>(G252+G253-G255)</f>
        <v>120</v>
      </c>
      <c r="I252" s="5">
        <f t="shared" ref="I252:AN252" si="445">(H252+H253-H255+D254)</f>
        <v>120</v>
      </c>
      <c r="J252" s="5">
        <f t="shared" si="445"/>
        <v>120</v>
      </c>
      <c r="K252" s="5">
        <f t="shared" si="445"/>
        <v>120</v>
      </c>
      <c r="L252" s="5">
        <f t="shared" si="445"/>
        <v>120</v>
      </c>
      <c r="M252" s="5">
        <f t="shared" si="445"/>
        <v>120</v>
      </c>
      <c r="N252" s="5">
        <f t="shared" si="445"/>
        <v>40</v>
      </c>
      <c r="O252" s="5">
        <f t="shared" si="445"/>
        <v>40</v>
      </c>
      <c r="P252" s="5">
        <f t="shared" si="445"/>
        <v>40</v>
      </c>
      <c r="Q252" s="5">
        <f t="shared" si="445"/>
        <v>40</v>
      </c>
      <c r="R252" s="5">
        <f t="shared" si="445"/>
        <v>40</v>
      </c>
      <c r="S252" s="5">
        <f t="shared" si="445"/>
        <v>40</v>
      </c>
      <c r="T252" s="5">
        <f t="shared" si="445"/>
        <v>40</v>
      </c>
      <c r="U252" s="5">
        <f t="shared" si="445"/>
        <v>40</v>
      </c>
      <c r="V252" s="5">
        <f t="shared" si="445"/>
        <v>40</v>
      </c>
      <c r="W252" s="5">
        <f t="shared" si="445"/>
        <v>40</v>
      </c>
      <c r="X252" s="5">
        <f t="shared" si="445"/>
        <v>40</v>
      </c>
      <c r="Y252" s="5">
        <f t="shared" si="445"/>
        <v>40</v>
      </c>
      <c r="Z252" s="5">
        <f t="shared" si="445"/>
        <v>40</v>
      </c>
      <c r="AA252" s="5">
        <f t="shared" si="445"/>
        <v>40</v>
      </c>
      <c r="AB252" s="5">
        <f t="shared" si="445"/>
        <v>40</v>
      </c>
      <c r="AC252" s="5">
        <f t="shared" si="445"/>
        <v>40</v>
      </c>
      <c r="AD252" s="5">
        <f t="shared" si="445"/>
        <v>20</v>
      </c>
      <c r="AE252" s="5">
        <f t="shared" si="445"/>
        <v>0</v>
      </c>
      <c r="AF252" s="5">
        <f t="shared" si="445"/>
        <v>-20</v>
      </c>
      <c r="AG252" s="5">
        <f t="shared" si="445"/>
        <v>-40</v>
      </c>
      <c r="AH252" s="5">
        <f t="shared" si="445"/>
        <v>-40</v>
      </c>
      <c r="AI252" s="5">
        <f t="shared" si="445"/>
        <v>-40</v>
      </c>
      <c r="AJ252" s="5">
        <f t="shared" si="445"/>
        <v>-40</v>
      </c>
      <c r="AK252" s="5">
        <f t="shared" si="445"/>
        <v>-40</v>
      </c>
      <c r="AL252" s="5">
        <f t="shared" si="445"/>
        <v>-40</v>
      </c>
      <c r="AM252" s="5">
        <f t="shared" si="445"/>
        <v>-40</v>
      </c>
      <c r="AN252" s="5">
        <f t="shared" si="445"/>
        <v>-40</v>
      </c>
      <c r="AO252" s="5">
        <f t="shared" ref="AO252:BT252" si="446">(AN252+AN253-AN255+AJ254)</f>
        <v>-45</v>
      </c>
      <c r="AP252" s="5">
        <f t="shared" si="446"/>
        <v>-50</v>
      </c>
      <c r="AQ252" s="5">
        <f t="shared" si="446"/>
        <v>-55</v>
      </c>
      <c r="AR252" s="5">
        <f t="shared" si="446"/>
        <v>-61</v>
      </c>
      <c r="AS252" s="5">
        <f t="shared" si="446"/>
        <v>-67</v>
      </c>
      <c r="AT252" s="5">
        <f t="shared" si="446"/>
        <v>-72</v>
      </c>
      <c r="AU252" s="5">
        <f t="shared" si="446"/>
        <v>-78</v>
      </c>
      <c r="AV252" s="5">
        <f t="shared" si="446"/>
        <v>-83</v>
      </c>
      <c r="AW252" s="5">
        <f t="shared" si="446"/>
        <v>-88</v>
      </c>
      <c r="AX252" s="5">
        <f t="shared" si="446"/>
        <v>-93</v>
      </c>
      <c r="AY252" s="5">
        <f t="shared" si="446"/>
        <v>-98</v>
      </c>
      <c r="AZ252" s="5">
        <f t="shared" si="446"/>
        <v>-102</v>
      </c>
      <c r="BA252" s="5">
        <f t="shared" si="446"/>
        <v>-106</v>
      </c>
      <c r="BB252" s="5">
        <f t="shared" si="446"/>
        <v>-110</v>
      </c>
      <c r="BC252" s="5">
        <f t="shared" si="446"/>
        <v>-114</v>
      </c>
      <c r="BD252" s="5">
        <f t="shared" si="446"/>
        <v>-118</v>
      </c>
      <c r="BE252" s="5">
        <f t="shared" si="446"/>
        <v>-122</v>
      </c>
      <c r="BF252" s="5">
        <f t="shared" si="446"/>
        <v>-126</v>
      </c>
      <c r="BG252" s="5">
        <f t="shared" si="446"/>
        <v>-130</v>
      </c>
      <c r="BH252" s="5">
        <f t="shared" si="446"/>
        <v>-134</v>
      </c>
      <c r="BI252" s="5">
        <f t="shared" si="446"/>
        <v>-138</v>
      </c>
      <c r="BJ252" s="5">
        <f t="shared" si="446"/>
        <v>-142</v>
      </c>
      <c r="BK252" s="5">
        <f t="shared" si="446"/>
        <v>-146</v>
      </c>
      <c r="BL252" s="5">
        <f t="shared" si="446"/>
        <v>-150</v>
      </c>
      <c r="BM252" s="5">
        <f t="shared" si="446"/>
        <v>-154</v>
      </c>
      <c r="BN252" s="5">
        <f t="shared" si="446"/>
        <v>-158</v>
      </c>
      <c r="BO252" s="5">
        <f t="shared" si="446"/>
        <v>-166</v>
      </c>
      <c r="BP252" s="5">
        <f t="shared" si="446"/>
        <v>-166</v>
      </c>
      <c r="BQ252" s="5">
        <f t="shared" si="446"/>
        <v>-166</v>
      </c>
      <c r="BR252" s="5">
        <f t="shared" si="446"/>
        <v>-166</v>
      </c>
      <c r="BS252" s="5">
        <f t="shared" si="446"/>
        <v>-166</v>
      </c>
      <c r="BT252" s="5">
        <f t="shared" si="446"/>
        <v>-170</v>
      </c>
      <c r="BU252" s="5">
        <f t="shared" ref="BU252:CC252" si="447">(BT252+BT253-BT255+BP254)</f>
        <v>-174</v>
      </c>
      <c r="BV252" s="5">
        <f t="shared" si="447"/>
        <v>-178</v>
      </c>
      <c r="BW252" s="5">
        <f t="shared" si="447"/>
        <v>-182</v>
      </c>
      <c r="BX252" s="5">
        <f t="shared" si="447"/>
        <v>-186</v>
      </c>
      <c r="BY252" s="5">
        <f t="shared" si="447"/>
        <v>-190</v>
      </c>
      <c r="BZ252" s="5">
        <f t="shared" si="447"/>
        <v>-194</v>
      </c>
      <c r="CA252" s="5">
        <f t="shared" si="447"/>
        <v>-198</v>
      </c>
      <c r="CB252" s="5">
        <f t="shared" si="447"/>
        <v>-202</v>
      </c>
      <c r="CC252" s="5">
        <f t="shared" si="447"/>
        <v>-206</v>
      </c>
    </row>
    <row r="253" spans="1:81" x14ac:dyDescent="0.2">
      <c r="A253" s="5" t="s">
        <v>209</v>
      </c>
      <c r="B253" s="5">
        <v>7.7828900000000001</v>
      </c>
      <c r="C253" s="45" t="s">
        <v>39</v>
      </c>
      <c r="D253" s="59">
        <f>IFERROR(VLOOKUP(A252,WIP!$A:$B,2,0),0)</f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</row>
    <row r="254" spans="1:81" x14ac:dyDescent="0.2">
      <c r="A254" s="5" t="s">
        <v>210</v>
      </c>
      <c r="B254" s="5">
        <v>0.218</v>
      </c>
      <c r="C254" s="9" t="s">
        <v>211</v>
      </c>
      <c r="D254" s="60">
        <f>IFERROR(VLOOKUP($A252,Plan!$A:B,D$4,0),0)</f>
        <v>0</v>
      </c>
      <c r="E254" s="60">
        <f>IFERROR(VLOOKUP($A252,Plan!$A:C,E$4,0),0)</f>
        <v>0</v>
      </c>
      <c r="F254" s="60">
        <f>IFERROR(VLOOKUP($A252,Plan!$A:D,F$4,0),0)</f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</row>
    <row r="255" spans="1:81" x14ac:dyDescent="0.2">
      <c r="A255" s="5" t="s">
        <v>212</v>
      </c>
      <c r="B255" s="5">
        <v>3.6999999999999998E-2</v>
      </c>
      <c r="C255" s="9" t="s">
        <v>213</v>
      </c>
      <c r="D255" s="61">
        <f>IFERROR(VLOOKUP($A252,Sales!$A:B,D$2,0),0)</f>
        <v>0</v>
      </c>
      <c r="E255" s="61">
        <f>IFERROR(VLOOKUP($A252,Sales!$A:C,E$2,0),0)</f>
        <v>0</v>
      </c>
      <c r="F255" s="61">
        <f>IFERROR(VLOOKUP($A252,Sales!$A:D,F$2,0),0)</f>
        <v>0</v>
      </c>
      <c r="G255" s="61">
        <f>IFERROR(VLOOKUP($A252,Sales!$A:E,G$2,0),0)</f>
        <v>0</v>
      </c>
      <c r="H255" s="61">
        <f>IFERROR(VLOOKUP($A252,Sales!$A:F,H$2,0),0)</f>
        <v>0</v>
      </c>
      <c r="I255" s="61">
        <f>IFERROR(VLOOKUP($A252,Sales!$A:G,I$2,0),0)</f>
        <v>0</v>
      </c>
      <c r="J255" s="61">
        <f>IFERROR(VLOOKUP($A252,Sales!$A:H,J$2,0),0)</f>
        <v>0</v>
      </c>
      <c r="K255" s="61">
        <f>IFERROR(VLOOKUP($A252,Sales!$A:I,K$2,0),0)</f>
        <v>0</v>
      </c>
      <c r="L255" s="61">
        <f>IFERROR(VLOOKUP($A252,Sales!$A:J,L$2,0),0)</f>
        <v>0</v>
      </c>
      <c r="M255" s="61">
        <f>IFERROR(VLOOKUP($A252,Sales!$A:K,M$2,0),0)</f>
        <v>80</v>
      </c>
      <c r="N255" s="61">
        <f>IFERROR(VLOOKUP($A252,Sales!$A:L,N$2,0),0)</f>
        <v>0</v>
      </c>
      <c r="O255" s="61">
        <f>IFERROR(VLOOKUP($A252,Sales!$A:M,O$2,0),0)</f>
        <v>0</v>
      </c>
      <c r="P255" s="61">
        <f>IFERROR(VLOOKUP($A252,Sales!$A:N,P$2,0),0)</f>
        <v>0</v>
      </c>
      <c r="Q255" s="61">
        <f>IFERROR(VLOOKUP($A252,Sales!$A:O,Q$2,0),0)</f>
        <v>0</v>
      </c>
      <c r="R255" s="61">
        <f>IFERROR(VLOOKUP($A252,Sales!$A:P,R$2,0),0)</f>
        <v>0</v>
      </c>
      <c r="S255" s="61">
        <f>IFERROR(VLOOKUP($A252,Sales!$A:Q,S$2,0),0)</f>
        <v>0</v>
      </c>
      <c r="T255" s="61">
        <f>IFERROR(VLOOKUP($A252,Sales!$A:R,T$2,0),0)</f>
        <v>0</v>
      </c>
      <c r="U255" s="61">
        <f>IFERROR(VLOOKUP($A252,Sales!$A:S,U$2,0),0)</f>
        <v>0</v>
      </c>
      <c r="V255" s="61">
        <f>IFERROR(VLOOKUP($A252,Sales!$A:T,V$2,0),0)</f>
        <v>0</v>
      </c>
      <c r="W255" s="61">
        <f>IFERROR(VLOOKUP($A252,Sales!$A:U,W$2,0),0)</f>
        <v>0</v>
      </c>
      <c r="X255" s="61">
        <f>IFERROR(VLOOKUP($A252,Sales!$A:V,X$2,0),0)</f>
        <v>0</v>
      </c>
      <c r="Y255" s="61">
        <f>IFERROR(VLOOKUP($A252,Sales!$A:W,Y$2,0),0)</f>
        <v>0</v>
      </c>
      <c r="Z255" s="61">
        <f>IFERROR(VLOOKUP($A252,Sales!$A:X,Z$2,0),0)</f>
        <v>0</v>
      </c>
      <c r="AA255" s="61">
        <f>IFERROR(VLOOKUP($A252,Sales!$A:Y,AA$2,0),0)</f>
        <v>0</v>
      </c>
      <c r="AB255" s="61">
        <f>IFERROR(VLOOKUP($A252,Sales!$A:Z,AB$2,0),0)</f>
        <v>0</v>
      </c>
      <c r="AC255" s="61">
        <f>IFERROR(VLOOKUP($A252,Sales!$A:AA,AC$2,0),0)</f>
        <v>20</v>
      </c>
      <c r="AD255" s="61">
        <f>IFERROR(VLOOKUP($A252,Sales!$A:AB,AD$2,0),0)</f>
        <v>20</v>
      </c>
      <c r="AE255" s="61">
        <f>IFERROR(VLOOKUP($A252,Sales!$A:AC,AE$2,0),0)</f>
        <v>20</v>
      </c>
      <c r="AF255" s="61">
        <f>IFERROR(VLOOKUP($A252,Sales!$A:AD,AF$2,0),0)</f>
        <v>20</v>
      </c>
      <c r="AG255" s="61">
        <f>IFERROR(VLOOKUP($A252,Sales!$A:AE,AG$2,0),0)</f>
        <v>0</v>
      </c>
      <c r="AH255" s="61">
        <f>IFERROR(VLOOKUP($A252,Sales!$A:AF,AH$2,0),0)</f>
        <v>0</v>
      </c>
      <c r="AI255" s="61">
        <f>IFERROR(VLOOKUP($A252,Sales!$A:AG,AI$2,0),0)</f>
        <v>0</v>
      </c>
      <c r="AJ255" s="61">
        <f>IFERROR(VLOOKUP($A252,Sales!$A:AH,AJ$2,0),0)</f>
        <v>0</v>
      </c>
      <c r="AK255" s="74">
        <f t="shared" ref="AK255:CC255" si="448">CEILING(AK$5*$B251,1)</f>
        <v>0</v>
      </c>
      <c r="AL255" s="74">
        <f t="shared" si="448"/>
        <v>0</v>
      </c>
      <c r="AM255" s="74">
        <f t="shared" si="448"/>
        <v>0</v>
      </c>
      <c r="AN255" s="74">
        <f t="shared" si="448"/>
        <v>5</v>
      </c>
      <c r="AO255" s="74">
        <f t="shared" si="448"/>
        <v>5</v>
      </c>
      <c r="AP255" s="74">
        <f t="shared" si="448"/>
        <v>5</v>
      </c>
      <c r="AQ255" s="74">
        <f t="shared" si="448"/>
        <v>6</v>
      </c>
      <c r="AR255" s="74">
        <f t="shared" si="448"/>
        <v>6</v>
      </c>
      <c r="AS255" s="74">
        <f t="shared" si="448"/>
        <v>5</v>
      </c>
      <c r="AT255" s="74">
        <f t="shared" si="448"/>
        <v>6</v>
      </c>
      <c r="AU255" s="74">
        <f t="shared" si="448"/>
        <v>5</v>
      </c>
      <c r="AV255" s="74">
        <f t="shared" si="448"/>
        <v>5</v>
      </c>
      <c r="AW255" s="74">
        <f t="shared" si="448"/>
        <v>5</v>
      </c>
      <c r="AX255" s="74">
        <f t="shared" si="448"/>
        <v>5</v>
      </c>
      <c r="AY255" s="74">
        <f t="shared" si="448"/>
        <v>4</v>
      </c>
      <c r="AZ255" s="74">
        <f t="shared" si="448"/>
        <v>4</v>
      </c>
      <c r="BA255" s="74">
        <f t="shared" si="448"/>
        <v>4</v>
      </c>
      <c r="BB255" s="74">
        <f t="shared" si="448"/>
        <v>4</v>
      </c>
      <c r="BC255" s="74">
        <f t="shared" si="448"/>
        <v>4</v>
      </c>
      <c r="BD255" s="74">
        <f t="shared" si="448"/>
        <v>4</v>
      </c>
      <c r="BE255" s="74">
        <f t="shared" si="448"/>
        <v>4</v>
      </c>
      <c r="BF255" s="74">
        <f t="shared" si="448"/>
        <v>4</v>
      </c>
      <c r="BG255" s="74">
        <f t="shared" si="448"/>
        <v>4</v>
      </c>
      <c r="BH255" s="74">
        <f t="shared" si="448"/>
        <v>4</v>
      </c>
      <c r="BI255" s="74">
        <f t="shared" si="448"/>
        <v>4</v>
      </c>
      <c r="BJ255" s="74">
        <f t="shared" si="448"/>
        <v>4</v>
      </c>
      <c r="BK255" s="74">
        <f t="shared" si="448"/>
        <v>4</v>
      </c>
      <c r="BL255" s="74">
        <f t="shared" si="448"/>
        <v>4</v>
      </c>
      <c r="BM255" s="74">
        <f t="shared" si="448"/>
        <v>4</v>
      </c>
      <c r="BN255" s="74">
        <f t="shared" si="448"/>
        <v>8</v>
      </c>
      <c r="BO255" s="74">
        <f t="shared" si="448"/>
        <v>0</v>
      </c>
      <c r="BP255" s="74">
        <f t="shared" si="448"/>
        <v>0</v>
      </c>
      <c r="BQ255" s="74">
        <f t="shared" si="448"/>
        <v>0</v>
      </c>
      <c r="BR255" s="74">
        <f t="shared" si="448"/>
        <v>0</v>
      </c>
      <c r="BS255" s="74">
        <f t="shared" si="448"/>
        <v>4</v>
      </c>
      <c r="BT255" s="74">
        <f t="shared" si="448"/>
        <v>4</v>
      </c>
      <c r="BU255" s="74">
        <f t="shared" si="448"/>
        <v>4</v>
      </c>
      <c r="BV255" s="74">
        <f t="shared" si="448"/>
        <v>4</v>
      </c>
      <c r="BW255" s="74">
        <f t="shared" si="448"/>
        <v>4</v>
      </c>
      <c r="BX255" s="74">
        <f t="shared" si="448"/>
        <v>4</v>
      </c>
      <c r="BY255" s="74">
        <f t="shared" si="448"/>
        <v>4</v>
      </c>
      <c r="BZ255" s="74">
        <f t="shared" si="448"/>
        <v>4</v>
      </c>
      <c r="CA255" s="74">
        <f t="shared" si="448"/>
        <v>4</v>
      </c>
      <c r="CB255" s="74">
        <f t="shared" si="448"/>
        <v>4</v>
      </c>
      <c r="CC255" s="74">
        <f t="shared" si="448"/>
        <v>4</v>
      </c>
    </row>
    <row r="256" spans="1:81" x14ac:dyDescent="0.2">
      <c r="A256" s="5" t="s">
        <v>214</v>
      </c>
      <c r="B256" s="5">
        <v>0.255</v>
      </c>
      <c r="C256" s="46" t="s">
        <v>215</v>
      </c>
      <c r="D256" s="11">
        <f t="shared" ref="D256:AI256" si="449">IF(D255=0,0, ROUND(D252 * 1/D255* D$13,1))</f>
        <v>0</v>
      </c>
      <c r="E256" s="11">
        <f t="shared" si="449"/>
        <v>0</v>
      </c>
      <c r="F256" s="11">
        <f t="shared" si="449"/>
        <v>0</v>
      </c>
      <c r="G256" s="11">
        <f t="shared" si="449"/>
        <v>0</v>
      </c>
      <c r="H256" s="11">
        <f t="shared" si="449"/>
        <v>0</v>
      </c>
      <c r="I256" s="11">
        <f t="shared" si="449"/>
        <v>0</v>
      </c>
      <c r="J256" s="11">
        <f t="shared" si="449"/>
        <v>0</v>
      </c>
      <c r="K256" s="11">
        <f t="shared" si="449"/>
        <v>0</v>
      </c>
      <c r="L256" s="11">
        <f t="shared" si="449"/>
        <v>0</v>
      </c>
      <c r="M256" s="11">
        <f t="shared" si="449"/>
        <v>7.5</v>
      </c>
      <c r="N256" s="11">
        <f t="shared" si="449"/>
        <v>0</v>
      </c>
      <c r="O256" s="11">
        <f t="shared" si="449"/>
        <v>0</v>
      </c>
      <c r="P256" s="11">
        <f t="shared" si="449"/>
        <v>0</v>
      </c>
      <c r="Q256" s="11">
        <f t="shared" si="449"/>
        <v>0</v>
      </c>
      <c r="R256" s="11">
        <f t="shared" si="449"/>
        <v>0</v>
      </c>
      <c r="S256" s="11">
        <f t="shared" si="449"/>
        <v>0</v>
      </c>
      <c r="T256" s="11">
        <f t="shared" si="449"/>
        <v>0</v>
      </c>
      <c r="U256" s="11">
        <f t="shared" si="449"/>
        <v>0</v>
      </c>
      <c r="V256" s="11">
        <f t="shared" si="449"/>
        <v>0</v>
      </c>
      <c r="W256" s="11">
        <f t="shared" si="449"/>
        <v>0</v>
      </c>
      <c r="X256" s="11">
        <f t="shared" si="449"/>
        <v>0</v>
      </c>
      <c r="Y256" s="11">
        <f t="shared" si="449"/>
        <v>0</v>
      </c>
      <c r="Z256" s="11">
        <f t="shared" si="449"/>
        <v>0</v>
      </c>
      <c r="AA256" s="11">
        <f t="shared" si="449"/>
        <v>0</v>
      </c>
      <c r="AB256" s="11">
        <f t="shared" si="449"/>
        <v>0</v>
      </c>
      <c r="AC256" s="11">
        <f t="shared" si="449"/>
        <v>10</v>
      </c>
      <c r="AD256" s="11">
        <f t="shared" si="449"/>
        <v>5</v>
      </c>
      <c r="AE256" s="11">
        <f t="shared" si="449"/>
        <v>0</v>
      </c>
      <c r="AF256" s="11">
        <f t="shared" si="449"/>
        <v>-5</v>
      </c>
      <c r="AG256" s="11">
        <f t="shared" si="449"/>
        <v>0</v>
      </c>
      <c r="AH256" s="11">
        <f t="shared" si="449"/>
        <v>0</v>
      </c>
      <c r="AI256" s="11">
        <f t="shared" si="449"/>
        <v>0</v>
      </c>
      <c r="AJ256" s="11">
        <f t="shared" ref="AJ256:BO256" si="450">IF(AJ255=0,0, ROUND(AJ252 * 1/AJ255* AJ$13,1))</f>
        <v>0</v>
      </c>
      <c r="AK256" s="11">
        <f t="shared" si="450"/>
        <v>0</v>
      </c>
      <c r="AL256" s="11">
        <f t="shared" si="450"/>
        <v>0</v>
      </c>
      <c r="AM256" s="11">
        <f t="shared" si="450"/>
        <v>0</v>
      </c>
      <c r="AN256" s="11">
        <f t="shared" si="450"/>
        <v>-40</v>
      </c>
      <c r="AO256" s="11">
        <f t="shared" si="450"/>
        <v>-45</v>
      </c>
      <c r="AP256" s="11">
        <f t="shared" si="450"/>
        <v>-50</v>
      </c>
      <c r="AQ256" s="11">
        <f t="shared" si="450"/>
        <v>-45.8</v>
      </c>
      <c r="AR256" s="11">
        <f t="shared" si="450"/>
        <v>-50.8</v>
      </c>
      <c r="AS256" s="11">
        <f t="shared" si="450"/>
        <v>-67</v>
      </c>
      <c r="AT256" s="11">
        <f t="shared" si="450"/>
        <v>-60</v>
      </c>
      <c r="AU256" s="11">
        <f t="shared" si="450"/>
        <v>-78</v>
      </c>
      <c r="AV256" s="11">
        <f t="shared" si="450"/>
        <v>-83</v>
      </c>
      <c r="AW256" s="11">
        <f t="shared" si="450"/>
        <v>-88</v>
      </c>
      <c r="AX256" s="11">
        <f t="shared" si="450"/>
        <v>-93</v>
      </c>
      <c r="AY256" s="11">
        <f t="shared" si="450"/>
        <v>-122.5</v>
      </c>
      <c r="AZ256" s="11">
        <f t="shared" si="450"/>
        <v>-127.5</v>
      </c>
      <c r="BA256" s="11">
        <f t="shared" si="450"/>
        <v>-132.5</v>
      </c>
      <c r="BB256" s="11">
        <f t="shared" si="450"/>
        <v>-137.5</v>
      </c>
      <c r="BC256" s="11">
        <f t="shared" si="450"/>
        <v>-142.5</v>
      </c>
      <c r="BD256" s="11">
        <f t="shared" si="450"/>
        <v>-147.5</v>
      </c>
      <c r="BE256" s="11">
        <f t="shared" si="450"/>
        <v>-152.5</v>
      </c>
      <c r="BF256" s="11">
        <f t="shared" si="450"/>
        <v>-157.5</v>
      </c>
      <c r="BG256" s="11">
        <f t="shared" si="450"/>
        <v>-162.5</v>
      </c>
      <c r="BH256" s="11">
        <f t="shared" si="450"/>
        <v>-167.5</v>
      </c>
      <c r="BI256" s="11">
        <f t="shared" si="450"/>
        <v>-172.5</v>
      </c>
      <c r="BJ256" s="11">
        <f t="shared" si="450"/>
        <v>-177.5</v>
      </c>
      <c r="BK256" s="11">
        <f t="shared" si="450"/>
        <v>-182.5</v>
      </c>
      <c r="BL256" s="11">
        <f t="shared" si="450"/>
        <v>-187.5</v>
      </c>
      <c r="BM256" s="11">
        <f t="shared" si="450"/>
        <v>-192.5</v>
      </c>
      <c r="BN256" s="11">
        <f t="shared" si="450"/>
        <v>-98.8</v>
      </c>
      <c r="BO256" s="11">
        <f t="shared" si="450"/>
        <v>0</v>
      </c>
      <c r="BP256" s="11">
        <f t="shared" ref="BP256:CC256" si="451">IF(BP255=0,0, ROUND(BP252 * 1/BP255* BP$13,1))</f>
        <v>0</v>
      </c>
      <c r="BQ256" s="11">
        <f t="shared" si="451"/>
        <v>0</v>
      </c>
      <c r="BR256" s="11">
        <f t="shared" si="451"/>
        <v>0</v>
      </c>
      <c r="BS256" s="11">
        <f t="shared" si="451"/>
        <v>-207.5</v>
      </c>
      <c r="BT256" s="11">
        <f t="shared" si="451"/>
        <v>-212.5</v>
      </c>
      <c r="BU256" s="11">
        <f t="shared" si="451"/>
        <v>-217.5</v>
      </c>
      <c r="BV256" s="11">
        <f t="shared" si="451"/>
        <v>-222.5</v>
      </c>
      <c r="BW256" s="11">
        <f t="shared" si="451"/>
        <v>-227.5</v>
      </c>
      <c r="BX256" s="11">
        <f t="shared" si="451"/>
        <v>-232.5</v>
      </c>
      <c r="BY256" s="11">
        <f t="shared" si="451"/>
        <v>-237.5</v>
      </c>
      <c r="BZ256" s="11">
        <f t="shared" si="451"/>
        <v>-242.5</v>
      </c>
      <c r="CA256" s="11">
        <f t="shared" si="451"/>
        <v>-247.5</v>
      </c>
      <c r="CB256" s="11">
        <f t="shared" si="451"/>
        <v>-252.5</v>
      </c>
      <c r="CC256" s="11">
        <f t="shared" si="451"/>
        <v>-257.5</v>
      </c>
    </row>
    <row r="257" spans="1:81" x14ac:dyDescent="0.2">
      <c r="A257">
        <v>17</v>
      </c>
      <c r="B257">
        <v>1</v>
      </c>
      <c r="C257" s="8">
        <v>5.9956800000000001</v>
      </c>
      <c r="D257">
        <f t="shared" ref="D257:AI257" si="452">D254/$B257</f>
        <v>0</v>
      </c>
      <c r="E257">
        <f t="shared" si="452"/>
        <v>0</v>
      </c>
      <c r="F257">
        <f t="shared" si="452"/>
        <v>0</v>
      </c>
      <c r="G257">
        <f t="shared" si="452"/>
        <v>0</v>
      </c>
      <c r="H257">
        <f t="shared" si="452"/>
        <v>0</v>
      </c>
      <c r="I257">
        <f t="shared" si="452"/>
        <v>0</v>
      </c>
      <c r="J257">
        <f t="shared" si="452"/>
        <v>0</v>
      </c>
      <c r="K257">
        <f t="shared" si="452"/>
        <v>0</v>
      </c>
      <c r="L257">
        <f t="shared" si="452"/>
        <v>0</v>
      </c>
      <c r="M257">
        <f t="shared" si="452"/>
        <v>0</v>
      </c>
      <c r="N257">
        <f t="shared" si="452"/>
        <v>0</v>
      </c>
      <c r="O257">
        <f t="shared" si="452"/>
        <v>0</v>
      </c>
      <c r="P257">
        <f t="shared" si="452"/>
        <v>0</v>
      </c>
      <c r="Q257">
        <f t="shared" si="452"/>
        <v>0</v>
      </c>
      <c r="R257">
        <f t="shared" si="452"/>
        <v>0</v>
      </c>
      <c r="S257">
        <f t="shared" si="452"/>
        <v>0</v>
      </c>
      <c r="T257">
        <f t="shared" si="452"/>
        <v>0</v>
      </c>
      <c r="U257">
        <f t="shared" si="452"/>
        <v>0</v>
      </c>
      <c r="V257">
        <f t="shared" si="452"/>
        <v>0</v>
      </c>
      <c r="W257">
        <f t="shared" si="452"/>
        <v>0</v>
      </c>
      <c r="X257">
        <f t="shared" si="452"/>
        <v>0</v>
      </c>
      <c r="Y257">
        <f t="shared" si="452"/>
        <v>0</v>
      </c>
      <c r="Z257">
        <f t="shared" si="452"/>
        <v>0</v>
      </c>
      <c r="AA257">
        <f t="shared" si="452"/>
        <v>0</v>
      </c>
      <c r="AB257">
        <f t="shared" si="452"/>
        <v>0</v>
      </c>
      <c r="AC257">
        <f t="shared" si="452"/>
        <v>0</v>
      </c>
      <c r="AD257">
        <f t="shared" si="452"/>
        <v>0</v>
      </c>
      <c r="AE257">
        <f t="shared" si="452"/>
        <v>0</v>
      </c>
      <c r="AF257">
        <f t="shared" si="452"/>
        <v>0</v>
      </c>
      <c r="AG257">
        <f t="shared" si="452"/>
        <v>0</v>
      </c>
      <c r="AH257">
        <f t="shared" si="452"/>
        <v>0</v>
      </c>
      <c r="AI257">
        <f t="shared" si="452"/>
        <v>0</v>
      </c>
      <c r="AJ257">
        <f t="shared" ref="AJ257:BO257" si="453">AJ254/$B257</f>
        <v>0</v>
      </c>
      <c r="AK257">
        <f t="shared" si="453"/>
        <v>0</v>
      </c>
      <c r="AL257">
        <f t="shared" si="453"/>
        <v>0</v>
      </c>
      <c r="AM257">
        <f t="shared" si="453"/>
        <v>0</v>
      </c>
      <c r="AN257">
        <f t="shared" si="453"/>
        <v>0</v>
      </c>
      <c r="AO257">
        <f t="shared" si="453"/>
        <v>0</v>
      </c>
      <c r="AP257">
        <f t="shared" si="453"/>
        <v>0</v>
      </c>
      <c r="AQ257">
        <f t="shared" si="453"/>
        <v>0</v>
      </c>
      <c r="AR257">
        <f t="shared" si="453"/>
        <v>0</v>
      </c>
      <c r="AS257">
        <f t="shared" si="453"/>
        <v>0</v>
      </c>
      <c r="AT257">
        <f t="shared" si="453"/>
        <v>0</v>
      </c>
      <c r="AU257">
        <f t="shared" si="453"/>
        <v>0</v>
      </c>
      <c r="AV257">
        <f t="shared" si="453"/>
        <v>0</v>
      </c>
      <c r="AW257">
        <f t="shared" si="453"/>
        <v>0</v>
      </c>
      <c r="AX257">
        <f t="shared" si="453"/>
        <v>0</v>
      </c>
      <c r="AY257">
        <f t="shared" si="453"/>
        <v>0</v>
      </c>
      <c r="AZ257">
        <f t="shared" si="453"/>
        <v>0</v>
      </c>
      <c r="BA257">
        <f t="shared" si="453"/>
        <v>0</v>
      </c>
      <c r="BB257">
        <f t="shared" si="453"/>
        <v>0</v>
      </c>
      <c r="BC257">
        <f t="shared" si="453"/>
        <v>0</v>
      </c>
      <c r="BD257">
        <f t="shared" si="453"/>
        <v>0</v>
      </c>
      <c r="BE257">
        <f t="shared" si="453"/>
        <v>0</v>
      </c>
      <c r="BF257">
        <f t="shared" si="453"/>
        <v>0</v>
      </c>
      <c r="BG257">
        <f t="shared" si="453"/>
        <v>0</v>
      </c>
      <c r="BH257">
        <f t="shared" si="453"/>
        <v>0</v>
      </c>
      <c r="BI257">
        <f t="shared" si="453"/>
        <v>0</v>
      </c>
      <c r="BJ257">
        <f t="shared" si="453"/>
        <v>0</v>
      </c>
      <c r="BK257">
        <f t="shared" si="453"/>
        <v>0</v>
      </c>
      <c r="BL257">
        <f t="shared" si="453"/>
        <v>0</v>
      </c>
      <c r="BM257">
        <f t="shared" si="453"/>
        <v>0</v>
      </c>
      <c r="BN257">
        <f t="shared" si="453"/>
        <v>0</v>
      </c>
      <c r="BO257">
        <f t="shared" si="453"/>
        <v>0</v>
      </c>
      <c r="BP257">
        <f t="shared" ref="BP257:CC257" si="454">BP254/$B257</f>
        <v>0</v>
      </c>
      <c r="BQ257">
        <f t="shared" si="454"/>
        <v>0</v>
      </c>
      <c r="BR257">
        <f t="shared" si="454"/>
        <v>0</v>
      </c>
      <c r="BS257">
        <f t="shared" si="454"/>
        <v>0</v>
      </c>
      <c r="BT257">
        <f t="shared" si="454"/>
        <v>0</v>
      </c>
      <c r="BU257">
        <f t="shared" si="454"/>
        <v>0</v>
      </c>
      <c r="BV257">
        <f t="shared" si="454"/>
        <v>0</v>
      </c>
      <c r="BW257">
        <f t="shared" si="454"/>
        <v>0</v>
      </c>
      <c r="BX257">
        <f t="shared" si="454"/>
        <v>0</v>
      </c>
      <c r="BY257">
        <f t="shared" si="454"/>
        <v>0</v>
      </c>
      <c r="BZ257">
        <f t="shared" si="454"/>
        <v>0</v>
      </c>
      <c r="CA257">
        <f t="shared" si="454"/>
        <v>0</v>
      </c>
      <c r="CB257">
        <f t="shared" si="454"/>
        <v>0</v>
      </c>
      <c r="CC257">
        <f t="shared" si="454"/>
        <v>0</v>
      </c>
    </row>
    <row r="258" spans="1:81" x14ac:dyDescent="0.2">
      <c r="C258" s="9" t="s">
        <v>216</v>
      </c>
      <c r="D258">
        <f t="shared" ref="D258:AI258" si="455">D252-D255</f>
        <v>120</v>
      </c>
      <c r="E258">
        <f t="shared" si="455"/>
        <v>120</v>
      </c>
      <c r="F258">
        <f t="shared" si="455"/>
        <v>120</v>
      </c>
      <c r="G258">
        <f t="shared" si="455"/>
        <v>120</v>
      </c>
      <c r="H258">
        <f t="shared" si="455"/>
        <v>120</v>
      </c>
      <c r="I258">
        <f t="shared" si="455"/>
        <v>120</v>
      </c>
      <c r="J258">
        <f t="shared" si="455"/>
        <v>120</v>
      </c>
      <c r="K258">
        <f t="shared" si="455"/>
        <v>120</v>
      </c>
      <c r="L258">
        <f t="shared" si="455"/>
        <v>120</v>
      </c>
      <c r="M258">
        <f t="shared" si="455"/>
        <v>40</v>
      </c>
      <c r="N258">
        <f t="shared" si="455"/>
        <v>40</v>
      </c>
      <c r="O258">
        <f t="shared" si="455"/>
        <v>40</v>
      </c>
      <c r="P258">
        <f t="shared" si="455"/>
        <v>40</v>
      </c>
      <c r="Q258">
        <f t="shared" si="455"/>
        <v>40</v>
      </c>
      <c r="R258">
        <f t="shared" si="455"/>
        <v>40</v>
      </c>
      <c r="S258">
        <f t="shared" si="455"/>
        <v>40</v>
      </c>
      <c r="T258">
        <f t="shared" si="455"/>
        <v>40</v>
      </c>
      <c r="U258">
        <f t="shared" si="455"/>
        <v>40</v>
      </c>
      <c r="V258">
        <f t="shared" si="455"/>
        <v>40</v>
      </c>
      <c r="W258">
        <f t="shared" si="455"/>
        <v>40</v>
      </c>
      <c r="X258">
        <f t="shared" si="455"/>
        <v>40</v>
      </c>
      <c r="Y258">
        <f t="shared" si="455"/>
        <v>40</v>
      </c>
      <c r="Z258">
        <f t="shared" si="455"/>
        <v>40</v>
      </c>
      <c r="AA258">
        <f t="shared" si="455"/>
        <v>40</v>
      </c>
      <c r="AB258">
        <f t="shared" si="455"/>
        <v>40</v>
      </c>
      <c r="AC258">
        <f t="shared" si="455"/>
        <v>20</v>
      </c>
      <c r="AD258">
        <f t="shared" si="455"/>
        <v>0</v>
      </c>
      <c r="AE258">
        <f t="shared" si="455"/>
        <v>-20</v>
      </c>
      <c r="AF258">
        <f t="shared" si="455"/>
        <v>-40</v>
      </c>
      <c r="AG258">
        <f t="shared" si="455"/>
        <v>-40</v>
      </c>
      <c r="AH258">
        <f t="shared" si="455"/>
        <v>-40</v>
      </c>
      <c r="AI258">
        <f t="shared" si="455"/>
        <v>-40</v>
      </c>
      <c r="AJ258">
        <f t="shared" ref="AJ258:BO258" si="456">AJ252-AJ255</f>
        <v>-40</v>
      </c>
      <c r="AK258">
        <f t="shared" si="456"/>
        <v>-40</v>
      </c>
      <c r="AL258">
        <f t="shared" si="456"/>
        <v>-40</v>
      </c>
      <c r="AM258">
        <f t="shared" si="456"/>
        <v>-40</v>
      </c>
      <c r="AN258">
        <f t="shared" si="456"/>
        <v>-45</v>
      </c>
      <c r="AO258">
        <f t="shared" si="456"/>
        <v>-50</v>
      </c>
      <c r="AP258">
        <f t="shared" si="456"/>
        <v>-55</v>
      </c>
      <c r="AQ258">
        <f t="shared" si="456"/>
        <v>-61</v>
      </c>
      <c r="AR258">
        <f t="shared" si="456"/>
        <v>-67</v>
      </c>
      <c r="AS258">
        <f t="shared" si="456"/>
        <v>-72</v>
      </c>
      <c r="AT258">
        <f t="shared" si="456"/>
        <v>-78</v>
      </c>
      <c r="AU258">
        <f t="shared" si="456"/>
        <v>-83</v>
      </c>
      <c r="AV258">
        <f t="shared" si="456"/>
        <v>-88</v>
      </c>
      <c r="AW258">
        <f t="shared" si="456"/>
        <v>-93</v>
      </c>
      <c r="AX258">
        <f t="shared" si="456"/>
        <v>-98</v>
      </c>
      <c r="AY258">
        <f t="shared" si="456"/>
        <v>-102</v>
      </c>
      <c r="AZ258">
        <f t="shared" si="456"/>
        <v>-106</v>
      </c>
      <c r="BA258">
        <f t="shared" si="456"/>
        <v>-110</v>
      </c>
      <c r="BB258">
        <f t="shared" si="456"/>
        <v>-114</v>
      </c>
      <c r="BC258">
        <f t="shared" si="456"/>
        <v>-118</v>
      </c>
      <c r="BD258">
        <f t="shared" si="456"/>
        <v>-122</v>
      </c>
      <c r="BE258">
        <f t="shared" si="456"/>
        <v>-126</v>
      </c>
      <c r="BF258">
        <f t="shared" si="456"/>
        <v>-130</v>
      </c>
      <c r="BG258">
        <f t="shared" si="456"/>
        <v>-134</v>
      </c>
      <c r="BH258">
        <f t="shared" si="456"/>
        <v>-138</v>
      </c>
      <c r="BI258">
        <f t="shared" si="456"/>
        <v>-142</v>
      </c>
      <c r="BJ258">
        <f t="shared" si="456"/>
        <v>-146</v>
      </c>
      <c r="BK258">
        <f t="shared" si="456"/>
        <v>-150</v>
      </c>
      <c r="BL258">
        <f t="shared" si="456"/>
        <v>-154</v>
      </c>
      <c r="BM258">
        <f t="shared" si="456"/>
        <v>-158</v>
      </c>
      <c r="BN258">
        <f t="shared" si="456"/>
        <v>-166</v>
      </c>
      <c r="BO258">
        <f t="shared" si="456"/>
        <v>-166</v>
      </c>
      <c r="BP258">
        <f t="shared" ref="BP258:CC258" si="457">BP252-BP255</f>
        <v>-166</v>
      </c>
      <c r="BQ258">
        <f t="shared" si="457"/>
        <v>-166</v>
      </c>
      <c r="BR258">
        <f t="shared" si="457"/>
        <v>-166</v>
      </c>
      <c r="BS258">
        <f t="shared" si="457"/>
        <v>-170</v>
      </c>
      <c r="BT258">
        <f t="shared" si="457"/>
        <v>-174</v>
      </c>
      <c r="BU258">
        <f t="shared" si="457"/>
        <v>-178</v>
      </c>
      <c r="BV258">
        <f t="shared" si="457"/>
        <v>-182</v>
      </c>
      <c r="BW258">
        <f t="shared" si="457"/>
        <v>-186</v>
      </c>
      <c r="BX258">
        <f t="shared" si="457"/>
        <v>-190</v>
      </c>
      <c r="BY258">
        <f t="shared" si="457"/>
        <v>-194</v>
      </c>
      <c r="BZ258">
        <f t="shared" si="457"/>
        <v>-198</v>
      </c>
      <c r="CA258">
        <f t="shared" si="457"/>
        <v>-202</v>
      </c>
      <c r="CB258">
        <f t="shared" si="457"/>
        <v>-206</v>
      </c>
      <c r="CC258">
        <f t="shared" si="457"/>
        <v>-210</v>
      </c>
    </row>
    <row r="259" spans="1:81" x14ac:dyDescent="0.2">
      <c r="C259" s="9"/>
    </row>
    <row r="260" spans="1:81" x14ac:dyDescent="0.2">
      <c r="A260" t="s">
        <v>251</v>
      </c>
      <c r="C260" s="47" t="s">
        <v>38</v>
      </c>
      <c r="D260" s="47">
        <f t="shared" ref="D260:AI260" si="458">D14+D21+D28+D35+D42+D49+D56+D63+D70+D77+D84+D91+D98+D105+D112+D119+D126+D133+D140+D147+D154+D161+D168+D175+D182+D189+D196+D203+D210+D217+D224+D231+D238+D245+D252</f>
        <v>23160</v>
      </c>
      <c r="E260" s="47">
        <f t="shared" si="458"/>
        <v>27461</v>
      </c>
      <c r="F260" s="47">
        <f t="shared" si="458"/>
        <v>21501</v>
      </c>
      <c r="G260" s="47">
        <f t="shared" si="458"/>
        <v>18101</v>
      </c>
      <c r="H260" s="47">
        <f t="shared" si="458"/>
        <v>14201</v>
      </c>
      <c r="I260" s="47">
        <f t="shared" si="458"/>
        <v>15765</v>
      </c>
      <c r="J260" s="47">
        <f t="shared" si="458"/>
        <v>14981</v>
      </c>
      <c r="K260" s="47">
        <f t="shared" si="458"/>
        <v>13141</v>
      </c>
      <c r="L260" s="47">
        <f t="shared" si="458"/>
        <v>9421</v>
      </c>
      <c r="M260" s="47">
        <f t="shared" si="458"/>
        <v>4301</v>
      </c>
      <c r="N260" s="47">
        <f t="shared" si="458"/>
        <v>-2199</v>
      </c>
      <c r="O260" s="47">
        <f t="shared" si="458"/>
        <v>-2199</v>
      </c>
      <c r="P260" s="47">
        <f t="shared" si="458"/>
        <v>-2199</v>
      </c>
      <c r="Q260" s="47">
        <f t="shared" si="458"/>
        <v>-2199</v>
      </c>
      <c r="R260" s="47">
        <f t="shared" si="458"/>
        <v>-2199</v>
      </c>
      <c r="S260" s="47">
        <f t="shared" si="458"/>
        <v>-6039</v>
      </c>
      <c r="T260" s="47">
        <f t="shared" si="458"/>
        <v>-9119</v>
      </c>
      <c r="U260" s="47">
        <f t="shared" si="458"/>
        <v>-12779</v>
      </c>
      <c r="V260" s="47">
        <f t="shared" si="458"/>
        <v>-16419</v>
      </c>
      <c r="W260" s="47">
        <f t="shared" si="458"/>
        <v>-20059</v>
      </c>
      <c r="X260" s="47">
        <f t="shared" si="458"/>
        <v>-23699</v>
      </c>
      <c r="Y260" s="47">
        <f t="shared" si="458"/>
        <v>-27299</v>
      </c>
      <c r="Z260" s="47">
        <f t="shared" si="458"/>
        <v>-29869</v>
      </c>
      <c r="AA260" s="47">
        <f t="shared" si="458"/>
        <v>-32439</v>
      </c>
      <c r="AB260" s="47">
        <f t="shared" si="458"/>
        <v>-35009</v>
      </c>
      <c r="AC260" s="47">
        <f t="shared" si="458"/>
        <v>-37559</v>
      </c>
      <c r="AD260" s="47">
        <f t="shared" si="458"/>
        <v>-41299</v>
      </c>
      <c r="AE260" s="47">
        <f t="shared" si="458"/>
        <v>-45039</v>
      </c>
      <c r="AF260" s="47">
        <f t="shared" si="458"/>
        <v>-48779</v>
      </c>
      <c r="AG260" s="47">
        <f t="shared" si="458"/>
        <v>-52519</v>
      </c>
      <c r="AH260" s="47">
        <f t="shared" si="458"/>
        <v>-55899</v>
      </c>
      <c r="AI260" s="47">
        <f t="shared" si="458"/>
        <v>-59769</v>
      </c>
      <c r="AJ260" s="47">
        <f t="shared" ref="AJ260:BO260" si="459">AJ14+AJ21+AJ28+AJ35+AJ42+AJ49+AJ56+AJ63+AJ70+AJ77+AJ84+AJ91+AJ98+AJ105+AJ112+AJ119+AJ126+AJ133+AJ140+AJ147+AJ154+AJ161+AJ168+AJ175+AJ182+AJ189+AJ196+AJ203+AJ210+AJ217+AJ224+AJ231+AJ238+AJ245+AJ252</f>
        <v>-63639</v>
      </c>
      <c r="AK260" s="47">
        <f t="shared" si="459"/>
        <v>-63639</v>
      </c>
      <c r="AL260" s="47">
        <f t="shared" si="459"/>
        <v>-63639</v>
      </c>
      <c r="AM260" s="47">
        <f t="shared" si="459"/>
        <v>-63639</v>
      </c>
      <c r="AN260" s="47">
        <f t="shared" si="459"/>
        <v>-63639</v>
      </c>
      <c r="AO260" s="47">
        <f t="shared" si="459"/>
        <v>-66363</v>
      </c>
      <c r="AP260" s="47">
        <f t="shared" si="459"/>
        <v>-69087</v>
      </c>
      <c r="AQ260" s="47">
        <f t="shared" si="459"/>
        <v>-71811</v>
      </c>
      <c r="AR260" s="47">
        <f t="shared" si="459"/>
        <v>-75097</v>
      </c>
      <c r="AS260" s="47">
        <f t="shared" si="459"/>
        <v>-78383</v>
      </c>
      <c r="AT260" s="47">
        <f t="shared" si="459"/>
        <v>-81014</v>
      </c>
      <c r="AU260" s="47">
        <f t="shared" si="459"/>
        <v>-84300</v>
      </c>
      <c r="AV260" s="47">
        <f t="shared" si="459"/>
        <v>-87420</v>
      </c>
      <c r="AW260" s="47">
        <f t="shared" si="459"/>
        <v>-90540</v>
      </c>
      <c r="AX260" s="47">
        <f t="shared" si="459"/>
        <v>-93660</v>
      </c>
      <c r="AY260" s="47">
        <f t="shared" si="459"/>
        <v>-96780</v>
      </c>
      <c r="AZ260" s="47">
        <f t="shared" si="459"/>
        <v>-99275</v>
      </c>
      <c r="BA260" s="47">
        <f t="shared" si="459"/>
        <v>-101499</v>
      </c>
      <c r="BB260" s="47">
        <f t="shared" si="459"/>
        <v>-103723</v>
      </c>
      <c r="BC260" s="47">
        <f t="shared" si="459"/>
        <v>-105947</v>
      </c>
      <c r="BD260" s="47">
        <f t="shared" si="459"/>
        <v>-108442</v>
      </c>
      <c r="BE260" s="47">
        <f t="shared" si="459"/>
        <v>-110937</v>
      </c>
      <c r="BF260" s="47">
        <f t="shared" si="459"/>
        <v>-113432</v>
      </c>
      <c r="BG260" s="47">
        <f t="shared" si="459"/>
        <v>-115927</v>
      </c>
      <c r="BH260" s="47">
        <f t="shared" si="459"/>
        <v>-118422</v>
      </c>
      <c r="BI260" s="47">
        <f t="shared" si="459"/>
        <v>-120917</v>
      </c>
      <c r="BJ260" s="47">
        <f t="shared" si="459"/>
        <v>-123412</v>
      </c>
      <c r="BK260" s="47">
        <f t="shared" si="459"/>
        <v>-125907</v>
      </c>
      <c r="BL260" s="47">
        <f t="shared" si="459"/>
        <v>-128402</v>
      </c>
      <c r="BM260" s="47">
        <f t="shared" si="459"/>
        <v>-130887</v>
      </c>
      <c r="BN260" s="47">
        <f t="shared" si="459"/>
        <v>-133372</v>
      </c>
      <c r="BO260" s="47">
        <f t="shared" si="459"/>
        <v>-137899</v>
      </c>
      <c r="BP260" s="47">
        <f t="shared" ref="BP260:CC260" si="460">BP14+BP21+BP28+BP35+BP42+BP49+BP56+BP63+BP70+BP77+BP84+BP91+BP98+BP105+BP112+BP119+BP126+BP133+BP140+BP147+BP154+BP161+BP168+BP175+BP182+BP189+BP196+BP203+BP210+BP217+BP224+BP231+BP238+BP245+BP252</f>
        <v>-137899</v>
      </c>
      <c r="BQ260" s="47">
        <f t="shared" si="460"/>
        <v>-137899</v>
      </c>
      <c r="BR260" s="47">
        <f t="shared" si="460"/>
        <v>-137899</v>
      </c>
      <c r="BS260" s="47">
        <f t="shared" si="460"/>
        <v>-137899</v>
      </c>
      <c r="BT260" s="47">
        <f t="shared" si="460"/>
        <v>-139951</v>
      </c>
      <c r="BU260" s="47">
        <f t="shared" si="460"/>
        <v>-142003</v>
      </c>
      <c r="BV260" s="47">
        <f t="shared" si="460"/>
        <v>-144055</v>
      </c>
      <c r="BW260" s="47">
        <f t="shared" si="460"/>
        <v>-146107</v>
      </c>
      <c r="BX260" s="47">
        <f t="shared" si="460"/>
        <v>-148159</v>
      </c>
      <c r="BY260" s="47">
        <f t="shared" si="460"/>
        <v>-150211</v>
      </c>
      <c r="BZ260" s="47">
        <f t="shared" si="460"/>
        <v>-152263</v>
      </c>
      <c r="CA260" s="47">
        <f t="shared" si="460"/>
        <v>-154315</v>
      </c>
      <c r="CB260" s="47">
        <f t="shared" si="460"/>
        <v>-156367</v>
      </c>
      <c r="CC260" s="47">
        <f t="shared" si="460"/>
        <v>-158419</v>
      </c>
    </row>
    <row r="261" spans="1:81" x14ac:dyDescent="0.2">
      <c r="C261" s="47" t="s">
        <v>39</v>
      </c>
      <c r="D261" s="47">
        <f t="shared" ref="D261:AI261" si="461">D15+D22+D29+D36+D43+D50+D57+D64+D71+D78+D85+D92+D99+D106+D113+D120+D127+D134+D141+D148+D155+D162+D169+D176+D183+D190+D197+D204+D211+D218+D225+D232+D239+D246+D253</f>
        <v>4541</v>
      </c>
      <c r="E261" s="47">
        <f t="shared" si="461"/>
        <v>0</v>
      </c>
      <c r="F261" s="47">
        <f t="shared" si="461"/>
        <v>0</v>
      </c>
      <c r="G261" s="47">
        <f t="shared" si="461"/>
        <v>0</v>
      </c>
      <c r="H261" s="47">
        <f t="shared" si="461"/>
        <v>0</v>
      </c>
      <c r="I261" s="47">
        <f t="shared" si="461"/>
        <v>0</v>
      </c>
      <c r="J261" s="47">
        <f t="shared" si="461"/>
        <v>0</v>
      </c>
      <c r="K261" s="47">
        <f t="shared" si="461"/>
        <v>0</v>
      </c>
      <c r="L261" s="47">
        <f t="shared" si="461"/>
        <v>0</v>
      </c>
      <c r="M261" s="47">
        <f t="shared" si="461"/>
        <v>0</v>
      </c>
      <c r="N261" s="47">
        <f t="shared" si="461"/>
        <v>0</v>
      </c>
      <c r="O261" s="47">
        <f t="shared" si="461"/>
        <v>0</v>
      </c>
      <c r="P261" s="47">
        <f t="shared" si="461"/>
        <v>0</v>
      </c>
      <c r="Q261" s="47">
        <f t="shared" si="461"/>
        <v>0</v>
      </c>
      <c r="R261" s="47">
        <f t="shared" si="461"/>
        <v>0</v>
      </c>
      <c r="S261" s="47">
        <f t="shared" si="461"/>
        <v>0</v>
      </c>
      <c r="T261" s="47">
        <f t="shared" si="461"/>
        <v>0</v>
      </c>
      <c r="U261" s="47">
        <f t="shared" si="461"/>
        <v>0</v>
      </c>
      <c r="V261" s="47">
        <f t="shared" si="461"/>
        <v>0</v>
      </c>
      <c r="W261" s="47">
        <f t="shared" si="461"/>
        <v>0</v>
      </c>
      <c r="X261" s="47">
        <f t="shared" si="461"/>
        <v>0</v>
      </c>
      <c r="Y261" s="47">
        <f t="shared" si="461"/>
        <v>0</v>
      </c>
      <c r="Z261" s="47">
        <f t="shared" si="461"/>
        <v>0</v>
      </c>
      <c r="AA261" s="47">
        <f t="shared" si="461"/>
        <v>0</v>
      </c>
      <c r="AB261" s="47">
        <f t="shared" si="461"/>
        <v>0</v>
      </c>
      <c r="AC261" s="47">
        <f t="shared" si="461"/>
        <v>0</v>
      </c>
      <c r="AD261" s="47">
        <f t="shared" si="461"/>
        <v>0</v>
      </c>
      <c r="AE261" s="47">
        <f t="shared" si="461"/>
        <v>0</v>
      </c>
      <c r="AF261" s="47">
        <f t="shared" si="461"/>
        <v>0</v>
      </c>
      <c r="AG261" s="47">
        <f t="shared" si="461"/>
        <v>0</v>
      </c>
      <c r="AH261" s="47">
        <f t="shared" si="461"/>
        <v>0</v>
      </c>
      <c r="AI261" s="47">
        <f t="shared" si="461"/>
        <v>0</v>
      </c>
      <c r="AJ261" s="47">
        <f t="shared" ref="AJ261:BO261" si="462">AJ15+AJ22+AJ29+AJ36+AJ43+AJ50+AJ57+AJ64+AJ71+AJ78+AJ85+AJ92+AJ99+AJ106+AJ113+AJ120+AJ127+AJ134+AJ141+AJ148+AJ155+AJ162+AJ169+AJ176+AJ183+AJ190+AJ197+AJ204+AJ211+AJ218+AJ225+AJ232+AJ239+AJ246+AJ253</f>
        <v>0</v>
      </c>
      <c r="AK261" s="47">
        <f t="shared" si="462"/>
        <v>0</v>
      </c>
      <c r="AL261" s="47">
        <f t="shared" si="462"/>
        <v>0</v>
      </c>
      <c r="AM261" s="47">
        <f t="shared" si="462"/>
        <v>0</v>
      </c>
      <c r="AN261" s="47">
        <f t="shared" si="462"/>
        <v>0</v>
      </c>
      <c r="AO261" s="47">
        <f t="shared" si="462"/>
        <v>0</v>
      </c>
      <c r="AP261" s="47">
        <f t="shared" si="462"/>
        <v>0</v>
      </c>
      <c r="AQ261" s="47">
        <f t="shared" si="462"/>
        <v>0</v>
      </c>
      <c r="AR261" s="47">
        <f t="shared" si="462"/>
        <v>0</v>
      </c>
      <c r="AS261" s="47">
        <f t="shared" si="462"/>
        <v>0</v>
      </c>
      <c r="AT261" s="47">
        <f t="shared" si="462"/>
        <v>0</v>
      </c>
      <c r="AU261" s="47">
        <f t="shared" si="462"/>
        <v>0</v>
      </c>
      <c r="AV261" s="47">
        <f t="shared" si="462"/>
        <v>0</v>
      </c>
      <c r="AW261" s="47">
        <f t="shared" si="462"/>
        <v>0</v>
      </c>
      <c r="AX261" s="47">
        <f t="shared" si="462"/>
        <v>0</v>
      </c>
      <c r="AY261" s="47">
        <f t="shared" si="462"/>
        <v>0</v>
      </c>
      <c r="AZ261" s="47">
        <f t="shared" si="462"/>
        <v>0</v>
      </c>
      <c r="BA261" s="47">
        <f t="shared" si="462"/>
        <v>0</v>
      </c>
      <c r="BB261" s="47">
        <f t="shared" si="462"/>
        <v>0</v>
      </c>
      <c r="BC261" s="47">
        <f t="shared" si="462"/>
        <v>0</v>
      </c>
      <c r="BD261" s="47">
        <f t="shared" si="462"/>
        <v>0</v>
      </c>
      <c r="BE261" s="47">
        <f t="shared" si="462"/>
        <v>0</v>
      </c>
      <c r="BF261" s="47">
        <f t="shared" si="462"/>
        <v>0</v>
      </c>
      <c r="BG261" s="47">
        <f t="shared" si="462"/>
        <v>0</v>
      </c>
      <c r="BH261" s="47">
        <f t="shared" si="462"/>
        <v>0</v>
      </c>
      <c r="BI261" s="47">
        <f t="shared" si="462"/>
        <v>0</v>
      </c>
      <c r="BJ261" s="47">
        <f t="shared" si="462"/>
        <v>0</v>
      </c>
      <c r="BK261" s="47">
        <f t="shared" si="462"/>
        <v>0</v>
      </c>
      <c r="BL261" s="47">
        <f t="shared" si="462"/>
        <v>0</v>
      </c>
      <c r="BM261" s="47">
        <f t="shared" si="462"/>
        <v>0</v>
      </c>
      <c r="BN261" s="47">
        <f t="shared" si="462"/>
        <v>0</v>
      </c>
      <c r="BO261" s="47">
        <f t="shared" si="462"/>
        <v>0</v>
      </c>
      <c r="BP261" s="47">
        <f t="shared" ref="BP261:CC261" si="463">BP15+BP22+BP29+BP36+BP43+BP50+BP57+BP64+BP71+BP78+BP85+BP92+BP99+BP106+BP113+BP120+BP127+BP134+BP141+BP148+BP155+BP162+BP169+BP176+BP183+BP190+BP197+BP204+BP211+BP218+BP225+BP232+BP239+BP246+BP253</f>
        <v>0</v>
      </c>
      <c r="BQ261" s="47">
        <f t="shared" si="463"/>
        <v>0</v>
      </c>
      <c r="BR261" s="47">
        <f t="shared" si="463"/>
        <v>0</v>
      </c>
      <c r="BS261" s="47">
        <f t="shared" si="463"/>
        <v>0</v>
      </c>
      <c r="BT261" s="47">
        <f t="shared" si="463"/>
        <v>0</v>
      </c>
      <c r="BU261" s="47">
        <f t="shared" si="463"/>
        <v>0</v>
      </c>
      <c r="BV261" s="47">
        <f t="shared" si="463"/>
        <v>0</v>
      </c>
      <c r="BW261" s="47">
        <f t="shared" si="463"/>
        <v>0</v>
      </c>
      <c r="BX261" s="47">
        <f t="shared" si="463"/>
        <v>0</v>
      </c>
      <c r="BY261" s="47">
        <f t="shared" si="463"/>
        <v>0</v>
      </c>
      <c r="BZ261" s="47">
        <f t="shared" si="463"/>
        <v>0</v>
      </c>
      <c r="CA261" s="47">
        <f t="shared" si="463"/>
        <v>0</v>
      </c>
      <c r="CB261" s="47">
        <f t="shared" si="463"/>
        <v>0</v>
      </c>
      <c r="CC261" s="47">
        <f t="shared" si="463"/>
        <v>0</v>
      </c>
    </row>
    <row r="262" spans="1:81" x14ac:dyDescent="0.2">
      <c r="C262" s="47" t="s">
        <v>211</v>
      </c>
      <c r="D262" s="47">
        <f t="shared" ref="D262:AI262" si="464">D16+D23+D30+D37+D44+D51+D58+D65+D72+D79+D86+D93+D100+D107+D114+D121+D128+D135+D142+D149+D156+D163+D170+D177+D184+D191+D198+D205+D212+D219+D226+D233+D240+D247+D254</f>
        <v>5680</v>
      </c>
      <c r="E262" s="47">
        <f t="shared" si="464"/>
        <v>3476</v>
      </c>
      <c r="F262" s="47">
        <f t="shared" si="464"/>
        <v>1720</v>
      </c>
      <c r="G262" s="47">
        <f t="shared" si="464"/>
        <v>0</v>
      </c>
      <c r="H262" s="47">
        <f t="shared" si="464"/>
        <v>0</v>
      </c>
      <c r="I262" s="47">
        <f t="shared" si="464"/>
        <v>0</v>
      </c>
      <c r="J262" s="47">
        <f t="shared" si="464"/>
        <v>0</v>
      </c>
      <c r="K262" s="47">
        <f t="shared" si="464"/>
        <v>0</v>
      </c>
      <c r="L262" s="47">
        <f t="shared" si="464"/>
        <v>0</v>
      </c>
      <c r="M262" s="47">
        <f t="shared" si="464"/>
        <v>0</v>
      </c>
      <c r="N262" s="47">
        <f t="shared" si="464"/>
        <v>0</v>
      </c>
      <c r="O262" s="47">
        <f t="shared" si="464"/>
        <v>0</v>
      </c>
      <c r="P262" s="47">
        <f t="shared" si="464"/>
        <v>0</v>
      </c>
      <c r="Q262" s="47">
        <f t="shared" si="464"/>
        <v>0</v>
      </c>
      <c r="R262" s="47">
        <f t="shared" si="464"/>
        <v>0</v>
      </c>
      <c r="S262" s="47">
        <f t="shared" si="464"/>
        <v>0</v>
      </c>
      <c r="T262" s="47">
        <f t="shared" si="464"/>
        <v>0</v>
      </c>
      <c r="U262" s="47">
        <f t="shared" si="464"/>
        <v>0</v>
      </c>
      <c r="V262" s="47">
        <f t="shared" si="464"/>
        <v>0</v>
      </c>
      <c r="W262" s="47">
        <f t="shared" si="464"/>
        <v>0</v>
      </c>
      <c r="X262" s="47">
        <f t="shared" si="464"/>
        <v>0</v>
      </c>
      <c r="Y262" s="47">
        <f t="shared" si="464"/>
        <v>0</v>
      </c>
      <c r="Z262" s="47">
        <f t="shared" si="464"/>
        <v>0</v>
      </c>
      <c r="AA262" s="47">
        <f t="shared" si="464"/>
        <v>0</v>
      </c>
      <c r="AB262" s="47">
        <f t="shared" si="464"/>
        <v>0</v>
      </c>
      <c r="AC262" s="47">
        <f t="shared" si="464"/>
        <v>0</v>
      </c>
      <c r="AD262" s="47">
        <f t="shared" si="464"/>
        <v>0</v>
      </c>
      <c r="AE262" s="47">
        <f t="shared" si="464"/>
        <v>0</v>
      </c>
      <c r="AF262" s="47">
        <f t="shared" si="464"/>
        <v>0</v>
      </c>
      <c r="AG262" s="47">
        <f t="shared" si="464"/>
        <v>0</v>
      </c>
      <c r="AH262" s="47">
        <f t="shared" si="464"/>
        <v>0</v>
      </c>
      <c r="AI262" s="47">
        <f t="shared" si="464"/>
        <v>0</v>
      </c>
      <c r="AJ262" s="47">
        <f t="shared" ref="AJ262:BO262" si="465">AJ16+AJ23+AJ30+AJ37+AJ44+AJ51+AJ58+AJ65+AJ72+AJ79+AJ86+AJ93+AJ100+AJ107+AJ114+AJ121+AJ128+AJ135+AJ142+AJ149+AJ156+AJ163+AJ170+AJ177+AJ184+AJ191+AJ198+AJ205+AJ212+AJ219+AJ226+AJ233+AJ240+AJ247+AJ254</f>
        <v>0</v>
      </c>
      <c r="AK262" s="47">
        <f t="shared" si="465"/>
        <v>0</v>
      </c>
      <c r="AL262" s="47">
        <f t="shared" si="465"/>
        <v>0</v>
      </c>
      <c r="AM262" s="47">
        <f t="shared" si="465"/>
        <v>0</v>
      </c>
      <c r="AN262" s="47">
        <f t="shared" si="465"/>
        <v>0</v>
      </c>
      <c r="AO262" s="47">
        <f t="shared" si="465"/>
        <v>0</v>
      </c>
      <c r="AP262" s="47">
        <f t="shared" si="465"/>
        <v>0</v>
      </c>
      <c r="AQ262" s="47">
        <f t="shared" si="465"/>
        <v>0</v>
      </c>
      <c r="AR262" s="47">
        <f t="shared" si="465"/>
        <v>0</v>
      </c>
      <c r="AS262" s="47">
        <f t="shared" si="465"/>
        <v>0</v>
      </c>
      <c r="AT262" s="47">
        <f t="shared" si="465"/>
        <v>0</v>
      </c>
      <c r="AU262" s="47">
        <f t="shared" si="465"/>
        <v>0</v>
      </c>
      <c r="AV262" s="47">
        <f t="shared" si="465"/>
        <v>0</v>
      </c>
      <c r="AW262" s="47">
        <f t="shared" si="465"/>
        <v>0</v>
      </c>
      <c r="AX262" s="47">
        <f t="shared" si="465"/>
        <v>0</v>
      </c>
      <c r="AY262" s="47">
        <f t="shared" si="465"/>
        <v>0</v>
      </c>
      <c r="AZ262" s="47">
        <f t="shared" si="465"/>
        <v>0</v>
      </c>
      <c r="BA262" s="47">
        <f t="shared" si="465"/>
        <v>0</v>
      </c>
      <c r="BB262" s="47">
        <f t="shared" si="465"/>
        <v>0</v>
      </c>
      <c r="BC262" s="47">
        <f t="shared" si="465"/>
        <v>0</v>
      </c>
      <c r="BD262" s="47">
        <f t="shared" si="465"/>
        <v>0</v>
      </c>
      <c r="BE262" s="47">
        <f t="shared" si="465"/>
        <v>0</v>
      </c>
      <c r="BF262" s="47">
        <f t="shared" si="465"/>
        <v>0</v>
      </c>
      <c r="BG262" s="47">
        <f t="shared" si="465"/>
        <v>0</v>
      </c>
      <c r="BH262" s="47">
        <f t="shared" si="465"/>
        <v>0</v>
      </c>
      <c r="BI262" s="47">
        <f t="shared" si="465"/>
        <v>0</v>
      </c>
      <c r="BJ262" s="47">
        <f t="shared" si="465"/>
        <v>0</v>
      </c>
      <c r="BK262" s="47">
        <f t="shared" si="465"/>
        <v>0</v>
      </c>
      <c r="BL262" s="47">
        <f t="shared" si="465"/>
        <v>0</v>
      </c>
      <c r="BM262" s="47">
        <f t="shared" si="465"/>
        <v>0</v>
      </c>
      <c r="BN262" s="47">
        <f t="shared" si="465"/>
        <v>0</v>
      </c>
      <c r="BO262" s="47">
        <f t="shared" si="465"/>
        <v>0</v>
      </c>
      <c r="BP262" s="47">
        <f t="shared" ref="BP262:CC262" si="466">BP16+BP23+BP30+BP37+BP44+BP51+BP58+BP65+BP72+BP79+BP86+BP93+BP100+BP107+BP114+BP121+BP128+BP135+BP142+BP149+BP156+BP163+BP170+BP177+BP184+BP191+BP198+BP205+BP212+BP219+BP226+BP233+BP240+BP247+BP254</f>
        <v>0</v>
      </c>
      <c r="BQ262" s="47">
        <f t="shared" si="466"/>
        <v>0</v>
      </c>
      <c r="BR262" s="47">
        <f t="shared" si="466"/>
        <v>0</v>
      </c>
      <c r="BS262" s="47">
        <f t="shared" si="466"/>
        <v>0</v>
      </c>
      <c r="BT262" s="47">
        <f t="shared" si="466"/>
        <v>0</v>
      </c>
      <c r="BU262" s="47">
        <f t="shared" si="466"/>
        <v>0</v>
      </c>
      <c r="BV262" s="47">
        <f t="shared" si="466"/>
        <v>0</v>
      </c>
      <c r="BW262" s="47">
        <f t="shared" si="466"/>
        <v>0</v>
      </c>
      <c r="BX262" s="47">
        <f t="shared" si="466"/>
        <v>0</v>
      </c>
      <c r="BY262" s="47">
        <f t="shared" si="466"/>
        <v>0</v>
      </c>
      <c r="BZ262" s="47">
        <f t="shared" si="466"/>
        <v>0</v>
      </c>
      <c r="CA262" s="47">
        <f t="shared" si="466"/>
        <v>0</v>
      </c>
      <c r="CB262" s="47">
        <f t="shared" si="466"/>
        <v>0</v>
      </c>
      <c r="CC262" s="47">
        <f t="shared" si="466"/>
        <v>0</v>
      </c>
    </row>
    <row r="263" spans="1:81" x14ac:dyDescent="0.2">
      <c r="C263" s="47" t="s">
        <v>213</v>
      </c>
      <c r="D263" s="47">
        <f t="shared" ref="D263:AI263" si="467">D17+D24+D31+D38+D45+D52+D59+D66+D73+D80+D87+D94+D101+D108+D115+D122+D129+D136+D143+D150+D157+D164+D171+D178+D185+D192+D199+D206+D213+D220+D227+D234+D241+D248+D255</f>
        <v>240</v>
      </c>
      <c r="E263" s="47">
        <f t="shared" si="467"/>
        <v>5960</v>
      </c>
      <c r="F263" s="47">
        <f t="shared" si="467"/>
        <v>3400</v>
      </c>
      <c r="G263" s="47">
        <f t="shared" si="467"/>
        <v>3900</v>
      </c>
      <c r="H263" s="47">
        <f t="shared" si="467"/>
        <v>4116</v>
      </c>
      <c r="I263" s="47">
        <f t="shared" si="467"/>
        <v>4260</v>
      </c>
      <c r="J263" s="47">
        <f t="shared" si="467"/>
        <v>3560</v>
      </c>
      <c r="K263" s="47">
        <f t="shared" si="467"/>
        <v>3720</v>
      </c>
      <c r="L263" s="47">
        <f t="shared" si="467"/>
        <v>5120</v>
      </c>
      <c r="M263" s="47">
        <f t="shared" si="467"/>
        <v>6500</v>
      </c>
      <c r="N263" s="47">
        <f t="shared" si="467"/>
        <v>0</v>
      </c>
      <c r="O263" s="47">
        <f t="shared" si="467"/>
        <v>0</v>
      </c>
      <c r="P263" s="47">
        <f t="shared" si="467"/>
        <v>0</v>
      </c>
      <c r="Q263" s="47">
        <f t="shared" si="467"/>
        <v>0</v>
      </c>
      <c r="R263" s="47">
        <f t="shared" si="467"/>
        <v>3840</v>
      </c>
      <c r="S263" s="47">
        <f t="shared" si="467"/>
        <v>3080</v>
      </c>
      <c r="T263" s="47">
        <f t="shared" si="467"/>
        <v>3660</v>
      </c>
      <c r="U263" s="47">
        <f t="shared" si="467"/>
        <v>3640</v>
      </c>
      <c r="V263" s="47">
        <f t="shared" si="467"/>
        <v>3640</v>
      </c>
      <c r="W263" s="47">
        <f t="shared" si="467"/>
        <v>3640</v>
      </c>
      <c r="X263" s="47">
        <f t="shared" si="467"/>
        <v>3600</v>
      </c>
      <c r="Y263" s="47">
        <f t="shared" si="467"/>
        <v>2570</v>
      </c>
      <c r="Z263" s="47">
        <f t="shared" si="467"/>
        <v>2570</v>
      </c>
      <c r="AA263" s="47">
        <f t="shared" si="467"/>
        <v>2570</v>
      </c>
      <c r="AB263" s="47">
        <f t="shared" si="467"/>
        <v>2550</v>
      </c>
      <c r="AC263" s="47">
        <f t="shared" si="467"/>
        <v>3740</v>
      </c>
      <c r="AD263" s="47">
        <f t="shared" si="467"/>
        <v>3740</v>
      </c>
      <c r="AE263" s="47">
        <f t="shared" si="467"/>
        <v>3740</v>
      </c>
      <c r="AF263" s="47">
        <f t="shared" si="467"/>
        <v>3740</v>
      </c>
      <c r="AG263" s="47">
        <f t="shared" si="467"/>
        <v>3380</v>
      </c>
      <c r="AH263" s="47">
        <f t="shared" si="467"/>
        <v>3870</v>
      </c>
      <c r="AI263" s="47">
        <f t="shared" si="467"/>
        <v>3870</v>
      </c>
      <c r="AJ263" s="47">
        <f t="shared" ref="AJ263:BO263" si="468">AJ17+AJ24+AJ31+AJ38+AJ45+AJ52+AJ59+AJ66+AJ73+AJ80+AJ87+AJ94+AJ101+AJ108+AJ115+AJ122+AJ129+AJ136+AJ143+AJ150+AJ157+AJ164+AJ171+AJ178+AJ185+AJ192+AJ199+AJ206+AJ213+AJ220+AJ227+AJ234+AJ241+AJ248+AJ255</f>
        <v>0</v>
      </c>
      <c r="AK263" s="47">
        <f t="shared" si="468"/>
        <v>0</v>
      </c>
      <c r="AL263" s="47">
        <f t="shared" si="468"/>
        <v>0</v>
      </c>
      <c r="AM263" s="47">
        <f t="shared" si="468"/>
        <v>0</v>
      </c>
      <c r="AN263" s="47">
        <f t="shared" si="468"/>
        <v>2724</v>
      </c>
      <c r="AO263" s="47">
        <f t="shared" si="468"/>
        <v>2724</v>
      </c>
      <c r="AP263" s="47">
        <f t="shared" si="468"/>
        <v>2724</v>
      </c>
      <c r="AQ263" s="47">
        <f t="shared" si="468"/>
        <v>3286</v>
      </c>
      <c r="AR263" s="47">
        <f t="shared" si="468"/>
        <v>3286</v>
      </c>
      <c r="AS263" s="47">
        <f t="shared" si="468"/>
        <v>2631</v>
      </c>
      <c r="AT263" s="47">
        <f t="shared" si="468"/>
        <v>3286</v>
      </c>
      <c r="AU263" s="47">
        <f t="shared" si="468"/>
        <v>3120</v>
      </c>
      <c r="AV263" s="47">
        <f t="shared" si="468"/>
        <v>3120</v>
      </c>
      <c r="AW263" s="47">
        <f t="shared" si="468"/>
        <v>3120</v>
      </c>
      <c r="AX263" s="47">
        <f t="shared" si="468"/>
        <v>3120</v>
      </c>
      <c r="AY263" s="47">
        <f t="shared" si="468"/>
        <v>2495</v>
      </c>
      <c r="AZ263" s="47">
        <f t="shared" si="468"/>
        <v>2224</v>
      </c>
      <c r="BA263" s="47">
        <f t="shared" si="468"/>
        <v>2224</v>
      </c>
      <c r="BB263" s="47">
        <f t="shared" si="468"/>
        <v>2224</v>
      </c>
      <c r="BC263" s="47">
        <f t="shared" si="468"/>
        <v>2495</v>
      </c>
      <c r="BD263" s="47">
        <f t="shared" si="468"/>
        <v>2495</v>
      </c>
      <c r="BE263" s="47">
        <f t="shared" si="468"/>
        <v>2495</v>
      </c>
      <c r="BF263" s="47">
        <f t="shared" si="468"/>
        <v>2495</v>
      </c>
      <c r="BG263" s="47">
        <f t="shared" si="468"/>
        <v>2495</v>
      </c>
      <c r="BH263" s="47">
        <f t="shared" si="468"/>
        <v>2495</v>
      </c>
      <c r="BI263" s="47">
        <f t="shared" si="468"/>
        <v>2495</v>
      </c>
      <c r="BJ263" s="47">
        <f t="shared" si="468"/>
        <v>2495</v>
      </c>
      <c r="BK263" s="47">
        <f t="shared" si="468"/>
        <v>2495</v>
      </c>
      <c r="BL263" s="47">
        <f t="shared" si="468"/>
        <v>2485</v>
      </c>
      <c r="BM263" s="47">
        <f t="shared" si="468"/>
        <v>2485</v>
      </c>
      <c r="BN263" s="47">
        <f t="shared" si="468"/>
        <v>4527</v>
      </c>
      <c r="BO263" s="47">
        <f t="shared" si="468"/>
        <v>0</v>
      </c>
      <c r="BP263" s="47">
        <f t="shared" ref="BP263:CC263" si="469">BP17+BP24+BP31+BP38+BP45+BP52+BP59+BP66+BP73+BP80+BP87+BP94+BP101+BP108+BP115+BP122+BP129+BP136+BP143+BP150+BP157+BP164+BP171+BP178+BP185+BP192+BP199+BP206+BP213+BP220+BP227+BP234+BP241+BP248+BP255</f>
        <v>0</v>
      </c>
      <c r="BQ263" s="47">
        <f t="shared" si="469"/>
        <v>0</v>
      </c>
      <c r="BR263" s="47">
        <f t="shared" si="469"/>
        <v>0</v>
      </c>
      <c r="BS263" s="47">
        <f t="shared" si="469"/>
        <v>2052</v>
      </c>
      <c r="BT263" s="47">
        <f t="shared" si="469"/>
        <v>2052</v>
      </c>
      <c r="BU263" s="47">
        <f t="shared" si="469"/>
        <v>2052</v>
      </c>
      <c r="BV263" s="47">
        <f t="shared" si="469"/>
        <v>2052</v>
      </c>
      <c r="BW263" s="47">
        <f t="shared" si="469"/>
        <v>2052</v>
      </c>
      <c r="BX263" s="47">
        <f t="shared" si="469"/>
        <v>2052</v>
      </c>
      <c r="BY263" s="47">
        <f t="shared" si="469"/>
        <v>2052</v>
      </c>
      <c r="BZ263" s="47">
        <f t="shared" si="469"/>
        <v>2052</v>
      </c>
      <c r="CA263" s="47">
        <f t="shared" si="469"/>
        <v>2052</v>
      </c>
      <c r="CB263" s="47">
        <f t="shared" si="469"/>
        <v>2052</v>
      </c>
      <c r="CC263" s="47">
        <f t="shared" si="469"/>
        <v>2052</v>
      </c>
    </row>
    <row r="264" spans="1:81" x14ac:dyDescent="0.2">
      <c r="C264" s="47" t="s">
        <v>252</v>
      </c>
      <c r="D264" s="47">
        <f t="shared" ref="D264:AI264" si="470">D16*$A19+D23*$A26+D30*$A33+D37*$A40+D44*$A47+D51*$A54+D58*$A61+D65*$A68+D72*$A75+D79*$A82+D86*$A89+D93*$A96+D100*$A103+D107*$A110+D114*$A117+D121*$A124+D128*$A131+D135*$A138+D142*$A145+D149*$A152+D156*$A159+D163*$A166+D170*$A173+D177*$A180+D184*$A187+D191*$A194+D198*$A201+D205*$A208+D212*$A215+D219*$A222+D226*$A229+D233*$A236+D240*$A243+D247*$A250+D254*$A257</f>
        <v>209860</v>
      </c>
      <c r="E264" s="47">
        <f t="shared" si="470"/>
        <v>113508</v>
      </c>
      <c r="F264" s="47">
        <f t="shared" si="470"/>
        <v>57160</v>
      </c>
      <c r="G264" s="47">
        <f t="shared" si="470"/>
        <v>0</v>
      </c>
      <c r="H264" s="47">
        <f t="shared" si="470"/>
        <v>0</v>
      </c>
      <c r="I264" s="47">
        <f t="shared" si="470"/>
        <v>0</v>
      </c>
      <c r="J264" s="47">
        <f t="shared" si="470"/>
        <v>0</v>
      </c>
      <c r="K264" s="47">
        <f t="shared" si="470"/>
        <v>0</v>
      </c>
      <c r="L264" s="47">
        <f t="shared" si="470"/>
        <v>0</v>
      </c>
      <c r="M264" s="47">
        <f t="shared" si="470"/>
        <v>0</v>
      </c>
      <c r="N264" s="47">
        <f t="shared" si="470"/>
        <v>0</v>
      </c>
      <c r="O264" s="47">
        <f t="shared" si="470"/>
        <v>0</v>
      </c>
      <c r="P264" s="47">
        <f t="shared" si="470"/>
        <v>0</v>
      </c>
      <c r="Q264" s="47">
        <f t="shared" si="470"/>
        <v>0</v>
      </c>
      <c r="R264" s="47">
        <f t="shared" si="470"/>
        <v>0</v>
      </c>
      <c r="S264" s="47">
        <f t="shared" si="470"/>
        <v>0</v>
      </c>
      <c r="T264" s="47">
        <f t="shared" si="470"/>
        <v>0</v>
      </c>
      <c r="U264" s="47">
        <f t="shared" si="470"/>
        <v>0</v>
      </c>
      <c r="V264" s="47">
        <f t="shared" si="470"/>
        <v>0</v>
      </c>
      <c r="W264" s="47">
        <f t="shared" si="470"/>
        <v>0</v>
      </c>
      <c r="X264" s="47">
        <f t="shared" si="470"/>
        <v>0</v>
      </c>
      <c r="Y264" s="47">
        <f t="shared" si="470"/>
        <v>0</v>
      </c>
      <c r="Z264" s="47">
        <f t="shared" si="470"/>
        <v>0</v>
      </c>
      <c r="AA264" s="47">
        <f t="shared" si="470"/>
        <v>0</v>
      </c>
      <c r="AB264" s="47">
        <f t="shared" si="470"/>
        <v>0</v>
      </c>
      <c r="AC264" s="47">
        <f t="shared" si="470"/>
        <v>0</v>
      </c>
      <c r="AD264" s="47">
        <f t="shared" si="470"/>
        <v>0</v>
      </c>
      <c r="AE264" s="47">
        <f t="shared" si="470"/>
        <v>0</v>
      </c>
      <c r="AF264" s="47">
        <f t="shared" si="470"/>
        <v>0</v>
      </c>
      <c r="AG264" s="47">
        <f t="shared" si="470"/>
        <v>0</v>
      </c>
      <c r="AH264" s="47">
        <f t="shared" si="470"/>
        <v>0</v>
      </c>
      <c r="AI264" s="47">
        <f t="shared" si="470"/>
        <v>0</v>
      </c>
      <c r="AJ264" s="47">
        <f t="shared" ref="AJ264:BO264" si="471">AJ16*$A19+AJ23*$A26+AJ30*$A33+AJ37*$A40+AJ44*$A47+AJ51*$A54+AJ58*$A61+AJ65*$A68+AJ72*$A75+AJ79*$A82+AJ86*$A89+AJ93*$A96+AJ100*$A103+AJ107*$A110+AJ114*$A117+AJ121*$A124+AJ128*$A131+AJ135*$A138+AJ142*$A145+AJ149*$A152+AJ156*$A159+AJ163*$A166+AJ170*$A173+AJ177*$A180+AJ184*$A187+AJ191*$A194+AJ198*$A201+AJ205*$A208+AJ212*$A215+AJ219*$A222+AJ226*$A229+AJ233*$A236+AJ240*$A243+AJ247*$A250+AJ254*$A257</f>
        <v>0</v>
      </c>
      <c r="AK264" s="47">
        <f t="shared" si="471"/>
        <v>0</v>
      </c>
      <c r="AL264" s="47">
        <f t="shared" si="471"/>
        <v>0</v>
      </c>
      <c r="AM264" s="47">
        <f t="shared" si="471"/>
        <v>0</v>
      </c>
      <c r="AN264" s="47">
        <f t="shared" si="471"/>
        <v>0</v>
      </c>
      <c r="AO264" s="47">
        <f t="shared" si="471"/>
        <v>0</v>
      </c>
      <c r="AP264" s="47">
        <f t="shared" si="471"/>
        <v>0</v>
      </c>
      <c r="AQ264" s="47">
        <f t="shared" si="471"/>
        <v>0</v>
      </c>
      <c r="AR264" s="47">
        <f t="shared" si="471"/>
        <v>0</v>
      </c>
      <c r="AS264" s="47">
        <f t="shared" si="471"/>
        <v>0</v>
      </c>
      <c r="AT264" s="47">
        <f t="shared" si="471"/>
        <v>0</v>
      </c>
      <c r="AU264" s="47">
        <f t="shared" si="471"/>
        <v>0</v>
      </c>
      <c r="AV264" s="47">
        <f t="shared" si="471"/>
        <v>0</v>
      </c>
      <c r="AW264" s="47">
        <f t="shared" si="471"/>
        <v>0</v>
      </c>
      <c r="AX264" s="47">
        <f t="shared" si="471"/>
        <v>0</v>
      </c>
      <c r="AY264" s="47">
        <f t="shared" si="471"/>
        <v>0</v>
      </c>
      <c r="AZ264" s="47">
        <f t="shared" si="471"/>
        <v>0</v>
      </c>
      <c r="BA264" s="47">
        <f t="shared" si="471"/>
        <v>0</v>
      </c>
      <c r="BB264" s="47">
        <f t="shared" si="471"/>
        <v>0</v>
      </c>
      <c r="BC264" s="47">
        <f t="shared" si="471"/>
        <v>0</v>
      </c>
      <c r="BD264" s="47">
        <f t="shared" si="471"/>
        <v>0</v>
      </c>
      <c r="BE264" s="47">
        <f t="shared" si="471"/>
        <v>0</v>
      </c>
      <c r="BF264" s="47">
        <f t="shared" si="471"/>
        <v>0</v>
      </c>
      <c r="BG264" s="47">
        <f t="shared" si="471"/>
        <v>0</v>
      </c>
      <c r="BH264" s="47">
        <f t="shared" si="471"/>
        <v>0</v>
      </c>
      <c r="BI264" s="47">
        <f t="shared" si="471"/>
        <v>0</v>
      </c>
      <c r="BJ264" s="47">
        <f t="shared" si="471"/>
        <v>0</v>
      </c>
      <c r="BK264" s="47">
        <f t="shared" si="471"/>
        <v>0</v>
      </c>
      <c r="BL264" s="47">
        <f t="shared" si="471"/>
        <v>0</v>
      </c>
      <c r="BM264" s="47">
        <f t="shared" si="471"/>
        <v>0</v>
      </c>
      <c r="BN264" s="47">
        <f t="shared" si="471"/>
        <v>0</v>
      </c>
      <c r="BO264" s="47">
        <f t="shared" si="471"/>
        <v>0</v>
      </c>
      <c r="BP264" s="47">
        <f t="shared" ref="BP264:CC264" si="472">BP16*$A19+BP23*$A26+BP30*$A33+BP37*$A40+BP44*$A47+BP51*$A54+BP58*$A61+BP65*$A68+BP72*$A75+BP79*$A82+BP86*$A89+BP93*$A96+BP100*$A103+BP107*$A110+BP114*$A117+BP121*$A124+BP128*$A131+BP135*$A138+BP142*$A145+BP149*$A152+BP156*$A159+BP163*$A166+BP170*$A173+BP177*$A180+BP184*$A187+BP191*$A194+BP198*$A201+BP205*$A208+BP212*$A215+BP219*$A222+BP226*$A229+BP233*$A236+BP240*$A243+BP247*$A250+BP254*$A257</f>
        <v>0</v>
      </c>
      <c r="BQ264" s="47">
        <f t="shared" si="472"/>
        <v>0</v>
      </c>
      <c r="BR264" s="47">
        <f t="shared" si="472"/>
        <v>0</v>
      </c>
      <c r="BS264" s="47">
        <f t="shared" si="472"/>
        <v>0</v>
      </c>
      <c r="BT264" s="47">
        <f t="shared" si="472"/>
        <v>0</v>
      </c>
      <c r="BU264" s="47">
        <f t="shared" si="472"/>
        <v>0</v>
      </c>
      <c r="BV264" s="47">
        <f t="shared" si="472"/>
        <v>0</v>
      </c>
      <c r="BW264" s="47">
        <f t="shared" si="472"/>
        <v>0</v>
      </c>
      <c r="BX264" s="47">
        <f t="shared" si="472"/>
        <v>0</v>
      </c>
      <c r="BY264" s="47">
        <f t="shared" si="472"/>
        <v>0</v>
      </c>
      <c r="BZ264" s="47">
        <f t="shared" si="472"/>
        <v>0</v>
      </c>
      <c r="CA264" s="47">
        <f t="shared" si="472"/>
        <v>0</v>
      </c>
      <c r="CB264" s="47">
        <f t="shared" si="472"/>
        <v>0</v>
      </c>
      <c r="CC264" s="47">
        <f t="shared" si="472"/>
        <v>0</v>
      </c>
    </row>
    <row r="265" spans="1:81" x14ac:dyDescent="0.2">
      <c r="C265" s="47" t="s">
        <v>253</v>
      </c>
      <c r="D265" s="48">
        <f t="shared" ref="D265:AI265" si="473">ROUND(IF(D291=0,0,D277/D291*100),1)/100</f>
        <v>0.70400000000000007</v>
      </c>
      <c r="E265" s="48">
        <f t="shared" si="473"/>
        <v>0.77300000000000002</v>
      </c>
      <c r="F265" s="48">
        <f t="shared" si="473"/>
        <v>0.77</v>
      </c>
      <c r="G265" s="48">
        <f t="shared" si="473"/>
        <v>0</v>
      </c>
      <c r="H265" s="48">
        <f t="shared" si="473"/>
        <v>0</v>
      </c>
      <c r="I265" s="48">
        <f t="shared" si="473"/>
        <v>0</v>
      </c>
      <c r="J265" s="48">
        <f t="shared" si="473"/>
        <v>0</v>
      </c>
      <c r="K265" s="48">
        <f t="shared" si="473"/>
        <v>0</v>
      </c>
      <c r="L265" s="48">
        <f t="shared" si="473"/>
        <v>0</v>
      </c>
      <c r="M265" s="48">
        <f t="shared" si="473"/>
        <v>0</v>
      </c>
      <c r="N265" s="48">
        <f t="shared" si="473"/>
        <v>0</v>
      </c>
      <c r="O265" s="48">
        <f t="shared" si="473"/>
        <v>0</v>
      </c>
      <c r="P265" s="48">
        <f t="shared" si="473"/>
        <v>0</v>
      </c>
      <c r="Q265" s="48">
        <f t="shared" si="473"/>
        <v>0</v>
      </c>
      <c r="R265" s="48">
        <f t="shared" si="473"/>
        <v>0</v>
      </c>
      <c r="S265" s="48">
        <f t="shared" si="473"/>
        <v>0</v>
      </c>
      <c r="T265" s="48">
        <f t="shared" si="473"/>
        <v>0</v>
      </c>
      <c r="U265" s="48">
        <f t="shared" si="473"/>
        <v>0</v>
      </c>
      <c r="V265" s="48">
        <f t="shared" si="473"/>
        <v>0</v>
      </c>
      <c r="W265" s="48">
        <f t="shared" si="473"/>
        <v>0</v>
      </c>
      <c r="X265" s="48">
        <f t="shared" si="473"/>
        <v>0</v>
      </c>
      <c r="Y265" s="48">
        <f t="shared" si="473"/>
        <v>0</v>
      </c>
      <c r="Z265" s="48">
        <f t="shared" si="473"/>
        <v>0</v>
      </c>
      <c r="AA265" s="48">
        <f t="shared" si="473"/>
        <v>0</v>
      </c>
      <c r="AB265" s="48">
        <f t="shared" si="473"/>
        <v>0</v>
      </c>
      <c r="AC265" s="48">
        <f t="shared" si="473"/>
        <v>0</v>
      </c>
      <c r="AD265" s="48">
        <f t="shared" si="473"/>
        <v>0</v>
      </c>
      <c r="AE265" s="48">
        <f t="shared" si="473"/>
        <v>0</v>
      </c>
      <c r="AF265" s="48">
        <f t="shared" si="473"/>
        <v>0</v>
      </c>
      <c r="AG265" s="48">
        <f t="shared" si="473"/>
        <v>0</v>
      </c>
      <c r="AH265" s="48">
        <f t="shared" si="473"/>
        <v>0</v>
      </c>
      <c r="AI265" s="48">
        <f t="shared" si="473"/>
        <v>0</v>
      </c>
      <c r="AJ265" s="48">
        <f t="shared" ref="AJ265:BO265" si="474">ROUND(IF(AJ291=0,0,AJ277/AJ291*100),1)/100</f>
        <v>0</v>
      </c>
      <c r="AK265" s="48">
        <f t="shared" si="474"/>
        <v>0</v>
      </c>
      <c r="AL265" s="48">
        <f t="shared" si="474"/>
        <v>0</v>
      </c>
      <c r="AM265" s="48">
        <f t="shared" si="474"/>
        <v>0</v>
      </c>
      <c r="AN265" s="48">
        <f t="shared" si="474"/>
        <v>0</v>
      </c>
      <c r="AO265" s="48">
        <f t="shared" si="474"/>
        <v>0</v>
      </c>
      <c r="AP265" s="48">
        <f t="shared" si="474"/>
        <v>0</v>
      </c>
      <c r="AQ265" s="48">
        <f t="shared" si="474"/>
        <v>0</v>
      </c>
      <c r="AR265" s="48">
        <f t="shared" si="474"/>
        <v>0</v>
      </c>
      <c r="AS265" s="48">
        <f t="shared" si="474"/>
        <v>0</v>
      </c>
      <c r="AT265" s="48">
        <f t="shared" si="474"/>
        <v>0</v>
      </c>
      <c r="AU265" s="48">
        <f t="shared" si="474"/>
        <v>0</v>
      </c>
      <c r="AV265" s="48">
        <f t="shared" si="474"/>
        <v>0</v>
      </c>
      <c r="AW265" s="48">
        <f t="shared" si="474"/>
        <v>0</v>
      </c>
      <c r="AX265" s="48">
        <f t="shared" si="474"/>
        <v>0</v>
      </c>
      <c r="AY265" s="48">
        <f t="shared" si="474"/>
        <v>0</v>
      </c>
      <c r="AZ265" s="48">
        <f t="shared" si="474"/>
        <v>0</v>
      </c>
      <c r="BA265" s="48">
        <f t="shared" si="474"/>
        <v>0</v>
      </c>
      <c r="BB265" s="48">
        <f t="shared" si="474"/>
        <v>0</v>
      </c>
      <c r="BC265" s="48">
        <f t="shared" si="474"/>
        <v>0</v>
      </c>
      <c r="BD265" s="48">
        <f t="shared" si="474"/>
        <v>0</v>
      </c>
      <c r="BE265" s="48">
        <f t="shared" si="474"/>
        <v>0</v>
      </c>
      <c r="BF265" s="48">
        <f t="shared" si="474"/>
        <v>0</v>
      </c>
      <c r="BG265" s="48">
        <f t="shared" si="474"/>
        <v>0</v>
      </c>
      <c r="BH265" s="48">
        <f t="shared" si="474"/>
        <v>0</v>
      </c>
      <c r="BI265" s="48">
        <f t="shared" si="474"/>
        <v>0</v>
      </c>
      <c r="BJ265" s="48">
        <f t="shared" si="474"/>
        <v>0</v>
      </c>
      <c r="BK265" s="48">
        <f t="shared" si="474"/>
        <v>0</v>
      </c>
      <c r="BL265" s="48">
        <f t="shared" si="474"/>
        <v>0</v>
      </c>
      <c r="BM265" s="48">
        <f t="shared" si="474"/>
        <v>0</v>
      </c>
      <c r="BN265" s="48">
        <f t="shared" si="474"/>
        <v>0</v>
      </c>
      <c r="BO265" s="48">
        <f t="shared" si="474"/>
        <v>0</v>
      </c>
      <c r="BP265" s="48">
        <f t="shared" ref="BP265:CC265" si="475">ROUND(IF(BP291=0,0,BP277/BP291*100),1)/100</f>
        <v>0</v>
      </c>
      <c r="BQ265" s="48">
        <f t="shared" si="475"/>
        <v>0</v>
      </c>
      <c r="BR265" s="48">
        <f t="shared" si="475"/>
        <v>0</v>
      </c>
      <c r="BS265" s="48">
        <f t="shared" si="475"/>
        <v>0</v>
      </c>
      <c r="BT265" s="48">
        <f t="shared" si="475"/>
        <v>0</v>
      </c>
      <c r="BU265" s="48">
        <f t="shared" si="475"/>
        <v>0</v>
      </c>
      <c r="BV265" s="48">
        <f t="shared" si="475"/>
        <v>0</v>
      </c>
      <c r="BW265" s="48">
        <f t="shared" si="475"/>
        <v>0</v>
      </c>
      <c r="BX265" s="48">
        <f t="shared" si="475"/>
        <v>0</v>
      </c>
      <c r="BY265" s="48">
        <f t="shared" si="475"/>
        <v>0</v>
      </c>
      <c r="BZ265" s="48">
        <f t="shared" si="475"/>
        <v>0</v>
      </c>
      <c r="CA265" s="48">
        <f t="shared" si="475"/>
        <v>0</v>
      </c>
      <c r="CB265" s="48">
        <f t="shared" si="475"/>
        <v>0</v>
      </c>
      <c r="CC265" s="48">
        <f t="shared" si="475"/>
        <v>0</v>
      </c>
    </row>
    <row r="266" spans="1:81" x14ac:dyDescent="0.2">
      <c r="C266" s="49" t="s">
        <v>215</v>
      </c>
      <c r="D266" s="49">
        <f t="shared" ref="D266:AI266" si="476">IF(D263=0,0, ROUND(D260 * 1/D263*D$13,1))</f>
        <v>482.5</v>
      </c>
      <c r="E266" s="49">
        <f t="shared" si="476"/>
        <v>23</v>
      </c>
      <c r="F266" s="49">
        <f t="shared" si="476"/>
        <v>31.6</v>
      </c>
      <c r="G266" s="49">
        <f t="shared" si="476"/>
        <v>23.2</v>
      </c>
      <c r="H266" s="49">
        <f t="shared" si="476"/>
        <v>17.3</v>
      </c>
      <c r="I266" s="49">
        <f t="shared" si="476"/>
        <v>18.5</v>
      </c>
      <c r="J266" s="49">
        <f t="shared" si="476"/>
        <v>21</v>
      </c>
      <c r="K266" s="49">
        <f t="shared" si="476"/>
        <v>17.7</v>
      </c>
      <c r="L266" s="49">
        <f t="shared" si="476"/>
        <v>9.1999999999999993</v>
      </c>
      <c r="M266" s="49">
        <f t="shared" si="476"/>
        <v>3.3</v>
      </c>
      <c r="N266" s="49">
        <f t="shared" si="476"/>
        <v>0</v>
      </c>
      <c r="O266" s="49">
        <f t="shared" si="476"/>
        <v>0</v>
      </c>
      <c r="P266" s="49">
        <f t="shared" si="476"/>
        <v>0</v>
      </c>
      <c r="Q266" s="49">
        <f t="shared" si="476"/>
        <v>0</v>
      </c>
      <c r="R266" s="49">
        <f t="shared" si="476"/>
        <v>-2.9</v>
      </c>
      <c r="S266" s="49">
        <f t="shared" si="476"/>
        <v>-9.8000000000000007</v>
      </c>
      <c r="T266" s="49">
        <f t="shared" si="476"/>
        <v>-12.5</v>
      </c>
      <c r="U266" s="49">
        <f t="shared" si="476"/>
        <v>-17.600000000000001</v>
      </c>
      <c r="V266" s="49">
        <f t="shared" si="476"/>
        <v>-22.6</v>
      </c>
      <c r="W266" s="49">
        <f t="shared" si="476"/>
        <v>-27.6</v>
      </c>
      <c r="X266" s="49">
        <f t="shared" si="476"/>
        <v>-32.9</v>
      </c>
      <c r="Y266" s="49">
        <f t="shared" si="476"/>
        <v>-53.1</v>
      </c>
      <c r="Z266" s="49">
        <f t="shared" si="476"/>
        <v>-58.1</v>
      </c>
      <c r="AA266" s="49">
        <f t="shared" si="476"/>
        <v>-63.1</v>
      </c>
      <c r="AB266" s="49">
        <f t="shared" si="476"/>
        <v>-68.599999999999994</v>
      </c>
      <c r="AC266" s="49">
        <f t="shared" si="476"/>
        <v>-50.2</v>
      </c>
      <c r="AD266" s="49">
        <f t="shared" si="476"/>
        <v>-55.2</v>
      </c>
      <c r="AE266" s="49">
        <f t="shared" si="476"/>
        <v>-60.2</v>
      </c>
      <c r="AF266" s="49">
        <f t="shared" si="476"/>
        <v>-65.2</v>
      </c>
      <c r="AG266" s="49">
        <f t="shared" si="476"/>
        <v>-77.7</v>
      </c>
      <c r="AH266" s="49">
        <f t="shared" si="476"/>
        <v>-72.2</v>
      </c>
      <c r="AI266" s="49">
        <f t="shared" si="476"/>
        <v>-77.2</v>
      </c>
      <c r="AJ266" s="49">
        <f t="shared" ref="AJ266:BO266" si="477">IF(AJ263=0,0, ROUND(AJ260 * 1/AJ263*AJ$13,1))</f>
        <v>0</v>
      </c>
      <c r="AK266" s="49">
        <f t="shared" si="477"/>
        <v>0</v>
      </c>
      <c r="AL266" s="49">
        <f t="shared" si="477"/>
        <v>0</v>
      </c>
      <c r="AM266" s="49">
        <f t="shared" si="477"/>
        <v>0</v>
      </c>
      <c r="AN266" s="49">
        <f t="shared" si="477"/>
        <v>-116.8</v>
      </c>
      <c r="AO266" s="49">
        <f t="shared" si="477"/>
        <v>-121.8</v>
      </c>
      <c r="AP266" s="49">
        <f t="shared" si="477"/>
        <v>-126.8</v>
      </c>
      <c r="AQ266" s="49">
        <f t="shared" si="477"/>
        <v>-109.3</v>
      </c>
      <c r="AR266" s="49">
        <f t="shared" si="477"/>
        <v>-114.3</v>
      </c>
      <c r="AS266" s="49">
        <f t="shared" si="477"/>
        <v>-149</v>
      </c>
      <c r="AT266" s="49">
        <f t="shared" si="477"/>
        <v>-123.3</v>
      </c>
      <c r="AU266" s="49">
        <f t="shared" si="477"/>
        <v>-135.1</v>
      </c>
      <c r="AV266" s="49">
        <f t="shared" si="477"/>
        <v>-140.1</v>
      </c>
      <c r="AW266" s="49">
        <f t="shared" si="477"/>
        <v>-145.1</v>
      </c>
      <c r="AX266" s="49">
        <f t="shared" si="477"/>
        <v>-150.1</v>
      </c>
      <c r="AY266" s="49">
        <f t="shared" si="477"/>
        <v>-193.9</v>
      </c>
      <c r="AZ266" s="49">
        <f t="shared" si="477"/>
        <v>-223.2</v>
      </c>
      <c r="BA266" s="49">
        <f t="shared" si="477"/>
        <v>-228.2</v>
      </c>
      <c r="BB266" s="49">
        <f t="shared" si="477"/>
        <v>-233.2</v>
      </c>
      <c r="BC266" s="49">
        <f t="shared" si="477"/>
        <v>-212.3</v>
      </c>
      <c r="BD266" s="49">
        <f t="shared" si="477"/>
        <v>-217.3</v>
      </c>
      <c r="BE266" s="49">
        <f t="shared" si="477"/>
        <v>-222.3</v>
      </c>
      <c r="BF266" s="49">
        <f t="shared" si="477"/>
        <v>-227.3</v>
      </c>
      <c r="BG266" s="49">
        <f t="shared" si="477"/>
        <v>-232.3</v>
      </c>
      <c r="BH266" s="49">
        <f t="shared" si="477"/>
        <v>-237.3</v>
      </c>
      <c r="BI266" s="49">
        <f t="shared" si="477"/>
        <v>-242.3</v>
      </c>
      <c r="BJ266" s="49">
        <f t="shared" si="477"/>
        <v>-247.3</v>
      </c>
      <c r="BK266" s="49">
        <f t="shared" si="477"/>
        <v>-252.3</v>
      </c>
      <c r="BL266" s="49">
        <f t="shared" si="477"/>
        <v>-258.39999999999998</v>
      </c>
      <c r="BM266" s="49">
        <f t="shared" si="477"/>
        <v>-263.39999999999998</v>
      </c>
      <c r="BN266" s="49">
        <f t="shared" si="477"/>
        <v>-147.30000000000001</v>
      </c>
      <c r="BO266" s="49">
        <f t="shared" si="477"/>
        <v>0</v>
      </c>
      <c r="BP266" s="49">
        <f t="shared" ref="BP266:CC266" si="478">IF(BP263=0,0, ROUND(BP260 * 1/BP263*BP$13,1))</f>
        <v>0</v>
      </c>
      <c r="BQ266" s="49">
        <f t="shared" si="478"/>
        <v>0</v>
      </c>
      <c r="BR266" s="49">
        <f t="shared" si="478"/>
        <v>0</v>
      </c>
      <c r="BS266" s="49">
        <f t="shared" si="478"/>
        <v>-336</v>
      </c>
      <c r="BT266" s="49">
        <f t="shared" si="478"/>
        <v>-341</v>
      </c>
      <c r="BU266" s="49">
        <f t="shared" si="478"/>
        <v>-346</v>
      </c>
      <c r="BV266" s="49">
        <f t="shared" si="478"/>
        <v>-351</v>
      </c>
      <c r="BW266" s="49">
        <f t="shared" si="478"/>
        <v>-356</v>
      </c>
      <c r="BX266" s="49">
        <f t="shared" si="478"/>
        <v>-361</v>
      </c>
      <c r="BY266" s="49">
        <f t="shared" si="478"/>
        <v>-366</v>
      </c>
      <c r="BZ266" s="49">
        <f t="shared" si="478"/>
        <v>-371</v>
      </c>
      <c r="CA266" s="49">
        <f t="shared" si="478"/>
        <v>-376</v>
      </c>
      <c r="CB266" s="49">
        <f t="shared" si="478"/>
        <v>-381</v>
      </c>
      <c r="CC266" s="49">
        <f t="shared" si="478"/>
        <v>-386</v>
      </c>
    </row>
    <row r="267" spans="1:81" x14ac:dyDescent="0.2">
      <c r="C267" s="39" t="s">
        <v>254</v>
      </c>
      <c r="D267" s="39">
        <v>6</v>
      </c>
      <c r="E267" s="39">
        <v>6</v>
      </c>
      <c r="F267" s="39">
        <v>0</v>
      </c>
      <c r="G267" s="39">
        <v>6</v>
      </c>
      <c r="H267" s="39">
        <v>6</v>
      </c>
      <c r="I267" s="39">
        <v>5</v>
      </c>
      <c r="J267" s="39">
        <v>4</v>
      </c>
      <c r="K267" s="39">
        <v>5</v>
      </c>
      <c r="L267" s="39">
        <v>6</v>
      </c>
      <c r="M267" s="39">
        <v>6</v>
      </c>
      <c r="N267" s="39">
        <v>5</v>
      </c>
      <c r="O267" s="39">
        <v>6</v>
      </c>
      <c r="P267" s="39">
        <v>0</v>
      </c>
      <c r="Q267" s="39">
        <v>0</v>
      </c>
      <c r="R267" s="39">
        <v>6</v>
      </c>
      <c r="S267" s="39">
        <v>5</v>
      </c>
      <c r="T267" s="39">
        <v>6</v>
      </c>
      <c r="U267" s="39">
        <v>6</v>
      </c>
      <c r="V267" s="39">
        <v>6</v>
      </c>
      <c r="W267" s="39">
        <v>4</v>
      </c>
      <c r="X267" s="39">
        <v>6</v>
      </c>
      <c r="Y267" s="39">
        <v>5</v>
      </c>
      <c r="Z267" s="39">
        <v>6</v>
      </c>
      <c r="AA267" s="39">
        <v>6</v>
      </c>
      <c r="AB267" s="39">
        <v>6</v>
      </c>
      <c r="AC267" s="39">
        <v>6</v>
      </c>
      <c r="AD267" s="39">
        <v>6</v>
      </c>
      <c r="AE267" s="39">
        <v>6</v>
      </c>
      <c r="AF267" s="39">
        <v>6</v>
      </c>
      <c r="AG267" s="39">
        <v>6</v>
      </c>
      <c r="AH267" s="39">
        <v>6</v>
      </c>
      <c r="AI267" s="39">
        <v>6</v>
      </c>
      <c r="AJ267" s="39">
        <v>4</v>
      </c>
      <c r="AK267" s="39">
        <v>0</v>
      </c>
      <c r="AL267" s="39">
        <v>6</v>
      </c>
      <c r="AM267" s="39">
        <v>5</v>
      </c>
      <c r="AN267" s="39">
        <v>6</v>
      </c>
      <c r="AO267" s="39">
        <v>6</v>
      </c>
      <c r="AP267" s="39">
        <v>5</v>
      </c>
      <c r="AQ267" s="39">
        <v>6</v>
      </c>
      <c r="AR267" s="39">
        <v>5</v>
      </c>
      <c r="AS267" s="39">
        <v>6</v>
      </c>
      <c r="AT267" s="39">
        <v>6</v>
      </c>
      <c r="AU267" s="39">
        <v>6</v>
      </c>
      <c r="AV267" s="39">
        <v>3</v>
      </c>
      <c r="AW267" s="39">
        <v>5</v>
      </c>
      <c r="AX267" s="39">
        <v>6</v>
      </c>
      <c r="AY267" s="39">
        <v>3</v>
      </c>
      <c r="AZ267" s="39">
        <v>6</v>
      </c>
      <c r="BA267" s="39">
        <v>6</v>
      </c>
      <c r="BB267" s="39">
        <v>5</v>
      </c>
      <c r="BC267" s="39">
        <v>5</v>
      </c>
      <c r="BD267" s="39">
        <v>5</v>
      </c>
      <c r="BE267" s="39">
        <v>5</v>
      </c>
      <c r="BF267" s="39">
        <v>5</v>
      </c>
      <c r="BG267" s="39">
        <v>5</v>
      </c>
      <c r="BH267" s="39">
        <v>5</v>
      </c>
      <c r="BI267" s="39">
        <v>5</v>
      </c>
      <c r="BJ267" s="39">
        <v>5</v>
      </c>
      <c r="BK267" s="39">
        <v>5</v>
      </c>
      <c r="BL267" s="39">
        <v>5</v>
      </c>
      <c r="BM267" s="39">
        <v>5</v>
      </c>
      <c r="BN267" s="39">
        <v>5</v>
      </c>
      <c r="BO267" s="39">
        <v>5</v>
      </c>
      <c r="BP267" s="39">
        <v>5</v>
      </c>
      <c r="BQ267" s="39">
        <v>5</v>
      </c>
      <c r="BR267" s="39">
        <v>5</v>
      </c>
      <c r="BS267" s="39">
        <v>5</v>
      </c>
      <c r="BT267" s="39">
        <v>5</v>
      </c>
      <c r="BU267" s="39">
        <v>5</v>
      </c>
      <c r="BV267" s="39">
        <v>5</v>
      </c>
      <c r="BW267" s="39">
        <v>5</v>
      </c>
      <c r="BX267" s="39">
        <v>5</v>
      </c>
      <c r="BY267" s="39">
        <v>5</v>
      </c>
      <c r="BZ267" s="39">
        <v>5</v>
      </c>
      <c r="CA267" s="39">
        <v>5</v>
      </c>
      <c r="CB267" s="39">
        <v>5</v>
      </c>
      <c r="CC267" s="39">
        <v>5</v>
      </c>
    </row>
    <row r="268" spans="1:81" x14ac:dyDescent="0.2">
      <c r="C268" s="50" t="s">
        <v>255</v>
      </c>
      <c r="D268" s="50">
        <f t="array" aca="1" ref="D268:CC268" ca="1">TRANSPOSE('T-JCI2 LH'!K12:K89)</f>
        <v>5800</v>
      </c>
      <c r="E268" s="50">
        <f ca="1"/>
        <v>3300</v>
      </c>
      <c r="F268" s="50">
        <f ca="1"/>
        <v>1650</v>
      </c>
      <c r="G268" s="50">
        <f ca="1"/>
        <v>2750</v>
      </c>
      <c r="H268" s="50">
        <f ca="1"/>
        <v>3300</v>
      </c>
      <c r="I268" s="50">
        <f ca="1"/>
        <v>1650</v>
      </c>
      <c r="J268" s="50">
        <f ca="1"/>
        <v>3300</v>
      </c>
      <c r="K268" s="50">
        <f ca="1"/>
        <v>2750</v>
      </c>
      <c r="L268" s="50">
        <f ca="1"/>
        <v>3300</v>
      </c>
      <c r="M268" s="50">
        <f ca="1"/>
        <v>0</v>
      </c>
      <c r="N268" s="50">
        <f ca="1"/>
        <v>0</v>
      </c>
      <c r="O268" s="50">
        <f ca="1"/>
        <v>3300</v>
      </c>
      <c r="P268" s="50">
        <f ca="1"/>
        <v>3300</v>
      </c>
      <c r="Q268" s="50">
        <f ca="1"/>
        <v>3300</v>
      </c>
      <c r="R268" s="50">
        <f ca="1"/>
        <v>3300</v>
      </c>
      <c r="S268" s="50">
        <f ca="1"/>
        <v>2750</v>
      </c>
      <c r="T268" s="50">
        <f ca="1"/>
        <v>3080</v>
      </c>
      <c r="U268" s="50">
        <f ca="1"/>
        <v>3080</v>
      </c>
      <c r="V268" s="50">
        <f ca="1"/>
        <v>3080</v>
      </c>
      <c r="W268" s="50">
        <f ca="1"/>
        <v>2054</v>
      </c>
      <c r="X268" s="50">
        <f ca="1"/>
        <v>2566</v>
      </c>
      <c r="Y268" s="50">
        <f ca="1"/>
        <v>2566</v>
      </c>
      <c r="Z268" s="50">
        <f ca="1"/>
        <v>3080</v>
      </c>
      <c r="AA268" s="50">
        <f ca="1"/>
        <v>3080</v>
      </c>
      <c r="AB268" s="50">
        <f ca="1"/>
        <v>3080</v>
      </c>
      <c r="AC268" s="50">
        <f ca="1"/>
        <v>3080</v>
      </c>
      <c r="AD268" s="50">
        <f ca="1"/>
        <v>3080</v>
      </c>
      <c r="AE268" s="50">
        <f ca="1"/>
        <v>3080</v>
      </c>
      <c r="AF268" s="50">
        <f ca="1"/>
        <v>3080</v>
      </c>
      <c r="AG268" s="50">
        <f ca="1"/>
        <v>3080</v>
      </c>
      <c r="AH268" s="50">
        <f ca="1"/>
        <v>3080</v>
      </c>
      <c r="AI268" s="50">
        <f ca="1"/>
        <v>3080</v>
      </c>
      <c r="AJ268" s="50">
        <f ca="1"/>
        <v>3080</v>
      </c>
      <c r="AK268" s="50">
        <f ca="1"/>
        <v>0</v>
      </c>
      <c r="AL268" s="50">
        <f ca="1"/>
        <v>3080</v>
      </c>
      <c r="AM268" s="50">
        <f ca="1"/>
        <v>2054</v>
      </c>
      <c r="AN268" s="50">
        <f ca="1"/>
        <v>3080</v>
      </c>
      <c r="AO268" s="50">
        <f ca="1"/>
        <v>3080</v>
      </c>
      <c r="AP268" s="50">
        <f ca="1"/>
        <v>2566</v>
      </c>
      <c r="AQ268" s="50">
        <f ca="1"/>
        <v>3080</v>
      </c>
      <c r="AR268" s="50">
        <f ca="1"/>
        <v>1284</v>
      </c>
      <c r="AS268" s="50">
        <f ca="1"/>
        <v>1540</v>
      </c>
      <c r="AT268" s="50">
        <f ca="1"/>
        <v>1540</v>
      </c>
      <c r="AU268" s="50">
        <f ca="1"/>
        <v>1540</v>
      </c>
      <c r="AV268" s="50">
        <f ca="1"/>
        <v>770</v>
      </c>
      <c r="AW268" s="50">
        <f ca="1"/>
        <v>2054</v>
      </c>
      <c r="AX268" s="50">
        <f ca="1"/>
        <v>3080</v>
      </c>
      <c r="AY268" s="50">
        <f ca="1"/>
        <v>2054</v>
      </c>
      <c r="AZ268" s="50">
        <f ca="1"/>
        <v>3080</v>
      </c>
      <c r="BA268" s="50">
        <f ca="1"/>
        <v>3080</v>
      </c>
      <c r="BB268" s="50">
        <f ca="1"/>
        <v>1540</v>
      </c>
      <c r="BC268" s="50">
        <f ca="1"/>
        <v>3080</v>
      </c>
      <c r="BD268" s="50">
        <f ca="1"/>
        <v>1540</v>
      </c>
      <c r="BE268" s="50">
        <f ca="1"/>
        <v>3080</v>
      </c>
      <c r="BF268" s="50">
        <f ca="1"/>
        <v>3080</v>
      </c>
      <c r="BG268" s="50">
        <f ca="1"/>
        <v>3080</v>
      </c>
      <c r="BH268" s="50">
        <f ca="1"/>
        <v>3080</v>
      </c>
      <c r="BI268" s="50">
        <f ca="1"/>
        <v>2566</v>
      </c>
      <c r="BJ268" s="50">
        <f ca="1"/>
        <v>3080</v>
      </c>
      <c r="BK268" s="50">
        <f ca="1"/>
        <v>2054</v>
      </c>
      <c r="BL268" s="50">
        <f ca="1"/>
        <v>257</v>
      </c>
      <c r="BM268" s="50">
        <f ca="1"/>
        <v>1540</v>
      </c>
      <c r="BN268" s="50">
        <f ca="1"/>
        <v>1540</v>
      </c>
      <c r="BO268" s="50">
        <f ca="1"/>
        <v>1283</v>
      </c>
      <c r="BP268" s="50">
        <f ca="1"/>
        <v>1540</v>
      </c>
      <c r="BQ268" s="50">
        <f ca="1"/>
        <v>0</v>
      </c>
      <c r="BR268" s="50">
        <f ca="1"/>
        <v>0</v>
      </c>
      <c r="BS268" s="50">
        <f ca="1"/>
        <v>1283</v>
      </c>
      <c r="BT268" s="50">
        <f ca="1"/>
        <v>1540</v>
      </c>
      <c r="BU268" s="50">
        <f ca="1"/>
        <v>1540</v>
      </c>
      <c r="BV268" s="50">
        <f ca="1"/>
        <v>1540</v>
      </c>
      <c r="BW268" s="50">
        <f ca="1"/>
        <v>1540</v>
      </c>
      <c r="BX268" s="50">
        <f ca="1"/>
        <v>1027</v>
      </c>
      <c r="BY268" s="50">
        <f ca="1"/>
        <v>1540</v>
      </c>
      <c r="BZ268" s="50">
        <f ca="1"/>
        <v>1283</v>
      </c>
      <c r="CA268" s="50">
        <f ca="1"/>
        <v>1540</v>
      </c>
      <c r="CB268" s="50">
        <f ca="1"/>
        <v>1540</v>
      </c>
      <c r="CC268" s="50">
        <f ca="1"/>
        <v>1540</v>
      </c>
    </row>
    <row r="269" spans="1:81" x14ac:dyDescent="0.2">
      <c r="C269" s="39" t="s">
        <v>256</v>
      </c>
      <c r="D269" s="39">
        <f t="shared" ref="D269:AI269" ca="1" si="479">D268-D262</f>
        <v>120</v>
      </c>
      <c r="E269" s="39">
        <f t="shared" ca="1" si="479"/>
        <v>-176</v>
      </c>
      <c r="F269" s="39">
        <f t="shared" ca="1" si="479"/>
        <v>-70</v>
      </c>
      <c r="G269" s="39">
        <f t="shared" ca="1" si="479"/>
        <v>2750</v>
      </c>
      <c r="H269" s="39">
        <f t="shared" ca="1" si="479"/>
        <v>3300</v>
      </c>
      <c r="I269" s="39">
        <f t="shared" ca="1" si="479"/>
        <v>1650</v>
      </c>
      <c r="J269" s="39">
        <f t="shared" ca="1" si="479"/>
        <v>3300</v>
      </c>
      <c r="K269" s="39">
        <f t="shared" ca="1" si="479"/>
        <v>2750</v>
      </c>
      <c r="L269" s="39">
        <f t="shared" ca="1" si="479"/>
        <v>3300</v>
      </c>
      <c r="M269" s="39">
        <f t="shared" ca="1" si="479"/>
        <v>0</v>
      </c>
      <c r="N269" s="39">
        <f t="shared" ca="1" si="479"/>
        <v>0</v>
      </c>
      <c r="O269" s="39">
        <f t="shared" ca="1" si="479"/>
        <v>3300</v>
      </c>
      <c r="P269" s="39">
        <f t="shared" ca="1" si="479"/>
        <v>3300</v>
      </c>
      <c r="Q269" s="39">
        <f t="shared" ca="1" si="479"/>
        <v>3300</v>
      </c>
      <c r="R269" s="39">
        <f t="shared" ca="1" si="479"/>
        <v>3300</v>
      </c>
      <c r="S269" s="39">
        <f t="shared" ca="1" si="479"/>
        <v>2750</v>
      </c>
      <c r="T269" s="39">
        <f t="shared" ca="1" si="479"/>
        <v>3080</v>
      </c>
      <c r="U269" s="39">
        <f t="shared" ca="1" si="479"/>
        <v>3080</v>
      </c>
      <c r="V269" s="39">
        <f t="shared" ca="1" si="479"/>
        <v>3080</v>
      </c>
      <c r="W269" s="39">
        <f t="shared" ca="1" si="479"/>
        <v>2054</v>
      </c>
      <c r="X269" s="39">
        <f t="shared" ca="1" si="479"/>
        <v>2566</v>
      </c>
      <c r="Y269" s="39">
        <f t="shared" ca="1" si="479"/>
        <v>2566</v>
      </c>
      <c r="Z269" s="39">
        <f t="shared" ca="1" si="479"/>
        <v>3080</v>
      </c>
      <c r="AA269" s="39">
        <f t="shared" ca="1" si="479"/>
        <v>3080</v>
      </c>
      <c r="AB269" s="39">
        <f t="shared" ca="1" si="479"/>
        <v>3080</v>
      </c>
      <c r="AC269" s="39">
        <f t="shared" ca="1" si="479"/>
        <v>3080</v>
      </c>
      <c r="AD269" s="39">
        <f t="shared" ca="1" si="479"/>
        <v>3080</v>
      </c>
      <c r="AE269" s="39">
        <f t="shared" ca="1" si="479"/>
        <v>3080</v>
      </c>
      <c r="AF269" s="39">
        <f t="shared" ca="1" si="479"/>
        <v>3080</v>
      </c>
      <c r="AG269" s="39">
        <f t="shared" ca="1" si="479"/>
        <v>3080</v>
      </c>
      <c r="AH269" s="39">
        <f t="shared" ca="1" si="479"/>
        <v>3080</v>
      </c>
      <c r="AI269" s="39">
        <f t="shared" ca="1" si="479"/>
        <v>3080</v>
      </c>
      <c r="AJ269" s="39">
        <f t="shared" ref="AJ269:BO269" ca="1" si="480">AJ268-AJ262</f>
        <v>3080</v>
      </c>
      <c r="AK269" s="39">
        <f t="shared" ca="1" si="480"/>
        <v>0</v>
      </c>
      <c r="AL269" s="39">
        <f t="shared" ca="1" si="480"/>
        <v>3080</v>
      </c>
      <c r="AM269" s="39">
        <f t="shared" ca="1" si="480"/>
        <v>2054</v>
      </c>
      <c r="AN269" s="39">
        <f t="shared" ca="1" si="480"/>
        <v>3080</v>
      </c>
      <c r="AO269" s="39">
        <f t="shared" ca="1" si="480"/>
        <v>3080</v>
      </c>
      <c r="AP269" s="39">
        <f t="shared" ca="1" si="480"/>
        <v>2566</v>
      </c>
      <c r="AQ269" s="39">
        <f t="shared" ca="1" si="480"/>
        <v>3080</v>
      </c>
      <c r="AR269" s="39">
        <f t="shared" ca="1" si="480"/>
        <v>1284</v>
      </c>
      <c r="AS269" s="39">
        <f t="shared" ca="1" si="480"/>
        <v>1540</v>
      </c>
      <c r="AT269" s="39">
        <f t="shared" ca="1" si="480"/>
        <v>1540</v>
      </c>
      <c r="AU269" s="39">
        <f t="shared" ca="1" si="480"/>
        <v>1540</v>
      </c>
      <c r="AV269" s="39">
        <f t="shared" ca="1" si="480"/>
        <v>770</v>
      </c>
      <c r="AW269" s="39">
        <f t="shared" ca="1" si="480"/>
        <v>2054</v>
      </c>
      <c r="AX269" s="39">
        <f t="shared" ca="1" si="480"/>
        <v>3080</v>
      </c>
      <c r="AY269" s="39">
        <f t="shared" ca="1" si="480"/>
        <v>2054</v>
      </c>
      <c r="AZ269" s="39">
        <f t="shared" ca="1" si="480"/>
        <v>3080</v>
      </c>
      <c r="BA269" s="39">
        <f t="shared" ca="1" si="480"/>
        <v>3080</v>
      </c>
      <c r="BB269" s="39">
        <f t="shared" ca="1" si="480"/>
        <v>1540</v>
      </c>
      <c r="BC269" s="39">
        <f t="shared" ca="1" si="480"/>
        <v>3080</v>
      </c>
      <c r="BD269" s="39">
        <f t="shared" ca="1" si="480"/>
        <v>1540</v>
      </c>
      <c r="BE269" s="39">
        <f t="shared" ca="1" si="480"/>
        <v>3080</v>
      </c>
      <c r="BF269" s="39">
        <f t="shared" ca="1" si="480"/>
        <v>3080</v>
      </c>
      <c r="BG269" s="39">
        <f t="shared" ca="1" si="480"/>
        <v>3080</v>
      </c>
      <c r="BH269" s="39">
        <f t="shared" ca="1" si="480"/>
        <v>3080</v>
      </c>
      <c r="BI269" s="39">
        <f t="shared" ca="1" si="480"/>
        <v>2566</v>
      </c>
      <c r="BJ269" s="39">
        <f t="shared" ca="1" si="480"/>
        <v>3080</v>
      </c>
      <c r="BK269" s="39">
        <f t="shared" ca="1" si="480"/>
        <v>2054</v>
      </c>
      <c r="BL269" s="39">
        <f t="shared" ca="1" si="480"/>
        <v>257</v>
      </c>
      <c r="BM269" s="39">
        <f t="shared" ca="1" si="480"/>
        <v>1540</v>
      </c>
      <c r="BN269" s="39">
        <f t="shared" ca="1" si="480"/>
        <v>1540</v>
      </c>
      <c r="BO269" s="39">
        <f t="shared" ca="1" si="480"/>
        <v>1283</v>
      </c>
      <c r="BP269" s="39">
        <f t="shared" ref="BP269:CC269" ca="1" si="481">BP268-BP262</f>
        <v>1540</v>
      </c>
      <c r="BQ269" s="39">
        <f t="shared" ca="1" si="481"/>
        <v>0</v>
      </c>
      <c r="BR269" s="39">
        <f t="shared" ca="1" si="481"/>
        <v>0</v>
      </c>
      <c r="BS269" s="39">
        <f t="shared" ca="1" si="481"/>
        <v>1283</v>
      </c>
      <c r="BT269" s="39">
        <f t="shared" ca="1" si="481"/>
        <v>1540</v>
      </c>
      <c r="BU269" s="39">
        <f t="shared" ca="1" si="481"/>
        <v>1540</v>
      </c>
      <c r="BV269" s="39">
        <f t="shared" ca="1" si="481"/>
        <v>1540</v>
      </c>
      <c r="BW269" s="39">
        <f t="shared" ca="1" si="481"/>
        <v>1540</v>
      </c>
      <c r="BX269" s="39">
        <f t="shared" ca="1" si="481"/>
        <v>1027</v>
      </c>
      <c r="BY269" s="39">
        <f t="shared" ca="1" si="481"/>
        <v>1540</v>
      </c>
      <c r="BZ269" s="39">
        <f t="shared" ca="1" si="481"/>
        <v>1283</v>
      </c>
      <c r="CA269" s="39">
        <f t="shared" ca="1" si="481"/>
        <v>1540</v>
      </c>
      <c r="CB269" s="39">
        <f t="shared" ca="1" si="481"/>
        <v>1540</v>
      </c>
      <c r="CC269" s="39">
        <f t="shared" ca="1" si="481"/>
        <v>1540</v>
      </c>
    </row>
    <row r="272" spans="1:81" x14ac:dyDescent="0.2">
      <c r="A272" t="s">
        <v>257</v>
      </c>
      <c r="D272" s="39">
        <f t="shared" ref="D272:AI272" si="482">ROUND(D14*$B15+D21*$B22+D28*$B29+D35*$B36+D42*$B43+D49*$B50+D56*$B57+D63*$B64+D70*$B71+D77*$B78+D84*$B85+D91*$B92+D98*$B99+D105*$B106+D112*$B113+D119*$B120+D126*$B127+D133*$B134+D140*$B141+D147*$B148+D154*$B155+D161*$B162+D168*$B169+D175*$B176+D182*$B183+D189*$B190+D196*$B197+D203*$B204+D210*$B211+D217*$B218+D224*$B225+D231*$B232+D238*$B239+D245*$B246+D252*$B253,0)</f>
        <v>232413</v>
      </c>
      <c r="E272" s="39">
        <f t="shared" si="482"/>
        <v>275424</v>
      </c>
      <c r="F272" s="39">
        <f t="shared" si="482"/>
        <v>217699</v>
      </c>
      <c r="G272" s="39">
        <f t="shared" si="482"/>
        <v>184543</v>
      </c>
      <c r="H272" s="39">
        <f t="shared" si="482"/>
        <v>146045</v>
      </c>
      <c r="I272" s="39">
        <f t="shared" si="482"/>
        <v>162133</v>
      </c>
      <c r="J272" s="39">
        <f t="shared" si="482"/>
        <v>155084</v>
      </c>
      <c r="K272" s="39">
        <f t="shared" si="482"/>
        <v>135778</v>
      </c>
      <c r="L272" s="39">
        <f t="shared" si="482"/>
        <v>99331</v>
      </c>
      <c r="M272" s="39">
        <f t="shared" si="482"/>
        <v>49040</v>
      </c>
      <c r="N272" s="39">
        <f t="shared" si="482"/>
        <v>-17435</v>
      </c>
      <c r="O272" s="39">
        <f t="shared" si="482"/>
        <v>-17435</v>
      </c>
      <c r="P272" s="39">
        <f t="shared" si="482"/>
        <v>-17435</v>
      </c>
      <c r="Q272" s="39">
        <f t="shared" si="482"/>
        <v>-17435</v>
      </c>
      <c r="R272" s="39">
        <f t="shared" si="482"/>
        <v>-17435</v>
      </c>
      <c r="S272" s="39">
        <f t="shared" si="482"/>
        <v>-55498</v>
      </c>
      <c r="T272" s="39">
        <f t="shared" si="482"/>
        <v>-87520</v>
      </c>
      <c r="U272" s="39">
        <f t="shared" si="482"/>
        <v>-123404</v>
      </c>
      <c r="V272" s="39">
        <f t="shared" si="482"/>
        <v>-159600</v>
      </c>
      <c r="W272" s="39">
        <f t="shared" si="482"/>
        <v>-195796</v>
      </c>
      <c r="X272" s="39">
        <f t="shared" si="482"/>
        <v>-231992</v>
      </c>
      <c r="Y272" s="39">
        <f t="shared" si="482"/>
        <v>-267851</v>
      </c>
      <c r="Z272" s="39">
        <f t="shared" si="482"/>
        <v>-293316</v>
      </c>
      <c r="AA272" s="39">
        <f t="shared" si="482"/>
        <v>-318781</v>
      </c>
      <c r="AB272" s="39">
        <f t="shared" si="482"/>
        <v>-344247</v>
      </c>
      <c r="AC272" s="39">
        <f t="shared" si="482"/>
        <v>-369597</v>
      </c>
      <c r="AD272" s="39">
        <f t="shared" si="482"/>
        <v>-407530</v>
      </c>
      <c r="AE272" s="39">
        <f t="shared" si="482"/>
        <v>-445463</v>
      </c>
      <c r="AF272" s="39">
        <f t="shared" si="482"/>
        <v>-483397</v>
      </c>
      <c r="AG272" s="39">
        <f t="shared" si="482"/>
        <v>-521330</v>
      </c>
      <c r="AH272" s="39">
        <f t="shared" si="482"/>
        <v>-555396</v>
      </c>
      <c r="AI272" s="39">
        <f t="shared" si="482"/>
        <v>-592816</v>
      </c>
      <c r="AJ272" s="39">
        <f t="shared" ref="AJ272:BO272" si="483">ROUND(AJ14*$B15+AJ21*$B22+AJ28*$B29+AJ35*$B36+AJ42*$B43+AJ49*$B50+AJ56*$B57+AJ63*$B64+AJ70*$B71+AJ77*$B78+AJ84*$B85+AJ91*$B92+AJ98*$B99+AJ105*$B106+AJ112*$B113+AJ119*$B120+AJ126*$B127+AJ133*$B134+AJ140*$B141+AJ147*$B148+AJ154*$B155+AJ161*$B162+AJ168*$B169+AJ175*$B176+AJ182*$B183+AJ189*$B190+AJ196*$B197+AJ203*$B204+AJ210*$B211+AJ217*$B218+AJ224*$B225+AJ231*$B232+AJ238*$B239+AJ245*$B246+AJ252*$B253,0)</f>
        <v>-630235</v>
      </c>
      <c r="AK272" s="39">
        <f t="shared" si="483"/>
        <v>-630235</v>
      </c>
      <c r="AL272" s="39">
        <f t="shared" si="483"/>
        <v>-630235</v>
      </c>
      <c r="AM272" s="39">
        <f t="shared" si="483"/>
        <v>-630235</v>
      </c>
      <c r="AN272" s="39">
        <f t="shared" si="483"/>
        <v>-630235</v>
      </c>
      <c r="AO272" s="39">
        <f t="shared" si="483"/>
        <v>-657265</v>
      </c>
      <c r="AP272" s="39">
        <f t="shared" si="483"/>
        <v>-684294</v>
      </c>
      <c r="AQ272" s="39">
        <f t="shared" si="483"/>
        <v>-711323</v>
      </c>
      <c r="AR272" s="39">
        <f t="shared" si="483"/>
        <v>-743924</v>
      </c>
      <c r="AS272" s="39">
        <f t="shared" si="483"/>
        <v>-776524</v>
      </c>
      <c r="AT272" s="39">
        <f t="shared" si="483"/>
        <v>-802625</v>
      </c>
      <c r="AU272" s="39">
        <f t="shared" si="483"/>
        <v>-835226</v>
      </c>
      <c r="AV272" s="39">
        <f t="shared" si="483"/>
        <v>-866171</v>
      </c>
      <c r="AW272" s="39">
        <f t="shared" si="483"/>
        <v>-897116</v>
      </c>
      <c r="AX272" s="39">
        <f t="shared" si="483"/>
        <v>-928062</v>
      </c>
      <c r="AY272" s="39">
        <f t="shared" si="483"/>
        <v>-959007</v>
      </c>
      <c r="AZ272" s="39">
        <f t="shared" si="483"/>
        <v>-983757</v>
      </c>
      <c r="BA272" s="39">
        <f t="shared" si="483"/>
        <v>-1005819</v>
      </c>
      <c r="BB272" s="39">
        <f t="shared" si="483"/>
        <v>-1027881</v>
      </c>
      <c r="BC272" s="39">
        <f t="shared" si="483"/>
        <v>-1049943</v>
      </c>
      <c r="BD272" s="39">
        <f t="shared" si="483"/>
        <v>-1074693</v>
      </c>
      <c r="BE272" s="39">
        <f t="shared" si="483"/>
        <v>-1099444</v>
      </c>
      <c r="BF272" s="39">
        <f t="shared" si="483"/>
        <v>-1124195</v>
      </c>
      <c r="BG272" s="39">
        <f t="shared" si="483"/>
        <v>-1148945</v>
      </c>
      <c r="BH272" s="39">
        <f t="shared" si="483"/>
        <v>-1173696</v>
      </c>
      <c r="BI272" s="39">
        <f t="shared" si="483"/>
        <v>-1198447</v>
      </c>
      <c r="BJ272" s="39">
        <f t="shared" si="483"/>
        <v>-1223197</v>
      </c>
      <c r="BK272" s="39">
        <f t="shared" si="483"/>
        <v>-1247948</v>
      </c>
      <c r="BL272" s="39">
        <f t="shared" si="483"/>
        <v>-1272699</v>
      </c>
      <c r="BM272" s="39">
        <f t="shared" si="483"/>
        <v>-1297345</v>
      </c>
      <c r="BN272" s="39">
        <f t="shared" si="483"/>
        <v>-1321990</v>
      </c>
      <c r="BO272" s="39">
        <f t="shared" si="483"/>
        <v>-1366903</v>
      </c>
      <c r="BP272" s="39">
        <f t="shared" ref="BP272:CC272" si="484">ROUND(BP14*$B15+BP21*$B22+BP28*$B29+BP35*$B36+BP42*$B43+BP49*$B50+BP56*$B57+BP63*$B64+BP70*$B71+BP77*$B78+BP84*$B85+BP91*$B92+BP98*$B99+BP105*$B106+BP112*$B113+BP119*$B120+BP126*$B127+BP133*$B134+BP140*$B141+BP147*$B148+BP154*$B155+BP161*$B162+BP168*$B169+BP175*$B176+BP182*$B183+BP189*$B190+BP196*$B197+BP203*$B204+BP210*$B211+BP217*$B218+BP224*$B225+BP231*$B232+BP238*$B239+BP245*$B246+BP252*$B253,0)</f>
        <v>-1366903</v>
      </c>
      <c r="BQ272" s="39">
        <f t="shared" si="484"/>
        <v>-1366903</v>
      </c>
      <c r="BR272" s="39">
        <f t="shared" si="484"/>
        <v>-1366903</v>
      </c>
      <c r="BS272" s="39">
        <f t="shared" si="484"/>
        <v>-1366903</v>
      </c>
      <c r="BT272" s="39">
        <f t="shared" si="484"/>
        <v>-1387262</v>
      </c>
      <c r="BU272" s="39">
        <f t="shared" si="484"/>
        <v>-1407622</v>
      </c>
      <c r="BV272" s="39">
        <f t="shared" si="484"/>
        <v>-1427981</v>
      </c>
      <c r="BW272" s="39">
        <f t="shared" si="484"/>
        <v>-1448340</v>
      </c>
      <c r="BX272" s="39">
        <f t="shared" si="484"/>
        <v>-1468699</v>
      </c>
      <c r="BY272" s="39">
        <f t="shared" si="484"/>
        <v>-1489059</v>
      </c>
      <c r="BZ272" s="39">
        <f t="shared" si="484"/>
        <v>-1509418</v>
      </c>
      <c r="CA272" s="39">
        <f t="shared" si="484"/>
        <v>-1529777</v>
      </c>
      <c r="CB272" s="39">
        <f t="shared" si="484"/>
        <v>-1550137</v>
      </c>
      <c r="CC272" s="39">
        <f t="shared" si="484"/>
        <v>-1570496</v>
      </c>
    </row>
    <row r="273" spans="1:81" x14ac:dyDescent="0.2">
      <c r="A273" t="s">
        <v>258</v>
      </c>
      <c r="D273" s="39">
        <f t="shared" ref="D273:AI273" si="485">ROUND(D15*$B15+D22*$B22+D29*$B29+D36*$B36+D43*$B43+D50*$B50+D57*$B57+D64*$B64+D71*$B71+D78*$B78+D85*$B85+D92*$B92+D99*$B99+D106*$B106+D113*$B113+D120*$B120+D127*$B127+D134*$B134+D141*$B141+D148*$B148+D155*$B155+D162*$B162+D169*$B169+D176*$B176+D183*$B183+D190*$B190+D197*$B197+D204*$B204+D211*$B211+D218*$B218+D225*$B225+D232*$B232+D239*$B239+D246*$B246+D253*$B253,0)</f>
        <v>45648</v>
      </c>
      <c r="E273" s="39">
        <f t="shared" si="485"/>
        <v>0</v>
      </c>
      <c r="F273" s="39">
        <f t="shared" si="485"/>
        <v>0</v>
      </c>
      <c r="G273" s="39">
        <f t="shared" si="485"/>
        <v>0</v>
      </c>
      <c r="H273" s="39">
        <f t="shared" si="485"/>
        <v>0</v>
      </c>
      <c r="I273" s="39">
        <f t="shared" si="485"/>
        <v>0</v>
      </c>
      <c r="J273" s="39">
        <f t="shared" si="485"/>
        <v>0</v>
      </c>
      <c r="K273" s="39">
        <f t="shared" si="485"/>
        <v>0</v>
      </c>
      <c r="L273" s="39">
        <f t="shared" si="485"/>
        <v>0</v>
      </c>
      <c r="M273" s="39">
        <f t="shared" si="485"/>
        <v>0</v>
      </c>
      <c r="N273" s="39">
        <f t="shared" si="485"/>
        <v>0</v>
      </c>
      <c r="O273" s="39">
        <f t="shared" si="485"/>
        <v>0</v>
      </c>
      <c r="P273" s="39">
        <f t="shared" si="485"/>
        <v>0</v>
      </c>
      <c r="Q273" s="39">
        <f t="shared" si="485"/>
        <v>0</v>
      </c>
      <c r="R273" s="39">
        <f t="shared" si="485"/>
        <v>0</v>
      </c>
      <c r="S273" s="39">
        <f t="shared" si="485"/>
        <v>0</v>
      </c>
      <c r="T273" s="39">
        <f t="shared" si="485"/>
        <v>0</v>
      </c>
      <c r="U273" s="39">
        <f t="shared" si="485"/>
        <v>0</v>
      </c>
      <c r="V273" s="39">
        <f t="shared" si="485"/>
        <v>0</v>
      </c>
      <c r="W273" s="39">
        <f t="shared" si="485"/>
        <v>0</v>
      </c>
      <c r="X273" s="39">
        <f t="shared" si="485"/>
        <v>0</v>
      </c>
      <c r="Y273" s="39">
        <f t="shared" si="485"/>
        <v>0</v>
      </c>
      <c r="Z273" s="39">
        <f t="shared" si="485"/>
        <v>0</v>
      </c>
      <c r="AA273" s="39">
        <f t="shared" si="485"/>
        <v>0</v>
      </c>
      <c r="AB273" s="39">
        <f t="shared" si="485"/>
        <v>0</v>
      </c>
      <c r="AC273" s="39">
        <f t="shared" si="485"/>
        <v>0</v>
      </c>
      <c r="AD273" s="39">
        <f t="shared" si="485"/>
        <v>0</v>
      </c>
      <c r="AE273" s="39">
        <f t="shared" si="485"/>
        <v>0</v>
      </c>
      <c r="AF273" s="39">
        <f t="shared" si="485"/>
        <v>0</v>
      </c>
      <c r="AG273" s="39">
        <f t="shared" si="485"/>
        <v>0</v>
      </c>
      <c r="AH273" s="39">
        <f t="shared" si="485"/>
        <v>0</v>
      </c>
      <c r="AI273" s="39">
        <f t="shared" si="485"/>
        <v>0</v>
      </c>
      <c r="AJ273" s="39">
        <f t="shared" ref="AJ273:BO273" si="486">ROUND(AJ15*$B15+AJ22*$B22+AJ29*$B29+AJ36*$B36+AJ43*$B43+AJ50*$B50+AJ57*$B57+AJ64*$B64+AJ71*$B71+AJ78*$B78+AJ85*$B85+AJ92*$B92+AJ99*$B99+AJ106*$B106+AJ113*$B113+AJ120*$B120+AJ127*$B127+AJ134*$B134+AJ141*$B141+AJ148*$B148+AJ155*$B155+AJ162*$B162+AJ169*$B169+AJ176*$B176+AJ183*$B183+AJ190*$B190+AJ197*$B197+AJ204*$B204+AJ211*$B211+AJ218*$B218+AJ225*$B225+AJ232*$B232+AJ239*$B239+AJ246*$B246+AJ253*$B253,0)</f>
        <v>0</v>
      </c>
      <c r="AK273" s="39">
        <f t="shared" si="486"/>
        <v>0</v>
      </c>
      <c r="AL273" s="39">
        <f t="shared" si="486"/>
        <v>0</v>
      </c>
      <c r="AM273" s="39">
        <f t="shared" si="486"/>
        <v>0</v>
      </c>
      <c r="AN273" s="39">
        <f t="shared" si="486"/>
        <v>0</v>
      </c>
      <c r="AO273" s="39">
        <f t="shared" si="486"/>
        <v>0</v>
      </c>
      <c r="AP273" s="39">
        <f t="shared" si="486"/>
        <v>0</v>
      </c>
      <c r="AQ273" s="39">
        <f t="shared" si="486"/>
        <v>0</v>
      </c>
      <c r="AR273" s="39">
        <f t="shared" si="486"/>
        <v>0</v>
      </c>
      <c r="AS273" s="39">
        <f t="shared" si="486"/>
        <v>0</v>
      </c>
      <c r="AT273" s="39">
        <f t="shared" si="486"/>
        <v>0</v>
      </c>
      <c r="AU273" s="39">
        <f t="shared" si="486"/>
        <v>0</v>
      </c>
      <c r="AV273" s="39">
        <f t="shared" si="486"/>
        <v>0</v>
      </c>
      <c r="AW273" s="39">
        <f t="shared" si="486"/>
        <v>0</v>
      </c>
      <c r="AX273" s="39">
        <f t="shared" si="486"/>
        <v>0</v>
      </c>
      <c r="AY273" s="39">
        <f t="shared" si="486"/>
        <v>0</v>
      </c>
      <c r="AZ273" s="39">
        <f t="shared" si="486"/>
        <v>0</v>
      </c>
      <c r="BA273" s="39">
        <f t="shared" si="486"/>
        <v>0</v>
      </c>
      <c r="BB273" s="39">
        <f t="shared" si="486"/>
        <v>0</v>
      </c>
      <c r="BC273" s="39">
        <f t="shared" si="486"/>
        <v>0</v>
      </c>
      <c r="BD273" s="39">
        <f t="shared" si="486"/>
        <v>0</v>
      </c>
      <c r="BE273" s="39">
        <f t="shared" si="486"/>
        <v>0</v>
      </c>
      <c r="BF273" s="39">
        <f t="shared" si="486"/>
        <v>0</v>
      </c>
      <c r="BG273" s="39">
        <f t="shared" si="486"/>
        <v>0</v>
      </c>
      <c r="BH273" s="39">
        <f t="shared" si="486"/>
        <v>0</v>
      </c>
      <c r="BI273" s="39">
        <f t="shared" si="486"/>
        <v>0</v>
      </c>
      <c r="BJ273" s="39">
        <f t="shared" si="486"/>
        <v>0</v>
      </c>
      <c r="BK273" s="39">
        <f t="shared" si="486"/>
        <v>0</v>
      </c>
      <c r="BL273" s="39">
        <f t="shared" si="486"/>
        <v>0</v>
      </c>
      <c r="BM273" s="39">
        <f t="shared" si="486"/>
        <v>0</v>
      </c>
      <c r="BN273" s="39">
        <f t="shared" si="486"/>
        <v>0</v>
      </c>
      <c r="BO273" s="39">
        <f t="shared" si="486"/>
        <v>0</v>
      </c>
      <c r="BP273" s="39">
        <f t="shared" ref="BP273:CC273" si="487">ROUND(BP15*$B15+BP22*$B22+BP29*$B29+BP36*$B36+BP43*$B43+BP50*$B50+BP57*$B57+BP64*$B64+BP71*$B71+BP78*$B78+BP85*$B85+BP92*$B92+BP99*$B99+BP106*$B106+BP113*$B113+BP120*$B120+BP127*$B127+BP134*$B134+BP141*$B141+BP148*$B148+BP155*$B155+BP162*$B162+BP169*$B169+BP176*$B176+BP183*$B183+BP190*$B190+BP197*$B197+BP204*$B204+BP211*$B211+BP218*$B218+BP225*$B225+BP232*$B232+BP239*$B239+BP246*$B246+BP253*$B253,0)</f>
        <v>0</v>
      </c>
      <c r="BQ273" s="39">
        <f t="shared" si="487"/>
        <v>0</v>
      </c>
      <c r="BR273" s="39">
        <f t="shared" si="487"/>
        <v>0</v>
      </c>
      <c r="BS273" s="39">
        <f t="shared" si="487"/>
        <v>0</v>
      </c>
      <c r="BT273" s="39">
        <f t="shared" si="487"/>
        <v>0</v>
      </c>
      <c r="BU273" s="39">
        <f t="shared" si="487"/>
        <v>0</v>
      </c>
      <c r="BV273" s="39">
        <f t="shared" si="487"/>
        <v>0</v>
      </c>
      <c r="BW273" s="39">
        <f t="shared" si="487"/>
        <v>0</v>
      </c>
      <c r="BX273" s="39">
        <f t="shared" si="487"/>
        <v>0</v>
      </c>
      <c r="BY273" s="39">
        <f t="shared" si="487"/>
        <v>0</v>
      </c>
      <c r="BZ273" s="39">
        <f t="shared" si="487"/>
        <v>0</v>
      </c>
      <c r="CA273" s="39">
        <f t="shared" si="487"/>
        <v>0</v>
      </c>
      <c r="CB273" s="39">
        <f t="shared" si="487"/>
        <v>0</v>
      </c>
      <c r="CC273" s="39">
        <f t="shared" si="487"/>
        <v>0</v>
      </c>
    </row>
    <row r="274" spans="1:81" x14ac:dyDescent="0.2">
      <c r="A274" t="s">
        <v>259</v>
      </c>
      <c r="D274" s="39">
        <f t="shared" ref="D274:AI274" si="488">ROUND(D16*$B15+D23*$B22+D30*$B29+D37*$B36+D44*$B43+D51*$B50+D58*$B57+D65*$B64+D72*$B71+D79*$B78+D86*$B85+D93*$B92+D100*$B99+D107*$B106+D114*$B113+D121*$B120+D128*$B127+D135*$B134+D142*$B141+D149*$B148+D156*$B155+D163*$B162+D170*$B169+D177*$B176+D184*$B183+D191*$B190+D198*$B197+D205*$B204+D212*$B211+D219*$B218+D226*$B225+D233*$B232+D240*$B239+D247*$B246+D254*$B253,0)</f>
        <v>57336</v>
      </c>
      <c r="E274" s="39">
        <f t="shared" si="488"/>
        <v>32700</v>
      </c>
      <c r="F274" s="39">
        <f t="shared" si="488"/>
        <v>15973</v>
      </c>
      <c r="G274" s="39">
        <f t="shared" si="488"/>
        <v>0</v>
      </c>
      <c r="H274" s="39">
        <f t="shared" si="488"/>
        <v>0</v>
      </c>
      <c r="I274" s="39">
        <f t="shared" si="488"/>
        <v>0</v>
      </c>
      <c r="J274" s="39">
        <f t="shared" si="488"/>
        <v>0</v>
      </c>
      <c r="K274" s="39">
        <f t="shared" si="488"/>
        <v>0</v>
      </c>
      <c r="L274" s="39">
        <f t="shared" si="488"/>
        <v>0</v>
      </c>
      <c r="M274" s="39">
        <f t="shared" si="488"/>
        <v>0</v>
      </c>
      <c r="N274" s="39">
        <f t="shared" si="488"/>
        <v>0</v>
      </c>
      <c r="O274" s="39">
        <f t="shared" si="488"/>
        <v>0</v>
      </c>
      <c r="P274" s="39">
        <f t="shared" si="488"/>
        <v>0</v>
      </c>
      <c r="Q274" s="39">
        <f t="shared" si="488"/>
        <v>0</v>
      </c>
      <c r="R274" s="39">
        <f t="shared" si="488"/>
        <v>0</v>
      </c>
      <c r="S274" s="39">
        <f t="shared" si="488"/>
        <v>0</v>
      </c>
      <c r="T274" s="39">
        <f t="shared" si="488"/>
        <v>0</v>
      </c>
      <c r="U274" s="39">
        <f t="shared" si="488"/>
        <v>0</v>
      </c>
      <c r="V274" s="39">
        <f t="shared" si="488"/>
        <v>0</v>
      </c>
      <c r="W274" s="39">
        <f t="shared" si="488"/>
        <v>0</v>
      </c>
      <c r="X274" s="39">
        <f t="shared" si="488"/>
        <v>0</v>
      </c>
      <c r="Y274" s="39">
        <f t="shared" si="488"/>
        <v>0</v>
      </c>
      <c r="Z274" s="39">
        <f t="shared" si="488"/>
        <v>0</v>
      </c>
      <c r="AA274" s="39">
        <f t="shared" si="488"/>
        <v>0</v>
      </c>
      <c r="AB274" s="39">
        <f t="shared" si="488"/>
        <v>0</v>
      </c>
      <c r="AC274" s="39">
        <f t="shared" si="488"/>
        <v>0</v>
      </c>
      <c r="AD274" s="39">
        <f t="shared" si="488"/>
        <v>0</v>
      </c>
      <c r="AE274" s="39">
        <f t="shared" si="488"/>
        <v>0</v>
      </c>
      <c r="AF274" s="39">
        <f t="shared" si="488"/>
        <v>0</v>
      </c>
      <c r="AG274" s="39">
        <f t="shared" si="488"/>
        <v>0</v>
      </c>
      <c r="AH274" s="39">
        <f t="shared" si="488"/>
        <v>0</v>
      </c>
      <c r="AI274" s="39">
        <f t="shared" si="488"/>
        <v>0</v>
      </c>
      <c r="AJ274" s="39">
        <f t="shared" ref="AJ274:BO274" si="489">ROUND(AJ16*$B15+AJ23*$B22+AJ30*$B29+AJ37*$B36+AJ44*$B43+AJ51*$B50+AJ58*$B57+AJ65*$B64+AJ72*$B71+AJ79*$B78+AJ86*$B85+AJ93*$B92+AJ100*$B99+AJ107*$B106+AJ114*$B113+AJ121*$B120+AJ128*$B127+AJ135*$B134+AJ142*$B141+AJ149*$B148+AJ156*$B155+AJ163*$B162+AJ170*$B169+AJ177*$B176+AJ184*$B183+AJ191*$B190+AJ198*$B197+AJ205*$B204+AJ212*$B211+AJ219*$B218+AJ226*$B225+AJ233*$B232+AJ240*$B239+AJ247*$B246+AJ254*$B253,0)</f>
        <v>0</v>
      </c>
      <c r="AK274" s="39">
        <f t="shared" si="489"/>
        <v>0</v>
      </c>
      <c r="AL274" s="39">
        <f t="shared" si="489"/>
        <v>0</v>
      </c>
      <c r="AM274" s="39">
        <f t="shared" si="489"/>
        <v>0</v>
      </c>
      <c r="AN274" s="39">
        <f t="shared" si="489"/>
        <v>0</v>
      </c>
      <c r="AO274" s="39">
        <f t="shared" si="489"/>
        <v>0</v>
      </c>
      <c r="AP274" s="39">
        <f t="shared" si="489"/>
        <v>0</v>
      </c>
      <c r="AQ274" s="39">
        <f t="shared" si="489"/>
        <v>0</v>
      </c>
      <c r="AR274" s="39">
        <f t="shared" si="489"/>
        <v>0</v>
      </c>
      <c r="AS274" s="39">
        <f t="shared" si="489"/>
        <v>0</v>
      </c>
      <c r="AT274" s="39">
        <f t="shared" si="489"/>
        <v>0</v>
      </c>
      <c r="AU274" s="39">
        <f t="shared" si="489"/>
        <v>0</v>
      </c>
      <c r="AV274" s="39">
        <f t="shared" si="489"/>
        <v>0</v>
      </c>
      <c r="AW274" s="39">
        <f t="shared" si="489"/>
        <v>0</v>
      </c>
      <c r="AX274" s="39">
        <f t="shared" si="489"/>
        <v>0</v>
      </c>
      <c r="AY274" s="39">
        <f t="shared" si="489"/>
        <v>0</v>
      </c>
      <c r="AZ274" s="39">
        <f t="shared" si="489"/>
        <v>0</v>
      </c>
      <c r="BA274" s="39">
        <f t="shared" si="489"/>
        <v>0</v>
      </c>
      <c r="BB274" s="39">
        <f t="shared" si="489"/>
        <v>0</v>
      </c>
      <c r="BC274" s="39">
        <f t="shared" si="489"/>
        <v>0</v>
      </c>
      <c r="BD274" s="39">
        <f t="shared" si="489"/>
        <v>0</v>
      </c>
      <c r="BE274" s="39">
        <f t="shared" si="489"/>
        <v>0</v>
      </c>
      <c r="BF274" s="39">
        <f t="shared" si="489"/>
        <v>0</v>
      </c>
      <c r="BG274" s="39">
        <f t="shared" si="489"/>
        <v>0</v>
      </c>
      <c r="BH274" s="39">
        <f t="shared" si="489"/>
        <v>0</v>
      </c>
      <c r="BI274" s="39">
        <f t="shared" si="489"/>
        <v>0</v>
      </c>
      <c r="BJ274" s="39">
        <f t="shared" si="489"/>
        <v>0</v>
      </c>
      <c r="BK274" s="39">
        <f t="shared" si="489"/>
        <v>0</v>
      </c>
      <c r="BL274" s="39">
        <f t="shared" si="489"/>
        <v>0</v>
      </c>
      <c r="BM274" s="39">
        <f t="shared" si="489"/>
        <v>0</v>
      </c>
      <c r="BN274" s="39">
        <f t="shared" si="489"/>
        <v>0</v>
      </c>
      <c r="BO274" s="39">
        <f t="shared" si="489"/>
        <v>0</v>
      </c>
      <c r="BP274" s="39">
        <f t="shared" ref="BP274:CC274" si="490">ROUND(BP16*$B15+BP23*$B22+BP30*$B29+BP37*$B36+BP44*$B43+BP51*$B50+BP58*$B57+BP65*$B64+BP72*$B71+BP79*$B78+BP86*$B85+BP93*$B92+BP100*$B99+BP107*$B106+BP114*$B113+BP121*$B120+BP128*$B127+BP135*$B134+BP142*$B141+BP149*$B148+BP156*$B155+BP163*$B162+BP170*$B169+BP177*$B176+BP184*$B183+BP191*$B190+BP198*$B197+BP205*$B204+BP212*$B211+BP219*$B218+BP226*$B225+BP233*$B232+BP240*$B239+BP247*$B246+BP254*$B253,0)</f>
        <v>0</v>
      </c>
      <c r="BQ274" s="39">
        <f t="shared" si="490"/>
        <v>0</v>
      </c>
      <c r="BR274" s="39">
        <f t="shared" si="490"/>
        <v>0</v>
      </c>
      <c r="BS274" s="39">
        <f t="shared" si="490"/>
        <v>0</v>
      </c>
      <c r="BT274" s="39">
        <f t="shared" si="490"/>
        <v>0</v>
      </c>
      <c r="BU274" s="39">
        <f t="shared" si="490"/>
        <v>0</v>
      </c>
      <c r="BV274" s="39">
        <f t="shared" si="490"/>
        <v>0</v>
      </c>
      <c r="BW274" s="39">
        <f t="shared" si="490"/>
        <v>0</v>
      </c>
      <c r="BX274" s="39">
        <f t="shared" si="490"/>
        <v>0</v>
      </c>
      <c r="BY274" s="39">
        <f t="shared" si="490"/>
        <v>0</v>
      </c>
      <c r="BZ274" s="39">
        <f t="shared" si="490"/>
        <v>0</v>
      </c>
      <c r="CA274" s="39">
        <f t="shared" si="490"/>
        <v>0</v>
      </c>
      <c r="CB274" s="39">
        <f t="shared" si="490"/>
        <v>0</v>
      </c>
      <c r="CC274" s="39">
        <f t="shared" si="490"/>
        <v>0</v>
      </c>
    </row>
    <row r="275" spans="1:81" x14ac:dyDescent="0.2">
      <c r="A275" t="s">
        <v>260</v>
      </c>
      <c r="D275" s="39">
        <f t="shared" ref="D275:AI275" si="491">ROUND(D17*$B15+D24*$B22+D31*$B29+D38*$B36+D45*$B43+D52*$B50+D59*$B57+D66*$B64+D73*$B71+D80*$B78+D87*$B85+D94*$B92+D101*$B99+D108*$B106+D115*$B113+D122*$B120+D129*$B127+D136*$B134+D143*$B141+D150*$B148+D157*$B155+D164*$B162+D171*$B169+D178*$B176+D185*$B183+D192*$B190+D199*$B197+D206*$B204+D213*$B211+D220*$B218+D227*$B225+D234*$B232+D241*$B239+D248*$B246+D255*$B253,0)</f>
        <v>2637</v>
      </c>
      <c r="E275" s="39">
        <f t="shared" si="491"/>
        <v>57725</v>
      </c>
      <c r="F275" s="39">
        <f t="shared" si="491"/>
        <v>33156</v>
      </c>
      <c r="G275" s="39">
        <f t="shared" si="491"/>
        <v>38499</v>
      </c>
      <c r="H275" s="39">
        <f t="shared" si="491"/>
        <v>41248</v>
      </c>
      <c r="I275" s="39">
        <f t="shared" si="491"/>
        <v>39749</v>
      </c>
      <c r="J275" s="39">
        <f t="shared" si="491"/>
        <v>35278</v>
      </c>
      <c r="K275" s="39">
        <f t="shared" si="491"/>
        <v>36447</v>
      </c>
      <c r="L275" s="39">
        <f t="shared" si="491"/>
        <v>50291</v>
      </c>
      <c r="M275" s="39">
        <f t="shared" si="491"/>
        <v>66475</v>
      </c>
      <c r="N275" s="39">
        <f t="shared" si="491"/>
        <v>0</v>
      </c>
      <c r="O275" s="39">
        <f t="shared" si="491"/>
        <v>0</v>
      </c>
      <c r="P275" s="39">
        <f t="shared" si="491"/>
        <v>0</v>
      </c>
      <c r="Q275" s="39">
        <f t="shared" si="491"/>
        <v>0</v>
      </c>
      <c r="R275" s="39">
        <f t="shared" si="491"/>
        <v>38062</v>
      </c>
      <c r="S275" s="39">
        <f t="shared" si="491"/>
        <v>32022</v>
      </c>
      <c r="T275" s="39">
        <f t="shared" si="491"/>
        <v>35884</v>
      </c>
      <c r="U275" s="39">
        <f t="shared" si="491"/>
        <v>36196</v>
      </c>
      <c r="V275" s="39">
        <f t="shared" si="491"/>
        <v>36196</v>
      </c>
      <c r="W275" s="39">
        <f t="shared" si="491"/>
        <v>36196</v>
      </c>
      <c r="X275" s="39">
        <f t="shared" si="491"/>
        <v>35859</v>
      </c>
      <c r="Y275" s="39">
        <f t="shared" si="491"/>
        <v>25465</v>
      </c>
      <c r="Z275" s="39">
        <f t="shared" si="491"/>
        <v>25465</v>
      </c>
      <c r="AA275" s="39">
        <f t="shared" si="491"/>
        <v>25465</v>
      </c>
      <c r="AB275" s="39">
        <f t="shared" si="491"/>
        <v>25350</v>
      </c>
      <c r="AC275" s="39">
        <f t="shared" si="491"/>
        <v>37933</v>
      </c>
      <c r="AD275" s="39">
        <f t="shared" si="491"/>
        <v>37933</v>
      </c>
      <c r="AE275" s="39">
        <f t="shared" si="491"/>
        <v>37933</v>
      </c>
      <c r="AF275" s="39">
        <f t="shared" si="491"/>
        <v>37933</v>
      </c>
      <c r="AG275" s="39">
        <f t="shared" si="491"/>
        <v>34066</v>
      </c>
      <c r="AH275" s="39">
        <f t="shared" si="491"/>
        <v>37419</v>
      </c>
      <c r="AI275" s="39">
        <f t="shared" si="491"/>
        <v>37419</v>
      </c>
      <c r="AJ275" s="39">
        <f t="shared" ref="AJ275:BO275" si="492">ROUND(AJ17*$B15+AJ24*$B22+AJ31*$B29+AJ38*$B36+AJ45*$B43+AJ52*$B50+AJ59*$B57+AJ66*$B64+AJ73*$B71+AJ80*$B78+AJ87*$B85+AJ94*$B92+AJ101*$B99+AJ108*$B106+AJ115*$B113+AJ122*$B120+AJ129*$B127+AJ136*$B134+AJ143*$B141+AJ150*$B148+AJ157*$B155+AJ164*$B162+AJ171*$B169+AJ178*$B176+AJ185*$B183+AJ192*$B190+AJ199*$B197+AJ206*$B204+AJ213*$B211+AJ220*$B218+AJ227*$B225+AJ234*$B232+AJ241*$B239+AJ248*$B246+AJ255*$B253,0)</f>
        <v>0</v>
      </c>
      <c r="AK275" s="39">
        <f t="shared" si="492"/>
        <v>0</v>
      </c>
      <c r="AL275" s="39">
        <f t="shared" si="492"/>
        <v>0</v>
      </c>
      <c r="AM275" s="39">
        <f t="shared" si="492"/>
        <v>0</v>
      </c>
      <c r="AN275" s="39">
        <f t="shared" si="492"/>
        <v>27029</v>
      </c>
      <c r="AO275" s="39">
        <f t="shared" si="492"/>
        <v>27029</v>
      </c>
      <c r="AP275" s="39">
        <f t="shared" si="492"/>
        <v>27029</v>
      </c>
      <c r="AQ275" s="39">
        <f t="shared" si="492"/>
        <v>32600</v>
      </c>
      <c r="AR275" s="39">
        <f t="shared" si="492"/>
        <v>32600</v>
      </c>
      <c r="AS275" s="39">
        <f t="shared" si="492"/>
        <v>26101</v>
      </c>
      <c r="AT275" s="39">
        <f t="shared" si="492"/>
        <v>32600</v>
      </c>
      <c r="AU275" s="39">
        <f t="shared" si="492"/>
        <v>30945</v>
      </c>
      <c r="AV275" s="39">
        <f t="shared" si="492"/>
        <v>30945</v>
      </c>
      <c r="AW275" s="39">
        <f t="shared" si="492"/>
        <v>30945</v>
      </c>
      <c r="AX275" s="39">
        <f t="shared" si="492"/>
        <v>30945</v>
      </c>
      <c r="AY275" s="39">
        <f t="shared" si="492"/>
        <v>24751</v>
      </c>
      <c r="AZ275" s="39">
        <f t="shared" si="492"/>
        <v>22062</v>
      </c>
      <c r="BA275" s="39">
        <f t="shared" si="492"/>
        <v>22062</v>
      </c>
      <c r="BB275" s="39">
        <f t="shared" si="492"/>
        <v>22062</v>
      </c>
      <c r="BC275" s="39">
        <f t="shared" si="492"/>
        <v>24751</v>
      </c>
      <c r="BD275" s="39">
        <f t="shared" si="492"/>
        <v>24751</v>
      </c>
      <c r="BE275" s="39">
        <f t="shared" si="492"/>
        <v>24751</v>
      </c>
      <c r="BF275" s="39">
        <f t="shared" si="492"/>
        <v>24751</v>
      </c>
      <c r="BG275" s="39">
        <f t="shared" si="492"/>
        <v>24751</v>
      </c>
      <c r="BH275" s="39">
        <f t="shared" si="492"/>
        <v>24751</v>
      </c>
      <c r="BI275" s="39">
        <f t="shared" si="492"/>
        <v>24751</v>
      </c>
      <c r="BJ275" s="39">
        <f t="shared" si="492"/>
        <v>24751</v>
      </c>
      <c r="BK275" s="39">
        <f t="shared" si="492"/>
        <v>24751</v>
      </c>
      <c r="BL275" s="39">
        <f t="shared" si="492"/>
        <v>24646</v>
      </c>
      <c r="BM275" s="39">
        <f t="shared" si="492"/>
        <v>24646</v>
      </c>
      <c r="BN275" s="39">
        <f t="shared" si="492"/>
        <v>44913</v>
      </c>
      <c r="BO275" s="39">
        <f t="shared" si="492"/>
        <v>0</v>
      </c>
      <c r="BP275" s="39">
        <f t="shared" ref="BP275:CC275" si="493">ROUND(BP17*$B15+BP24*$B22+BP31*$B29+BP38*$B36+BP45*$B43+BP52*$B50+BP59*$B57+BP66*$B64+BP73*$B71+BP80*$B78+BP87*$B85+BP94*$B92+BP101*$B99+BP108*$B106+BP115*$B113+BP122*$B120+BP129*$B127+BP136*$B134+BP143*$B141+BP150*$B148+BP157*$B155+BP164*$B162+BP171*$B169+BP178*$B176+BP185*$B183+BP192*$B190+BP199*$B197+BP206*$B204+BP213*$B211+BP220*$B218+BP227*$B225+BP234*$B232+BP241*$B239+BP248*$B246+BP255*$B253,0)</f>
        <v>0</v>
      </c>
      <c r="BQ275" s="39">
        <f t="shared" si="493"/>
        <v>0</v>
      </c>
      <c r="BR275" s="39">
        <f t="shared" si="493"/>
        <v>0</v>
      </c>
      <c r="BS275" s="39">
        <f t="shared" si="493"/>
        <v>20359</v>
      </c>
      <c r="BT275" s="39">
        <f t="shared" si="493"/>
        <v>20359</v>
      </c>
      <c r="BU275" s="39">
        <f t="shared" si="493"/>
        <v>20359</v>
      </c>
      <c r="BV275" s="39">
        <f t="shared" si="493"/>
        <v>20359</v>
      </c>
      <c r="BW275" s="39">
        <f t="shared" si="493"/>
        <v>20359</v>
      </c>
      <c r="BX275" s="39">
        <f t="shared" si="493"/>
        <v>20359</v>
      </c>
      <c r="BY275" s="39">
        <f t="shared" si="493"/>
        <v>20359</v>
      </c>
      <c r="BZ275" s="39">
        <f t="shared" si="493"/>
        <v>20359</v>
      </c>
      <c r="CA275" s="39">
        <f t="shared" si="493"/>
        <v>20359</v>
      </c>
      <c r="CB275" s="39">
        <f t="shared" si="493"/>
        <v>20359</v>
      </c>
      <c r="CC275" s="39">
        <f t="shared" si="493"/>
        <v>20359</v>
      </c>
    </row>
    <row r="276" spans="1:81" x14ac:dyDescent="0.2">
      <c r="A276" t="s">
        <v>261</v>
      </c>
      <c r="D276" s="51">
        <f t="shared" ref="D276:AI276" si="494">ROUND(D16*$C19+D23*$C26+D30*$C33+D37*$C40+D44*$C47+D51*$C54+D58*$C61+D65*$C68+D72*$C75+D79*$C82+D86*$C89+D93*$C96+D100*$C103+D107*$C110+D114*$C117+D121*$C124+D128*$C131+D135*$C138+D142*$C145+D149*$C152+D156*$C159+D163*$C166+D170*$C173+D177*$C180+D184*$C187+D191*$C194+D198*$C201+D205*$C208+D212*$C215+D219*$C222+D226*$C229+D233*$C236+D240*$C243+D247*$C250+D254*$C257,0)</f>
        <v>43204</v>
      </c>
      <c r="E276" s="51">
        <f t="shared" si="494"/>
        <v>24696</v>
      </c>
      <c r="F276" s="51">
        <f t="shared" si="494"/>
        <v>12007</v>
      </c>
      <c r="G276" s="51">
        <f t="shared" si="494"/>
        <v>0</v>
      </c>
      <c r="H276" s="51">
        <f t="shared" si="494"/>
        <v>0</v>
      </c>
      <c r="I276" s="51">
        <f t="shared" si="494"/>
        <v>0</v>
      </c>
      <c r="J276" s="51">
        <f t="shared" si="494"/>
        <v>0</v>
      </c>
      <c r="K276" s="51">
        <f t="shared" si="494"/>
        <v>0</v>
      </c>
      <c r="L276" s="51">
        <f t="shared" si="494"/>
        <v>0</v>
      </c>
      <c r="M276" s="51">
        <f t="shared" si="494"/>
        <v>0</v>
      </c>
      <c r="N276" s="51">
        <f t="shared" si="494"/>
        <v>0</v>
      </c>
      <c r="O276" s="51">
        <f t="shared" si="494"/>
        <v>0</v>
      </c>
      <c r="P276" s="51">
        <f t="shared" si="494"/>
        <v>0</v>
      </c>
      <c r="Q276" s="51">
        <f t="shared" si="494"/>
        <v>0</v>
      </c>
      <c r="R276" s="51">
        <f t="shared" si="494"/>
        <v>0</v>
      </c>
      <c r="S276" s="51">
        <f t="shared" si="494"/>
        <v>0</v>
      </c>
      <c r="T276" s="51">
        <f t="shared" si="494"/>
        <v>0</v>
      </c>
      <c r="U276" s="51">
        <f t="shared" si="494"/>
        <v>0</v>
      </c>
      <c r="V276" s="51">
        <f t="shared" si="494"/>
        <v>0</v>
      </c>
      <c r="W276" s="51">
        <f t="shared" si="494"/>
        <v>0</v>
      </c>
      <c r="X276" s="51">
        <f t="shared" si="494"/>
        <v>0</v>
      </c>
      <c r="Y276" s="51">
        <f t="shared" si="494"/>
        <v>0</v>
      </c>
      <c r="Z276" s="51">
        <f t="shared" si="494"/>
        <v>0</v>
      </c>
      <c r="AA276" s="51">
        <f t="shared" si="494"/>
        <v>0</v>
      </c>
      <c r="AB276" s="51">
        <f t="shared" si="494"/>
        <v>0</v>
      </c>
      <c r="AC276" s="51">
        <f t="shared" si="494"/>
        <v>0</v>
      </c>
      <c r="AD276" s="51">
        <f t="shared" si="494"/>
        <v>0</v>
      </c>
      <c r="AE276" s="51">
        <f t="shared" si="494"/>
        <v>0</v>
      </c>
      <c r="AF276" s="51">
        <f t="shared" si="494"/>
        <v>0</v>
      </c>
      <c r="AG276" s="51">
        <f t="shared" si="494"/>
        <v>0</v>
      </c>
      <c r="AH276" s="51">
        <f t="shared" si="494"/>
        <v>0</v>
      </c>
      <c r="AI276" s="51">
        <f t="shared" si="494"/>
        <v>0</v>
      </c>
      <c r="AJ276" s="51">
        <f t="shared" ref="AJ276:BO276" si="495">ROUND(AJ16*$C19+AJ23*$C26+AJ30*$C33+AJ37*$C40+AJ44*$C47+AJ51*$C54+AJ58*$C61+AJ65*$C68+AJ72*$C75+AJ79*$C82+AJ86*$C89+AJ93*$C96+AJ100*$C103+AJ107*$C110+AJ114*$C117+AJ121*$C124+AJ128*$C131+AJ135*$C138+AJ142*$C145+AJ149*$C152+AJ156*$C159+AJ163*$C166+AJ170*$C173+AJ177*$C180+AJ184*$C187+AJ191*$C194+AJ198*$C201+AJ205*$C208+AJ212*$C215+AJ219*$C222+AJ226*$C229+AJ233*$C236+AJ240*$C243+AJ247*$C250+AJ254*$C257,0)</f>
        <v>0</v>
      </c>
      <c r="AK276" s="51">
        <f t="shared" si="495"/>
        <v>0</v>
      </c>
      <c r="AL276" s="51">
        <f t="shared" si="495"/>
        <v>0</v>
      </c>
      <c r="AM276" s="51">
        <f t="shared" si="495"/>
        <v>0</v>
      </c>
      <c r="AN276" s="51">
        <f t="shared" si="495"/>
        <v>0</v>
      </c>
      <c r="AO276" s="51">
        <f t="shared" si="495"/>
        <v>0</v>
      </c>
      <c r="AP276" s="51">
        <f t="shared" si="495"/>
        <v>0</v>
      </c>
      <c r="AQ276" s="51">
        <f t="shared" si="495"/>
        <v>0</v>
      </c>
      <c r="AR276" s="51">
        <f t="shared" si="495"/>
        <v>0</v>
      </c>
      <c r="AS276" s="51">
        <f t="shared" si="495"/>
        <v>0</v>
      </c>
      <c r="AT276" s="51">
        <f t="shared" si="495"/>
        <v>0</v>
      </c>
      <c r="AU276" s="51">
        <f t="shared" si="495"/>
        <v>0</v>
      </c>
      <c r="AV276" s="51">
        <f t="shared" si="495"/>
        <v>0</v>
      </c>
      <c r="AW276" s="51">
        <f t="shared" si="495"/>
        <v>0</v>
      </c>
      <c r="AX276" s="51">
        <f t="shared" si="495"/>
        <v>0</v>
      </c>
      <c r="AY276" s="51">
        <f t="shared" si="495"/>
        <v>0</v>
      </c>
      <c r="AZ276" s="51">
        <f t="shared" si="495"/>
        <v>0</v>
      </c>
      <c r="BA276" s="51">
        <f t="shared" si="495"/>
        <v>0</v>
      </c>
      <c r="BB276" s="51">
        <f t="shared" si="495"/>
        <v>0</v>
      </c>
      <c r="BC276" s="51">
        <f t="shared" si="495"/>
        <v>0</v>
      </c>
      <c r="BD276" s="51">
        <f t="shared" si="495"/>
        <v>0</v>
      </c>
      <c r="BE276" s="51">
        <f t="shared" si="495"/>
        <v>0</v>
      </c>
      <c r="BF276" s="51">
        <f t="shared" si="495"/>
        <v>0</v>
      </c>
      <c r="BG276" s="51">
        <f t="shared" si="495"/>
        <v>0</v>
      </c>
      <c r="BH276" s="51">
        <f t="shared" si="495"/>
        <v>0</v>
      </c>
      <c r="BI276" s="51">
        <f t="shared" si="495"/>
        <v>0</v>
      </c>
      <c r="BJ276" s="51">
        <f t="shared" si="495"/>
        <v>0</v>
      </c>
      <c r="BK276" s="51">
        <f t="shared" si="495"/>
        <v>0</v>
      </c>
      <c r="BL276" s="51">
        <f t="shared" si="495"/>
        <v>0</v>
      </c>
      <c r="BM276" s="51">
        <f t="shared" si="495"/>
        <v>0</v>
      </c>
      <c r="BN276" s="51">
        <f t="shared" si="495"/>
        <v>0</v>
      </c>
      <c r="BO276" s="51">
        <f t="shared" si="495"/>
        <v>0</v>
      </c>
      <c r="BP276" s="51">
        <f t="shared" ref="BP276:CC276" si="496">ROUND(BP16*$C19+BP23*$C26+BP30*$C33+BP37*$C40+BP44*$C47+BP51*$C54+BP58*$C61+BP65*$C68+BP72*$C75+BP79*$C82+BP86*$C89+BP93*$C96+BP100*$C103+BP107*$C110+BP114*$C117+BP121*$C124+BP128*$C131+BP135*$C138+BP142*$C145+BP149*$C152+BP156*$C159+BP163*$C166+BP170*$C173+BP177*$C180+BP184*$C187+BP191*$C194+BP198*$C201+BP205*$C208+BP212*$C215+BP219*$C222+BP226*$C229+BP233*$C236+BP240*$C243+BP247*$C250+BP254*$C257,0)</f>
        <v>0</v>
      </c>
      <c r="BQ276" s="51">
        <f t="shared" si="496"/>
        <v>0</v>
      </c>
      <c r="BR276" s="51">
        <f t="shared" si="496"/>
        <v>0</v>
      </c>
      <c r="BS276" s="51">
        <f t="shared" si="496"/>
        <v>0</v>
      </c>
      <c r="BT276" s="51">
        <f t="shared" si="496"/>
        <v>0</v>
      </c>
      <c r="BU276" s="51">
        <f t="shared" si="496"/>
        <v>0</v>
      </c>
      <c r="BV276" s="51">
        <f t="shared" si="496"/>
        <v>0</v>
      </c>
      <c r="BW276" s="51">
        <f t="shared" si="496"/>
        <v>0</v>
      </c>
      <c r="BX276" s="51">
        <f t="shared" si="496"/>
        <v>0</v>
      </c>
      <c r="BY276" s="51">
        <f t="shared" si="496"/>
        <v>0</v>
      </c>
      <c r="BZ276" s="51">
        <f t="shared" si="496"/>
        <v>0</v>
      </c>
      <c r="CA276" s="51">
        <f t="shared" si="496"/>
        <v>0</v>
      </c>
      <c r="CB276" s="51">
        <f t="shared" si="496"/>
        <v>0</v>
      </c>
      <c r="CC276" s="51">
        <f t="shared" si="496"/>
        <v>0</v>
      </c>
    </row>
    <row r="277" spans="1:81" x14ac:dyDescent="0.2">
      <c r="A277" t="s">
        <v>262</v>
      </c>
      <c r="D277" s="52">
        <f t="shared" ref="D277:AI277" si="497">ROUND(D16*$B16+D23*$B23+D30*$B30+D37*$B37+D44*$B44+D51*$B51+D58*$B58+D65*$B65+D72*$B72+D79*$B79+D86*$B86+D93*$B93+D100*$B100+D107*$B107+D114*$B114+D121*$B121+D128*$B128+D135*$B135+D142*$B142+D149*$B149+D156*$B156+D163*$B163+D170*$B170+D177*$B177+D184*$B184+D191*$B191+D198*$B198+D205*$B205+D212*$B212+D219*$B219+D226*$B226+D233*$B233+D240*$B240+D247*$B247+D254*$B254,0)</f>
        <v>1714</v>
      </c>
      <c r="E277" s="52">
        <f t="shared" si="497"/>
        <v>974</v>
      </c>
      <c r="F277" s="52">
        <f t="shared" si="497"/>
        <v>485</v>
      </c>
      <c r="G277" s="52">
        <f t="shared" si="497"/>
        <v>0</v>
      </c>
      <c r="H277" s="52">
        <f t="shared" si="497"/>
        <v>0</v>
      </c>
      <c r="I277" s="52">
        <f t="shared" si="497"/>
        <v>0</v>
      </c>
      <c r="J277" s="52">
        <f t="shared" si="497"/>
        <v>0</v>
      </c>
      <c r="K277" s="52">
        <f t="shared" si="497"/>
        <v>0</v>
      </c>
      <c r="L277" s="52">
        <f t="shared" si="497"/>
        <v>0</v>
      </c>
      <c r="M277" s="52">
        <f t="shared" si="497"/>
        <v>0</v>
      </c>
      <c r="N277" s="52">
        <f t="shared" si="497"/>
        <v>0</v>
      </c>
      <c r="O277" s="52">
        <f t="shared" si="497"/>
        <v>0</v>
      </c>
      <c r="P277" s="52">
        <f t="shared" si="497"/>
        <v>0</v>
      </c>
      <c r="Q277" s="52">
        <f t="shared" si="497"/>
        <v>0</v>
      </c>
      <c r="R277" s="52">
        <f t="shared" si="497"/>
        <v>0</v>
      </c>
      <c r="S277" s="52">
        <f t="shared" si="497"/>
        <v>0</v>
      </c>
      <c r="T277" s="52">
        <f t="shared" si="497"/>
        <v>0</v>
      </c>
      <c r="U277" s="52">
        <f t="shared" si="497"/>
        <v>0</v>
      </c>
      <c r="V277" s="52">
        <f t="shared" si="497"/>
        <v>0</v>
      </c>
      <c r="W277" s="52">
        <f t="shared" si="497"/>
        <v>0</v>
      </c>
      <c r="X277" s="52">
        <f t="shared" si="497"/>
        <v>0</v>
      </c>
      <c r="Y277" s="52">
        <f t="shared" si="497"/>
        <v>0</v>
      </c>
      <c r="Z277" s="52">
        <f t="shared" si="497"/>
        <v>0</v>
      </c>
      <c r="AA277" s="52">
        <f t="shared" si="497"/>
        <v>0</v>
      </c>
      <c r="AB277" s="52">
        <f t="shared" si="497"/>
        <v>0</v>
      </c>
      <c r="AC277" s="52">
        <f t="shared" si="497"/>
        <v>0</v>
      </c>
      <c r="AD277" s="52">
        <f t="shared" si="497"/>
        <v>0</v>
      </c>
      <c r="AE277" s="52">
        <f t="shared" si="497"/>
        <v>0</v>
      </c>
      <c r="AF277" s="52">
        <f t="shared" si="497"/>
        <v>0</v>
      </c>
      <c r="AG277" s="52">
        <f t="shared" si="497"/>
        <v>0</v>
      </c>
      <c r="AH277" s="52">
        <f t="shared" si="497"/>
        <v>0</v>
      </c>
      <c r="AI277" s="52">
        <f t="shared" si="497"/>
        <v>0</v>
      </c>
      <c r="AJ277" s="52">
        <f t="shared" ref="AJ277:BO277" si="498">ROUND(AJ16*$B16+AJ23*$B23+AJ30*$B30+AJ37*$B37+AJ44*$B44+AJ51*$B51+AJ58*$B58+AJ65*$B65+AJ72*$B72+AJ79*$B79+AJ86*$B86+AJ93*$B93+AJ100*$B100+AJ107*$B107+AJ114*$B114+AJ121*$B121+AJ128*$B128+AJ135*$B135+AJ142*$B142+AJ149*$B149+AJ156*$B156+AJ163*$B163+AJ170*$B170+AJ177*$B177+AJ184*$B184+AJ191*$B191+AJ198*$B198+AJ205*$B205+AJ212*$B212+AJ219*$B219+AJ226*$B226+AJ233*$B233+AJ240*$B240+AJ247*$B247+AJ254*$B254,0)</f>
        <v>0</v>
      </c>
      <c r="AK277" s="52">
        <f t="shared" si="498"/>
        <v>0</v>
      </c>
      <c r="AL277" s="52">
        <f t="shared" si="498"/>
        <v>0</v>
      </c>
      <c r="AM277" s="52">
        <f t="shared" si="498"/>
        <v>0</v>
      </c>
      <c r="AN277" s="52">
        <f t="shared" si="498"/>
        <v>0</v>
      </c>
      <c r="AO277" s="52">
        <f t="shared" si="498"/>
        <v>0</v>
      </c>
      <c r="AP277" s="52">
        <f t="shared" si="498"/>
        <v>0</v>
      </c>
      <c r="AQ277" s="52">
        <f t="shared" si="498"/>
        <v>0</v>
      </c>
      <c r="AR277" s="52">
        <f t="shared" si="498"/>
        <v>0</v>
      </c>
      <c r="AS277" s="52">
        <f t="shared" si="498"/>
        <v>0</v>
      </c>
      <c r="AT277" s="52">
        <f t="shared" si="498"/>
        <v>0</v>
      </c>
      <c r="AU277" s="52">
        <f t="shared" si="498"/>
        <v>0</v>
      </c>
      <c r="AV277" s="52">
        <f t="shared" si="498"/>
        <v>0</v>
      </c>
      <c r="AW277" s="52">
        <f t="shared" si="498"/>
        <v>0</v>
      </c>
      <c r="AX277" s="52">
        <f t="shared" si="498"/>
        <v>0</v>
      </c>
      <c r="AY277" s="52">
        <f t="shared" si="498"/>
        <v>0</v>
      </c>
      <c r="AZ277" s="52">
        <f t="shared" si="498"/>
        <v>0</v>
      </c>
      <c r="BA277" s="52">
        <f t="shared" si="498"/>
        <v>0</v>
      </c>
      <c r="BB277" s="52">
        <f t="shared" si="498"/>
        <v>0</v>
      </c>
      <c r="BC277" s="52">
        <f t="shared" si="498"/>
        <v>0</v>
      </c>
      <c r="BD277" s="52">
        <f t="shared" si="498"/>
        <v>0</v>
      </c>
      <c r="BE277" s="52">
        <f t="shared" si="498"/>
        <v>0</v>
      </c>
      <c r="BF277" s="52">
        <f t="shared" si="498"/>
        <v>0</v>
      </c>
      <c r="BG277" s="52">
        <f t="shared" si="498"/>
        <v>0</v>
      </c>
      <c r="BH277" s="52">
        <f t="shared" si="498"/>
        <v>0</v>
      </c>
      <c r="BI277" s="52">
        <f t="shared" si="498"/>
        <v>0</v>
      </c>
      <c r="BJ277" s="52">
        <f t="shared" si="498"/>
        <v>0</v>
      </c>
      <c r="BK277" s="52">
        <f t="shared" si="498"/>
        <v>0</v>
      </c>
      <c r="BL277" s="52">
        <f t="shared" si="498"/>
        <v>0</v>
      </c>
      <c r="BM277" s="52">
        <f t="shared" si="498"/>
        <v>0</v>
      </c>
      <c r="BN277" s="52">
        <f t="shared" si="498"/>
        <v>0</v>
      </c>
      <c r="BO277" s="52">
        <f t="shared" si="498"/>
        <v>0</v>
      </c>
      <c r="BP277" s="52">
        <f t="shared" ref="BP277:CC277" si="499">ROUND(BP16*$B16+BP23*$B23+BP30*$B30+BP37*$B37+BP44*$B44+BP51*$B51+BP58*$B58+BP65*$B65+BP72*$B72+BP79*$B79+BP86*$B86+BP93*$B93+BP100*$B100+BP107*$B107+BP114*$B114+BP121*$B121+BP128*$B128+BP135*$B135+BP142*$B142+BP149*$B149+BP156*$B156+BP163*$B163+BP170*$B170+BP177*$B177+BP184*$B184+BP191*$B191+BP198*$B198+BP205*$B205+BP212*$B212+BP219*$B219+BP226*$B226+BP233*$B233+BP240*$B240+BP247*$B247+BP254*$B254,0)</f>
        <v>0</v>
      </c>
      <c r="BQ277" s="52">
        <f t="shared" si="499"/>
        <v>0</v>
      </c>
      <c r="BR277" s="52">
        <f t="shared" si="499"/>
        <v>0</v>
      </c>
      <c r="BS277" s="52">
        <f t="shared" si="499"/>
        <v>0</v>
      </c>
      <c r="BT277" s="52">
        <f t="shared" si="499"/>
        <v>0</v>
      </c>
      <c r="BU277" s="52">
        <f t="shared" si="499"/>
        <v>0</v>
      </c>
      <c r="BV277" s="52">
        <f t="shared" si="499"/>
        <v>0</v>
      </c>
      <c r="BW277" s="52">
        <f t="shared" si="499"/>
        <v>0</v>
      </c>
      <c r="BX277" s="52">
        <f t="shared" si="499"/>
        <v>0</v>
      </c>
      <c r="BY277" s="52">
        <f t="shared" si="499"/>
        <v>0</v>
      </c>
      <c r="BZ277" s="52">
        <f t="shared" si="499"/>
        <v>0</v>
      </c>
      <c r="CA277" s="52">
        <f t="shared" si="499"/>
        <v>0</v>
      </c>
      <c r="CB277" s="52">
        <f t="shared" si="499"/>
        <v>0</v>
      </c>
      <c r="CC277" s="52">
        <f t="shared" si="499"/>
        <v>0</v>
      </c>
    </row>
    <row r="278" spans="1:81" x14ac:dyDescent="0.2">
      <c r="A278" t="s">
        <v>263</v>
      </c>
      <c r="D278" s="39">
        <f t="shared" ref="D278:AI278" si="500">ROUND(D16*$B18+D23*$B25+D30*$B32+D37*$B39+D44*$B46+D51*$B53+D58*$B60+D65*$B67+D72*$B74+D79*$B81+D86*$B88+D93*$B95+D100*$B102+D107*$B109+D114*$B116+D121*$B123+D128*$B130+D135*$B137+D142*$B144+D149*$B151+D156*$B158+D163*$B165+D170*$B172+D177*$B179+D184*$B186+D191*$B193+D198*$B200+D205*$B207+D212*$B214+D219*$B221+D226*$B228+D233*$B235+D240*$B242+D247*$B249+D254*$B256,0)</f>
        <v>2092</v>
      </c>
      <c r="E278" s="39">
        <f t="shared" si="500"/>
        <v>1181</v>
      </c>
      <c r="F278" s="39">
        <f t="shared" si="500"/>
        <v>588</v>
      </c>
      <c r="G278" s="39">
        <f t="shared" si="500"/>
        <v>0</v>
      </c>
      <c r="H278" s="39">
        <f t="shared" si="500"/>
        <v>0</v>
      </c>
      <c r="I278" s="39">
        <f t="shared" si="500"/>
        <v>0</v>
      </c>
      <c r="J278" s="39">
        <f t="shared" si="500"/>
        <v>0</v>
      </c>
      <c r="K278" s="39">
        <f t="shared" si="500"/>
        <v>0</v>
      </c>
      <c r="L278" s="39">
        <f t="shared" si="500"/>
        <v>0</v>
      </c>
      <c r="M278" s="39">
        <f t="shared" si="500"/>
        <v>0</v>
      </c>
      <c r="N278" s="39">
        <f t="shared" si="500"/>
        <v>0</v>
      </c>
      <c r="O278" s="39">
        <f t="shared" si="500"/>
        <v>0</v>
      </c>
      <c r="P278" s="39">
        <f t="shared" si="500"/>
        <v>0</v>
      </c>
      <c r="Q278" s="39">
        <f t="shared" si="500"/>
        <v>0</v>
      </c>
      <c r="R278" s="39">
        <f t="shared" si="500"/>
        <v>0</v>
      </c>
      <c r="S278" s="39">
        <f t="shared" si="500"/>
        <v>0</v>
      </c>
      <c r="T278" s="39">
        <f t="shared" si="500"/>
        <v>0</v>
      </c>
      <c r="U278" s="39">
        <f t="shared" si="500"/>
        <v>0</v>
      </c>
      <c r="V278" s="39">
        <f t="shared" si="500"/>
        <v>0</v>
      </c>
      <c r="W278" s="39">
        <f t="shared" si="500"/>
        <v>0</v>
      </c>
      <c r="X278" s="39">
        <f t="shared" si="500"/>
        <v>0</v>
      </c>
      <c r="Y278" s="39">
        <f t="shared" si="500"/>
        <v>0</v>
      </c>
      <c r="Z278" s="39">
        <f t="shared" si="500"/>
        <v>0</v>
      </c>
      <c r="AA278" s="39">
        <f t="shared" si="500"/>
        <v>0</v>
      </c>
      <c r="AB278" s="39">
        <f t="shared" si="500"/>
        <v>0</v>
      </c>
      <c r="AC278" s="39">
        <f t="shared" si="500"/>
        <v>0</v>
      </c>
      <c r="AD278" s="39">
        <f t="shared" si="500"/>
        <v>0</v>
      </c>
      <c r="AE278" s="39">
        <f t="shared" si="500"/>
        <v>0</v>
      </c>
      <c r="AF278" s="39">
        <f t="shared" si="500"/>
        <v>0</v>
      </c>
      <c r="AG278" s="39">
        <f t="shared" si="500"/>
        <v>0</v>
      </c>
      <c r="AH278" s="39">
        <f t="shared" si="500"/>
        <v>0</v>
      </c>
      <c r="AI278" s="39">
        <f t="shared" si="500"/>
        <v>0</v>
      </c>
      <c r="AJ278" s="39">
        <f t="shared" ref="AJ278:BO278" si="501">ROUND(AJ16*$B18+AJ23*$B25+AJ30*$B32+AJ37*$B39+AJ44*$B46+AJ51*$B53+AJ58*$B60+AJ65*$B67+AJ72*$B74+AJ79*$B81+AJ86*$B88+AJ93*$B95+AJ100*$B102+AJ107*$B109+AJ114*$B116+AJ121*$B123+AJ128*$B130+AJ135*$B137+AJ142*$B144+AJ149*$B151+AJ156*$B158+AJ163*$B165+AJ170*$B172+AJ177*$B179+AJ184*$B186+AJ191*$B193+AJ198*$B200+AJ205*$B207+AJ212*$B214+AJ219*$B221+AJ226*$B228+AJ233*$B235+AJ240*$B242+AJ247*$B249+AJ254*$B256,0)</f>
        <v>0</v>
      </c>
      <c r="AK278" s="39">
        <f t="shared" si="501"/>
        <v>0</v>
      </c>
      <c r="AL278" s="39">
        <f t="shared" si="501"/>
        <v>0</v>
      </c>
      <c r="AM278" s="39">
        <f t="shared" si="501"/>
        <v>0</v>
      </c>
      <c r="AN278" s="39">
        <f t="shared" si="501"/>
        <v>0</v>
      </c>
      <c r="AO278" s="39">
        <f t="shared" si="501"/>
        <v>0</v>
      </c>
      <c r="AP278" s="39">
        <f t="shared" si="501"/>
        <v>0</v>
      </c>
      <c r="AQ278" s="39">
        <f t="shared" si="501"/>
        <v>0</v>
      </c>
      <c r="AR278" s="39">
        <f t="shared" si="501"/>
        <v>0</v>
      </c>
      <c r="AS278" s="39">
        <f t="shared" si="501"/>
        <v>0</v>
      </c>
      <c r="AT278" s="39">
        <f t="shared" si="501"/>
        <v>0</v>
      </c>
      <c r="AU278" s="39">
        <f t="shared" si="501"/>
        <v>0</v>
      </c>
      <c r="AV278" s="39">
        <f t="shared" si="501"/>
        <v>0</v>
      </c>
      <c r="AW278" s="39">
        <f t="shared" si="501"/>
        <v>0</v>
      </c>
      <c r="AX278" s="39">
        <f t="shared" si="501"/>
        <v>0</v>
      </c>
      <c r="AY278" s="39">
        <f t="shared" si="501"/>
        <v>0</v>
      </c>
      <c r="AZ278" s="39">
        <f t="shared" si="501"/>
        <v>0</v>
      </c>
      <c r="BA278" s="39">
        <f t="shared" si="501"/>
        <v>0</v>
      </c>
      <c r="BB278" s="39">
        <f t="shared" si="501"/>
        <v>0</v>
      </c>
      <c r="BC278" s="39">
        <f t="shared" si="501"/>
        <v>0</v>
      </c>
      <c r="BD278" s="39">
        <f t="shared" si="501"/>
        <v>0</v>
      </c>
      <c r="BE278" s="39">
        <f t="shared" si="501"/>
        <v>0</v>
      </c>
      <c r="BF278" s="39">
        <f t="shared" si="501"/>
        <v>0</v>
      </c>
      <c r="BG278" s="39">
        <f t="shared" si="501"/>
        <v>0</v>
      </c>
      <c r="BH278" s="39">
        <f t="shared" si="501"/>
        <v>0</v>
      </c>
      <c r="BI278" s="39">
        <f t="shared" si="501"/>
        <v>0</v>
      </c>
      <c r="BJ278" s="39">
        <f t="shared" si="501"/>
        <v>0</v>
      </c>
      <c r="BK278" s="39">
        <f t="shared" si="501"/>
        <v>0</v>
      </c>
      <c r="BL278" s="39">
        <f t="shared" si="501"/>
        <v>0</v>
      </c>
      <c r="BM278" s="39">
        <f t="shared" si="501"/>
        <v>0</v>
      </c>
      <c r="BN278" s="39">
        <f t="shared" si="501"/>
        <v>0</v>
      </c>
      <c r="BO278" s="39">
        <f t="shared" si="501"/>
        <v>0</v>
      </c>
      <c r="BP278" s="39">
        <f t="shared" ref="BP278:CC278" si="502">ROUND(BP16*$B18+BP23*$B25+BP30*$B32+BP37*$B39+BP44*$B46+BP51*$B53+BP58*$B60+BP65*$B67+BP72*$B74+BP79*$B81+BP86*$B88+BP93*$B95+BP100*$B102+BP107*$B109+BP114*$B116+BP121*$B123+BP128*$B130+BP135*$B137+BP142*$B144+BP149*$B151+BP156*$B158+BP163*$B165+BP170*$B172+BP177*$B179+BP184*$B186+BP191*$B193+BP198*$B200+BP205*$B207+BP212*$B214+BP219*$B221+BP226*$B228+BP233*$B235+BP240*$B242+BP247*$B249+BP254*$B256,0)</f>
        <v>0</v>
      </c>
      <c r="BQ278" s="39">
        <f t="shared" si="502"/>
        <v>0</v>
      </c>
      <c r="BR278" s="39">
        <f t="shared" si="502"/>
        <v>0</v>
      </c>
      <c r="BS278" s="39">
        <f t="shared" si="502"/>
        <v>0</v>
      </c>
      <c r="BT278" s="39">
        <f t="shared" si="502"/>
        <v>0</v>
      </c>
      <c r="BU278" s="39">
        <f t="shared" si="502"/>
        <v>0</v>
      </c>
      <c r="BV278" s="39">
        <f t="shared" si="502"/>
        <v>0</v>
      </c>
      <c r="BW278" s="39">
        <f t="shared" si="502"/>
        <v>0</v>
      </c>
      <c r="BX278" s="39">
        <f t="shared" si="502"/>
        <v>0</v>
      </c>
      <c r="BY278" s="39">
        <f t="shared" si="502"/>
        <v>0</v>
      </c>
      <c r="BZ278" s="39">
        <f t="shared" si="502"/>
        <v>0</v>
      </c>
      <c r="CA278" s="39">
        <f t="shared" si="502"/>
        <v>0</v>
      </c>
      <c r="CB278" s="39">
        <f t="shared" si="502"/>
        <v>0</v>
      </c>
      <c r="CC278" s="39">
        <f t="shared" si="502"/>
        <v>0</v>
      </c>
    </row>
    <row r="279" spans="1:81" x14ac:dyDescent="0.2">
      <c r="A279" t="s">
        <v>264</v>
      </c>
      <c r="D279" s="39">
        <f t="shared" ref="D279:AI279" si="503">ROUND(D17*$B16+D24*$B23+D31*$B30+D38*$B37+D45*$B44+D52*$B51+D59*$B58+D66*$B65+D73*$B72+D80*$B79+D87*$B86+D94*$B93+D101*$B100+D108*$B107+D115*$B114+D122*$B121+D129*$B128+D136*$B135+D143*$B142+D150*$B149+D157*$B156+D164*$B163+D171*$B170+D178*$B177+D185*$B184+D192*$B191+D199*$B198+D206*$B205+D213*$B212+D220*$B219+D227*$B226+D234*$B233+D241*$B240+D248*$B247+D255*$B254,0)</f>
        <v>77</v>
      </c>
      <c r="E279" s="39">
        <f t="shared" si="503"/>
        <v>1723</v>
      </c>
      <c r="F279" s="39">
        <f t="shared" si="503"/>
        <v>993</v>
      </c>
      <c r="G279" s="39">
        <f t="shared" si="503"/>
        <v>1153</v>
      </c>
      <c r="H279" s="39">
        <f t="shared" si="503"/>
        <v>1230</v>
      </c>
      <c r="I279" s="39">
        <f t="shared" si="503"/>
        <v>1191</v>
      </c>
      <c r="J279" s="39">
        <f t="shared" si="503"/>
        <v>1053</v>
      </c>
      <c r="K279" s="39">
        <f t="shared" si="503"/>
        <v>1092</v>
      </c>
      <c r="L279" s="39">
        <f t="shared" si="503"/>
        <v>1506</v>
      </c>
      <c r="M279" s="39">
        <f t="shared" si="503"/>
        <v>1971</v>
      </c>
      <c r="N279" s="39">
        <f t="shared" si="503"/>
        <v>0</v>
      </c>
      <c r="O279" s="39">
        <f t="shared" si="503"/>
        <v>0</v>
      </c>
      <c r="P279" s="39">
        <f t="shared" si="503"/>
        <v>0</v>
      </c>
      <c r="Q279" s="39">
        <f t="shared" si="503"/>
        <v>0</v>
      </c>
      <c r="R279" s="39">
        <f t="shared" si="503"/>
        <v>1138</v>
      </c>
      <c r="S279" s="39">
        <f t="shared" si="503"/>
        <v>954</v>
      </c>
      <c r="T279" s="39">
        <f t="shared" si="503"/>
        <v>1073</v>
      </c>
      <c r="U279" s="39">
        <f t="shared" si="503"/>
        <v>1079</v>
      </c>
      <c r="V279" s="39">
        <f t="shared" si="503"/>
        <v>1079</v>
      </c>
      <c r="W279" s="39">
        <f t="shared" si="503"/>
        <v>1079</v>
      </c>
      <c r="X279" s="39">
        <f t="shared" si="503"/>
        <v>1069</v>
      </c>
      <c r="Y279" s="39">
        <f t="shared" si="503"/>
        <v>759</v>
      </c>
      <c r="Z279" s="39">
        <f t="shared" si="503"/>
        <v>759</v>
      </c>
      <c r="AA279" s="39">
        <f t="shared" si="503"/>
        <v>759</v>
      </c>
      <c r="AB279" s="39">
        <f t="shared" si="503"/>
        <v>756</v>
      </c>
      <c r="AC279" s="39">
        <f t="shared" si="503"/>
        <v>1119</v>
      </c>
      <c r="AD279" s="39">
        <f t="shared" si="503"/>
        <v>1119</v>
      </c>
      <c r="AE279" s="39">
        <f t="shared" si="503"/>
        <v>1119</v>
      </c>
      <c r="AF279" s="39">
        <f t="shared" si="503"/>
        <v>1119</v>
      </c>
      <c r="AG279" s="39">
        <f t="shared" si="503"/>
        <v>1013</v>
      </c>
      <c r="AH279" s="39">
        <f t="shared" si="503"/>
        <v>1120</v>
      </c>
      <c r="AI279" s="39">
        <f t="shared" si="503"/>
        <v>1120</v>
      </c>
      <c r="AJ279" s="39">
        <f t="shared" ref="AJ279:BO279" si="504">ROUND(AJ17*$B16+AJ24*$B23+AJ31*$B30+AJ38*$B37+AJ45*$B44+AJ52*$B51+AJ59*$B58+AJ66*$B65+AJ73*$B72+AJ80*$B79+AJ87*$B86+AJ94*$B93+AJ101*$B100+AJ108*$B107+AJ115*$B114+AJ122*$B121+AJ129*$B128+AJ136*$B135+AJ143*$B142+AJ150*$B149+AJ157*$B156+AJ164*$B163+AJ171*$B170+AJ178*$B177+AJ185*$B184+AJ192*$B191+AJ199*$B198+AJ206*$B205+AJ213*$B212+AJ220*$B219+AJ227*$B226+AJ234*$B233+AJ241*$B240+AJ248*$B247+AJ255*$B254,0)</f>
        <v>0</v>
      </c>
      <c r="AK279" s="39">
        <f t="shared" si="504"/>
        <v>0</v>
      </c>
      <c r="AL279" s="39">
        <f t="shared" si="504"/>
        <v>0</v>
      </c>
      <c r="AM279" s="39">
        <f t="shared" si="504"/>
        <v>0</v>
      </c>
      <c r="AN279" s="39">
        <f t="shared" si="504"/>
        <v>805</v>
      </c>
      <c r="AO279" s="39">
        <f t="shared" si="504"/>
        <v>805</v>
      </c>
      <c r="AP279" s="39">
        <f t="shared" si="504"/>
        <v>805</v>
      </c>
      <c r="AQ279" s="39">
        <f t="shared" si="504"/>
        <v>971</v>
      </c>
      <c r="AR279" s="39">
        <f t="shared" si="504"/>
        <v>971</v>
      </c>
      <c r="AS279" s="39">
        <f t="shared" si="504"/>
        <v>777</v>
      </c>
      <c r="AT279" s="39">
        <f t="shared" si="504"/>
        <v>971</v>
      </c>
      <c r="AU279" s="39">
        <f t="shared" si="504"/>
        <v>922</v>
      </c>
      <c r="AV279" s="39">
        <f t="shared" si="504"/>
        <v>922</v>
      </c>
      <c r="AW279" s="39">
        <f t="shared" si="504"/>
        <v>922</v>
      </c>
      <c r="AX279" s="39">
        <f t="shared" si="504"/>
        <v>922</v>
      </c>
      <c r="AY279" s="39">
        <f t="shared" si="504"/>
        <v>737</v>
      </c>
      <c r="AZ279" s="39">
        <f t="shared" si="504"/>
        <v>657</v>
      </c>
      <c r="BA279" s="39">
        <f t="shared" si="504"/>
        <v>657</v>
      </c>
      <c r="BB279" s="39">
        <f t="shared" si="504"/>
        <v>657</v>
      </c>
      <c r="BC279" s="39">
        <f t="shared" si="504"/>
        <v>737</v>
      </c>
      <c r="BD279" s="39">
        <f t="shared" si="504"/>
        <v>737</v>
      </c>
      <c r="BE279" s="39">
        <f t="shared" si="504"/>
        <v>737</v>
      </c>
      <c r="BF279" s="39">
        <f t="shared" si="504"/>
        <v>737</v>
      </c>
      <c r="BG279" s="39">
        <f t="shared" si="504"/>
        <v>737</v>
      </c>
      <c r="BH279" s="39">
        <f t="shared" si="504"/>
        <v>737</v>
      </c>
      <c r="BI279" s="39">
        <f t="shared" si="504"/>
        <v>737</v>
      </c>
      <c r="BJ279" s="39">
        <f t="shared" si="504"/>
        <v>737</v>
      </c>
      <c r="BK279" s="39">
        <f t="shared" si="504"/>
        <v>737</v>
      </c>
      <c r="BL279" s="39">
        <f t="shared" si="504"/>
        <v>734</v>
      </c>
      <c r="BM279" s="39">
        <f t="shared" si="504"/>
        <v>734</v>
      </c>
      <c r="BN279" s="39">
        <f t="shared" si="504"/>
        <v>1338</v>
      </c>
      <c r="BO279" s="39">
        <f t="shared" si="504"/>
        <v>0</v>
      </c>
      <c r="BP279" s="39">
        <f t="shared" ref="BP279:CC279" si="505">ROUND(BP17*$B16+BP24*$B23+BP31*$B30+BP38*$B37+BP45*$B44+BP52*$B51+BP59*$B58+BP66*$B65+BP73*$B72+BP80*$B79+BP87*$B86+BP94*$B93+BP101*$B100+BP108*$B107+BP115*$B114+BP122*$B121+BP129*$B128+BP136*$B135+BP143*$B142+BP150*$B149+BP157*$B156+BP164*$B163+BP171*$B170+BP178*$B177+BP185*$B184+BP192*$B191+BP199*$B198+BP206*$B205+BP213*$B212+BP220*$B219+BP227*$B226+BP234*$B233+BP241*$B240+BP248*$B247+BP255*$B254,0)</f>
        <v>0</v>
      </c>
      <c r="BQ279" s="39">
        <f t="shared" si="505"/>
        <v>0</v>
      </c>
      <c r="BR279" s="39">
        <f t="shared" si="505"/>
        <v>0</v>
      </c>
      <c r="BS279" s="39">
        <f t="shared" si="505"/>
        <v>606</v>
      </c>
      <c r="BT279" s="39">
        <f t="shared" si="505"/>
        <v>606</v>
      </c>
      <c r="BU279" s="39">
        <f t="shared" si="505"/>
        <v>606</v>
      </c>
      <c r="BV279" s="39">
        <f t="shared" si="505"/>
        <v>606</v>
      </c>
      <c r="BW279" s="39">
        <f t="shared" si="505"/>
        <v>606</v>
      </c>
      <c r="BX279" s="39">
        <f t="shared" si="505"/>
        <v>606</v>
      </c>
      <c r="BY279" s="39">
        <f t="shared" si="505"/>
        <v>606</v>
      </c>
      <c r="BZ279" s="39">
        <f t="shared" si="505"/>
        <v>606</v>
      </c>
      <c r="CA279" s="39">
        <f t="shared" si="505"/>
        <v>606</v>
      </c>
      <c r="CB279" s="39">
        <f t="shared" si="505"/>
        <v>606</v>
      </c>
      <c r="CC279" s="39">
        <f t="shared" si="505"/>
        <v>606</v>
      </c>
    </row>
    <row r="280" spans="1:81" x14ac:dyDescent="0.2">
      <c r="A280" t="s">
        <v>265</v>
      </c>
      <c r="D280" s="39">
        <f t="shared" ref="D280:AI280" si="506">ROUND(D17*$B18+D24*$B25+D31*$B32+D38*$B39+D45*$B46+D52*$B53+D59*$B60+D66*$B67+D73*$B74+D80*$B81+D87*$B88+D94*$B95+D101*$B102+D108*$B109+D115*$B116+D122*$B123+D129*$B130+D136*$B137+D143*$B144+D150*$B151+D157*$B158+D164*$B165+D171*$B172+D178*$B179+D185*$B186+D192*$B193+D199*$B200+D206*$B207+D213*$B214+D220*$B221+D227*$B228+D234*$B235+D241*$B242+D248*$B249+D255*$B256,0)</f>
        <v>96</v>
      </c>
      <c r="E280" s="39">
        <f t="shared" si="506"/>
        <v>2093</v>
      </c>
      <c r="F280" s="39">
        <f t="shared" si="506"/>
        <v>1208</v>
      </c>
      <c r="G280" s="39">
        <f t="shared" si="506"/>
        <v>1407</v>
      </c>
      <c r="H280" s="39">
        <f t="shared" si="506"/>
        <v>1501</v>
      </c>
      <c r="I280" s="39">
        <f t="shared" si="506"/>
        <v>1442</v>
      </c>
      <c r="J280" s="39">
        <f t="shared" si="506"/>
        <v>1287</v>
      </c>
      <c r="K280" s="39">
        <f t="shared" si="506"/>
        <v>1330</v>
      </c>
      <c r="L280" s="39">
        <f t="shared" si="506"/>
        <v>1838</v>
      </c>
      <c r="M280" s="39">
        <f t="shared" si="506"/>
        <v>2417</v>
      </c>
      <c r="N280" s="39">
        <f t="shared" si="506"/>
        <v>0</v>
      </c>
      <c r="O280" s="39">
        <f t="shared" si="506"/>
        <v>0</v>
      </c>
      <c r="P280" s="39">
        <f t="shared" si="506"/>
        <v>0</v>
      </c>
      <c r="Q280" s="39">
        <f t="shared" si="506"/>
        <v>0</v>
      </c>
      <c r="R280" s="39">
        <f t="shared" si="506"/>
        <v>1390</v>
      </c>
      <c r="S280" s="39">
        <f t="shared" si="506"/>
        <v>1173</v>
      </c>
      <c r="T280" s="39">
        <f t="shared" si="506"/>
        <v>1308</v>
      </c>
      <c r="U280" s="39">
        <f t="shared" si="506"/>
        <v>1318</v>
      </c>
      <c r="V280" s="39">
        <f t="shared" si="506"/>
        <v>1318</v>
      </c>
      <c r="W280" s="39">
        <f t="shared" si="506"/>
        <v>1318</v>
      </c>
      <c r="X280" s="39">
        <f t="shared" si="506"/>
        <v>1306</v>
      </c>
      <c r="Y280" s="39">
        <f t="shared" si="506"/>
        <v>928</v>
      </c>
      <c r="Z280" s="39">
        <f t="shared" si="506"/>
        <v>928</v>
      </c>
      <c r="AA280" s="39">
        <f t="shared" si="506"/>
        <v>928</v>
      </c>
      <c r="AB280" s="39">
        <f t="shared" si="506"/>
        <v>923</v>
      </c>
      <c r="AC280" s="39">
        <f t="shared" si="506"/>
        <v>1373</v>
      </c>
      <c r="AD280" s="39">
        <f t="shared" si="506"/>
        <v>1373</v>
      </c>
      <c r="AE280" s="39">
        <f t="shared" si="506"/>
        <v>1373</v>
      </c>
      <c r="AF280" s="39">
        <f t="shared" si="506"/>
        <v>1373</v>
      </c>
      <c r="AG280" s="39">
        <f t="shared" si="506"/>
        <v>1242</v>
      </c>
      <c r="AH280" s="39">
        <f t="shared" si="506"/>
        <v>1365</v>
      </c>
      <c r="AI280" s="39">
        <f t="shared" si="506"/>
        <v>1365</v>
      </c>
      <c r="AJ280" s="39">
        <f t="shared" ref="AJ280:BO280" si="507">ROUND(AJ17*$B18+AJ24*$B25+AJ31*$B32+AJ38*$B39+AJ45*$B46+AJ52*$B53+AJ59*$B60+AJ66*$B67+AJ73*$B74+AJ80*$B81+AJ87*$B88+AJ94*$B95+AJ101*$B102+AJ108*$B109+AJ115*$B116+AJ122*$B123+AJ129*$B130+AJ136*$B137+AJ143*$B144+AJ150*$B151+AJ157*$B158+AJ164*$B165+AJ171*$B172+AJ178*$B179+AJ185*$B186+AJ192*$B193+AJ199*$B200+AJ206*$B207+AJ213*$B214+AJ220*$B221+AJ227*$B228+AJ234*$B235+AJ241*$B242+AJ248*$B249+AJ255*$B256,0)</f>
        <v>0</v>
      </c>
      <c r="AK280" s="39">
        <f t="shared" si="507"/>
        <v>0</v>
      </c>
      <c r="AL280" s="39">
        <f t="shared" si="507"/>
        <v>0</v>
      </c>
      <c r="AM280" s="39">
        <f t="shared" si="507"/>
        <v>0</v>
      </c>
      <c r="AN280" s="39">
        <f t="shared" si="507"/>
        <v>983</v>
      </c>
      <c r="AO280" s="39">
        <f t="shared" si="507"/>
        <v>983</v>
      </c>
      <c r="AP280" s="39">
        <f t="shared" si="507"/>
        <v>983</v>
      </c>
      <c r="AQ280" s="39">
        <f t="shared" si="507"/>
        <v>1186</v>
      </c>
      <c r="AR280" s="39">
        <f t="shared" si="507"/>
        <v>1186</v>
      </c>
      <c r="AS280" s="39">
        <f t="shared" si="507"/>
        <v>950</v>
      </c>
      <c r="AT280" s="39">
        <f t="shared" si="507"/>
        <v>1186</v>
      </c>
      <c r="AU280" s="39">
        <f t="shared" si="507"/>
        <v>1126</v>
      </c>
      <c r="AV280" s="39">
        <f t="shared" si="507"/>
        <v>1126</v>
      </c>
      <c r="AW280" s="39">
        <f t="shared" si="507"/>
        <v>1126</v>
      </c>
      <c r="AX280" s="39">
        <f t="shared" si="507"/>
        <v>1126</v>
      </c>
      <c r="AY280" s="39">
        <f t="shared" si="507"/>
        <v>901</v>
      </c>
      <c r="AZ280" s="39">
        <f t="shared" si="507"/>
        <v>803</v>
      </c>
      <c r="BA280" s="39">
        <f t="shared" si="507"/>
        <v>803</v>
      </c>
      <c r="BB280" s="39">
        <f t="shared" si="507"/>
        <v>803</v>
      </c>
      <c r="BC280" s="39">
        <f t="shared" si="507"/>
        <v>901</v>
      </c>
      <c r="BD280" s="39">
        <f t="shared" si="507"/>
        <v>901</v>
      </c>
      <c r="BE280" s="39">
        <f t="shared" si="507"/>
        <v>901</v>
      </c>
      <c r="BF280" s="39">
        <f t="shared" si="507"/>
        <v>901</v>
      </c>
      <c r="BG280" s="39">
        <f t="shared" si="507"/>
        <v>901</v>
      </c>
      <c r="BH280" s="39">
        <f t="shared" si="507"/>
        <v>901</v>
      </c>
      <c r="BI280" s="39">
        <f t="shared" si="507"/>
        <v>901</v>
      </c>
      <c r="BJ280" s="39">
        <f t="shared" si="507"/>
        <v>901</v>
      </c>
      <c r="BK280" s="39">
        <f t="shared" si="507"/>
        <v>901</v>
      </c>
      <c r="BL280" s="39">
        <f t="shared" si="507"/>
        <v>897</v>
      </c>
      <c r="BM280" s="39">
        <f t="shared" si="507"/>
        <v>897</v>
      </c>
      <c r="BN280" s="39">
        <f t="shared" si="507"/>
        <v>1634</v>
      </c>
      <c r="BO280" s="39">
        <f t="shared" si="507"/>
        <v>0</v>
      </c>
      <c r="BP280" s="39">
        <f t="shared" ref="BP280:CC280" si="508">ROUND(BP17*$B18+BP24*$B25+BP31*$B32+BP38*$B39+BP45*$B46+BP52*$B53+BP59*$B60+BP66*$B67+BP73*$B74+BP80*$B81+BP87*$B88+BP94*$B95+BP101*$B102+BP108*$B109+BP115*$B116+BP122*$B123+BP129*$B130+BP136*$B137+BP143*$B144+BP150*$B151+BP157*$B158+BP164*$B165+BP171*$B172+BP178*$B179+BP185*$B186+BP192*$B193+BP199*$B200+BP206*$B207+BP213*$B214+BP220*$B221+BP227*$B228+BP234*$B235+BP241*$B242+BP248*$B249+BP255*$B256,0)</f>
        <v>0</v>
      </c>
      <c r="BQ280" s="39">
        <f t="shared" si="508"/>
        <v>0</v>
      </c>
      <c r="BR280" s="39">
        <f t="shared" si="508"/>
        <v>0</v>
      </c>
      <c r="BS280" s="39">
        <f t="shared" si="508"/>
        <v>741</v>
      </c>
      <c r="BT280" s="39">
        <f t="shared" si="508"/>
        <v>741</v>
      </c>
      <c r="BU280" s="39">
        <f t="shared" si="508"/>
        <v>741</v>
      </c>
      <c r="BV280" s="39">
        <f t="shared" si="508"/>
        <v>741</v>
      </c>
      <c r="BW280" s="39">
        <f t="shared" si="508"/>
        <v>741</v>
      </c>
      <c r="BX280" s="39">
        <f t="shared" si="508"/>
        <v>741</v>
      </c>
      <c r="BY280" s="39">
        <f t="shared" si="508"/>
        <v>741</v>
      </c>
      <c r="BZ280" s="39">
        <f t="shared" si="508"/>
        <v>741</v>
      </c>
      <c r="CA280" s="39">
        <f t="shared" si="508"/>
        <v>741</v>
      </c>
      <c r="CB280" s="39">
        <f t="shared" si="508"/>
        <v>741</v>
      </c>
      <c r="CC280" s="39">
        <f t="shared" si="508"/>
        <v>741</v>
      </c>
    </row>
    <row r="281" spans="1:81" x14ac:dyDescent="0.2">
      <c r="A281" t="s">
        <v>266</v>
      </c>
      <c r="D281" s="39">
        <f t="shared" ref="D281:AI281" si="509">ROUND(D14*$B16+D21*$B23+D28*$B30+D35*$B37+D42*$B44+D49*$B51+D56*$B58+D63*$B65+D70*$B72+D77*$B79+D84*$B86+D91*$B93+D98*$B100+D105*$B107+D112*$B114+D119*$B121+D126*$B128+D133*$B135+D140*$B142+D147*$B149+D154*$B156+D161*$B163+D168*$B170+D175*$B177+D182*$B184+D189*$B191+D196*$B198+D203*$B205+D210*$B212+D217*$B219+D224*$B226+D231*$B233+D238*$B240+D245*$B247+D252*$B254,0)</f>
        <v>6893</v>
      </c>
      <c r="E281" s="39">
        <f t="shared" si="509"/>
        <v>8182</v>
      </c>
      <c r="F281" s="39">
        <f t="shared" si="509"/>
        <v>6459</v>
      </c>
      <c r="G281" s="39">
        <f t="shared" si="509"/>
        <v>5467</v>
      </c>
      <c r="H281" s="39">
        <f t="shared" si="509"/>
        <v>4314</v>
      </c>
      <c r="I281" s="39">
        <f t="shared" si="509"/>
        <v>4798</v>
      </c>
      <c r="J281" s="39">
        <f t="shared" si="509"/>
        <v>4581</v>
      </c>
      <c r="K281" s="39">
        <f t="shared" si="509"/>
        <v>4012</v>
      </c>
      <c r="L281" s="39">
        <f t="shared" si="509"/>
        <v>2921</v>
      </c>
      <c r="M281" s="39">
        <f t="shared" si="509"/>
        <v>1415</v>
      </c>
      <c r="N281" s="39">
        <f t="shared" si="509"/>
        <v>-557</v>
      </c>
      <c r="O281" s="39">
        <f t="shared" si="509"/>
        <v>-557</v>
      </c>
      <c r="P281" s="39">
        <f t="shared" si="509"/>
        <v>-557</v>
      </c>
      <c r="Q281" s="39">
        <f t="shared" si="509"/>
        <v>-557</v>
      </c>
      <c r="R281" s="39">
        <f t="shared" si="509"/>
        <v>-557</v>
      </c>
      <c r="S281" s="39">
        <f t="shared" si="509"/>
        <v>-1694</v>
      </c>
      <c r="T281" s="39">
        <f t="shared" si="509"/>
        <v>-2649</v>
      </c>
      <c r="U281" s="39">
        <f t="shared" si="509"/>
        <v>-3721</v>
      </c>
      <c r="V281" s="39">
        <f t="shared" si="509"/>
        <v>-4800</v>
      </c>
      <c r="W281" s="39">
        <f t="shared" si="509"/>
        <v>-5879</v>
      </c>
      <c r="X281" s="39">
        <f t="shared" si="509"/>
        <v>-6958</v>
      </c>
      <c r="Y281" s="39">
        <f t="shared" si="509"/>
        <v>-8027</v>
      </c>
      <c r="Z281" s="39">
        <f t="shared" si="509"/>
        <v>-8786</v>
      </c>
      <c r="AA281" s="39">
        <f t="shared" si="509"/>
        <v>-9545</v>
      </c>
      <c r="AB281" s="39">
        <f t="shared" si="509"/>
        <v>-10304</v>
      </c>
      <c r="AC281" s="39">
        <f t="shared" si="509"/>
        <v>-11059</v>
      </c>
      <c r="AD281" s="39">
        <f t="shared" si="509"/>
        <v>-12178</v>
      </c>
      <c r="AE281" s="39">
        <f t="shared" si="509"/>
        <v>-13297</v>
      </c>
      <c r="AF281" s="39">
        <f t="shared" si="509"/>
        <v>-14416</v>
      </c>
      <c r="AG281" s="39">
        <f t="shared" si="509"/>
        <v>-15535</v>
      </c>
      <c r="AH281" s="39">
        <f t="shared" si="509"/>
        <v>-16548</v>
      </c>
      <c r="AI281" s="39">
        <f t="shared" si="509"/>
        <v>-17667</v>
      </c>
      <c r="AJ281" s="39">
        <f t="shared" ref="AJ281:BO281" si="510">ROUND(AJ14*$B16+AJ21*$B23+AJ28*$B30+AJ35*$B37+AJ42*$B44+AJ49*$B51+AJ56*$B58+AJ63*$B65+AJ70*$B72+AJ77*$B79+AJ84*$B86+AJ91*$B93+AJ98*$B100+AJ105*$B107+AJ112*$B114+AJ119*$B121+AJ126*$B128+AJ133*$B135+AJ140*$B142+AJ147*$B149+AJ154*$B156+AJ161*$B163+AJ168*$B170+AJ175*$B177+AJ182*$B184+AJ189*$B191+AJ196*$B198+AJ203*$B205+AJ210*$B212+AJ217*$B219+AJ224*$B226+AJ231*$B233+AJ238*$B240+AJ245*$B247+AJ252*$B254,0)</f>
        <v>-18787</v>
      </c>
      <c r="AK281" s="39">
        <f t="shared" si="510"/>
        <v>-18787</v>
      </c>
      <c r="AL281" s="39">
        <f t="shared" si="510"/>
        <v>-18787</v>
      </c>
      <c r="AM281" s="39">
        <f t="shared" si="510"/>
        <v>-18787</v>
      </c>
      <c r="AN281" s="39">
        <f t="shared" si="510"/>
        <v>-18787</v>
      </c>
      <c r="AO281" s="39">
        <f t="shared" si="510"/>
        <v>-19592</v>
      </c>
      <c r="AP281" s="39">
        <f t="shared" si="510"/>
        <v>-20397</v>
      </c>
      <c r="AQ281" s="39">
        <f t="shared" si="510"/>
        <v>-21202</v>
      </c>
      <c r="AR281" s="39">
        <f t="shared" si="510"/>
        <v>-22173</v>
      </c>
      <c r="AS281" s="39">
        <f t="shared" si="510"/>
        <v>-23144</v>
      </c>
      <c r="AT281" s="39">
        <f t="shared" si="510"/>
        <v>-23921</v>
      </c>
      <c r="AU281" s="39">
        <f t="shared" si="510"/>
        <v>-24892</v>
      </c>
      <c r="AV281" s="39">
        <f t="shared" si="510"/>
        <v>-25814</v>
      </c>
      <c r="AW281" s="39">
        <f t="shared" si="510"/>
        <v>-26735</v>
      </c>
      <c r="AX281" s="39">
        <f t="shared" si="510"/>
        <v>-27657</v>
      </c>
      <c r="AY281" s="39">
        <f t="shared" si="510"/>
        <v>-28579</v>
      </c>
      <c r="AZ281" s="39">
        <f t="shared" si="510"/>
        <v>-29316</v>
      </c>
      <c r="BA281" s="39">
        <f t="shared" si="510"/>
        <v>-29973</v>
      </c>
      <c r="BB281" s="39">
        <f t="shared" si="510"/>
        <v>-30631</v>
      </c>
      <c r="BC281" s="39">
        <f t="shared" si="510"/>
        <v>-31288</v>
      </c>
      <c r="BD281" s="39">
        <f t="shared" si="510"/>
        <v>-32025</v>
      </c>
      <c r="BE281" s="39">
        <f t="shared" si="510"/>
        <v>-32762</v>
      </c>
      <c r="BF281" s="39">
        <f t="shared" si="510"/>
        <v>-33500</v>
      </c>
      <c r="BG281" s="39">
        <f t="shared" si="510"/>
        <v>-34237</v>
      </c>
      <c r="BH281" s="39">
        <f t="shared" si="510"/>
        <v>-34974</v>
      </c>
      <c r="BI281" s="39">
        <f t="shared" si="510"/>
        <v>-35712</v>
      </c>
      <c r="BJ281" s="39">
        <f t="shared" si="510"/>
        <v>-36449</v>
      </c>
      <c r="BK281" s="39">
        <f t="shared" si="510"/>
        <v>-37186</v>
      </c>
      <c r="BL281" s="39">
        <f t="shared" si="510"/>
        <v>-37923</v>
      </c>
      <c r="BM281" s="39">
        <f t="shared" si="510"/>
        <v>-38658</v>
      </c>
      <c r="BN281" s="39">
        <f t="shared" si="510"/>
        <v>-39392</v>
      </c>
      <c r="BO281" s="39">
        <f t="shared" si="510"/>
        <v>-40730</v>
      </c>
      <c r="BP281" s="39">
        <f t="shared" ref="BP281:CC281" si="511">ROUND(BP14*$B16+BP21*$B23+BP28*$B30+BP35*$B37+BP42*$B44+BP49*$B51+BP56*$B58+BP63*$B65+BP70*$B72+BP77*$B79+BP84*$B86+BP91*$B93+BP98*$B100+BP105*$B107+BP112*$B114+BP119*$B121+BP126*$B128+BP133*$B135+BP140*$B142+BP147*$B149+BP154*$B156+BP161*$B163+BP168*$B170+BP175*$B177+BP182*$B184+BP189*$B191+BP196*$B198+BP203*$B205+BP210*$B212+BP217*$B219+BP224*$B226+BP231*$B233+BP238*$B240+BP245*$B247+BP252*$B254,0)</f>
        <v>-40730</v>
      </c>
      <c r="BQ281" s="39">
        <f t="shared" si="511"/>
        <v>-40730</v>
      </c>
      <c r="BR281" s="39">
        <f t="shared" si="511"/>
        <v>-40730</v>
      </c>
      <c r="BS281" s="39">
        <f t="shared" si="511"/>
        <v>-40730</v>
      </c>
      <c r="BT281" s="39">
        <f t="shared" si="511"/>
        <v>-41336</v>
      </c>
      <c r="BU281" s="39">
        <f t="shared" si="511"/>
        <v>-41942</v>
      </c>
      <c r="BV281" s="39">
        <f t="shared" si="511"/>
        <v>-42549</v>
      </c>
      <c r="BW281" s="39">
        <f t="shared" si="511"/>
        <v>-43155</v>
      </c>
      <c r="BX281" s="39">
        <f t="shared" si="511"/>
        <v>-43761</v>
      </c>
      <c r="BY281" s="39">
        <f t="shared" si="511"/>
        <v>-44368</v>
      </c>
      <c r="BZ281" s="39">
        <f t="shared" si="511"/>
        <v>-44974</v>
      </c>
      <c r="CA281" s="39">
        <f t="shared" si="511"/>
        <v>-45580</v>
      </c>
      <c r="CB281" s="39">
        <f t="shared" si="511"/>
        <v>-46187</v>
      </c>
      <c r="CC281" s="39">
        <f t="shared" si="511"/>
        <v>-46793</v>
      </c>
    </row>
    <row r="282" spans="1:81" x14ac:dyDescent="0.2">
      <c r="A282" t="s">
        <v>267</v>
      </c>
      <c r="D282" s="39">
        <f t="shared" ref="D282:AI282" si="512">ROUND(D16*$B17+D23*$B24+D30*$B31+D37*$B38+D44*$B45+D51*$B52+D58*$B59+D65*$B66+D72*$B73+D79*$B80+D86*$B87+D93*$B94+D100*$B101+D107*$B108+D114*$B115+D121*$B122+D128*$B129+D135*$B136+D142*$B143+D149*$B150+D156*$B157+D163*$B164+D170*$B171+D177*$B178+D184*$B185+D191*$B192+D198*$B199+D205*$B206+D212*$B213+D219*$B220+D226*$B227+D233*$B234+D240*$B241+D247*$B248+D254*$B255,0)</f>
        <v>378</v>
      </c>
      <c r="E282" s="39">
        <f t="shared" si="512"/>
        <v>208</v>
      </c>
      <c r="F282" s="39">
        <f t="shared" si="512"/>
        <v>103</v>
      </c>
      <c r="G282" s="39">
        <f t="shared" si="512"/>
        <v>0</v>
      </c>
      <c r="H282" s="39">
        <f t="shared" si="512"/>
        <v>0</v>
      </c>
      <c r="I282" s="39">
        <f t="shared" si="512"/>
        <v>0</v>
      </c>
      <c r="J282" s="39">
        <f t="shared" si="512"/>
        <v>0</v>
      </c>
      <c r="K282" s="39">
        <f t="shared" si="512"/>
        <v>0</v>
      </c>
      <c r="L282" s="39">
        <f t="shared" si="512"/>
        <v>0</v>
      </c>
      <c r="M282" s="39">
        <f t="shared" si="512"/>
        <v>0</v>
      </c>
      <c r="N282" s="39">
        <f t="shared" si="512"/>
        <v>0</v>
      </c>
      <c r="O282" s="39">
        <f t="shared" si="512"/>
        <v>0</v>
      </c>
      <c r="P282" s="39">
        <f t="shared" si="512"/>
        <v>0</v>
      </c>
      <c r="Q282" s="39">
        <f t="shared" si="512"/>
        <v>0</v>
      </c>
      <c r="R282" s="39">
        <f t="shared" si="512"/>
        <v>0</v>
      </c>
      <c r="S282" s="39">
        <f t="shared" si="512"/>
        <v>0</v>
      </c>
      <c r="T282" s="39">
        <f t="shared" si="512"/>
        <v>0</v>
      </c>
      <c r="U282" s="39">
        <f t="shared" si="512"/>
        <v>0</v>
      </c>
      <c r="V282" s="39">
        <f t="shared" si="512"/>
        <v>0</v>
      </c>
      <c r="W282" s="39">
        <f t="shared" si="512"/>
        <v>0</v>
      </c>
      <c r="X282" s="39">
        <f t="shared" si="512"/>
        <v>0</v>
      </c>
      <c r="Y282" s="39">
        <f t="shared" si="512"/>
        <v>0</v>
      </c>
      <c r="Z282" s="39">
        <f t="shared" si="512"/>
        <v>0</v>
      </c>
      <c r="AA282" s="39">
        <f t="shared" si="512"/>
        <v>0</v>
      </c>
      <c r="AB282" s="39">
        <f t="shared" si="512"/>
        <v>0</v>
      </c>
      <c r="AC282" s="39">
        <f t="shared" si="512"/>
        <v>0</v>
      </c>
      <c r="AD282" s="39">
        <f t="shared" si="512"/>
        <v>0</v>
      </c>
      <c r="AE282" s="39">
        <f t="shared" si="512"/>
        <v>0</v>
      </c>
      <c r="AF282" s="39">
        <f t="shared" si="512"/>
        <v>0</v>
      </c>
      <c r="AG282" s="39">
        <f t="shared" si="512"/>
        <v>0</v>
      </c>
      <c r="AH282" s="39">
        <f t="shared" si="512"/>
        <v>0</v>
      </c>
      <c r="AI282" s="39">
        <f t="shared" si="512"/>
        <v>0</v>
      </c>
      <c r="AJ282" s="39">
        <f t="shared" ref="AJ282:BO282" si="513">ROUND(AJ16*$B17+AJ23*$B24+AJ30*$B31+AJ37*$B38+AJ44*$B45+AJ51*$B52+AJ58*$B59+AJ65*$B66+AJ72*$B73+AJ79*$B80+AJ86*$B87+AJ93*$B94+AJ100*$B101+AJ107*$B108+AJ114*$B115+AJ121*$B122+AJ128*$B129+AJ135*$B136+AJ142*$B143+AJ149*$B150+AJ156*$B157+AJ163*$B164+AJ170*$B171+AJ177*$B178+AJ184*$B185+AJ191*$B192+AJ198*$B199+AJ205*$B206+AJ212*$B213+AJ219*$B220+AJ226*$B227+AJ233*$B234+AJ240*$B241+AJ247*$B248+AJ254*$B255,0)</f>
        <v>0</v>
      </c>
      <c r="AK282" s="39">
        <f t="shared" si="513"/>
        <v>0</v>
      </c>
      <c r="AL282" s="39">
        <f t="shared" si="513"/>
        <v>0</v>
      </c>
      <c r="AM282" s="39">
        <f t="shared" si="513"/>
        <v>0</v>
      </c>
      <c r="AN282" s="39">
        <f t="shared" si="513"/>
        <v>0</v>
      </c>
      <c r="AO282" s="39">
        <f t="shared" si="513"/>
        <v>0</v>
      </c>
      <c r="AP282" s="39">
        <f t="shared" si="513"/>
        <v>0</v>
      </c>
      <c r="AQ282" s="39">
        <f t="shared" si="513"/>
        <v>0</v>
      </c>
      <c r="AR282" s="39">
        <f t="shared" si="513"/>
        <v>0</v>
      </c>
      <c r="AS282" s="39">
        <f t="shared" si="513"/>
        <v>0</v>
      </c>
      <c r="AT282" s="39">
        <f t="shared" si="513"/>
        <v>0</v>
      </c>
      <c r="AU282" s="39">
        <f t="shared" si="513"/>
        <v>0</v>
      </c>
      <c r="AV282" s="39">
        <f t="shared" si="513"/>
        <v>0</v>
      </c>
      <c r="AW282" s="39">
        <f t="shared" si="513"/>
        <v>0</v>
      </c>
      <c r="AX282" s="39">
        <f t="shared" si="513"/>
        <v>0</v>
      </c>
      <c r="AY282" s="39">
        <f t="shared" si="513"/>
        <v>0</v>
      </c>
      <c r="AZ282" s="39">
        <f t="shared" si="513"/>
        <v>0</v>
      </c>
      <c r="BA282" s="39">
        <f t="shared" si="513"/>
        <v>0</v>
      </c>
      <c r="BB282" s="39">
        <f t="shared" si="513"/>
        <v>0</v>
      </c>
      <c r="BC282" s="39">
        <f t="shared" si="513"/>
        <v>0</v>
      </c>
      <c r="BD282" s="39">
        <f t="shared" si="513"/>
        <v>0</v>
      </c>
      <c r="BE282" s="39">
        <f t="shared" si="513"/>
        <v>0</v>
      </c>
      <c r="BF282" s="39">
        <f t="shared" si="513"/>
        <v>0</v>
      </c>
      <c r="BG282" s="39">
        <f t="shared" si="513"/>
        <v>0</v>
      </c>
      <c r="BH282" s="39">
        <f t="shared" si="513"/>
        <v>0</v>
      </c>
      <c r="BI282" s="39">
        <f t="shared" si="513"/>
        <v>0</v>
      </c>
      <c r="BJ282" s="39">
        <f t="shared" si="513"/>
        <v>0</v>
      </c>
      <c r="BK282" s="39">
        <f t="shared" si="513"/>
        <v>0</v>
      </c>
      <c r="BL282" s="39">
        <f t="shared" si="513"/>
        <v>0</v>
      </c>
      <c r="BM282" s="39">
        <f t="shared" si="513"/>
        <v>0</v>
      </c>
      <c r="BN282" s="39">
        <f t="shared" si="513"/>
        <v>0</v>
      </c>
      <c r="BO282" s="39">
        <f t="shared" si="513"/>
        <v>0</v>
      </c>
      <c r="BP282" s="39">
        <f t="shared" ref="BP282:CC282" si="514">ROUND(BP16*$B17+BP23*$B24+BP30*$B31+BP37*$B38+BP44*$B45+BP51*$B52+BP58*$B59+BP65*$B66+BP72*$B73+BP79*$B80+BP86*$B87+BP93*$B94+BP100*$B101+BP107*$B108+BP114*$B115+BP121*$B122+BP128*$B129+BP135*$B136+BP142*$B143+BP149*$B150+BP156*$B157+BP163*$B164+BP170*$B171+BP177*$B178+BP184*$B185+BP191*$B192+BP198*$B199+BP205*$B206+BP212*$B213+BP219*$B220+BP226*$B227+BP233*$B234+BP240*$B241+BP247*$B248+BP254*$B255,0)</f>
        <v>0</v>
      </c>
      <c r="BQ282" s="39">
        <f t="shared" si="514"/>
        <v>0</v>
      </c>
      <c r="BR282" s="39">
        <f t="shared" si="514"/>
        <v>0</v>
      </c>
      <c r="BS282" s="39">
        <f t="shared" si="514"/>
        <v>0</v>
      </c>
      <c r="BT282" s="39">
        <f t="shared" si="514"/>
        <v>0</v>
      </c>
      <c r="BU282" s="39">
        <f t="shared" si="514"/>
        <v>0</v>
      </c>
      <c r="BV282" s="39">
        <f t="shared" si="514"/>
        <v>0</v>
      </c>
      <c r="BW282" s="39">
        <f t="shared" si="514"/>
        <v>0</v>
      </c>
      <c r="BX282" s="39">
        <f t="shared" si="514"/>
        <v>0</v>
      </c>
      <c r="BY282" s="39">
        <f t="shared" si="514"/>
        <v>0</v>
      </c>
      <c r="BZ282" s="39">
        <f t="shared" si="514"/>
        <v>0</v>
      </c>
      <c r="CA282" s="39">
        <f t="shared" si="514"/>
        <v>0</v>
      </c>
      <c r="CB282" s="39">
        <f t="shared" si="514"/>
        <v>0</v>
      </c>
      <c r="CC282" s="39">
        <f t="shared" si="514"/>
        <v>0</v>
      </c>
    </row>
    <row r="283" spans="1:81" x14ac:dyDescent="0.2">
      <c r="A283" t="s">
        <v>268</v>
      </c>
      <c r="D283" s="53">
        <f t="shared" ref="D283:AI283" ca="1" si="515">ROUND(IF(D284=0,0,D285/D284),0)</f>
        <v>58</v>
      </c>
      <c r="E283" s="53">
        <f t="shared" ca="1" si="515"/>
        <v>30</v>
      </c>
      <c r="F283" s="53">
        <f t="shared" ca="1" si="515"/>
        <v>30</v>
      </c>
      <c r="G283" s="53">
        <f t="shared" ca="1" si="515"/>
        <v>0</v>
      </c>
      <c r="H283" s="53">
        <f t="shared" ca="1" si="515"/>
        <v>0</v>
      </c>
      <c r="I283" s="53">
        <f t="shared" ca="1" si="515"/>
        <v>0</v>
      </c>
      <c r="J283" s="53">
        <f t="shared" ca="1" si="515"/>
        <v>0</v>
      </c>
      <c r="K283" s="53">
        <f t="shared" ca="1" si="515"/>
        <v>0</v>
      </c>
      <c r="L283" s="53">
        <f t="shared" ca="1" si="515"/>
        <v>0</v>
      </c>
      <c r="M283" s="53">
        <f t="shared" si="515"/>
        <v>0</v>
      </c>
      <c r="N283" s="53">
        <f t="shared" si="515"/>
        <v>0</v>
      </c>
      <c r="O283" s="53">
        <f t="shared" ca="1" si="515"/>
        <v>0</v>
      </c>
      <c r="P283" s="53">
        <f t="shared" ca="1" si="515"/>
        <v>0</v>
      </c>
      <c r="Q283" s="53">
        <f t="shared" ca="1" si="515"/>
        <v>0</v>
      </c>
      <c r="R283" s="53">
        <f t="shared" ca="1" si="515"/>
        <v>0</v>
      </c>
      <c r="S283" s="53">
        <f t="shared" ca="1" si="515"/>
        <v>0</v>
      </c>
      <c r="T283" s="53">
        <f t="shared" ca="1" si="515"/>
        <v>0</v>
      </c>
      <c r="U283" s="53">
        <f t="shared" ca="1" si="515"/>
        <v>0</v>
      </c>
      <c r="V283" s="53">
        <f t="shared" ca="1" si="515"/>
        <v>0</v>
      </c>
      <c r="W283" s="53">
        <f t="shared" ca="1" si="515"/>
        <v>0</v>
      </c>
      <c r="X283" s="53">
        <f t="shared" ca="1" si="515"/>
        <v>0</v>
      </c>
      <c r="Y283" s="53">
        <f t="shared" ca="1" si="515"/>
        <v>0</v>
      </c>
      <c r="Z283" s="53">
        <f t="shared" ca="1" si="515"/>
        <v>0</v>
      </c>
      <c r="AA283" s="53">
        <f t="shared" ca="1" si="515"/>
        <v>0</v>
      </c>
      <c r="AB283" s="53">
        <f t="shared" ca="1" si="515"/>
        <v>0</v>
      </c>
      <c r="AC283" s="53">
        <f t="shared" ca="1" si="515"/>
        <v>0</v>
      </c>
      <c r="AD283" s="53">
        <f t="shared" ca="1" si="515"/>
        <v>0</v>
      </c>
      <c r="AE283" s="53">
        <f t="shared" ca="1" si="515"/>
        <v>0</v>
      </c>
      <c r="AF283" s="53">
        <f t="shared" ca="1" si="515"/>
        <v>0</v>
      </c>
      <c r="AG283" s="53">
        <f t="shared" ca="1" si="515"/>
        <v>0</v>
      </c>
      <c r="AH283" s="53">
        <f t="shared" ca="1" si="515"/>
        <v>0</v>
      </c>
      <c r="AI283" s="53">
        <f t="shared" ca="1" si="515"/>
        <v>0</v>
      </c>
      <c r="AJ283" s="53">
        <f t="shared" ref="AJ283:BO283" ca="1" si="516">ROUND(IF(AJ284=0,0,AJ285/AJ284),0)</f>
        <v>0</v>
      </c>
      <c r="AK283" s="53">
        <f t="shared" si="516"/>
        <v>0</v>
      </c>
      <c r="AL283" s="53">
        <f t="shared" ca="1" si="516"/>
        <v>0</v>
      </c>
      <c r="AM283" s="53">
        <f t="shared" ca="1" si="516"/>
        <v>0</v>
      </c>
      <c r="AN283" s="53">
        <f t="shared" ca="1" si="516"/>
        <v>0</v>
      </c>
      <c r="AO283" s="53">
        <f t="shared" ca="1" si="516"/>
        <v>0</v>
      </c>
      <c r="AP283" s="53">
        <f t="shared" ca="1" si="516"/>
        <v>0</v>
      </c>
      <c r="AQ283" s="53">
        <f t="shared" ca="1" si="516"/>
        <v>0</v>
      </c>
      <c r="AR283" s="53">
        <f t="shared" ca="1" si="516"/>
        <v>0</v>
      </c>
      <c r="AS283" s="53">
        <f t="shared" ca="1" si="516"/>
        <v>0</v>
      </c>
      <c r="AT283" s="53">
        <f t="shared" ca="1" si="516"/>
        <v>0</v>
      </c>
      <c r="AU283" s="53">
        <f t="shared" ca="1" si="516"/>
        <v>0</v>
      </c>
      <c r="AV283" s="53">
        <f t="shared" ca="1" si="516"/>
        <v>0</v>
      </c>
      <c r="AW283" s="53">
        <f t="shared" ca="1" si="516"/>
        <v>0</v>
      </c>
      <c r="AX283" s="53">
        <f t="shared" ca="1" si="516"/>
        <v>0</v>
      </c>
      <c r="AY283" s="53">
        <f t="shared" ca="1" si="516"/>
        <v>0</v>
      </c>
      <c r="AZ283" s="53">
        <f t="shared" ca="1" si="516"/>
        <v>0</v>
      </c>
      <c r="BA283" s="53">
        <f t="shared" ca="1" si="516"/>
        <v>0</v>
      </c>
      <c r="BB283" s="53">
        <f t="shared" ca="1" si="516"/>
        <v>0</v>
      </c>
      <c r="BC283" s="53">
        <f t="shared" ca="1" si="516"/>
        <v>0</v>
      </c>
      <c r="BD283" s="53">
        <f t="shared" ca="1" si="516"/>
        <v>0</v>
      </c>
      <c r="BE283" s="53">
        <f t="shared" ca="1" si="516"/>
        <v>0</v>
      </c>
      <c r="BF283" s="53">
        <f t="shared" ca="1" si="516"/>
        <v>0</v>
      </c>
      <c r="BG283" s="53">
        <f t="shared" ca="1" si="516"/>
        <v>0</v>
      </c>
      <c r="BH283" s="53">
        <f t="shared" ca="1" si="516"/>
        <v>0</v>
      </c>
      <c r="BI283" s="53">
        <f t="shared" ca="1" si="516"/>
        <v>0</v>
      </c>
      <c r="BJ283" s="53">
        <f t="shared" ca="1" si="516"/>
        <v>0</v>
      </c>
      <c r="BK283" s="53">
        <f t="shared" ca="1" si="516"/>
        <v>0</v>
      </c>
      <c r="BL283" s="53">
        <f t="shared" ca="1" si="516"/>
        <v>0</v>
      </c>
      <c r="BM283" s="53">
        <f t="shared" ca="1" si="516"/>
        <v>0</v>
      </c>
      <c r="BN283" s="53">
        <f t="shared" ca="1" si="516"/>
        <v>0</v>
      </c>
      <c r="BO283" s="53">
        <f t="shared" ca="1" si="516"/>
        <v>0</v>
      </c>
      <c r="BP283" s="53">
        <f t="shared" ref="BP283:CC283" ca="1" si="517">ROUND(IF(BP284=0,0,BP285/BP284),0)</f>
        <v>0</v>
      </c>
      <c r="BQ283" s="53">
        <f t="shared" si="517"/>
        <v>0</v>
      </c>
      <c r="BR283" s="53">
        <f t="shared" si="517"/>
        <v>0</v>
      </c>
      <c r="BS283" s="53">
        <f t="shared" ca="1" si="517"/>
        <v>0</v>
      </c>
      <c r="BT283" s="53">
        <f t="shared" ca="1" si="517"/>
        <v>0</v>
      </c>
      <c r="BU283" s="53">
        <f t="shared" ca="1" si="517"/>
        <v>0</v>
      </c>
      <c r="BV283" s="53">
        <f t="shared" ca="1" si="517"/>
        <v>0</v>
      </c>
      <c r="BW283" s="53">
        <f t="shared" ca="1" si="517"/>
        <v>0</v>
      </c>
      <c r="BX283" s="53">
        <f t="shared" ca="1" si="517"/>
        <v>0</v>
      </c>
      <c r="BY283" s="53">
        <f t="shared" ca="1" si="517"/>
        <v>0</v>
      </c>
      <c r="BZ283" s="53">
        <f t="shared" ca="1" si="517"/>
        <v>0</v>
      </c>
      <c r="CA283" s="53">
        <f t="shared" ca="1" si="517"/>
        <v>0</v>
      </c>
      <c r="CB283" s="53">
        <f t="shared" ca="1" si="517"/>
        <v>0</v>
      </c>
      <c r="CC283" s="53">
        <f t="shared" ca="1" si="517"/>
        <v>0</v>
      </c>
    </row>
    <row r="284" spans="1:81" x14ac:dyDescent="0.2">
      <c r="A284" t="s">
        <v>269</v>
      </c>
      <c r="D284" s="39">
        <f t="array" ref="D284:CC284">TRANSPOSE('T-JCI2 LH'!U12:U89)</f>
        <v>42</v>
      </c>
      <c r="E284" s="39">
        <v>42</v>
      </c>
      <c r="F284" s="39">
        <v>21</v>
      </c>
      <c r="G284" s="39">
        <v>35</v>
      </c>
      <c r="H284" s="39">
        <v>42</v>
      </c>
      <c r="I284" s="39">
        <v>21</v>
      </c>
      <c r="J284" s="39">
        <v>42</v>
      </c>
      <c r="K284" s="39">
        <v>35</v>
      </c>
      <c r="L284" s="39">
        <v>42</v>
      </c>
      <c r="M284" s="39">
        <v>0</v>
      </c>
      <c r="N284" s="39">
        <v>0</v>
      </c>
      <c r="O284" s="39">
        <v>42</v>
      </c>
      <c r="P284" s="39">
        <v>42</v>
      </c>
      <c r="Q284" s="39">
        <v>42</v>
      </c>
      <c r="R284" s="39">
        <v>42</v>
      </c>
      <c r="S284" s="39">
        <v>35</v>
      </c>
      <c r="T284" s="39">
        <v>42</v>
      </c>
      <c r="U284" s="39">
        <v>42</v>
      </c>
      <c r="V284" s="39">
        <v>42</v>
      </c>
      <c r="W284" s="39">
        <v>28</v>
      </c>
      <c r="X284" s="39">
        <v>35</v>
      </c>
      <c r="Y284" s="39">
        <v>35</v>
      </c>
      <c r="Z284" s="39">
        <v>42</v>
      </c>
      <c r="AA284" s="39">
        <v>42</v>
      </c>
      <c r="AB284" s="39">
        <v>42</v>
      </c>
      <c r="AC284" s="39">
        <v>42</v>
      </c>
      <c r="AD284" s="39">
        <v>42</v>
      </c>
      <c r="AE284" s="39">
        <v>42</v>
      </c>
      <c r="AF284" s="39">
        <v>42</v>
      </c>
      <c r="AG284" s="39">
        <v>42</v>
      </c>
      <c r="AH284" s="39">
        <v>42</v>
      </c>
      <c r="AI284" s="39">
        <v>42</v>
      </c>
      <c r="AJ284" s="39">
        <v>42</v>
      </c>
      <c r="AK284" s="39">
        <v>0</v>
      </c>
      <c r="AL284" s="39">
        <v>42</v>
      </c>
      <c r="AM284" s="39">
        <v>28</v>
      </c>
      <c r="AN284" s="39">
        <v>42</v>
      </c>
      <c r="AO284" s="39">
        <v>42</v>
      </c>
      <c r="AP284" s="39">
        <v>35</v>
      </c>
      <c r="AQ284" s="39">
        <v>42</v>
      </c>
      <c r="AR284" s="39">
        <v>17.5</v>
      </c>
      <c r="AS284" s="39">
        <v>21</v>
      </c>
      <c r="AT284" s="39">
        <v>21</v>
      </c>
      <c r="AU284" s="39">
        <v>21</v>
      </c>
      <c r="AV284" s="39">
        <v>10.5</v>
      </c>
      <c r="AW284" s="39">
        <v>28</v>
      </c>
      <c r="AX284" s="39">
        <v>42</v>
      </c>
      <c r="AY284" s="39">
        <v>28</v>
      </c>
      <c r="AZ284" s="39">
        <v>42</v>
      </c>
      <c r="BA284" s="39">
        <v>42</v>
      </c>
      <c r="BB284" s="39">
        <v>21</v>
      </c>
      <c r="BC284" s="39">
        <v>42</v>
      </c>
      <c r="BD284" s="39">
        <v>21</v>
      </c>
      <c r="BE284" s="39">
        <v>42</v>
      </c>
      <c r="BF284" s="39">
        <v>42</v>
      </c>
      <c r="BG284" s="39">
        <v>42</v>
      </c>
      <c r="BH284" s="39">
        <v>42</v>
      </c>
      <c r="BI284" s="39">
        <v>35</v>
      </c>
      <c r="BJ284" s="39">
        <v>42</v>
      </c>
      <c r="BK284" s="39">
        <v>28</v>
      </c>
      <c r="BL284" s="39">
        <v>7</v>
      </c>
      <c r="BM284" s="39">
        <v>42</v>
      </c>
      <c r="BN284" s="39">
        <v>42</v>
      </c>
      <c r="BO284" s="39">
        <v>35</v>
      </c>
      <c r="BP284" s="39">
        <v>42</v>
      </c>
      <c r="BQ284" s="39">
        <v>0</v>
      </c>
      <c r="BR284" s="39">
        <v>0</v>
      </c>
      <c r="BS284" s="39">
        <v>35</v>
      </c>
      <c r="BT284" s="39">
        <v>42</v>
      </c>
      <c r="BU284" s="39">
        <v>42</v>
      </c>
      <c r="BV284" s="39">
        <v>42</v>
      </c>
      <c r="BW284" s="39">
        <v>42</v>
      </c>
      <c r="BX284" s="39">
        <v>28</v>
      </c>
      <c r="BY284" s="39">
        <v>42</v>
      </c>
      <c r="BZ284" s="39">
        <v>35</v>
      </c>
      <c r="CA284" s="39">
        <v>42</v>
      </c>
      <c r="CB284" s="39">
        <v>42</v>
      </c>
      <c r="CC284" s="39">
        <v>42</v>
      </c>
    </row>
    <row r="285" spans="1:81" x14ac:dyDescent="0.2">
      <c r="A285" t="s">
        <v>270</v>
      </c>
      <c r="D285" s="39">
        <f t="shared" ref="D285:AI285" ca="1" si="518">IF(D286=0,0,ROUND(D277/(D286/100)/100,0))</f>
        <v>2449</v>
      </c>
      <c r="E285" s="39">
        <f t="shared" ca="1" si="518"/>
        <v>1265</v>
      </c>
      <c r="F285" s="39">
        <f t="shared" ca="1" si="518"/>
        <v>630</v>
      </c>
      <c r="G285" s="39">
        <f t="shared" ca="1" si="518"/>
        <v>0</v>
      </c>
      <c r="H285" s="39">
        <f t="shared" ca="1" si="518"/>
        <v>0</v>
      </c>
      <c r="I285" s="39">
        <f t="shared" ca="1" si="518"/>
        <v>0</v>
      </c>
      <c r="J285" s="39">
        <f t="shared" ca="1" si="518"/>
        <v>0</v>
      </c>
      <c r="K285" s="39">
        <f t="shared" ca="1" si="518"/>
        <v>0</v>
      </c>
      <c r="L285" s="39">
        <f t="shared" ca="1" si="518"/>
        <v>0</v>
      </c>
      <c r="M285" s="39">
        <f t="shared" si="518"/>
        <v>0</v>
      </c>
      <c r="N285" s="39">
        <f t="shared" si="518"/>
        <v>0</v>
      </c>
      <c r="O285" s="39">
        <f t="shared" ca="1" si="518"/>
        <v>0</v>
      </c>
      <c r="P285" s="39">
        <f t="shared" ca="1" si="518"/>
        <v>0</v>
      </c>
      <c r="Q285" s="39">
        <f t="shared" ca="1" si="518"/>
        <v>0</v>
      </c>
      <c r="R285" s="39">
        <f t="shared" ca="1" si="518"/>
        <v>0</v>
      </c>
      <c r="S285" s="39">
        <f t="shared" ca="1" si="518"/>
        <v>0</v>
      </c>
      <c r="T285" s="39">
        <f t="shared" ca="1" si="518"/>
        <v>0</v>
      </c>
      <c r="U285" s="39">
        <f t="shared" ca="1" si="518"/>
        <v>0</v>
      </c>
      <c r="V285" s="39">
        <f t="shared" ca="1" si="518"/>
        <v>0</v>
      </c>
      <c r="W285" s="39">
        <f t="shared" ca="1" si="518"/>
        <v>0</v>
      </c>
      <c r="X285" s="39">
        <f t="shared" ca="1" si="518"/>
        <v>0</v>
      </c>
      <c r="Y285" s="39">
        <f t="shared" ca="1" si="518"/>
        <v>0</v>
      </c>
      <c r="Z285" s="39">
        <f t="shared" ca="1" si="518"/>
        <v>0</v>
      </c>
      <c r="AA285" s="39">
        <f t="shared" ca="1" si="518"/>
        <v>0</v>
      </c>
      <c r="AB285" s="39">
        <f t="shared" ca="1" si="518"/>
        <v>0</v>
      </c>
      <c r="AC285" s="39">
        <f t="shared" ca="1" si="518"/>
        <v>0</v>
      </c>
      <c r="AD285" s="39">
        <f t="shared" ca="1" si="518"/>
        <v>0</v>
      </c>
      <c r="AE285" s="39">
        <f t="shared" ca="1" si="518"/>
        <v>0</v>
      </c>
      <c r="AF285" s="39">
        <f t="shared" ca="1" si="518"/>
        <v>0</v>
      </c>
      <c r="AG285" s="39">
        <f t="shared" ca="1" si="518"/>
        <v>0</v>
      </c>
      <c r="AH285" s="39">
        <f t="shared" ca="1" si="518"/>
        <v>0</v>
      </c>
      <c r="AI285" s="39">
        <f t="shared" ca="1" si="518"/>
        <v>0</v>
      </c>
      <c r="AJ285" s="39">
        <f t="shared" ref="AJ285:BO285" ca="1" si="519">IF(AJ286=0,0,ROUND(AJ277/(AJ286/100)/100,0))</f>
        <v>0</v>
      </c>
      <c r="AK285" s="39">
        <f t="shared" si="519"/>
        <v>0</v>
      </c>
      <c r="AL285" s="39">
        <f t="shared" ca="1" si="519"/>
        <v>0</v>
      </c>
      <c r="AM285" s="39">
        <f t="shared" ca="1" si="519"/>
        <v>0</v>
      </c>
      <c r="AN285" s="39">
        <f t="shared" ca="1" si="519"/>
        <v>0</v>
      </c>
      <c r="AO285" s="39">
        <f t="shared" ca="1" si="519"/>
        <v>0</v>
      </c>
      <c r="AP285" s="39">
        <f t="shared" ca="1" si="519"/>
        <v>0</v>
      </c>
      <c r="AQ285" s="39">
        <f t="shared" ca="1" si="519"/>
        <v>0</v>
      </c>
      <c r="AR285" s="39">
        <f t="shared" ca="1" si="519"/>
        <v>0</v>
      </c>
      <c r="AS285" s="39">
        <f t="shared" ca="1" si="519"/>
        <v>0</v>
      </c>
      <c r="AT285" s="39">
        <f t="shared" ca="1" si="519"/>
        <v>0</v>
      </c>
      <c r="AU285" s="39">
        <f t="shared" ca="1" si="519"/>
        <v>0</v>
      </c>
      <c r="AV285" s="39">
        <f t="shared" ca="1" si="519"/>
        <v>0</v>
      </c>
      <c r="AW285" s="39">
        <f t="shared" ca="1" si="519"/>
        <v>0</v>
      </c>
      <c r="AX285" s="39">
        <f t="shared" ca="1" si="519"/>
        <v>0</v>
      </c>
      <c r="AY285" s="39">
        <f t="shared" ca="1" si="519"/>
        <v>0</v>
      </c>
      <c r="AZ285" s="39">
        <f t="shared" ca="1" si="519"/>
        <v>0</v>
      </c>
      <c r="BA285" s="39">
        <f t="shared" ca="1" si="519"/>
        <v>0</v>
      </c>
      <c r="BB285" s="39">
        <f t="shared" ca="1" si="519"/>
        <v>0</v>
      </c>
      <c r="BC285" s="39">
        <f t="shared" ca="1" si="519"/>
        <v>0</v>
      </c>
      <c r="BD285" s="39">
        <f t="shared" ca="1" si="519"/>
        <v>0</v>
      </c>
      <c r="BE285" s="39">
        <f t="shared" ca="1" si="519"/>
        <v>0</v>
      </c>
      <c r="BF285" s="39">
        <f t="shared" ca="1" si="519"/>
        <v>0</v>
      </c>
      <c r="BG285" s="39">
        <f t="shared" ca="1" si="519"/>
        <v>0</v>
      </c>
      <c r="BH285" s="39">
        <f t="shared" ca="1" si="519"/>
        <v>0</v>
      </c>
      <c r="BI285" s="39">
        <f t="shared" ca="1" si="519"/>
        <v>0</v>
      </c>
      <c r="BJ285" s="39">
        <f t="shared" ca="1" si="519"/>
        <v>0</v>
      </c>
      <c r="BK285" s="39">
        <f t="shared" ca="1" si="519"/>
        <v>0</v>
      </c>
      <c r="BL285" s="39">
        <f t="shared" ca="1" si="519"/>
        <v>0</v>
      </c>
      <c r="BM285" s="39">
        <f t="shared" ca="1" si="519"/>
        <v>0</v>
      </c>
      <c r="BN285" s="39">
        <f t="shared" ca="1" si="519"/>
        <v>0</v>
      </c>
      <c r="BO285" s="39">
        <f t="shared" ca="1" si="519"/>
        <v>0</v>
      </c>
      <c r="BP285" s="39">
        <f t="shared" ref="BP285:CC285" ca="1" si="520">IF(BP286=0,0,ROUND(BP277/(BP286/100)/100,0))</f>
        <v>0</v>
      </c>
      <c r="BQ285" s="39">
        <f t="shared" si="520"/>
        <v>0</v>
      </c>
      <c r="BR285" s="39">
        <f t="shared" si="520"/>
        <v>0</v>
      </c>
      <c r="BS285" s="39">
        <f t="shared" ca="1" si="520"/>
        <v>0</v>
      </c>
      <c r="BT285" s="39">
        <f t="shared" ca="1" si="520"/>
        <v>0</v>
      </c>
      <c r="BU285" s="39">
        <f t="shared" ca="1" si="520"/>
        <v>0</v>
      </c>
      <c r="BV285" s="39">
        <f t="shared" ca="1" si="520"/>
        <v>0</v>
      </c>
      <c r="BW285" s="39">
        <f t="shared" ca="1" si="520"/>
        <v>0</v>
      </c>
      <c r="BX285" s="39">
        <f t="shared" ca="1" si="520"/>
        <v>0</v>
      </c>
      <c r="BY285" s="39">
        <f t="shared" ca="1" si="520"/>
        <v>0</v>
      </c>
      <c r="BZ285" s="39">
        <f t="shared" ca="1" si="520"/>
        <v>0</v>
      </c>
      <c r="CA285" s="39">
        <f t="shared" ca="1" si="520"/>
        <v>0</v>
      </c>
      <c r="CB285" s="39">
        <f t="shared" ca="1" si="520"/>
        <v>0</v>
      </c>
      <c r="CC285" s="39">
        <f t="shared" ca="1" si="520"/>
        <v>0</v>
      </c>
    </row>
    <row r="286" spans="1:81" x14ac:dyDescent="0.2">
      <c r="A286" t="s">
        <v>271</v>
      </c>
      <c r="D286" s="54">
        <f t="array" ref="D286:CC286" ca="1">TRANSPOSE('T-JCI2 LH'!AI12:AI89)</f>
        <v>0.7</v>
      </c>
      <c r="E286" s="54">
        <f ca="1"/>
        <v>0.76999999999999991</v>
      </c>
      <c r="F286" s="54">
        <f ca="1"/>
        <v>0.76999999999999991</v>
      </c>
      <c r="G286" s="54">
        <f ca="1"/>
        <v>0.77</v>
      </c>
      <c r="H286" s="54">
        <f ca="1"/>
        <v>0.76999999999999991</v>
      </c>
      <c r="I286" s="54">
        <f ca="1"/>
        <v>0.76999999999999991</v>
      </c>
      <c r="J286" s="54">
        <f ca="1"/>
        <v>0.76999999999999991</v>
      </c>
      <c r="K286" s="54">
        <f ca="1"/>
        <v>0.77</v>
      </c>
      <c r="L286" s="54">
        <f ca="1"/>
        <v>0.76999999999999991</v>
      </c>
      <c r="M286" s="54">
        <v>0</v>
      </c>
      <c r="N286" s="54">
        <v>0</v>
      </c>
      <c r="O286" s="54">
        <f ca="1"/>
        <v>0.76999999999999991</v>
      </c>
      <c r="P286" s="54">
        <f ca="1"/>
        <v>0.76999999999999991</v>
      </c>
      <c r="Q286" s="54">
        <f ca="1"/>
        <v>0.76999999999999991</v>
      </c>
      <c r="R286" s="54">
        <f ca="1"/>
        <v>0.76999999999999991</v>
      </c>
      <c r="S286" s="54">
        <f ca="1"/>
        <v>0.77</v>
      </c>
      <c r="T286" s="54">
        <f ca="1"/>
        <v>0.77</v>
      </c>
      <c r="U286" s="54">
        <f ca="1"/>
        <v>0.77</v>
      </c>
      <c r="V286" s="54">
        <f ca="1"/>
        <v>0.77</v>
      </c>
      <c r="W286" s="54">
        <f ca="1"/>
        <v>0.77024999999999999</v>
      </c>
      <c r="X286" s="54">
        <f ca="1"/>
        <v>0.76980000000000004</v>
      </c>
      <c r="Y286" s="54">
        <f ca="1"/>
        <v>0.76980000000000004</v>
      </c>
      <c r="Z286" s="54">
        <f ca="1"/>
        <v>0.77</v>
      </c>
      <c r="AA286" s="54">
        <f ca="1"/>
        <v>0.77</v>
      </c>
      <c r="AB286" s="54">
        <f ca="1"/>
        <v>0.77</v>
      </c>
      <c r="AC286" s="54">
        <f ca="1"/>
        <v>0.77</v>
      </c>
      <c r="AD286" s="54">
        <f ca="1"/>
        <v>0.77</v>
      </c>
      <c r="AE286" s="54">
        <f ca="1"/>
        <v>0.77</v>
      </c>
      <c r="AF286" s="54">
        <f ca="1"/>
        <v>0.77</v>
      </c>
      <c r="AG286" s="54">
        <f ca="1"/>
        <v>0.77</v>
      </c>
      <c r="AH286" s="54">
        <f ca="1"/>
        <v>0.77</v>
      </c>
      <c r="AI286" s="54">
        <f ca="1"/>
        <v>0.77</v>
      </c>
      <c r="AJ286" s="54">
        <f ca="1"/>
        <v>0.77</v>
      </c>
      <c r="AK286" s="54">
        <v>0</v>
      </c>
      <c r="AL286" s="54">
        <f ca="1"/>
        <v>0.77</v>
      </c>
      <c r="AM286" s="54">
        <f ca="1"/>
        <v>0.77024999999999999</v>
      </c>
      <c r="AN286" s="54">
        <f ca="1"/>
        <v>0.77</v>
      </c>
      <c r="AO286" s="54">
        <f ca="1"/>
        <v>0.77</v>
      </c>
      <c r="AP286" s="54">
        <f ca="1"/>
        <v>0.76980000000000004</v>
      </c>
      <c r="AQ286" s="54">
        <f ca="1"/>
        <v>0.77</v>
      </c>
      <c r="AR286" s="54">
        <f ca="1"/>
        <v>0.77039999999999997</v>
      </c>
      <c r="AS286" s="54">
        <f ca="1"/>
        <v>0.77</v>
      </c>
      <c r="AT286" s="54">
        <f ca="1"/>
        <v>0.77</v>
      </c>
      <c r="AU286" s="54">
        <f ca="1"/>
        <v>0.77</v>
      </c>
      <c r="AV286" s="54">
        <f ca="1"/>
        <v>0.77</v>
      </c>
      <c r="AW286" s="54">
        <f ca="1"/>
        <v>0.77024999999999999</v>
      </c>
      <c r="AX286" s="54">
        <f ca="1"/>
        <v>0.77</v>
      </c>
      <c r="AY286" s="54">
        <f ca="1"/>
        <v>0.77024999999999999</v>
      </c>
      <c r="AZ286" s="54">
        <f ca="1"/>
        <v>0.77</v>
      </c>
      <c r="BA286" s="54">
        <f ca="1"/>
        <v>0.77</v>
      </c>
      <c r="BB286" s="54">
        <f ca="1"/>
        <v>0.77</v>
      </c>
      <c r="BC286" s="54">
        <f ca="1"/>
        <v>0.77</v>
      </c>
      <c r="BD286" s="54">
        <f ca="1"/>
        <v>0.77</v>
      </c>
      <c r="BE286" s="54">
        <f ca="1"/>
        <v>0.77</v>
      </c>
      <c r="BF286" s="54">
        <f ca="1"/>
        <v>0.77</v>
      </c>
      <c r="BG286" s="54">
        <f ca="1"/>
        <v>0.77</v>
      </c>
      <c r="BH286" s="54">
        <f ca="1"/>
        <v>0.77</v>
      </c>
      <c r="BI286" s="54">
        <f ca="1"/>
        <v>0.76980000000000004</v>
      </c>
      <c r="BJ286" s="54">
        <f ca="1"/>
        <v>0.77</v>
      </c>
      <c r="BK286" s="54">
        <f ca="1"/>
        <v>0.77024999999999999</v>
      </c>
      <c r="BL286" s="54">
        <f ca="1"/>
        <v>0.77099999999999991</v>
      </c>
      <c r="BM286" s="54">
        <f ca="1"/>
        <v>0.77</v>
      </c>
      <c r="BN286" s="54">
        <f ca="1"/>
        <v>0.77</v>
      </c>
      <c r="BO286" s="54">
        <f ca="1"/>
        <v>0.76980000000000004</v>
      </c>
      <c r="BP286" s="54">
        <f ca="1"/>
        <v>0.77</v>
      </c>
      <c r="BQ286" s="54">
        <v>0</v>
      </c>
      <c r="BR286" s="54">
        <v>0</v>
      </c>
      <c r="BS286" s="54">
        <f ca="1"/>
        <v>0.76980000000000004</v>
      </c>
      <c r="BT286" s="54">
        <f ca="1"/>
        <v>0.77</v>
      </c>
      <c r="BU286" s="54">
        <f ca="1"/>
        <v>0.77</v>
      </c>
      <c r="BV286" s="54">
        <f ca="1"/>
        <v>0.77</v>
      </c>
      <c r="BW286" s="54">
        <f ca="1"/>
        <v>0.77</v>
      </c>
      <c r="BX286" s="54">
        <f ca="1"/>
        <v>0.77024999999999999</v>
      </c>
      <c r="BY286" s="54">
        <f ca="1"/>
        <v>0.77</v>
      </c>
      <c r="BZ286" s="54">
        <f ca="1"/>
        <v>0.76980000000000004</v>
      </c>
      <c r="CA286" s="54">
        <f ca="1"/>
        <v>0.77</v>
      </c>
      <c r="CB286" s="54">
        <f ca="1"/>
        <v>0.77</v>
      </c>
      <c r="CC286" s="54">
        <f ca="1"/>
        <v>0.77</v>
      </c>
    </row>
    <row r="287" spans="1:81" x14ac:dyDescent="0.2">
      <c r="A287" t="s">
        <v>272</v>
      </c>
      <c r="D287" s="39">
        <f t="shared" ref="D287:AI287" si="521">ROUND(D19+D26+D33+D40+D47+D54+D61+D68+D75+D82+D89+D96+D103+D110+D117+D124+D131+D138+D145+D152+D159+D166+D173+D180+D187+D194+D201+D208+D215+D222+D229+D236+D243+D250+D257,0)</f>
        <v>5680</v>
      </c>
      <c r="E287" s="39">
        <f t="shared" si="521"/>
        <v>3476</v>
      </c>
      <c r="F287" s="39">
        <f t="shared" si="521"/>
        <v>1720</v>
      </c>
      <c r="G287" s="39">
        <f t="shared" si="521"/>
        <v>0</v>
      </c>
      <c r="H287" s="39">
        <f t="shared" si="521"/>
        <v>0</v>
      </c>
      <c r="I287" s="39">
        <f t="shared" si="521"/>
        <v>0</v>
      </c>
      <c r="J287" s="39">
        <f t="shared" si="521"/>
        <v>0</v>
      </c>
      <c r="K287" s="39">
        <f t="shared" si="521"/>
        <v>0</v>
      </c>
      <c r="L287" s="39">
        <f t="shared" si="521"/>
        <v>0</v>
      </c>
      <c r="M287" s="39">
        <f t="shared" si="521"/>
        <v>0</v>
      </c>
      <c r="N287" s="39">
        <f t="shared" si="521"/>
        <v>0</v>
      </c>
      <c r="O287" s="39">
        <f t="shared" si="521"/>
        <v>0</v>
      </c>
      <c r="P287" s="39">
        <f t="shared" si="521"/>
        <v>0</v>
      </c>
      <c r="Q287" s="39">
        <f t="shared" si="521"/>
        <v>0</v>
      </c>
      <c r="R287" s="39">
        <f t="shared" si="521"/>
        <v>0</v>
      </c>
      <c r="S287" s="39">
        <f t="shared" si="521"/>
        <v>0</v>
      </c>
      <c r="T287" s="39">
        <f t="shared" si="521"/>
        <v>0</v>
      </c>
      <c r="U287" s="39">
        <f t="shared" si="521"/>
        <v>0</v>
      </c>
      <c r="V287" s="39">
        <f t="shared" si="521"/>
        <v>0</v>
      </c>
      <c r="W287" s="39">
        <f t="shared" si="521"/>
        <v>0</v>
      </c>
      <c r="X287" s="39">
        <f t="shared" si="521"/>
        <v>0</v>
      </c>
      <c r="Y287" s="39">
        <f t="shared" si="521"/>
        <v>0</v>
      </c>
      <c r="Z287" s="39">
        <f t="shared" si="521"/>
        <v>0</v>
      </c>
      <c r="AA287" s="39">
        <f t="shared" si="521"/>
        <v>0</v>
      </c>
      <c r="AB287" s="39">
        <f t="shared" si="521"/>
        <v>0</v>
      </c>
      <c r="AC287" s="39">
        <f t="shared" si="521"/>
        <v>0</v>
      </c>
      <c r="AD287" s="39">
        <f t="shared" si="521"/>
        <v>0</v>
      </c>
      <c r="AE287" s="39">
        <f t="shared" si="521"/>
        <v>0</v>
      </c>
      <c r="AF287" s="39">
        <f t="shared" si="521"/>
        <v>0</v>
      </c>
      <c r="AG287" s="39">
        <f t="shared" si="521"/>
        <v>0</v>
      </c>
      <c r="AH287" s="39">
        <f t="shared" si="521"/>
        <v>0</v>
      </c>
      <c r="AI287" s="39">
        <f t="shared" si="521"/>
        <v>0</v>
      </c>
      <c r="AJ287" s="39">
        <f t="shared" ref="AJ287:BO287" si="522">ROUND(AJ19+AJ26+AJ33+AJ40+AJ47+AJ54+AJ61+AJ68+AJ75+AJ82+AJ89+AJ96+AJ103+AJ110+AJ117+AJ124+AJ131+AJ138+AJ145+AJ152+AJ159+AJ166+AJ173+AJ180+AJ187+AJ194+AJ201+AJ208+AJ215+AJ222+AJ229+AJ236+AJ243+AJ250+AJ257,0)</f>
        <v>0</v>
      </c>
      <c r="AK287" s="39">
        <f t="shared" si="522"/>
        <v>0</v>
      </c>
      <c r="AL287" s="39">
        <f t="shared" si="522"/>
        <v>0</v>
      </c>
      <c r="AM287" s="39">
        <f t="shared" si="522"/>
        <v>0</v>
      </c>
      <c r="AN287" s="39">
        <f t="shared" si="522"/>
        <v>0</v>
      </c>
      <c r="AO287" s="39">
        <f t="shared" si="522"/>
        <v>0</v>
      </c>
      <c r="AP287" s="39">
        <f t="shared" si="522"/>
        <v>0</v>
      </c>
      <c r="AQ287" s="39">
        <f t="shared" si="522"/>
        <v>0</v>
      </c>
      <c r="AR287" s="39">
        <f t="shared" si="522"/>
        <v>0</v>
      </c>
      <c r="AS287" s="39">
        <f t="shared" si="522"/>
        <v>0</v>
      </c>
      <c r="AT287" s="39">
        <f t="shared" si="522"/>
        <v>0</v>
      </c>
      <c r="AU287" s="39">
        <f t="shared" si="522"/>
        <v>0</v>
      </c>
      <c r="AV287" s="39">
        <f t="shared" si="522"/>
        <v>0</v>
      </c>
      <c r="AW287" s="39">
        <f t="shared" si="522"/>
        <v>0</v>
      </c>
      <c r="AX287" s="39">
        <f t="shared" si="522"/>
        <v>0</v>
      </c>
      <c r="AY287" s="39">
        <f t="shared" si="522"/>
        <v>0</v>
      </c>
      <c r="AZ287" s="39">
        <f t="shared" si="522"/>
        <v>0</v>
      </c>
      <c r="BA287" s="39">
        <f t="shared" si="522"/>
        <v>0</v>
      </c>
      <c r="BB287" s="39">
        <f t="shared" si="522"/>
        <v>0</v>
      </c>
      <c r="BC287" s="39">
        <f t="shared" si="522"/>
        <v>0</v>
      </c>
      <c r="BD287" s="39">
        <f t="shared" si="522"/>
        <v>0</v>
      </c>
      <c r="BE287" s="39">
        <f t="shared" si="522"/>
        <v>0</v>
      </c>
      <c r="BF287" s="39">
        <f t="shared" si="522"/>
        <v>0</v>
      </c>
      <c r="BG287" s="39">
        <f t="shared" si="522"/>
        <v>0</v>
      </c>
      <c r="BH287" s="39">
        <f t="shared" si="522"/>
        <v>0</v>
      </c>
      <c r="BI287" s="39">
        <f t="shared" si="522"/>
        <v>0</v>
      </c>
      <c r="BJ287" s="39">
        <f t="shared" si="522"/>
        <v>0</v>
      </c>
      <c r="BK287" s="39">
        <f t="shared" si="522"/>
        <v>0</v>
      </c>
      <c r="BL287" s="39">
        <f t="shared" si="522"/>
        <v>0</v>
      </c>
      <c r="BM287" s="39">
        <f t="shared" si="522"/>
        <v>0</v>
      </c>
      <c r="BN287" s="39">
        <f t="shared" si="522"/>
        <v>0</v>
      </c>
      <c r="BO287" s="39">
        <f t="shared" si="522"/>
        <v>0</v>
      </c>
      <c r="BP287" s="39">
        <f t="shared" ref="BP287:CC287" si="523">ROUND(BP19+BP26+BP33+BP40+BP47+BP54+BP61+BP68+BP75+BP82+BP89+BP96+BP103+BP110+BP117+BP124+BP131+BP138+BP145+BP152+BP159+BP166+BP173+BP180+BP187+BP194+BP201+BP208+BP215+BP222+BP229+BP236+BP243+BP250+BP257,0)</f>
        <v>0</v>
      </c>
      <c r="BQ287" s="39">
        <f t="shared" si="523"/>
        <v>0</v>
      </c>
      <c r="BR287" s="39">
        <f t="shared" si="523"/>
        <v>0</v>
      </c>
      <c r="BS287" s="39">
        <f t="shared" si="523"/>
        <v>0</v>
      </c>
      <c r="BT287" s="39">
        <f t="shared" si="523"/>
        <v>0</v>
      </c>
      <c r="BU287" s="39">
        <f t="shared" si="523"/>
        <v>0</v>
      </c>
      <c r="BV287" s="39">
        <f t="shared" si="523"/>
        <v>0</v>
      </c>
      <c r="BW287" s="39">
        <f t="shared" si="523"/>
        <v>0</v>
      </c>
      <c r="BX287" s="39">
        <f t="shared" si="523"/>
        <v>0</v>
      </c>
      <c r="BY287" s="39">
        <f t="shared" si="523"/>
        <v>0</v>
      </c>
      <c r="BZ287" s="39">
        <f t="shared" si="523"/>
        <v>0</v>
      </c>
      <c r="CA287" s="39">
        <f t="shared" si="523"/>
        <v>0</v>
      </c>
      <c r="CB287" s="39">
        <f t="shared" si="523"/>
        <v>0</v>
      </c>
      <c r="CC287" s="39">
        <f t="shared" si="523"/>
        <v>0</v>
      </c>
    </row>
    <row r="290" spans="1:81" x14ac:dyDescent="0.2">
      <c r="A290" t="s">
        <v>273</v>
      </c>
      <c r="D290">
        <f t="array" ref="D290:CC290">TRANSPOSE('T-JCI2 LH'!AE12:AE89)</f>
        <v>58</v>
      </c>
      <c r="E290">
        <v>30</v>
      </c>
      <c r="F290">
        <v>30</v>
      </c>
      <c r="G290">
        <v>30</v>
      </c>
      <c r="H290">
        <v>30</v>
      </c>
      <c r="I290">
        <v>30</v>
      </c>
      <c r="J290">
        <v>30</v>
      </c>
      <c r="K290">
        <v>30</v>
      </c>
      <c r="L290">
        <v>30</v>
      </c>
      <c r="M290">
        <v>30</v>
      </c>
      <c r="N290">
        <v>30</v>
      </c>
      <c r="O290">
        <v>30</v>
      </c>
      <c r="P290">
        <v>30</v>
      </c>
      <c r="Q290">
        <v>30</v>
      </c>
      <c r="R290">
        <v>30</v>
      </c>
      <c r="S290">
        <v>30</v>
      </c>
      <c r="T290">
        <v>28</v>
      </c>
      <c r="U290">
        <v>28</v>
      </c>
      <c r="V290">
        <v>28</v>
      </c>
      <c r="W290">
        <v>28</v>
      </c>
      <c r="X290">
        <v>28</v>
      </c>
      <c r="Y290">
        <v>28</v>
      </c>
      <c r="Z290">
        <v>28</v>
      </c>
      <c r="AA290">
        <v>28</v>
      </c>
      <c r="AB290">
        <v>28</v>
      </c>
      <c r="AC290">
        <v>28</v>
      </c>
      <c r="AD290">
        <v>28</v>
      </c>
      <c r="AE290">
        <v>28</v>
      </c>
      <c r="AF290">
        <v>28</v>
      </c>
      <c r="AG290">
        <v>28</v>
      </c>
      <c r="AH290">
        <v>28</v>
      </c>
      <c r="AI290">
        <v>28</v>
      </c>
      <c r="AJ290">
        <v>28</v>
      </c>
      <c r="AK290">
        <v>28</v>
      </c>
      <c r="AL290">
        <v>28</v>
      </c>
      <c r="AM290">
        <v>28</v>
      </c>
      <c r="AN290">
        <v>28</v>
      </c>
      <c r="AO290">
        <v>28</v>
      </c>
      <c r="AP290">
        <v>28</v>
      </c>
      <c r="AQ290">
        <v>28</v>
      </c>
      <c r="AR290">
        <v>28</v>
      </c>
      <c r="AS290">
        <v>28</v>
      </c>
      <c r="AT290">
        <v>28</v>
      </c>
      <c r="AU290">
        <v>28</v>
      </c>
      <c r="AV290">
        <v>28</v>
      </c>
      <c r="AW290">
        <v>28</v>
      </c>
      <c r="AX290">
        <v>28</v>
      </c>
      <c r="AY290">
        <v>28</v>
      </c>
      <c r="AZ290">
        <v>28</v>
      </c>
      <c r="BA290">
        <v>28</v>
      </c>
      <c r="BB290">
        <v>28</v>
      </c>
      <c r="BC290">
        <v>28</v>
      </c>
      <c r="BD290">
        <v>28</v>
      </c>
      <c r="BE290">
        <v>28</v>
      </c>
      <c r="BF290">
        <v>28</v>
      </c>
      <c r="BG290">
        <v>28</v>
      </c>
      <c r="BH290">
        <v>28</v>
      </c>
      <c r="BI290">
        <v>28</v>
      </c>
      <c r="BJ290">
        <v>28</v>
      </c>
      <c r="BK290">
        <v>28</v>
      </c>
      <c r="BL290">
        <v>14</v>
      </c>
      <c r="BM290">
        <v>14</v>
      </c>
      <c r="BN290">
        <v>14</v>
      </c>
      <c r="BO290">
        <v>14</v>
      </c>
      <c r="BP290">
        <v>14</v>
      </c>
      <c r="BQ290">
        <v>14</v>
      </c>
      <c r="BR290">
        <v>14</v>
      </c>
      <c r="BS290">
        <v>14</v>
      </c>
      <c r="BT290">
        <v>14</v>
      </c>
      <c r="BU290">
        <v>14</v>
      </c>
      <c r="BV290">
        <v>14</v>
      </c>
      <c r="BW290">
        <v>14</v>
      </c>
      <c r="BX290">
        <v>14</v>
      </c>
      <c r="BY290">
        <v>14</v>
      </c>
      <c r="BZ290">
        <v>14</v>
      </c>
      <c r="CA290">
        <v>14</v>
      </c>
      <c r="CB290">
        <v>14</v>
      </c>
      <c r="CC290">
        <v>14</v>
      </c>
    </row>
    <row r="291" spans="1:81" x14ac:dyDescent="0.2">
      <c r="A291" t="s">
        <v>56</v>
      </c>
      <c r="D291">
        <f t="array" ref="D291:CC291">TRANSPOSE('T-JCI2 LH'!AH12:AH89)</f>
        <v>2436</v>
      </c>
      <c r="E291">
        <v>1260</v>
      </c>
      <c r="F291">
        <v>630</v>
      </c>
      <c r="G291">
        <v>1050</v>
      </c>
      <c r="H291">
        <v>1260</v>
      </c>
      <c r="I291">
        <v>630</v>
      </c>
      <c r="J291">
        <v>1260</v>
      </c>
      <c r="K291">
        <v>1050</v>
      </c>
      <c r="L291">
        <v>1260</v>
      </c>
      <c r="M291">
        <v>0</v>
      </c>
      <c r="N291">
        <v>0</v>
      </c>
      <c r="O291">
        <v>1260</v>
      </c>
      <c r="P291">
        <v>1260</v>
      </c>
      <c r="Q291">
        <v>1260</v>
      </c>
      <c r="R291">
        <v>1260</v>
      </c>
      <c r="S291">
        <v>1050</v>
      </c>
      <c r="T291">
        <v>1176</v>
      </c>
      <c r="U291">
        <v>1176</v>
      </c>
      <c r="V291">
        <v>1176</v>
      </c>
      <c r="W291">
        <v>784</v>
      </c>
      <c r="X291">
        <v>980</v>
      </c>
      <c r="Y291">
        <v>980</v>
      </c>
      <c r="Z291">
        <v>1176</v>
      </c>
      <c r="AA291">
        <v>1176</v>
      </c>
      <c r="AB291">
        <v>1176</v>
      </c>
      <c r="AC291">
        <v>1176</v>
      </c>
      <c r="AD291">
        <v>1176</v>
      </c>
      <c r="AE291">
        <v>1176</v>
      </c>
      <c r="AF291">
        <v>1176</v>
      </c>
      <c r="AG291">
        <v>1176</v>
      </c>
      <c r="AH291">
        <v>1176</v>
      </c>
      <c r="AI291">
        <v>1176</v>
      </c>
      <c r="AJ291">
        <v>1176</v>
      </c>
      <c r="AK291">
        <v>0</v>
      </c>
      <c r="AL291">
        <v>1176</v>
      </c>
      <c r="AM291">
        <v>784</v>
      </c>
      <c r="AN291">
        <v>1176</v>
      </c>
      <c r="AO291">
        <v>1176</v>
      </c>
      <c r="AP291">
        <v>980</v>
      </c>
      <c r="AQ291">
        <v>1176</v>
      </c>
      <c r="AR291">
        <v>490</v>
      </c>
      <c r="AS291">
        <v>588</v>
      </c>
      <c r="AT291">
        <v>588</v>
      </c>
      <c r="AU291">
        <v>588</v>
      </c>
      <c r="AV291">
        <v>294</v>
      </c>
      <c r="AW291">
        <v>784</v>
      </c>
      <c r="AX291">
        <v>1176</v>
      </c>
      <c r="AY291">
        <v>784</v>
      </c>
      <c r="AZ291">
        <v>1176</v>
      </c>
      <c r="BA291">
        <v>1176</v>
      </c>
      <c r="BB291">
        <v>588</v>
      </c>
      <c r="BC291">
        <v>1176</v>
      </c>
      <c r="BD291">
        <v>588</v>
      </c>
      <c r="BE291">
        <v>1176</v>
      </c>
      <c r="BF291">
        <v>1176</v>
      </c>
      <c r="BG291">
        <v>1176</v>
      </c>
      <c r="BH291">
        <v>1176</v>
      </c>
      <c r="BI291">
        <v>980</v>
      </c>
      <c r="BJ291">
        <v>1176</v>
      </c>
      <c r="BK291">
        <v>784</v>
      </c>
      <c r="BL291">
        <v>98</v>
      </c>
      <c r="BM291">
        <v>588</v>
      </c>
      <c r="BN291">
        <v>588</v>
      </c>
      <c r="BO291">
        <v>490</v>
      </c>
      <c r="BP291">
        <v>588</v>
      </c>
      <c r="BQ291">
        <v>0</v>
      </c>
      <c r="BR291">
        <v>0</v>
      </c>
      <c r="BS291">
        <v>490</v>
      </c>
      <c r="BT291">
        <v>588</v>
      </c>
      <c r="BU291">
        <v>588</v>
      </c>
      <c r="BV291">
        <v>588</v>
      </c>
      <c r="BW291">
        <v>588</v>
      </c>
      <c r="BX291">
        <v>392</v>
      </c>
      <c r="BY291">
        <v>588</v>
      </c>
      <c r="BZ291">
        <v>490</v>
      </c>
      <c r="CA291">
        <v>588</v>
      </c>
      <c r="CB291">
        <v>588</v>
      </c>
      <c r="CC291">
        <v>588</v>
      </c>
    </row>
    <row r="292" spans="1:81" x14ac:dyDescent="0.2">
      <c r="A292" t="s">
        <v>274</v>
      </c>
      <c r="D292">
        <f t="shared" ref="D292:AI292" si="524">ROUND(D17*$C19+D24*$C26+D31*$C33+D38*$C40+D45*$C47+D52*$C54+D59*$C61+D66*$C68+D73*$C75+D80*$C82+D87*$C89+D94*$C96+D101*$C103+D108*$C110+D115*$C117+D122*$C124+D129*$C131+D136*$C138+D143*$C145+D150*$C152+D157*$C159+D164*$C166+D171*$C173+D178*$C180+D185*$C187+D192*$C194+D199*$C201+D206*$C208+D213*$C215+D220*$C222+D227*$C229+D234*$C236+D241*$C243+D248*$C250+D255*$C257,0)</f>
        <v>1986</v>
      </c>
      <c r="E292">
        <f t="shared" si="524"/>
        <v>43553</v>
      </c>
      <c r="F292">
        <f t="shared" si="524"/>
        <v>24992</v>
      </c>
      <c r="G292">
        <f t="shared" si="524"/>
        <v>28997</v>
      </c>
      <c r="H292">
        <f t="shared" si="524"/>
        <v>31101</v>
      </c>
      <c r="I292">
        <f t="shared" si="524"/>
        <v>29997</v>
      </c>
      <c r="J292">
        <f t="shared" si="524"/>
        <v>26581</v>
      </c>
      <c r="K292">
        <f t="shared" si="524"/>
        <v>27463</v>
      </c>
      <c r="L292">
        <f t="shared" si="524"/>
        <v>37878</v>
      </c>
      <c r="M292">
        <f t="shared" si="524"/>
        <v>50123</v>
      </c>
      <c r="N292">
        <f t="shared" si="524"/>
        <v>0</v>
      </c>
      <c r="O292">
        <f t="shared" si="524"/>
        <v>0</v>
      </c>
      <c r="P292">
        <f t="shared" si="524"/>
        <v>0</v>
      </c>
      <c r="Q292">
        <f t="shared" si="524"/>
        <v>0</v>
      </c>
      <c r="R292">
        <f t="shared" si="524"/>
        <v>28682</v>
      </c>
      <c r="S292">
        <f t="shared" si="524"/>
        <v>24105</v>
      </c>
      <c r="T292">
        <f t="shared" si="524"/>
        <v>27042</v>
      </c>
      <c r="U292">
        <f t="shared" si="524"/>
        <v>27284</v>
      </c>
      <c r="V292">
        <f t="shared" si="524"/>
        <v>27284</v>
      </c>
      <c r="W292">
        <f t="shared" si="524"/>
        <v>27284</v>
      </c>
      <c r="X292">
        <f t="shared" si="524"/>
        <v>27027</v>
      </c>
      <c r="Y292">
        <f t="shared" si="524"/>
        <v>19195</v>
      </c>
      <c r="Z292">
        <f t="shared" si="524"/>
        <v>19195</v>
      </c>
      <c r="AA292">
        <f t="shared" si="524"/>
        <v>19195</v>
      </c>
      <c r="AB292">
        <f t="shared" si="524"/>
        <v>19108</v>
      </c>
      <c r="AC292">
        <f t="shared" si="524"/>
        <v>28482</v>
      </c>
      <c r="AD292">
        <f t="shared" si="524"/>
        <v>28482</v>
      </c>
      <c r="AE292">
        <f t="shared" si="524"/>
        <v>28482</v>
      </c>
      <c r="AF292">
        <f t="shared" si="524"/>
        <v>28482</v>
      </c>
      <c r="AG292">
        <f t="shared" si="524"/>
        <v>25670</v>
      </c>
      <c r="AH292">
        <f t="shared" si="524"/>
        <v>28195</v>
      </c>
      <c r="AI292">
        <f t="shared" si="524"/>
        <v>28195</v>
      </c>
      <c r="AJ292">
        <f t="shared" ref="AJ292:BO292" si="525">ROUND(AJ17*$C19+AJ24*$C26+AJ31*$C33+AJ38*$C40+AJ45*$C47+AJ52*$C54+AJ59*$C61+AJ66*$C68+AJ73*$C75+AJ80*$C82+AJ87*$C89+AJ94*$C96+AJ101*$C103+AJ108*$C110+AJ115*$C117+AJ122*$C124+AJ129*$C131+AJ136*$C138+AJ143*$C145+AJ150*$C152+AJ157*$C159+AJ164*$C166+AJ171*$C173+AJ178*$C180+AJ185*$C187+AJ192*$C194+AJ199*$C201+AJ206*$C208+AJ213*$C215+AJ220*$C222+AJ227*$C229+AJ234*$C236+AJ241*$C243+AJ248*$C250+AJ255*$C257,0)</f>
        <v>0</v>
      </c>
      <c r="AK292">
        <f t="shared" si="525"/>
        <v>0</v>
      </c>
      <c r="AL292">
        <f t="shared" si="525"/>
        <v>0</v>
      </c>
      <c r="AM292">
        <f t="shared" si="525"/>
        <v>0</v>
      </c>
      <c r="AN292">
        <f t="shared" si="525"/>
        <v>20357</v>
      </c>
      <c r="AO292">
        <f t="shared" si="525"/>
        <v>20357</v>
      </c>
      <c r="AP292">
        <f t="shared" si="525"/>
        <v>20357</v>
      </c>
      <c r="AQ292">
        <f t="shared" si="525"/>
        <v>24556</v>
      </c>
      <c r="AR292">
        <f t="shared" si="525"/>
        <v>24556</v>
      </c>
      <c r="AS292">
        <f t="shared" si="525"/>
        <v>19657</v>
      </c>
      <c r="AT292">
        <f t="shared" si="525"/>
        <v>24556</v>
      </c>
      <c r="AU292">
        <f t="shared" si="525"/>
        <v>23308</v>
      </c>
      <c r="AV292">
        <f t="shared" si="525"/>
        <v>23308</v>
      </c>
      <c r="AW292">
        <f t="shared" si="525"/>
        <v>23308</v>
      </c>
      <c r="AX292">
        <f t="shared" si="525"/>
        <v>23308</v>
      </c>
      <c r="AY292">
        <f t="shared" si="525"/>
        <v>18645</v>
      </c>
      <c r="AZ292">
        <f t="shared" si="525"/>
        <v>16618</v>
      </c>
      <c r="BA292">
        <f t="shared" si="525"/>
        <v>16618</v>
      </c>
      <c r="BB292">
        <f t="shared" si="525"/>
        <v>16618</v>
      </c>
      <c r="BC292">
        <f t="shared" si="525"/>
        <v>18645</v>
      </c>
      <c r="BD292">
        <f t="shared" si="525"/>
        <v>18645</v>
      </c>
      <c r="BE292">
        <f t="shared" si="525"/>
        <v>18645</v>
      </c>
      <c r="BF292">
        <f t="shared" si="525"/>
        <v>18645</v>
      </c>
      <c r="BG292">
        <f t="shared" si="525"/>
        <v>18645</v>
      </c>
      <c r="BH292">
        <f t="shared" si="525"/>
        <v>18645</v>
      </c>
      <c r="BI292">
        <f t="shared" si="525"/>
        <v>18645</v>
      </c>
      <c r="BJ292">
        <f t="shared" si="525"/>
        <v>18645</v>
      </c>
      <c r="BK292">
        <f t="shared" si="525"/>
        <v>18645</v>
      </c>
      <c r="BL292">
        <f t="shared" si="525"/>
        <v>18566</v>
      </c>
      <c r="BM292">
        <f t="shared" si="525"/>
        <v>18566</v>
      </c>
      <c r="BN292">
        <f t="shared" si="525"/>
        <v>33830</v>
      </c>
      <c r="BO292">
        <f t="shared" si="525"/>
        <v>0</v>
      </c>
      <c r="BP292">
        <f t="shared" ref="BP292:CC292" si="526">ROUND(BP17*$C19+BP24*$C26+BP31*$C33+BP38*$C40+BP45*$C47+BP52*$C54+BP59*$C61+BP66*$C68+BP73*$C75+BP80*$C82+BP87*$C89+BP94*$C96+BP101*$C103+BP108*$C110+BP115*$C117+BP122*$C124+BP129*$C131+BP136*$C138+BP143*$C145+BP150*$C152+BP157*$C159+BP164*$C166+BP171*$C173+BP178*$C180+BP185*$C187+BP192*$C194+BP199*$C201+BP206*$C208+BP213*$C215+BP220*$C222+BP227*$C229+BP234*$C236+BP241*$C243+BP248*$C250+BP255*$C257,0)</f>
        <v>0</v>
      </c>
      <c r="BQ292">
        <f t="shared" si="526"/>
        <v>0</v>
      </c>
      <c r="BR292">
        <f t="shared" si="526"/>
        <v>0</v>
      </c>
      <c r="BS292">
        <f t="shared" si="526"/>
        <v>15335</v>
      </c>
      <c r="BT292">
        <f t="shared" si="526"/>
        <v>15335</v>
      </c>
      <c r="BU292">
        <f t="shared" si="526"/>
        <v>15335</v>
      </c>
      <c r="BV292">
        <f t="shared" si="526"/>
        <v>15335</v>
      </c>
      <c r="BW292">
        <f t="shared" si="526"/>
        <v>15335</v>
      </c>
      <c r="BX292">
        <f t="shared" si="526"/>
        <v>15335</v>
      </c>
      <c r="BY292">
        <f t="shared" si="526"/>
        <v>15335</v>
      </c>
      <c r="BZ292">
        <f t="shared" si="526"/>
        <v>15335</v>
      </c>
      <c r="CA292">
        <f t="shared" si="526"/>
        <v>15335</v>
      </c>
      <c r="CB292">
        <f t="shared" si="526"/>
        <v>15335</v>
      </c>
      <c r="CC292">
        <f t="shared" si="526"/>
        <v>15335</v>
      </c>
    </row>
    <row r="293" spans="1:81" x14ac:dyDescent="0.2">
      <c r="A293" t="s">
        <v>275</v>
      </c>
      <c r="D293">
        <f t="shared" ref="D293:AI293" si="527">ROUND(D17*$A19+D24*$A26+D31*$A33+D38*$A40+D45*$A47+D52*$A54+D59*$A61+D66*$A68+D73*$A75+D80*$A82+D87*$A89+D94*$A96+D101*$A103+D108*$A110+D115*$A117+D122*$A124+D129*$A131+D136*$A138+D143*$A145+D150*$A152+D157*$A159+D164*$A166+D171*$A173+D178*$A180+D185*$A187+D192*$A194+D199*$A201+D206*$A208+D213*$A215+D220*$A222+D227*$A229+D234*$A236+D241*$A243+D248*$A250+D255*$A257,0)</f>
        <v>10400</v>
      </c>
      <c r="E293">
        <f t="shared" si="527"/>
        <v>206140</v>
      </c>
      <c r="F293">
        <f t="shared" si="527"/>
        <v>119740</v>
      </c>
      <c r="G293">
        <f t="shared" si="527"/>
        <v>140500</v>
      </c>
      <c r="H293">
        <f t="shared" si="527"/>
        <v>150336</v>
      </c>
      <c r="I293">
        <f t="shared" si="527"/>
        <v>138880</v>
      </c>
      <c r="J293">
        <f t="shared" si="527"/>
        <v>128560</v>
      </c>
      <c r="K293">
        <f t="shared" si="527"/>
        <v>131760</v>
      </c>
      <c r="L293">
        <f t="shared" si="527"/>
        <v>183120</v>
      </c>
      <c r="M293">
        <f t="shared" si="527"/>
        <v>245560</v>
      </c>
      <c r="N293">
        <f t="shared" si="527"/>
        <v>0</v>
      </c>
      <c r="O293">
        <f t="shared" si="527"/>
        <v>0</v>
      </c>
      <c r="P293">
        <f t="shared" si="527"/>
        <v>0</v>
      </c>
      <c r="Q293">
        <f t="shared" si="527"/>
        <v>0</v>
      </c>
      <c r="R293">
        <f t="shared" si="527"/>
        <v>139160</v>
      </c>
      <c r="S293">
        <f t="shared" si="527"/>
        <v>120400</v>
      </c>
      <c r="T293">
        <f t="shared" si="527"/>
        <v>130300</v>
      </c>
      <c r="U293">
        <f t="shared" si="527"/>
        <v>132030</v>
      </c>
      <c r="V293">
        <f t="shared" si="527"/>
        <v>132030</v>
      </c>
      <c r="W293">
        <f t="shared" si="527"/>
        <v>132030</v>
      </c>
      <c r="X293">
        <f t="shared" si="527"/>
        <v>131130</v>
      </c>
      <c r="Y293">
        <f t="shared" si="527"/>
        <v>92850</v>
      </c>
      <c r="Z293">
        <f t="shared" si="527"/>
        <v>92850</v>
      </c>
      <c r="AA293">
        <f t="shared" si="527"/>
        <v>92850</v>
      </c>
      <c r="AB293">
        <f t="shared" si="527"/>
        <v>92590</v>
      </c>
      <c r="AC293">
        <f t="shared" si="527"/>
        <v>139020</v>
      </c>
      <c r="AD293">
        <f t="shared" si="527"/>
        <v>139020</v>
      </c>
      <c r="AE293">
        <f t="shared" si="527"/>
        <v>139020</v>
      </c>
      <c r="AF293">
        <f t="shared" si="527"/>
        <v>139020</v>
      </c>
      <c r="AG293">
        <f t="shared" si="527"/>
        <v>125760</v>
      </c>
      <c r="AH293">
        <f t="shared" si="527"/>
        <v>134690</v>
      </c>
      <c r="AI293">
        <f t="shared" si="527"/>
        <v>134690</v>
      </c>
      <c r="AJ293">
        <f t="shared" ref="AJ293:BO293" si="528">ROUND(AJ17*$A19+AJ24*$A26+AJ31*$A33+AJ38*$A40+AJ45*$A47+AJ52*$A54+AJ59*$A61+AJ66*$A68+AJ73*$A75+AJ80*$A82+AJ87*$A89+AJ94*$A96+AJ101*$A103+AJ108*$A110+AJ115*$A117+AJ122*$A124+AJ129*$A131+AJ136*$A138+AJ143*$A145+AJ150*$A152+AJ157*$A159+AJ164*$A166+AJ171*$A173+AJ178*$A180+AJ185*$A187+AJ192*$A194+AJ199*$A201+AJ206*$A208+AJ213*$A215+AJ220*$A222+AJ227*$A229+AJ234*$A236+AJ241*$A243+AJ248*$A250+AJ255*$A257,0)</f>
        <v>0</v>
      </c>
      <c r="AK293">
        <f t="shared" si="528"/>
        <v>0</v>
      </c>
      <c r="AL293">
        <f t="shared" si="528"/>
        <v>0</v>
      </c>
      <c r="AM293">
        <f t="shared" si="528"/>
        <v>0</v>
      </c>
      <c r="AN293">
        <f t="shared" si="528"/>
        <v>98374</v>
      </c>
      <c r="AO293">
        <f t="shared" si="528"/>
        <v>98374</v>
      </c>
      <c r="AP293">
        <f t="shared" si="528"/>
        <v>98374</v>
      </c>
      <c r="AQ293">
        <f t="shared" si="528"/>
        <v>118669</v>
      </c>
      <c r="AR293">
        <f t="shared" si="528"/>
        <v>118669</v>
      </c>
      <c r="AS293">
        <f t="shared" si="528"/>
        <v>94978</v>
      </c>
      <c r="AT293">
        <f t="shared" si="528"/>
        <v>118669</v>
      </c>
      <c r="AU293">
        <f t="shared" si="528"/>
        <v>112641</v>
      </c>
      <c r="AV293">
        <f t="shared" si="528"/>
        <v>112641</v>
      </c>
      <c r="AW293">
        <f t="shared" si="528"/>
        <v>112641</v>
      </c>
      <c r="AX293">
        <f t="shared" si="528"/>
        <v>112641</v>
      </c>
      <c r="AY293">
        <f t="shared" si="528"/>
        <v>90113</v>
      </c>
      <c r="AZ293">
        <f t="shared" si="528"/>
        <v>80314</v>
      </c>
      <c r="BA293">
        <f t="shared" si="528"/>
        <v>80314</v>
      </c>
      <c r="BB293">
        <f t="shared" si="528"/>
        <v>80314</v>
      </c>
      <c r="BC293">
        <f t="shared" si="528"/>
        <v>90113</v>
      </c>
      <c r="BD293">
        <f t="shared" si="528"/>
        <v>90113</v>
      </c>
      <c r="BE293">
        <f t="shared" si="528"/>
        <v>90113</v>
      </c>
      <c r="BF293">
        <f t="shared" si="528"/>
        <v>90113</v>
      </c>
      <c r="BG293">
        <f t="shared" si="528"/>
        <v>90113</v>
      </c>
      <c r="BH293">
        <f t="shared" si="528"/>
        <v>90113</v>
      </c>
      <c r="BI293">
        <f t="shared" si="528"/>
        <v>90113</v>
      </c>
      <c r="BJ293">
        <f t="shared" si="528"/>
        <v>90113</v>
      </c>
      <c r="BK293">
        <f t="shared" si="528"/>
        <v>90113</v>
      </c>
      <c r="BL293">
        <f t="shared" si="528"/>
        <v>89715</v>
      </c>
      <c r="BM293">
        <f t="shared" si="528"/>
        <v>89715</v>
      </c>
      <c r="BN293">
        <f t="shared" si="528"/>
        <v>163511</v>
      </c>
      <c r="BO293">
        <f t="shared" si="528"/>
        <v>0</v>
      </c>
      <c r="BP293">
        <f t="shared" ref="BP293:CC293" si="529">ROUND(BP17*$A19+BP24*$A26+BP31*$A33+BP38*$A40+BP45*$A47+BP52*$A54+BP59*$A61+BP66*$A68+BP73*$A75+BP80*$A82+BP87*$A89+BP94*$A96+BP101*$A103+BP108*$A110+BP115*$A117+BP122*$A124+BP129*$A131+BP136*$A138+BP143*$A145+BP150*$A152+BP157*$A159+BP164*$A166+BP171*$A173+BP178*$A180+BP185*$A187+BP192*$A194+BP199*$A201+BP206*$A208+BP213*$A215+BP220*$A222+BP227*$A229+BP234*$A236+BP241*$A243+BP248*$A250+BP255*$A257,0)</f>
        <v>0</v>
      </c>
      <c r="BQ293">
        <f t="shared" si="529"/>
        <v>0</v>
      </c>
      <c r="BR293">
        <f t="shared" si="529"/>
        <v>0</v>
      </c>
      <c r="BS293">
        <f t="shared" si="529"/>
        <v>74104</v>
      </c>
      <c r="BT293">
        <f t="shared" si="529"/>
        <v>74104</v>
      </c>
      <c r="BU293">
        <f t="shared" si="529"/>
        <v>74104</v>
      </c>
      <c r="BV293">
        <f t="shared" si="529"/>
        <v>74104</v>
      </c>
      <c r="BW293">
        <f t="shared" si="529"/>
        <v>74104</v>
      </c>
      <c r="BX293">
        <f t="shared" si="529"/>
        <v>74104</v>
      </c>
      <c r="BY293">
        <f t="shared" si="529"/>
        <v>74104</v>
      </c>
      <c r="BZ293">
        <f t="shared" si="529"/>
        <v>74104</v>
      </c>
      <c r="CA293">
        <f t="shared" si="529"/>
        <v>74104</v>
      </c>
      <c r="CB293">
        <f t="shared" si="529"/>
        <v>74104</v>
      </c>
      <c r="CC293">
        <f t="shared" si="529"/>
        <v>74104</v>
      </c>
    </row>
    <row r="295" spans="1:81" x14ac:dyDescent="0.2">
      <c r="A295" t="s">
        <v>276</v>
      </c>
      <c r="D295">
        <f ca="1">ROUND(SUM(D279:OFFSET(D279:D279,0,B301-1))/SUM(D263:OFFSET(D263:D263,0,B301-1)),4)</f>
        <v>0.29399999999999998</v>
      </c>
    </row>
    <row r="296" spans="1:81" x14ac:dyDescent="0.2">
      <c r="A296" t="s">
        <v>277</v>
      </c>
      <c r="D296">
        <f ca="1">ROUND(SUM(D277:OFFSET(D277:D277,0,B301-1))/SUM(D262:OFFSET(D262:D262,0,B301-1)),4)</f>
        <v>0.29170000000000001</v>
      </c>
    </row>
    <row r="297" spans="1:81" x14ac:dyDescent="0.2">
      <c r="A297" t="s">
        <v>278</v>
      </c>
      <c r="D297">
        <f ca="1">ROUND(SUM(D292:OFFSET(D292:D292,0,B301-1))/SUM(D263:OFFSET(D263:D263,0,B301-1)),4)</f>
        <v>7.4227999999999996</v>
      </c>
    </row>
    <row r="298" spans="1:81" x14ac:dyDescent="0.2">
      <c r="A298" t="s">
        <v>279</v>
      </c>
      <c r="D298">
        <f ca="1">ROUND(SUM(D276:OFFSET(D276:D276,0,B301-1))/SUM(D262:OFFSET(D262:D262,0,B301-1)),4)</f>
        <v>7.3471000000000002</v>
      </c>
    </row>
    <row r="299" spans="1:81" x14ac:dyDescent="0.2">
      <c r="A299" t="s">
        <v>280</v>
      </c>
      <c r="D299">
        <f ca="1">ROUND(SUM(D293:OFFSET(D293:D293,0,B301-1))/SUM(D263:OFFSET(D263:D263,0,B301-1)),0)</f>
        <v>36</v>
      </c>
    </row>
    <row r="300" spans="1:81" x14ac:dyDescent="0.2">
      <c r="A300" t="s">
        <v>281</v>
      </c>
      <c r="D300">
        <f ca="1">ROUND(SUM(D264:OFFSET(D264:D264,0,B301-1))/SUM(D262:OFFSET(D262:D262,0,B301-1)),0)</f>
        <v>35</v>
      </c>
    </row>
    <row r="301" spans="1:81" x14ac:dyDescent="0.2">
      <c r="A301" t="s">
        <v>282</v>
      </c>
      <c r="B301">
        <v>12</v>
      </c>
    </row>
  </sheetData>
  <mergeCells count="23">
    <mergeCell ref="F1:G1"/>
    <mergeCell ref="H1:J1"/>
    <mergeCell ref="B3:M3"/>
    <mergeCell ref="C5:F5"/>
    <mergeCell ref="G5:H5"/>
    <mergeCell ref="I5:J5"/>
    <mergeCell ref="K5:L5"/>
    <mergeCell ref="C6:F6"/>
    <mergeCell ref="G6:H6"/>
    <mergeCell ref="I6:J6"/>
    <mergeCell ref="K6:L6"/>
    <mergeCell ref="C7:F7"/>
    <mergeCell ref="G7:H7"/>
    <mergeCell ref="I7:J7"/>
    <mergeCell ref="K7:L7"/>
    <mergeCell ref="E8:F8"/>
    <mergeCell ref="G8:H8"/>
    <mergeCell ref="I8:J8"/>
    <mergeCell ref="K8:L8"/>
    <mergeCell ref="E9:F9"/>
    <mergeCell ref="G9:H9"/>
    <mergeCell ref="I9:J9"/>
    <mergeCell ref="K9:L9"/>
  </mergeCells>
  <conditionalFormatting sqref="D19:X19 D11:CC18 E23:F23 E30:F30 E37:F37 E44:F44 E51:F51 E58:F58 E65:F65 E72:F72 E79:F79 E86:F86 E93:F93 E100:F100 E107:F107 E114:F114 E121:F121 E128:F128 E135:F135 E142:F142 E149:F149 E156:F156 E163:F163 E170:F170 E177:F177 E184:F184 E191:F191 E198:F198 E205:F205 E212:F212 E219:F219 E226:F226 E233:F233 E240:F240 E247:F247 E254:F254">
    <cfRule type="expression" dxfId="107" priority="70" stopIfTrue="1">
      <formula>D$267=0</formula>
    </cfRule>
  </conditionalFormatting>
  <conditionalFormatting sqref="D14:CC14">
    <cfRule type="cellIs" dxfId="106" priority="73" stopIfTrue="1" operator="lessThan">
      <formula>0</formula>
    </cfRule>
  </conditionalFormatting>
  <conditionalFormatting sqref="D20:CC20 E21:X21 D26:X27 Y27:CC27 E28:X28 D33:X34 Y34:CC34 E35:X35 D40:X41 Y41:CC41 E42:X42 D47:X48 Y48:CC48 E49:X49 D54:X55 Y55:CC55 E56:X56 D61:X62 Y62:CC62 E63:X63 D68:X69 Y69:CC69 E70:X70 D75:X76 Y76:CC76 E77:X77 D82:X83 Y83:CC83 E84:X84 D89:X90 Y90:CC90 E91:X91 D96:X97 Y97:CC97 E98:X98 D103:X104 Y104:CC104 E105:X105 D110:X111 Y111:CC111 E112:X112 D117:X118 Y118:CC118 E119:X119 D124:X125 Y125:CC125 E126:X126 D131:X132 Y132:CC132 E133:X133 D138:X139 Y139:CC139 E140:X140 D145:X146 Y146:CC146 E147:X147 D152:X153 Y153:CC153 E154:X154 D159:X160 Y160:CC160 E161:X161 D166:X167 Y167:CC167 E168:X168 D173:X174 Y174:CC174 E175:X175 D180:X181 Y181:CC181 E182:X182 D187:X188 Y188:CC188 E189:X189 D194:X195 Y195:CC195 E196:X196 D201:X202 Y202:CC202 E203:X203 D208:X209 Y209:CC209 E210:X210 D215:X216 Y216:CC216 E217:X217 D222:X223 Y223:CC223 E224:X224 D229:X230 Y230:CC230 E231:X231 D236:X237 Y237:CC237 E238:X238 D243:X244 Y244:CC244 E245:X245 D250:X251 Y251:CC251 E252:X252 D257:X257">
    <cfRule type="expression" dxfId="105" priority="72" stopIfTrue="1">
      <formula>D$267=0</formula>
    </cfRule>
  </conditionalFormatting>
  <conditionalFormatting sqref="D21:CC21">
    <cfRule type="cellIs" dxfId="104" priority="69" stopIfTrue="1" operator="lessThan">
      <formula>0</formula>
    </cfRule>
  </conditionalFormatting>
  <conditionalFormatting sqref="D21:CC22 D24:CC25 D23 G23:CC23">
    <cfRule type="expression" dxfId="103" priority="68" stopIfTrue="1">
      <formula>D$267=0</formula>
    </cfRule>
  </conditionalFormatting>
  <conditionalFormatting sqref="D28:CC28">
    <cfRule type="cellIs" dxfId="102" priority="67" stopIfTrue="1" operator="lessThan">
      <formula>0</formula>
    </cfRule>
  </conditionalFormatting>
  <conditionalFormatting sqref="D28:CC29 D31:CC32 D30 G30:CC30">
    <cfRule type="expression" dxfId="101" priority="66" stopIfTrue="1">
      <formula>D$267=0</formula>
    </cfRule>
  </conditionalFormatting>
  <conditionalFormatting sqref="D35:CC35">
    <cfRule type="cellIs" dxfId="100" priority="65" stopIfTrue="1" operator="lessThan">
      <formula>0</formula>
    </cfRule>
  </conditionalFormatting>
  <conditionalFormatting sqref="D35:CC36 D38:CC39 D37 G37:CC37">
    <cfRule type="expression" dxfId="99" priority="64" stopIfTrue="1">
      <formula>D$267=0</formula>
    </cfRule>
  </conditionalFormatting>
  <conditionalFormatting sqref="D42:CC42">
    <cfRule type="cellIs" dxfId="98" priority="63" stopIfTrue="1" operator="lessThan">
      <formula>0</formula>
    </cfRule>
  </conditionalFormatting>
  <conditionalFormatting sqref="D42:CC43 D45:CC46 D44 G44:CC44">
    <cfRule type="expression" dxfId="97" priority="62" stopIfTrue="1">
      <formula>D$267=0</formula>
    </cfRule>
  </conditionalFormatting>
  <conditionalFormatting sqref="D49:CC49">
    <cfRule type="cellIs" dxfId="96" priority="61" stopIfTrue="1" operator="lessThan">
      <formula>0</formula>
    </cfRule>
  </conditionalFormatting>
  <conditionalFormatting sqref="D49:CC50 D52:CC53 D51 G51:CC51">
    <cfRule type="expression" dxfId="95" priority="60" stopIfTrue="1">
      <formula>D$267=0</formula>
    </cfRule>
  </conditionalFormatting>
  <conditionalFormatting sqref="D56:CC56">
    <cfRule type="cellIs" dxfId="94" priority="59" stopIfTrue="1" operator="lessThan">
      <formula>0</formula>
    </cfRule>
  </conditionalFormatting>
  <conditionalFormatting sqref="D56:CC57 D59:CC60 D58 G58:CC58">
    <cfRule type="expression" dxfId="93" priority="58" stopIfTrue="1">
      <formula>D$267=0</formula>
    </cfRule>
  </conditionalFormatting>
  <conditionalFormatting sqref="D63:CC63">
    <cfRule type="cellIs" dxfId="92" priority="57" stopIfTrue="1" operator="lessThan">
      <formula>0</formula>
    </cfRule>
  </conditionalFormatting>
  <conditionalFormatting sqref="D63:CC64 D66:CC67 D65 G65:CC65">
    <cfRule type="expression" dxfId="91" priority="56" stopIfTrue="1">
      <formula>D$267=0</formula>
    </cfRule>
  </conditionalFormatting>
  <conditionalFormatting sqref="D70:CC70">
    <cfRule type="cellIs" dxfId="90" priority="55" stopIfTrue="1" operator="lessThan">
      <formula>0</formula>
    </cfRule>
  </conditionalFormatting>
  <conditionalFormatting sqref="D70:CC71 D73:CC74 D72 G72:CC72">
    <cfRule type="expression" dxfId="89" priority="54" stopIfTrue="1">
      <formula>D$267=0</formula>
    </cfRule>
  </conditionalFormatting>
  <conditionalFormatting sqref="D77:CC77">
    <cfRule type="cellIs" dxfId="88" priority="53" stopIfTrue="1" operator="lessThan">
      <formula>0</formula>
    </cfRule>
  </conditionalFormatting>
  <conditionalFormatting sqref="D77:CC78 D80:CC81 D79 G79:CC79">
    <cfRule type="expression" dxfId="87" priority="52" stopIfTrue="1">
      <formula>D$267=0</formula>
    </cfRule>
  </conditionalFormatting>
  <conditionalFormatting sqref="D84:CC84">
    <cfRule type="cellIs" dxfId="86" priority="51" stopIfTrue="1" operator="lessThan">
      <formula>0</formula>
    </cfRule>
  </conditionalFormatting>
  <conditionalFormatting sqref="D84:CC85 D87:CC88 D86 G86:CC86">
    <cfRule type="expression" dxfId="85" priority="50" stopIfTrue="1">
      <formula>D$267=0</formula>
    </cfRule>
  </conditionalFormatting>
  <conditionalFormatting sqref="D91:CC91">
    <cfRule type="cellIs" dxfId="84" priority="49" stopIfTrue="1" operator="lessThan">
      <formula>0</formula>
    </cfRule>
  </conditionalFormatting>
  <conditionalFormatting sqref="D91:CC92 D94:CC95 D93 G93:CC93">
    <cfRule type="expression" dxfId="83" priority="48" stopIfTrue="1">
      <formula>D$267=0</formula>
    </cfRule>
  </conditionalFormatting>
  <conditionalFormatting sqref="D98:CC98">
    <cfRule type="cellIs" dxfId="82" priority="47" stopIfTrue="1" operator="lessThan">
      <formula>0</formula>
    </cfRule>
  </conditionalFormatting>
  <conditionalFormatting sqref="D98:CC99 D101:CC102 D100 G100:CC100">
    <cfRule type="expression" dxfId="81" priority="46" stopIfTrue="1">
      <formula>D$267=0</formula>
    </cfRule>
  </conditionalFormatting>
  <conditionalFormatting sqref="D105:CC105">
    <cfRule type="cellIs" dxfId="80" priority="45" stopIfTrue="1" operator="lessThan">
      <formula>0</formula>
    </cfRule>
  </conditionalFormatting>
  <conditionalFormatting sqref="D105:CC106 D108:CC109 D107 G107:CC107">
    <cfRule type="expression" dxfId="79" priority="44" stopIfTrue="1">
      <formula>D$267=0</formula>
    </cfRule>
  </conditionalFormatting>
  <conditionalFormatting sqref="D112:CC112">
    <cfRule type="cellIs" dxfId="78" priority="43" stopIfTrue="1" operator="lessThan">
      <formula>0</formula>
    </cfRule>
  </conditionalFormatting>
  <conditionalFormatting sqref="D112:CC113 D115:CC116 D114 G114:CC114">
    <cfRule type="expression" dxfId="77" priority="42" stopIfTrue="1">
      <formula>D$267=0</formula>
    </cfRule>
  </conditionalFormatting>
  <conditionalFormatting sqref="D119:CC119">
    <cfRule type="cellIs" dxfId="76" priority="41" stopIfTrue="1" operator="lessThan">
      <formula>0</formula>
    </cfRule>
  </conditionalFormatting>
  <conditionalFormatting sqref="D119:CC120 D122:CC123 D121 G121:CC121">
    <cfRule type="expression" dxfId="75" priority="40" stopIfTrue="1">
      <formula>D$267=0</formula>
    </cfRule>
  </conditionalFormatting>
  <conditionalFormatting sqref="D126:CC126">
    <cfRule type="cellIs" dxfId="74" priority="39" stopIfTrue="1" operator="lessThan">
      <formula>0</formula>
    </cfRule>
  </conditionalFormatting>
  <conditionalFormatting sqref="D126:CC127 D129:CC130 D128 G128:CC128">
    <cfRule type="expression" dxfId="73" priority="38" stopIfTrue="1">
      <formula>D$267=0</formula>
    </cfRule>
  </conditionalFormatting>
  <conditionalFormatting sqref="D133:CC133">
    <cfRule type="cellIs" dxfId="72" priority="37" stopIfTrue="1" operator="lessThan">
      <formula>0</formula>
    </cfRule>
  </conditionalFormatting>
  <conditionalFormatting sqref="D133:CC134 D136:CC137 D135 G135:CC135">
    <cfRule type="expression" dxfId="71" priority="36" stopIfTrue="1">
      <formula>D$267=0</formula>
    </cfRule>
  </conditionalFormatting>
  <conditionalFormatting sqref="D140:CC140">
    <cfRule type="cellIs" dxfId="70" priority="35" stopIfTrue="1" operator="lessThan">
      <formula>0</formula>
    </cfRule>
  </conditionalFormatting>
  <conditionalFormatting sqref="D140:CC141 D143:CC144 D142 G142:CC142">
    <cfRule type="expression" dxfId="69" priority="34" stopIfTrue="1">
      <formula>D$267=0</formula>
    </cfRule>
  </conditionalFormatting>
  <conditionalFormatting sqref="D147:CC147">
    <cfRule type="cellIs" dxfId="68" priority="33" stopIfTrue="1" operator="lessThan">
      <formula>0</formula>
    </cfRule>
  </conditionalFormatting>
  <conditionalFormatting sqref="D147:CC148 D150:CC151 D149 G149:CC149">
    <cfRule type="expression" dxfId="67" priority="32" stopIfTrue="1">
      <formula>D$267=0</formula>
    </cfRule>
  </conditionalFormatting>
  <conditionalFormatting sqref="D154:CC154">
    <cfRule type="cellIs" dxfId="66" priority="31" stopIfTrue="1" operator="lessThan">
      <formula>0</formula>
    </cfRule>
  </conditionalFormatting>
  <conditionalFormatting sqref="D154:CC155 D157:CC158 D156 G156:CC156">
    <cfRule type="expression" dxfId="65" priority="30" stopIfTrue="1">
      <formula>D$267=0</formula>
    </cfRule>
  </conditionalFormatting>
  <conditionalFormatting sqref="D161:CC161">
    <cfRule type="cellIs" dxfId="64" priority="29" stopIfTrue="1" operator="lessThan">
      <formula>0</formula>
    </cfRule>
  </conditionalFormatting>
  <conditionalFormatting sqref="D161:CC162 D164:CC165 D163 G163:CC163">
    <cfRule type="expression" dxfId="63" priority="28" stopIfTrue="1">
      <formula>D$267=0</formula>
    </cfRule>
  </conditionalFormatting>
  <conditionalFormatting sqref="D168:CC168">
    <cfRule type="cellIs" dxfId="62" priority="27" stopIfTrue="1" operator="lessThan">
      <formula>0</formula>
    </cfRule>
  </conditionalFormatting>
  <conditionalFormatting sqref="D168:CC169 D171:CC172 D170 G170:CC170">
    <cfRule type="expression" dxfId="61" priority="26" stopIfTrue="1">
      <formula>D$267=0</formula>
    </cfRule>
  </conditionalFormatting>
  <conditionalFormatting sqref="D175:CC175">
    <cfRule type="cellIs" dxfId="60" priority="25" stopIfTrue="1" operator="lessThan">
      <formula>0</formula>
    </cfRule>
  </conditionalFormatting>
  <conditionalFormatting sqref="D175:CC176 D178:CC179 D177 G177:CC177">
    <cfRule type="expression" dxfId="59" priority="24" stopIfTrue="1">
      <formula>D$267=0</formula>
    </cfRule>
  </conditionalFormatting>
  <conditionalFormatting sqref="D182:CC182">
    <cfRule type="cellIs" dxfId="58" priority="23" stopIfTrue="1" operator="lessThan">
      <formula>0</formula>
    </cfRule>
  </conditionalFormatting>
  <conditionalFormatting sqref="D182:CC183 D185:CC186 D184 G184:CC184">
    <cfRule type="expression" dxfId="57" priority="22" stopIfTrue="1">
      <formula>D$267=0</formula>
    </cfRule>
  </conditionalFormatting>
  <conditionalFormatting sqref="D189:CC189">
    <cfRule type="cellIs" dxfId="56" priority="21" stopIfTrue="1" operator="lessThan">
      <formula>0</formula>
    </cfRule>
  </conditionalFormatting>
  <conditionalFormatting sqref="D189:CC190 D192:CC193 D191 G191:CC191">
    <cfRule type="expression" dxfId="55" priority="20" stopIfTrue="1">
      <formula>D$267=0</formula>
    </cfRule>
  </conditionalFormatting>
  <conditionalFormatting sqref="D196:CC196">
    <cfRule type="cellIs" dxfId="54" priority="19" stopIfTrue="1" operator="lessThan">
      <formula>0</formula>
    </cfRule>
  </conditionalFormatting>
  <conditionalFormatting sqref="D196:CC197 D199:CC200 D198 G198:CC198">
    <cfRule type="expression" dxfId="53" priority="18" stopIfTrue="1">
      <formula>D$267=0</formula>
    </cfRule>
  </conditionalFormatting>
  <conditionalFormatting sqref="D203:CC203">
    <cfRule type="cellIs" dxfId="52" priority="17" stopIfTrue="1" operator="lessThan">
      <formula>0</formula>
    </cfRule>
  </conditionalFormatting>
  <conditionalFormatting sqref="D203:CC204 D206:CC207 D205 G205:CC205">
    <cfRule type="expression" dxfId="51" priority="16" stopIfTrue="1">
      <formula>D$267=0</formula>
    </cfRule>
  </conditionalFormatting>
  <conditionalFormatting sqref="D210:CC210">
    <cfRule type="cellIs" dxfId="50" priority="15" stopIfTrue="1" operator="lessThan">
      <formula>0</formula>
    </cfRule>
  </conditionalFormatting>
  <conditionalFormatting sqref="D210:CC211 D213:CC214 D212 G212:CC212">
    <cfRule type="expression" dxfId="49" priority="14" stopIfTrue="1">
      <formula>D$267=0</formula>
    </cfRule>
  </conditionalFormatting>
  <conditionalFormatting sqref="D217:CC217">
    <cfRule type="cellIs" dxfId="48" priority="13" stopIfTrue="1" operator="lessThan">
      <formula>0</formula>
    </cfRule>
  </conditionalFormatting>
  <conditionalFormatting sqref="D217:CC218 D220:CC221 D219 G219:CC219">
    <cfRule type="expression" dxfId="47" priority="12" stopIfTrue="1">
      <formula>D$267=0</formula>
    </cfRule>
  </conditionalFormatting>
  <conditionalFormatting sqref="D224:CC224">
    <cfRule type="cellIs" dxfId="46" priority="11" stopIfTrue="1" operator="lessThan">
      <formula>0</formula>
    </cfRule>
  </conditionalFormatting>
  <conditionalFormatting sqref="D224:CC225 D227:CC228 D226 G226:CC226">
    <cfRule type="expression" dxfId="45" priority="10" stopIfTrue="1">
      <formula>D$267=0</formula>
    </cfRule>
  </conditionalFormatting>
  <conditionalFormatting sqref="D231:CC231">
    <cfRule type="cellIs" dxfId="44" priority="9" stopIfTrue="1" operator="lessThan">
      <formula>0</formula>
    </cfRule>
  </conditionalFormatting>
  <conditionalFormatting sqref="D231:CC232 D234:CC235 D233 G233:CC233">
    <cfRule type="expression" dxfId="43" priority="8" stopIfTrue="1">
      <formula>D$267=0</formula>
    </cfRule>
  </conditionalFormatting>
  <conditionalFormatting sqref="D238:CC238">
    <cfRule type="cellIs" dxfId="42" priority="7" stopIfTrue="1" operator="lessThan">
      <formula>0</formula>
    </cfRule>
  </conditionalFormatting>
  <conditionalFormatting sqref="D238:CC239 D241:CC242 D240 G240:CC240">
    <cfRule type="expression" dxfId="41" priority="6" stopIfTrue="1">
      <formula>D$267=0</formula>
    </cfRule>
  </conditionalFormatting>
  <conditionalFormatting sqref="D245:CC245">
    <cfRule type="cellIs" dxfId="40" priority="5" stopIfTrue="1" operator="lessThan">
      <formula>0</formula>
    </cfRule>
  </conditionalFormatting>
  <conditionalFormatting sqref="D245:CC246 D248:CC249 D247 G247:CC247">
    <cfRule type="expression" dxfId="39" priority="4" stopIfTrue="1">
      <formula>D$267=0</formula>
    </cfRule>
  </conditionalFormatting>
  <conditionalFormatting sqref="D252:CC252">
    <cfRule type="cellIs" dxfId="38" priority="3" stopIfTrue="1" operator="lessThan">
      <formula>0</formula>
    </cfRule>
  </conditionalFormatting>
  <conditionalFormatting sqref="D258:CC259">
    <cfRule type="cellIs" dxfId="37" priority="1" stopIfTrue="1" operator="lessThan">
      <formula>0</formula>
    </cfRule>
  </conditionalFormatting>
  <conditionalFormatting sqref="D258:CC287 D252:CC253 D255:CC256 D254 G254:CC254">
    <cfRule type="expression" dxfId="36" priority="2" stopIfTrue="1">
      <formula>D$267=0</formula>
    </cfRule>
  </conditionalFormatting>
  <conditionalFormatting sqref="E21:X21 E28:X28 E35:X35 E42:X42 E49:X49 E56:X56 E63:X63 E70:X70 E77:X77 E84:X84 E91:X91 E98:X98 E105:X105 E112:X112 E119:X119 E126:X126 E133:X133 E140:X140 E147:X147 E154:X154 E161:X161 E168:X168 E175:X175 E182:X182 E189:X189 E196:X196 E203:X203 E210:X210 E217:X217 E224:X224 E231:X231 E238:X238 E245:X245 E252:X252 D20:CC20 D26:X27 Y27:CC27 D33:X34 Y34:CC34 D40:X41 Y41:CC41 D47:X48 Y48:CC48 D54:X55 Y55:CC55 D61:X62 Y62:CC62 D68:X69 Y69:CC69 D75:X76 Y76:CC76 D82:X83 Y83:CC83 D89:X90 Y90:CC90 D96:X97 Y97:CC97 D103:X104 Y104:CC104 D110:X111 Y111:CC111 D117:X118 Y118:CC118 D124:X125 Y125:CC125 D131:X132 Y132:CC132 D138:X139 Y139:CC139 D145:X146 Y146:CC146 D152:X153 Y153:CC153 D159:X160 Y160:CC160 D166:X167 Y167:CC167 D173:X174 Y174:CC174 D180:X181 Y181:CC181 D187:X188 Y188:CC188 D194:X195 Y195:CC195 D201:X202 Y202:CC202 D208:X209 Y209:CC209 D215:X216 Y216:CC216 D222:X223 Y223:CC223 D229:X230 Y230:CC230 D236:X237 Y237:CC237 D243:X244 Y244:CC244 D250:X251 Y251:CC251 D257:X257">
    <cfRule type="cellIs" dxfId="35" priority="71" stopIfTrue="1" operator="lessThan">
      <formula>0</formula>
    </cfRule>
  </conditionalFormatting>
  <pageMargins left="0.75" right="0.75" top="1" bottom="1" header="0.5" footer="0.5"/>
  <pageSetup orientation="portrait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D780-160F-417C-A0B7-780E9D04C55A}">
  <sheetPr>
    <tabColor theme="8" tint="0.39997558519241921"/>
  </sheetPr>
  <dimension ref="B1:AI90"/>
  <sheetViews>
    <sheetView workbookViewId="0">
      <pane xSplit="13" ySplit="11" topLeftCell="N12" activePane="bottomRight" state="frozen"/>
      <selection pane="topRight" activeCell="N1" sqref="N1"/>
      <selection pane="bottomLeft" activeCell="A12" sqref="A12"/>
      <selection pane="bottomRight" activeCell="N12" sqref="N12"/>
    </sheetView>
  </sheetViews>
  <sheetFormatPr defaultRowHeight="12.75" x14ac:dyDescent="0.2"/>
  <cols>
    <col min="1" max="1" width="9.140625" customWidth="1"/>
    <col min="2" max="2" width="6" bestFit="1" customWidth="1"/>
    <col min="3" max="4" width="10.42578125" bestFit="1" customWidth="1"/>
    <col min="5" max="5" width="7.7109375" bestFit="1" customWidth="1"/>
    <col min="6" max="6" width="8" bestFit="1" customWidth="1"/>
    <col min="7" max="7" width="7.28515625" bestFit="1" customWidth="1"/>
    <col min="8" max="8" width="5" bestFit="1" customWidth="1"/>
    <col min="9" max="9" width="8.7109375" bestFit="1" customWidth="1"/>
    <col min="10" max="10" width="8.42578125" bestFit="1" customWidth="1"/>
    <col min="11" max="11" width="7.7109375" bestFit="1" customWidth="1"/>
    <col min="12" max="12" width="6.7109375" bestFit="1" customWidth="1"/>
    <col min="13" max="13" width="7" bestFit="1" customWidth="1"/>
    <col min="14" max="14" width="5.42578125" bestFit="1" customWidth="1"/>
    <col min="15" max="15" width="8.28515625" bestFit="1" customWidth="1"/>
    <col min="16" max="16" width="12.42578125" bestFit="1" customWidth="1"/>
    <col min="17" max="17" width="8.85546875" bestFit="1" customWidth="1"/>
    <col min="18" max="18" width="9.28515625" bestFit="1" customWidth="1"/>
    <col min="19" max="19" width="6" bestFit="1" customWidth="1"/>
    <col min="20" max="20" width="5.7109375" bestFit="1" customWidth="1"/>
    <col min="21" max="22" width="9" bestFit="1" customWidth="1"/>
    <col min="23" max="23" width="6" bestFit="1" customWidth="1"/>
    <col min="24" max="24" width="5.7109375" bestFit="1" customWidth="1"/>
    <col min="25" max="26" width="9" bestFit="1" customWidth="1"/>
    <col min="27" max="27" width="6" bestFit="1" customWidth="1"/>
    <col min="28" max="28" width="5.7109375" bestFit="1" customWidth="1"/>
    <col min="29" max="30" width="9" bestFit="1" customWidth="1"/>
    <col min="31" max="31" width="8.5703125" bestFit="1" customWidth="1"/>
    <col min="32" max="32" width="9.140625" customWidth="1"/>
    <col min="33" max="33" width="9.140625" bestFit="1" customWidth="1"/>
    <col min="34" max="34" width="10.5703125" bestFit="1" customWidth="1"/>
    <col min="35" max="35" width="5.7109375" bestFit="1" customWidth="1"/>
  </cols>
  <sheetData>
    <row r="1" spans="2:35" x14ac:dyDescent="0.2">
      <c r="B1" s="85" t="s">
        <v>0</v>
      </c>
      <c r="C1" s="86"/>
      <c r="D1" s="81" t="s">
        <v>1</v>
      </c>
      <c r="E1" s="81"/>
      <c r="F1" s="85" t="s">
        <v>2</v>
      </c>
      <c r="G1" s="86"/>
      <c r="H1" s="81" t="s">
        <v>3</v>
      </c>
      <c r="I1" s="81"/>
      <c r="J1" s="85" t="s">
        <v>4</v>
      </c>
      <c r="K1" s="86"/>
      <c r="L1" s="80" t="s">
        <v>5</v>
      </c>
      <c r="M1" s="81"/>
      <c r="N1" s="81"/>
    </row>
    <row r="3" spans="2:35" x14ac:dyDescent="0.2">
      <c r="B3" s="82" t="s">
        <v>6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</row>
    <row r="5" spans="2:35" x14ac:dyDescent="0.2">
      <c r="B5" s="77" t="s">
        <v>7</v>
      </c>
      <c r="C5" s="77"/>
      <c r="D5" s="78" t="s">
        <v>8</v>
      </c>
      <c r="E5" s="78"/>
      <c r="F5" s="78"/>
      <c r="G5" s="78"/>
      <c r="H5" s="78"/>
      <c r="I5" s="78"/>
      <c r="J5" s="77"/>
      <c r="K5" s="77"/>
      <c r="L5" s="77"/>
      <c r="M5" s="77"/>
      <c r="N5" s="77"/>
      <c r="O5" s="77"/>
      <c r="P5" s="77"/>
    </row>
    <row r="6" spans="2:35" x14ac:dyDescent="0.2">
      <c r="B6" s="77" t="s">
        <v>9</v>
      </c>
      <c r="C6" s="77"/>
      <c r="D6" s="78" t="s">
        <v>324</v>
      </c>
      <c r="E6" s="78"/>
      <c r="F6" s="78"/>
      <c r="G6" s="78"/>
      <c r="H6" s="78"/>
      <c r="I6" s="78"/>
      <c r="J6" s="77" t="s">
        <v>11</v>
      </c>
      <c r="K6" s="77"/>
      <c r="L6" s="78" t="s">
        <v>12</v>
      </c>
      <c r="M6" s="78"/>
      <c r="N6" s="77" t="s">
        <v>13</v>
      </c>
      <c r="O6" s="77"/>
      <c r="P6" s="16">
        <v>1.08</v>
      </c>
    </row>
    <row r="7" spans="2:35" x14ac:dyDescent="0.2">
      <c r="B7" s="77" t="s">
        <v>14</v>
      </c>
      <c r="C7" s="77"/>
      <c r="D7" s="78" t="s">
        <v>325</v>
      </c>
      <c r="E7" s="78"/>
      <c r="F7" s="78"/>
      <c r="G7" s="78"/>
      <c r="H7" s="78"/>
      <c r="I7" s="78"/>
      <c r="J7" s="77" t="s">
        <v>16</v>
      </c>
      <c r="K7" s="77"/>
      <c r="L7" s="78" t="s">
        <v>326</v>
      </c>
      <c r="M7" s="78"/>
      <c r="N7" s="77" t="s">
        <v>18</v>
      </c>
      <c r="O7" s="77"/>
      <c r="P7" s="15">
        <v>7</v>
      </c>
    </row>
    <row r="8" spans="2:35" x14ac:dyDescent="0.2">
      <c r="B8" s="77" t="s">
        <v>19</v>
      </c>
      <c r="C8" s="77"/>
      <c r="D8" s="17" t="s">
        <v>20</v>
      </c>
      <c r="E8" s="77" t="s">
        <v>21</v>
      </c>
      <c r="F8" s="77"/>
      <c r="G8" s="79" t="s">
        <v>22</v>
      </c>
      <c r="H8" s="78"/>
      <c r="I8" s="78"/>
      <c r="J8" s="77" t="s">
        <v>23</v>
      </c>
      <c r="K8" s="77"/>
      <c r="L8" s="78">
        <v>78</v>
      </c>
      <c r="M8" s="78"/>
      <c r="N8" s="77" t="s">
        <v>24</v>
      </c>
      <c r="O8" s="77"/>
      <c r="P8" s="5">
        <v>4</v>
      </c>
    </row>
    <row r="9" spans="2:35" x14ac:dyDescent="0.2">
      <c r="B9" s="77" t="s">
        <v>25</v>
      </c>
      <c r="C9" s="77"/>
      <c r="D9" s="15">
        <v>10</v>
      </c>
      <c r="E9" s="77" t="s">
        <v>26</v>
      </c>
      <c r="F9" s="77"/>
      <c r="G9" s="78" t="s">
        <v>27</v>
      </c>
      <c r="H9" s="78"/>
      <c r="I9" s="78"/>
      <c r="J9" s="77" t="s">
        <v>28</v>
      </c>
      <c r="K9" s="77"/>
      <c r="L9" s="78">
        <v>99</v>
      </c>
      <c r="M9" s="78"/>
      <c r="N9" s="77" t="s">
        <v>29</v>
      </c>
      <c r="O9" s="77"/>
      <c r="P9" s="15">
        <v>6.4600000000000005E-2</v>
      </c>
    </row>
    <row r="10" spans="2:35" x14ac:dyDescent="0.2">
      <c r="S10" s="75" t="s">
        <v>327</v>
      </c>
      <c r="T10" s="75"/>
      <c r="U10" s="75"/>
      <c r="V10" s="76"/>
      <c r="W10" s="75" t="s">
        <v>328</v>
      </c>
      <c r="X10" s="75"/>
      <c r="Y10" s="75"/>
      <c r="Z10" s="76"/>
      <c r="AA10" s="75" t="s">
        <v>329</v>
      </c>
      <c r="AB10" s="75"/>
      <c r="AC10" s="75"/>
      <c r="AD10" s="75"/>
    </row>
    <row r="11" spans="2:35" ht="25.5" x14ac:dyDescent="0.2">
      <c r="B11" s="18" t="s">
        <v>33</v>
      </c>
      <c r="C11" s="18" t="s">
        <v>34</v>
      </c>
      <c r="D11" s="18" t="s">
        <v>35</v>
      </c>
      <c r="E11" s="18" t="s">
        <v>36</v>
      </c>
      <c r="F11" s="18" t="s">
        <v>37</v>
      </c>
      <c r="G11" s="18" t="s">
        <v>38</v>
      </c>
      <c r="H11" s="18" t="s">
        <v>39</v>
      </c>
      <c r="I11" s="18" t="s">
        <v>40</v>
      </c>
      <c r="J11" s="18" t="s">
        <v>41</v>
      </c>
      <c r="K11" s="18" t="s">
        <v>42</v>
      </c>
      <c r="L11" s="18" t="s">
        <v>43</v>
      </c>
      <c r="M11" s="18" t="s">
        <v>29</v>
      </c>
      <c r="N11" s="18" t="s">
        <v>44</v>
      </c>
      <c r="O11" s="18" t="s">
        <v>45</v>
      </c>
      <c r="P11" s="18" t="s">
        <v>46</v>
      </c>
      <c r="Q11" s="18" t="s">
        <v>47</v>
      </c>
      <c r="R11" s="18" t="s">
        <v>48</v>
      </c>
      <c r="S11" s="19" t="s">
        <v>49</v>
      </c>
      <c r="T11" s="19" t="s">
        <v>50</v>
      </c>
      <c r="U11" s="19" t="s">
        <v>51</v>
      </c>
      <c r="V11" s="19" t="s">
        <v>52</v>
      </c>
      <c r="W11" s="19" t="s">
        <v>49</v>
      </c>
      <c r="X11" s="19" t="s">
        <v>50</v>
      </c>
      <c r="Y11" s="19" t="s">
        <v>51</v>
      </c>
      <c r="Z11" s="19" t="s">
        <v>52</v>
      </c>
      <c r="AA11" s="19" t="s">
        <v>49</v>
      </c>
      <c r="AB11" s="19" t="s">
        <v>50</v>
      </c>
      <c r="AC11" s="19" t="s">
        <v>51</v>
      </c>
      <c r="AD11" s="19" t="s">
        <v>52</v>
      </c>
      <c r="AE11" s="20" t="s">
        <v>53</v>
      </c>
      <c r="AF11" s="20" t="s">
        <v>54</v>
      </c>
      <c r="AG11" s="20" t="s">
        <v>55</v>
      </c>
      <c r="AH11" s="20" t="s">
        <v>56</v>
      </c>
      <c r="AI11" s="20" t="s">
        <v>50</v>
      </c>
    </row>
    <row r="12" spans="2:35" x14ac:dyDescent="0.2">
      <c r="B12" s="5" t="s">
        <v>57</v>
      </c>
      <c r="C12" s="21">
        <v>46153</v>
      </c>
      <c r="D12" s="5">
        <v>20</v>
      </c>
      <c r="E12" s="5">
        <v>6</v>
      </c>
      <c r="F12" s="5">
        <v>5</v>
      </c>
      <c r="G12" s="7">
        <f>'B-ADIENT REAR SEAT'!D64</f>
        <v>38350</v>
      </c>
      <c r="H12" s="5">
        <f>'B-ADIENT REAR SEAT'!D65</f>
        <v>7100</v>
      </c>
      <c r="I12" s="5">
        <f>'B-ADIENT REAR SEAT'!D67</f>
        <v>480</v>
      </c>
      <c r="J12" s="12">
        <f t="shared" ref="J12:J43" si="0">IF(I12=0,"N/S",ROUND( ( ((G12) * 1)/I12)*F12,1))</f>
        <v>399.5</v>
      </c>
      <c r="K12" s="5">
        <f t="shared" ref="K12:K43" ca="1" si="1">V12+Z12+AD12</f>
        <v>4923</v>
      </c>
      <c r="L12" s="5">
        <f t="array" ref="L12:L89">TRANSPOSE('B-ADIENT REAR SEAT'!D66:CC66)</f>
        <v>5220</v>
      </c>
      <c r="M12" s="5">
        <f ca="1">'B-ADIENT REAR SEAT'!$D$99</f>
        <v>7.6799999999999993E-2</v>
      </c>
      <c r="N12" s="5">
        <v>0</v>
      </c>
      <c r="O12" s="5">
        <v>5</v>
      </c>
      <c r="P12" s="5"/>
      <c r="Q12" s="5">
        <v>0</v>
      </c>
      <c r="R12" s="5">
        <f t="shared" ref="R12:R43" si="2">IF(F12=0,0,ROUND(I12/F12,0))</f>
        <v>96</v>
      </c>
      <c r="S12" s="5">
        <v>3</v>
      </c>
      <c r="T12" s="6">
        <v>1</v>
      </c>
      <c r="U12" s="5">
        <f t="shared" ref="U12:U51" si="3">E12*7-N12</f>
        <v>42</v>
      </c>
      <c r="V12" s="5">
        <f t="shared" ref="V12:V43" ca="1" si="4">ROUND(((S12*T12*U12)/M12),0)</f>
        <v>1641</v>
      </c>
      <c r="W12" s="5">
        <f t="shared" ref="W12:W43" si="5">S12</f>
        <v>3</v>
      </c>
      <c r="X12" s="6">
        <v>1</v>
      </c>
      <c r="Y12" s="5">
        <f t="shared" ref="Y12:Y43" si="6">U12</f>
        <v>42</v>
      </c>
      <c r="Z12" s="5">
        <f t="shared" ref="Z12:Z43" ca="1" si="7">ROUND(((W12*X12*Y12)/M12),0)</f>
        <v>1641</v>
      </c>
      <c r="AA12" s="7">
        <f t="shared" ref="AA12:AA43" si="8">W12</f>
        <v>3</v>
      </c>
      <c r="AB12" s="6">
        <v>1</v>
      </c>
      <c r="AC12" s="5">
        <f t="shared" ref="AC12:AC43" si="9">E12*7-N12</f>
        <v>42</v>
      </c>
      <c r="AD12" s="5">
        <f t="shared" ref="AD12:AD43" ca="1" si="10">ROUND(((AA12*AB12*AC12)/M12),0)</f>
        <v>1641</v>
      </c>
      <c r="AE12" s="7">
        <f t="shared" ref="AE12:AE43" si="11">S12+W12+AA12</f>
        <v>9</v>
      </c>
      <c r="AF12" s="5"/>
      <c r="AG12" s="7">
        <f t="shared" ref="AG12:AG43" ca="1" si="12">K12*M12</f>
        <v>378.08639999999997</v>
      </c>
      <c r="AH12" s="7">
        <f t="shared" ref="AH12:AH43" si="13">S12*U12+W12*Y12+AA12*AC12</f>
        <v>378</v>
      </c>
      <c r="AI12" s="6">
        <f t="shared" ref="AI12:AI43" ca="1" si="14">IF(AH12=0,0,AG12/AH12)</f>
        <v>1.0002285714285712</v>
      </c>
    </row>
    <row r="13" spans="2:35" x14ac:dyDescent="0.2">
      <c r="B13" s="5" t="s">
        <v>57</v>
      </c>
      <c r="C13" s="21">
        <v>46160</v>
      </c>
      <c r="D13" s="5">
        <v>21</v>
      </c>
      <c r="E13" s="5">
        <v>6</v>
      </c>
      <c r="F13" s="24">
        <v>10</v>
      </c>
      <c r="G13" s="7">
        <f>(G12+H12-I12)</f>
        <v>44970</v>
      </c>
      <c r="H13" s="5">
        <v>0</v>
      </c>
      <c r="I13" s="5">
        <f>'B-ADIENT REAR SEAT'!E67</f>
        <v>9840</v>
      </c>
      <c r="J13" s="12">
        <f t="shared" si="0"/>
        <v>45.7</v>
      </c>
      <c r="K13" s="5">
        <f t="shared" ca="1" si="1"/>
        <v>6564</v>
      </c>
      <c r="L13" s="5">
        <v>7110</v>
      </c>
      <c r="M13" s="5">
        <f ca="1">'B-ADIENT REAR SEAT'!$D$99</f>
        <v>7.6799999999999993E-2</v>
      </c>
      <c r="N13" s="5">
        <v>0</v>
      </c>
      <c r="O13" s="5">
        <v>5</v>
      </c>
      <c r="P13" s="5"/>
      <c r="Q13" s="5">
        <v>0</v>
      </c>
      <c r="R13" s="5">
        <f t="shared" si="2"/>
        <v>984</v>
      </c>
      <c r="S13" s="22">
        <v>4</v>
      </c>
      <c r="T13" s="23">
        <v>1</v>
      </c>
      <c r="U13" s="22">
        <f t="shared" si="3"/>
        <v>42</v>
      </c>
      <c r="V13" s="22">
        <f t="shared" ca="1" si="4"/>
        <v>2188</v>
      </c>
      <c r="W13" s="22">
        <f t="shared" si="5"/>
        <v>4</v>
      </c>
      <c r="X13" s="23">
        <v>1</v>
      </c>
      <c r="Y13" s="22">
        <f t="shared" si="6"/>
        <v>42</v>
      </c>
      <c r="Z13" s="22">
        <f t="shared" ca="1" si="7"/>
        <v>2188</v>
      </c>
      <c r="AA13" s="55">
        <f t="shared" si="8"/>
        <v>4</v>
      </c>
      <c r="AB13" s="23">
        <v>1</v>
      </c>
      <c r="AC13" s="22">
        <f t="shared" si="9"/>
        <v>42</v>
      </c>
      <c r="AD13" s="22">
        <f t="shared" ca="1" si="10"/>
        <v>2188</v>
      </c>
      <c r="AE13" s="7">
        <f t="shared" si="11"/>
        <v>12</v>
      </c>
      <c r="AF13" s="5"/>
      <c r="AG13" s="5">
        <f t="shared" ca="1" si="12"/>
        <v>504.11519999999996</v>
      </c>
      <c r="AH13" s="5">
        <f t="shared" si="13"/>
        <v>504</v>
      </c>
      <c r="AI13" s="6">
        <f t="shared" ca="1" si="14"/>
        <v>1.0002285714285712</v>
      </c>
    </row>
    <row r="14" spans="2:35" x14ac:dyDescent="0.2">
      <c r="B14" s="5" t="s">
        <v>57</v>
      </c>
      <c r="C14" s="21">
        <v>46167</v>
      </c>
      <c r="D14" s="5">
        <v>22</v>
      </c>
      <c r="E14" s="24">
        <v>3</v>
      </c>
      <c r="F14" s="5">
        <v>0</v>
      </c>
      <c r="G14" s="7">
        <f>(G13+H13-I13)</f>
        <v>35130</v>
      </c>
      <c r="H14" s="5">
        <v>0</v>
      </c>
      <c r="I14" s="5">
        <f>'B-ADIENT REAR SEAT'!F67</f>
        <v>4560</v>
      </c>
      <c r="J14" s="12">
        <f t="shared" si="0"/>
        <v>0</v>
      </c>
      <c r="K14" s="5">
        <f t="shared" ca="1" si="1"/>
        <v>3282</v>
      </c>
      <c r="L14" s="5">
        <v>2880</v>
      </c>
      <c r="M14" s="5">
        <f ca="1">'B-ADIENT REAR SEAT'!$D$99</f>
        <v>7.6799999999999993E-2</v>
      </c>
      <c r="N14" s="5">
        <v>0</v>
      </c>
      <c r="O14" s="5">
        <v>5</v>
      </c>
      <c r="P14" s="5"/>
      <c r="Q14" s="5">
        <v>0</v>
      </c>
      <c r="R14" s="5">
        <f t="shared" si="2"/>
        <v>0</v>
      </c>
      <c r="S14" s="5">
        <v>4</v>
      </c>
      <c r="T14" s="6">
        <v>1</v>
      </c>
      <c r="U14" s="5">
        <f t="shared" si="3"/>
        <v>21</v>
      </c>
      <c r="V14" s="5">
        <f t="shared" ca="1" si="4"/>
        <v>1094</v>
      </c>
      <c r="W14" s="5">
        <f t="shared" si="5"/>
        <v>4</v>
      </c>
      <c r="X14" s="6">
        <v>1</v>
      </c>
      <c r="Y14" s="5">
        <f t="shared" si="6"/>
        <v>21</v>
      </c>
      <c r="Z14" s="5">
        <f t="shared" ca="1" si="7"/>
        <v>1094</v>
      </c>
      <c r="AA14" s="5">
        <f t="shared" si="8"/>
        <v>4</v>
      </c>
      <c r="AB14" s="6">
        <v>1</v>
      </c>
      <c r="AC14" s="5">
        <f t="shared" si="9"/>
        <v>21</v>
      </c>
      <c r="AD14" s="5">
        <f t="shared" ca="1" si="10"/>
        <v>1094</v>
      </c>
      <c r="AE14" s="7">
        <f t="shared" si="11"/>
        <v>12</v>
      </c>
      <c r="AF14" s="5"/>
      <c r="AG14" s="5">
        <f t="shared" ca="1" si="12"/>
        <v>252.05759999999998</v>
      </c>
      <c r="AH14" s="5">
        <f t="shared" si="13"/>
        <v>252</v>
      </c>
      <c r="AI14" s="6">
        <f t="shared" ca="1" si="14"/>
        <v>1.0002285714285712</v>
      </c>
    </row>
    <row r="15" spans="2:35" x14ac:dyDescent="0.2">
      <c r="B15" s="5" t="s">
        <v>58</v>
      </c>
      <c r="C15" s="21">
        <v>46174</v>
      </c>
      <c r="D15" s="5">
        <v>23</v>
      </c>
      <c r="E15" s="24">
        <v>5</v>
      </c>
      <c r="F15" s="5">
        <v>5</v>
      </c>
      <c r="G15" s="7">
        <f>(G14+H14-I14)</f>
        <v>30570</v>
      </c>
      <c r="H15" s="5">
        <v>0</v>
      </c>
      <c r="I15" s="5">
        <f>'B-ADIENT REAR SEAT'!G67</f>
        <v>6320</v>
      </c>
      <c r="J15" s="12">
        <f t="shared" si="0"/>
        <v>24.2</v>
      </c>
      <c r="K15" s="5">
        <f t="shared" ca="1" si="1"/>
        <v>5469</v>
      </c>
      <c r="L15" s="5">
        <v>0</v>
      </c>
      <c r="M15" s="5">
        <f ca="1">'B-ADIENT REAR SEAT'!$D$99</f>
        <v>7.6799999999999993E-2</v>
      </c>
      <c r="N15" s="5">
        <v>0</v>
      </c>
      <c r="O15" s="5">
        <v>6</v>
      </c>
      <c r="P15" s="5"/>
      <c r="Q15" s="5">
        <v>0</v>
      </c>
      <c r="R15" s="5">
        <f t="shared" si="2"/>
        <v>1264</v>
      </c>
      <c r="S15" s="5">
        <v>4</v>
      </c>
      <c r="T15" s="6">
        <v>1</v>
      </c>
      <c r="U15" s="5">
        <f t="shared" si="3"/>
        <v>35</v>
      </c>
      <c r="V15" s="5">
        <f t="shared" ca="1" si="4"/>
        <v>1823</v>
      </c>
      <c r="W15" s="5">
        <f t="shared" si="5"/>
        <v>4</v>
      </c>
      <c r="X15" s="6">
        <v>1</v>
      </c>
      <c r="Y15" s="5">
        <f t="shared" si="6"/>
        <v>35</v>
      </c>
      <c r="Z15" s="5">
        <f t="shared" ca="1" si="7"/>
        <v>1823</v>
      </c>
      <c r="AA15" s="5">
        <f t="shared" si="8"/>
        <v>4</v>
      </c>
      <c r="AB15" s="6">
        <v>1</v>
      </c>
      <c r="AC15" s="5">
        <f t="shared" si="9"/>
        <v>35</v>
      </c>
      <c r="AD15" s="5">
        <f t="shared" ca="1" si="10"/>
        <v>1823</v>
      </c>
      <c r="AE15" s="7">
        <f t="shared" si="11"/>
        <v>12</v>
      </c>
      <c r="AF15" s="5"/>
      <c r="AG15" s="5">
        <f t="shared" ca="1" si="12"/>
        <v>420.01919999999996</v>
      </c>
      <c r="AH15" s="5">
        <f t="shared" si="13"/>
        <v>420</v>
      </c>
      <c r="AI15" s="6">
        <f t="shared" ca="1" si="14"/>
        <v>1.0000457142857142</v>
      </c>
    </row>
    <row r="16" spans="2:35" x14ac:dyDescent="0.2">
      <c r="B16" s="5" t="s">
        <v>58</v>
      </c>
      <c r="C16" s="21">
        <v>46181</v>
      </c>
      <c r="D16" s="5">
        <v>24</v>
      </c>
      <c r="E16" s="5">
        <v>6</v>
      </c>
      <c r="F16" s="5">
        <v>5</v>
      </c>
      <c r="G16" s="7">
        <f>(G15+H15-I15)</f>
        <v>24250</v>
      </c>
      <c r="H16" s="5">
        <v>0</v>
      </c>
      <c r="I16" s="5">
        <f>'B-ADIENT REAR SEAT'!H67</f>
        <v>6720</v>
      </c>
      <c r="J16" s="12">
        <f t="shared" si="0"/>
        <v>18</v>
      </c>
      <c r="K16" s="5">
        <f t="shared" ca="1" si="1"/>
        <v>6564</v>
      </c>
      <c r="L16" s="5">
        <v>0</v>
      </c>
      <c r="M16" s="5">
        <f ca="1">'B-ADIENT REAR SEAT'!$D$99</f>
        <v>7.6799999999999993E-2</v>
      </c>
      <c r="N16" s="5">
        <v>0</v>
      </c>
      <c r="O16" s="5">
        <v>6</v>
      </c>
      <c r="P16" s="5"/>
      <c r="Q16" s="5">
        <v>0</v>
      </c>
      <c r="R16" s="5">
        <f t="shared" si="2"/>
        <v>1344</v>
      </c>
      <c r="S16" s="5">
        <v>4</v>
      </c>
      <c r="T16" s="6">
        <v>1</v>
      </c>
      <c r="U16" s="5">
        <f t="shared" si="3"/>
        <v>42</v>
      </c>
      <c r="V16" s="5">
        <f t="shared" ca="1" si="4"/>
        <v>2188</v>
      </c>
      <c r="W16" s="5">
        <f t="shared" si="5"/>
        <v>4</v>
      </c>
      <c r="X16" s="6">
        <v>1</v>
      </c>
      <c r="Y16" s="5">
        <f t="shared" si="6"/>
        <v>42</v>
      </c>
      <c r="Z16" s="5">
        <f t="shared" ca="1" si="7"/>
        <v>2188</v>
      </c>
      <c r="AA16" s="5">
        <f t="shared" si="8"/>
        <v>4</v>
      </c>
      <c r="AB16" s="6">
        <v>1</v>
      </c>
      <c r="AC16" s="5">
        <f t="shared" si="9"/>
        <v>42</v>
      </c>
      <c r="AD16" s="5">
        <f t="shared" ca="1" si="10"/>
        <v>2188</v>
      </c>
      <c r="AE16" s="7">
        <f t="shared" si="11"/>
        <v>12</v>
      </c>
      <c r="AF16" s="5"/>
      <c r="AG16" s="5">
        <f t="shared" ca="1" si="12"/>
        <v>504.11519999999996</v>
      </c>
      <c r="AH16" s="5">
        <f t="shared" si="13"/>
        <v>504</v>
      </c>
      <c r="AI16" s="6">
        <f t="shared" ca="1" si="14"/>
        <v>1.0002285714285712</v>
      </c>
    </row>
    <row r="17" spans="2:35" x14ac:dyDescent="0.2">
      <c r="B17" s="5" t="s">
        <v>58</v>
      </c>
      <c r="C17" s="21">
        <v>46188</v>
      </c>
      <c r="D17" s="5">
        <v>25</v>
      </c>
      <c r="E17" s="5">
        <v>5</v>
      </c>
      <c r="F17" s="5">
        <v>5</v>
      </c>
      <c r="G17" s="7">
        <f t="shared" ref="G17:G48" ca="1" si="15">(G16+H16-I16+K12)</f>
        <v>22453</v>
      </c>
      <c r="H17" s="5">
        <v>0</v>
      </c>
      <c r="I17" s="5">
        <f>'B-ADIENT REAR SEAT'!I67</f>
        <v>6000</v>
      </c>
      <c r="J17" s="12">
        <f t="shared" ca="1" si="0"/>
        <v>18.7</v>
      </c>
      <c r="K17" s="5">
        <f t="shared" ca="1" si="1"/>
        <v>5469</v>
      </c>
      <c r="L17" s="5">
        <v>0</v>
      </c>
      <c r="M17" s="5">
        <f ca="1">'B-ADIENT REAR SEAT'!$D$99</f>
        <v>7.6799999999999993E-2</v>
      </c>
      <c r="N17" s="5">
        <v>0</v>
      </c>
      <c r="O17" s="5">
        <v>6</v>
      </c>
      <c r="P17" s="5"/>
      <c r="Q17" s="5">
        <v>0</v>
      </c>
      <c r="R17" s="5">
        <f t="shared" si="2"/>
        <v>1200</v>
      </c>
      <c r="S17" s="5">
        <v>4</v>
      </c>
      <c r="T17" s="6">
        <v>1</v>
      </c>
      <c r="U17" s="5">
        <f t="shared" si="3"/>
        <v>35</v>
      </c>
      <c r="V17" s="5">
        <f t="shared" ca="1" si="4"/>
        <v>1823</v>
      </c>
      <c r="W17" s="5">
        <f t="shared" si="5"/>
        <v>4</v>
      </c>
      <c r="X17" s="6">
        <v>1</v>
      </c>
      <c r="Y17" s="5">
        <f t="shared" si="6"/>
        <v>35</v>
      </c>
      <c r="Z17" s="5">
        <f t="shared" ca="1" si="7"/>
        <v>1823</v>
      </c>
      <c r="AA17" s="5">
        <f t="shared" si="8"/>
        <v>4</v>
      </c>
      <c r="AB17" s="6">
        <v>1</v>
      </c>
      <c r="AC17" s="5">
        <f t="shared" si="9"/>
        <v>35</v>
      </c>
      <c r="AD17" s="5">
        <f t="shared" ca="1" si="10"/>
        <v>1823</v>
      </c>
      <c r="AE17" s="7">
        <f t="shared" si="11"/>
        <v>12</v>
      </c>
      <c r="AF17" s="5"/>
      <c r="AG17" s="5">
        <f t="shared" ca="1" si="12"/>
        <v>420.01919999999996</v>
      </c>
      <c r="AH17" s="5">
        <f t="shared" si="13"/>
        <v>420</v>
      </c>
      <c r="AI17" s="6">
        <f t="shared" ca="1" si="14"/>
        <v>1.0000457142857142</v>
      </c>
    </row>
    <row r="18" spans="2:35" x14ac:dyDescent="0.2">
      <c r="B18" s="5" t="s">
        <v>58</v>
      </c>
      <c r="C18" s="21">
        <v>46195</v>
      </c>
      <c r="D18" s="5">
        <v>26</v>
      </c>
      <c r="E18" s="28">
        <v>6</v>
      </c>
      <c r="F18" s="5">
        <v>5</v>
      </c>
      <c r="G18" s="7">
        <f t="shared" ca="1" si="15"/>
        <v>23017</v>
      </c>
      <c r="H18" s="5">
        <v>0</v>
      </c>
      <c r="I18" s="5">
        <f>'B-ADIENT REAR SEAT'!J67</f>
        <v>6240</v>
      </c>
      <c r="J18" s="12">
        <f t="shared" ca="1" si="0"/>
        <v>18.399999999999999</v>
      </c>
      <c r="K18" s="5">
        <f t="shared" ca="1" si="1"/>
        <v>6564</v>
      </c>
      <c r="L18" s="5">
        <v>0</v>
      </c>
      <c r="M18" s="5">
        <f ca="1">'B-ADIENT REAR SEAT'!$D$99</f>
        <v>7.6799999999999993E-2</v>
      </c>
      <c r="N18" s="5">
        <v>0</v>
      </c>
      <c r="O18" s="5">
        <v>6</v>
      </c>
      <c r="P18" s="5"/>
      <c r="Q18" s="5">
        <v>0</v>
      </c>
      <c r="R18" s="5">
        <f t="shared" si="2"/>
        <v>1248</v>
      </c>
      <c r="S18" s="5">
        <v>4</v>
      </c>
      <c r="T18" s="6">
        <v>1</v>
      </c>
      <c r="U18" s="5">
        <f t="shared" si="3"/>
        <v>42</v>
      </c>
      <c r="V18" s="5">
        <f t="shared" ca="1" si="4"/>
        <v>2188</v>
      </c>
      <c r="W18" s="5">
        <f t="shared" si="5"/>
        <v>4</v>
      </c>
      <c r="X18" s="6">
        <v>1</v>
      </c>
      <c r="Y18" s="5">
        <f t="shared" si="6"/>
        <v>42</v>
      </c>
      <c r="Z18" s="5">
        <f t="shared" ca="1" si="7"/>
        <v>2188</v>
      </c>
      <c r="AA18" s="5">
        <f t="shared" si="8"/>
        <v>4</v>
      </c>
      <c r="AB18" s="6">
        <v>1</v>
      </c>
      <c r="AC18" s="5">
        <f t="shared" si="9"/>
        <v>42</v>
      </c>
      <c r="AD18" s="5">
        <f t="shared" ca="1" si="10"/>
        <v>2188</v>
      </c>
      <c r="AE18" s="7">
        <f t="shared" si="11"/>
        <v>12</v>
      </c>
      <c r="AF18" s="5"/>
      <c r="AG18" s="5">
        <f t="shared" ca="1" si="12"/>
        <v>504.11519999999996</v>
      </c>
      <c r="AH18" s="5">
        <f t="shared" si="13"/>
        <v>504</v>
      </c>
      <c r="AI18" s="6">
        <f t="shared" ca="1" si="14"/>
        <v>1.0002285714285712</v>
      </c>
    </row>
    <row r="19" spans="2:35" x14ac:dyDescent="0.2">
      <c r="B19" s="5" t="s">
        <v>58</v>
      </c>
      <c r="C19" s="21">
        <v>46202</v>
      </c>
      <c r="D19" s="5">
        <v>27</v>
      </c>
      <c r="E19" s="5">
        <v>5</v>
      </c>
      <c r="F19" s="5">
        <v>5</v>
      </c>
      <c r="G19" s="7">
        <f t="shared" ca="1" si="15"/>
        <v>20059</v>
      </c>
      <c r="H19" s="5">
        <v>0</v>
      </c>
      <c r="I19" s="5">
        <f>'B-ADIENT REAR SEAT'!K67</f>
        <v>6400</v>
      </c>
      <c r="J19" s="12">
        <f t="shared" ca="1" si="0"/>
        <v>15.7</v>
      </c>
      <c r="K19" s="5">
        <f t="shared" ca="1" si="1"/>
        <v>5469</v>
      </c>
      <c r="L19" s="5">
        <v>0</v>
      </c>
      <c r="M19" s="5">
        <f ca="1">'B-ADIENT REAR SEAT'!$D$99</f>
        <v>7.6799999999999993E-2</v>
      </c>
      <c r="N19" s="5">
        <v>0</v>
      </c>
      <c r="O19" s="5">
        <v>6</v>
      </c>
      <c r="P19" s="5"/>
      <c r="Q19" s="5">
        <v>0</v>
      </c>
      <c r="R19" s="5">
        <f t="shared" si="2"/>
        <v>1280</v>
      </c>
      <c r="S19" s="5">
        <v>4</v>
      </c>
      <c r="T19" s="6">
        <v>1</v>
      </c>
      <c r="U19" s="5">
        <f t="shared" si="3"/>
        <v>35</v>
      </c>
      <c r="V19" s="5">
        <f t="shared" ca="1" si="4"/>
        <v>1823</v>
      </c>
      <c r="W19" s="5">
        <f t="shared" si="5"/>
        <v>4</v>
      </c>
      <c r="X19" s="6">
        <v>1</v>
      </c>
      <c r="Y19" s="5">
        <f t="shared" si="6"/>
        <v>35</v>
      </c>
      <c r="Z19" s="5">
        <f t="shared" ca="1" si="7"/>
        <v>1823</v>
      </c>
      <c r="AA19" s="5">
        <f t="shared" si="8"/>
        <v>4</v>
      </c>
      <c r="AB19" s="6">
        <v>1</v>
      </c>
      <c r="AC19" s="5">
        <f t="shared" si="9"/>
        <v>35</v>
      </c>
      <c r="AD19" s="5">
        <f t="shared" ca="1" si="10"/>
        <v>1823</v>
      </c>
      <c r="AE19" s="7">
        <f t="shared" si="11"/>
        <v>12</v>
      </c>
      <c r="AF19" s="5"/>
      <c r="AG19" s="5">
        <f t="shared" ca="1" si="12"/>
        <v>420.01919999999996</v>
      </c>
      <c r="AH19" s="5">
        <f t="shared" si="13"/>
        <v>420</v>
      </c>
      <c r="AI19" s="6">
        <f t="shared" ca="1" si="14"/>
        <v>1.0000457142857142</v>
      </c>
    </row>
    <row r="20" spans="2:35" x14ac:dyDescent="0.2">
      <c r="B20" s="5" t="s">
        <v>59</v>
      </c>
      <c r="C20" s="21">
        <v>46209</v>
      </c>
      <c r="D20" s="5">
        <v>28</v>
      </c>
      <c r="E20" s="5">
        <v>6</v>
      </c>
      <c r="F20" s="5">
        <v>5</v>
      </c>
      <c r="G20" s="7">
        <f t="shared" ca="1" si="15"/>
        <v>19128</v>
      </c>
      <c r="H20" s="5">
        <v>0</v>
      </c>
      <c r="I20" s="5">
        <f>'B-ADIENT REAR SEAT'!L67</f>
        <v>8400</v>
      </c>
      <c r="J20" s="12">
        <f t="shared" ca="1" si="0"/>
        <v>11.4</v>
      </c>
      <c r="K20" s="5">
        <f t="shared" ca="1" si="1"/>
        <v>4923</v>
      </c>
      <c r="L20" s="5">
        <v>0</v>
      </c>
      <c r="M20" s="5">
        <f ca="1">'B-ADIENT REAR SEAT'!$D$99</f>
        <v>7.6799999999999993E-2</v>
      </c>
      <c r="N20" s="5">
        <v>0</v>
      </c>
      <c r="O20" s="5">
        <v>7</v>
      </c>
      <c r="P20" s="5"/>
      <c r="Q20" s="5">
        <v>0</v>
      </c>
      <c r="R20" s="5">
        <f t="shared" si="2"/>
        <v>1680</v>
      </c>
      <c r="S20" s="22">
        <v>3</v>
      </c>
      <c r="T20" s="23">
        <v>1</v>
      </c>
      <c r="U20" s="22">
        <f t="shared" si="3"/>
        <v>42</v>
      </c>
      <c r="V20" s="22">
        <f t="shared" ca="1" si="4"/>
        <v>1641</v>
      </c>
      <c r="W20" s="22">
        <f t="shared" si="5"/>
        <v>3</v>
      </c>
      <c r="X20" s="23">
        <v>1</v>
      </c>
      <c r="Y20" s="22">
        <f t="shared" si="6"/>
        <v>42</v>
      </c>
      <c r="Z20" s="22">
        <f t="shared" ca="1" si="7"/>
        <v>1641</v>
      </c>
      <c r="AA20" s="22">
        <f t="shared" si="8"/>
        <v>3</v>
      </c>
      <c r="AB20" s="23">
        <v>1</v>
      </c>
      <c r="AC20" s="22">
        <f t="shared" si="9"/>
        <v>42</v>
      </c>
      <c r="AD20" s="22">
        <f t="shared" ca="1" si="10"/>
        <v>1641</v>
      </c>
      <c r="AE20" s="7">
        <f t="shared" si="11"/>
        <v>9</v>
      </c>
      <c r="AF20" s="5"/>
      <c r="AG20" s="5">
        <f t="shared" ca="1" si="12"/>
        <v>378.08639999999997</v>
      </c>
      <c r="AH20" s="5">
        <f t="shared" si="13"/>
        <v>378</v>
      </c>
      <c r="AI20" s="6">
        <f t="shared" ca="1" si="14"/>
        <v>1.0002285714285712</v>
      </c>
    </row>
    <row r="21" spans="2:35" x14ac:dyDescent="0.2">
      <c r="B21" s="5" t="s">
        <v>59</v>
      </c>
      <c r="C21" s="21">
        <v>46216</v>
      </c>
      <c r="D21" s="5">
        <v>29</v>
      </c>
      <c r="E21" s="22">
        <v>0</v>
      </c>
      <c r="F21" s="24">
        <v>10</v>
      </c>
      <c r="G21" s="7">
        <f t="shared" ca="1" si="15"/>
        <v>17292</v>
      </c>
      <c r="H21" s="5">
        <v>0</v>
      </c>
      <c r="I21" s="5">
        <f>'B-ADIENT REAR SEAT'!M67</f>
        <v>10640</v>
      </c>
      <c r="J21" s="12">
        <f t="shared" ca="1" si="0"/>
        <v>16.3</v>
      </c>
      <c r="K21" s="5">
        <f t="shared" ca="1" si="1"/>
        <v>0</v>
      </c>
      <c r="L21" s="5">
        <v>0</v>
      </c>
      <c r="M21" s="5">
        <f ca="1">'B-ADIENT REAR SEAT'!$D$99</f>
        <v>7.6799999999999993E-2</v>
      </c>
      <c r="N21" s="5">
        <v>0</v>
      </c>
      <c r="O21" s="5">
        <v>7</v>
      </c>
      <c r="P21" s="5"/>
      <c r="Q21" s="5">
        <v>0</v>
      </c>
      <c r="R21" s="5">
        <f t="shared" si="2"/>
        <v>1064</v>
      </c>
      <c r="S21" s="5">
        <v>3</v>
      </c>
      <c r="T21" s="6">
        <v>1</v>
      </c>
      <c r="U21" s="5">
        <f t="shared" si="3"/>
        <v>0</v>
      </c>
      <c r="V21" s="5">
        <f t="shared" ca="1" si="4"/>
        <v>0</v>
      </c>
      <c r="W21" s="5">
        <f t="shared" si="5"/>
        <v>3</v>
      </c>
      <c r="X21" s="6">
        <v>1</v>
      </c>
      <c r="Y21" s="5">
        <f t="shared" si="6"/>
        <v>0</v>
      </c>
      <c r="Z21" s="5">
        <f t="shared" ca="1" si="7"/>
        <v>0</v>
      </c>
      <c r="AA21" s="5">
        <f t="shared" si="8"/>
        <v>3</v>
      </c>
      <c r="AB21" s="6">
        <v>1</v>
      </c>
      <c r="AC21" s="5">
        <f t="shared" si="9"/>
        <v>0</v>
      </c>
      <c r="AD21" s="5">
        <f t="shared" ca="1" si="10"/>
        <v>0</v>
      </c>
      <c r="AE21" s="7">
        <f t="shared" si="11"/>
        <v>9</v>
      </c>
      <c r="AF21" s="5"/>
      <c r="AG21" s="5">
        <f t="shared" ca="1" si="12"/>
        <v>0</v>
      </c>
      <c r="AH21" s="5">
        <f t="shared" si="13"/>
        <v>0</v>
      </c>
      <c r="AI21" s="6">
        <f t="shared" si="14"/>
        <v>0</v>
      </c>
    </row>
    <row r="22" spans="2:35" x14ac:dyDescent="0.2">
      <c r="B22" s="5" t="s">
        <v>59</v>
      </c>
      <c r="C22" s="21">
        <v>46223</v>
      </c>
      <c r="D22" s="5">
        <v>30</v>
      </c>
      <c r="E22" s="22">
        <v>0</v>
      </c>
      <c r="F22" s="29">
        <v>5</v>
      </c>
      <c r="G22" s="7">
        <f t="shared" ca="1" si="15"/>
        <v>12121</v>
      </c>
      <c r="H22" s="5">
        <v>0</v>
      </c>
      <c r="I22" s="5">
        <f>'B-ADIENT REAR SEAT'!N67</f>
        <v>0</v>
      </c>
      <c r="J22" s="12" t="str">
        <f t="shared" si="0"/>
        <v>N/S</v>
      </c>
      <c r="K22" s="5">
        <f t="shared" ca="1" si="1"/>
        <v>0</v>
      </c>
      <c r="L22" s="5">
        <v>0</v>
      </c>
      <c r="M22" s="5">
        <f ca="1">'B-ADIENT REAR SEAT'!$D$99</f>
        <v>7.6799999999999993E-2</v>
      </c>
      <c r="N22" s="5">
        <v>0</v>
      </c>
      <c r="O22" s="5">
        <v>7</v>
      </c>
      <c r="P22" s="5"/>
      <c r="Q22" s="5">
        <v>0</v>
      </c>
      <c r="R22" s="5">
        <f t="shared" si="2"/>
        <v>0</v>
      </c>
      <c r="S22" s="5">
        <v>3</v>
      </c>
      <c r="T22" s="6">
        <v>1</v>
      </c>
      <c r="U22" s="5">
        <f t="shared" si="3"/>
        <v>0</v>
      </c>
      <c r="V22" s="5">
        <f t="shared" ca="1" si="4"/>
        <v>0</v>
      </c>
      <c r="W22" s="5">
        <f t="shared" si="5"/>
        <v>3</v>
      </c>
      <c r="X22" s="6">
        <v>1</v>
      </c>
      <c r="Y22" s="5">
        <f t="shared" si="6"/>
        <v>0</v>
      </c>
      <c r="Z22" s="5">
        <f t="shared" ca="1" si="7"/>
        <v>0</v>
      </c>
      <c r="AA22" s="5">
        <f t="shared" si="8"/>
        <v>3</v>
      </c>
      <c r="AB22" s="6">
        <v>1</v>
      </c>
      <c r="AC22" s="5">
        <f t="shared" si="9"/>
        <v>0</v>
      </c>
      <c r="AD22" s="5">
        <f t="shared" ca="1" si="10"/>
        <v>0</v>
      </c>
      <c r="AE22" s="7">
        <f t="shared" si="11"/>
        <v>9</v>
      </c>
      <c r="AF22" s="5"/>
      <c r="AG22" s="5">
        <f t="shared" ca="1" si="12"/>
        <v>0</v>
      </c>
      <c r="AH22" s="5">
        <f t="shared" si="13"/>
        <v>0</v>
      </c>
      <c r="AI22" s="6">
        <f t="shared" si="14"/>
        <v>0</v>
      </c>
    </row>
    <row r="23" spans="2:35" x14ac:dyDescent="0.2">
      <c r="B23" s="5" t="s">
        <v>59</v>
      </c>
      <c r="C23" s="21">
        <v>46230</v>
      </c>
      <c r="D23" s="5">
        <v>31</v>
      </c>
      <c r="E23" s="5">
        <v>6</v>
      </c>
      <c r="F23" s="29">
        <v>5</v>
      </c>
      <c r="G23" s="7">
        <f t="shared" ca="1" si="15"/>
        <v>18685</v>
      </c>
      <c r="H23" s="5">
        <v>0</v>
      </c>
      <c r="I23" s="5">
        <f>'B-ADIENT REAR SEAT'!O67</f>
        <v>0</v>
      </c>
      <c r="J23" s="12" t="str">
        <f t="shared" si="0"/>
        <v>N/S</v>
      </c>
      <c r="K23" s="5">
        <f t="shared" ca="1" si="1"/>
        <v>4923</v>
      </c>
      <c r="L23" s="5">
        <v>0</v>
      </c>
      <c r="M23" s="5">
        <f ca="1">'B-ADIENT REAR SEAT'!$D$99</f>
        <v>7.6799999999999993E-2</v>
      </c>
      <c r="N23" s="5">
        <v>0</v>
      </c>
      <c r="O23" s="5">
        <v>7</v>
      </c>
      <c r="P23" s="5"/>
      <c r="Q23" s="5">
        <v>0</v>
      </c>
      <c r="R23" s="5">
        <f t="shared" si="2"/>
        <v>0</v>
      </c>
      <c r="S23" s="5">
        <v>3</v>
      </c>
      <c r="T23" s="6">
        <v>1</v>
      </c>
      <c r="U23" s="5">
        <f t="shared" si="3"/>
        <v>42</v>
      </c>
      <c r="V23" s="5">
        <f t="shared" ca="1" si="4"/>
        <v>1641</v>
      </c>
      <c r="W23" s="5">
        <f t="shared" si="5"/>
        <v>3</v>
      </c>
      <c r="X23" s="6">
        <v>1</v>
      </c>
      <c r="Y23" s="5">
        <f t="shared" si="6"/>
        <v>42</v>
      </c>
      <c r="Z23" s="5">
        <f t="shared" ca="1" si="7"/>
        <v>1641</v>
      </c>
      <c r="AA23" s="5">
        <f t="shared" si="8"/>
        <v>3</v>
      </c>
      <c r="AB23" s="6">
        <v>1</v>
      </c>
      <c r="AC23" s="5">
        <f t="shared" si="9"/>
        <v>42</v>
      </c>
      <c r="AD23" s="5">
        <f t="shared" ca="1" si="10"/>
        <v>1641</v>
      </c>
      <c r="AE23" s="7">
        <f t="shared" si="11"/>
        <v>9</v>
      </c>
      <c r="AF23" s="5" t="e">
        <f t="shared" ref="AF23:AF54" si="16">ROUND( ((SUM(I22:I23)*1)/SUM(Q22:Q23)*100),1)</f>
        <v>#DIV/0!</v>
      </c>
      <c r="AG23" s="5">
        <f t="shared" ca="1" si="12"/>
        <v>378.08639999999997</v>
      </c>
      <c r="AH23" s="5">
        <f t="shared" si="13"/>
        <v>378</v>
      </c>
      <c r="AI23" s="6">
        <f t="shared" ca="1" si="14"/>
        <v>1.0002285714285712</v>
      </c>
    </row>
    <row r="24" spans="2:35" x14ac:dyDescent="0.2">
      <c r="B24" s="5" t="s">
        <v>60</v>
      </c>
      <c r="C24" s="21">
        <v>46237</v>
      </c>
      <c r="D24" s="5">
        <v>32</v>
      </c>
      <c r="E24" s="30">
        <v>6</v>
      </c>
      <c r="F24" s="29">
        <v>5</v>
      </c>
      <c r="G24" s="7">
        <f t="shared" ca="1" si="15"/>
        <v>24154</v>
      </c>
      <c r="H24" s="5">
        <v>0</v>
      </c>
      <c r="I24" s="5">
        <f>'B-ADIENT REAR SEAT'!P67</f>
        <v>0</v>
      </c>
      <c r="J24" s="12" t="str">
        <f t="shared" si="0"/>
        <v>N/S</v>
      </c>
      <c r="K24" s="5">
        <f t="shared" ca="1" si="1"/>
        <v>4923</v>
      </c>
      <c r="L24" s="5">
        <v>0</v>
      </c>
      <c r="M24" s="5">
        <f ca="1">'B-ADIENT REAR SEAT'!$D$99</f>
        <v>7.6799999999999993E-2</v>
      </c>
      <c r="N24" s="5">
        <v>0</v>
      </c>
      <c r="O24" s="5">
        <v>8</v>
      </c>
      <c r="P24" s="5"/>
      <c r="Q24" s="5">
        <v>0</v>
      </c>
      <c r="R24" s="5">
        <f t="shared" si="2"/>
        <v>0</v>
      </c>
      <c r="S24" s="5">
        <v>3</v>
      </c>
      <c r="T24" s="6">
        <v>1</v>
      </c>
      <c r="U24" s="5">
        <f t="shared" si="3"/>
        <v>42</v>
      </c>
      <c r="V24" s="5">
        <f t="shared" ca="1" si="4"/>
        <v>1641</v>
      </c>
      <c r="W24" s="5">
        <f t="shared" si="5"/>
        <v>3</v>
      </c>
      <c r="X24" s="6">
        <v>1</v>
      </c>
      <c r="Y24" s="5">
        <f t="shared" si="6"/>
        <v>42</v>
      </c>
      <c r="Z24" s="5">
        <f t="shared" ca="1" si="7"/>
        <v>1641</v>
      </c>
      <c r="AA24" s="5">
        <f t="shared" si="8"/>
        <v>3</v>
      </c>
      <c r="AB24" s="6">
        <v>1</v>
      </c>
      <c r="AC24" s="5">
        <f t="shared" si="9"/>
        <v>42</v>
      </c>
      <c r="AD24" s="5">
        <f t="shared" ca="1" si="10"/>
        <v>1641</v>
      </c>
      <c r="AE24" s="7">
        <f t="shared" si="11"/>
        <v>9</v>
      </c>
      <c r="AF24" s="5" t="e">
        <f t="shared" si="16"/>
        <v>#DIV/0!</v>
      </c>
      <c r="AG24" s="5">
        <f t="shared" ca="1" si="12"/>
        <v>378.08639999999997</v>
      </c>
      <c r="AH24" s="5">
        <f t="shared" si="13"/>
        <v>378</v>
      </c>
      <c r="AI24" s="6">
        <f t="shared" ca="1" si="14"/>
        <v>1.0002285714285712</v>
      </c>
    </row>
    <row r="25" spans="2:35" x14ac:dyDescent="0.2">
      <c r="B25" s="5" t="s">
        <v>60</v>
      </c>
      <c r="C25" s="21">
        <v>46244</v>
      </c>
      <c r="D25" s="5">
        <v>33</v>
      </c>
      <c r="E25" s="30">
        <v>6</v>
      </c>
      <c r="F25" s="31">
        <v>4</v>
      </c>
      <c r="G25" s="7">
        <f t="shared" ca="1" si="15"/>
        <v>29077</v>
      </c>
      <c r="H25" s="5">
        <v>0</v>
      </c>
      <c r="I25" s="5">
        <f>'B-ADIENT REAR SEAT'!Q67</f>
        <v>0</v>
      </c>
      <c r="J25" s="12" t="str">
        <f t="shared" si="0"/>
        <v>N/S</v>
      </c>
      <c r="K25" s="5">
        <f t="shared" ca="1" si="1"/>
        <v>4923</v>
      </c>
      <c r="L25" s="5">
        <v>0</v>
      </c>
      <c r="M25" s="5">
        <f ca="1">'B-ADIENT REAR SEAT'!$D$99</f>
        <v>7.6799999999999993E-2</v>
      </c>
      <c r="N25" s="5">
        <v>0</v>
      </c>
      <c r="O25" s="5">
        <v>8</v>
      </c>
      <c r="P25" s="5"/>
      <c r="Q25" s="5">
        <v>0</v>
      </c>
      <c r="R25" s="5">
        <f t="shared" si="2"/>
        <v>0</v>
      </c>
      <c r="S25" s="5">
        <v>3</v>
      </c>
      <c r="T25" s="6">
        <v>1</v>
      </c>
      <c r="U25" s="5">
        <f t="shared" si="3"/>
        <v>42</v>
      </c>
      <c r="V25" s="5">
        <f t="shared" ca="1" si="4"/>
        <v>1641</v>
      </c>
      <c r="W25" s="5">
        <f t="shared" si="5"/>
        <v>3</v>
      </c>
      <c r="X25" s="6">
        <v>1</v>
      </c>
      <c r="Y25" s="5">
        <f t="shared" si="6"/>
        <v>42</v>
      </c>
      <c r="Z25" s="5">
        <f t="shared" ca="1" si="7"/>
        <v>1641</v>
      </c>
      <c r="AA25" s="5">
        <f t="shared" si="8"/>
        <v>3</v>
      </c>
      <c r="AB25" s="6">
        <v>1</v>
      </c>
      <c r="AC25" s="5">
        <f t="shared" si="9"/>
        <v>42</v>
      </c>
      <c r="AD25" s="5">
        <f t="shared" ca="1" si="10"/>
        <v>1641</v>
      </c>
      <c r="AE25" s="7">
        <f t="shared" si="11"/>
        <v>9</v>
      </c>
      <c r="AF25" s="5" t="e">
        <f t="shared" si="16"/>
        <v>#DIV/0!</v>
      </c>
      <c r="AG25" s="5">
        <f t="shared" ca="1" si="12"/>
        <v>378.08639999999997</v>
      </c>
      <c r="AH25" s="5">
        <f t="shared" si="13"/>
        <v>378</v>
      </c>
      <c r="AI25" s="6">
        <f t="shared" ca="1" si="14"/>
        <v>1.0002285714285712</v>
      </c>
    </row>
    <row r="26" spans="2:35" x14ac:dyDescent="0.2">
      <c r="B26" s="5" t="s">
        <v>60</v>
      </c>
      <c r="C26" s="21">
        <v>46251</v>
      </c>
      <c r="D26" s="5">
        <v>34</v>
      </c>
      <c r="E26" s="5">
        <v>6</v>
      </c>
      <c r="F26" s="5">
        <v>5</v>
      </c>
      <c r="G26" s="7">
        <f t="shared" ca="1" si="15"/>
        <v>29077</v>
      </c>
      <c r="H26" s="5">
        <v>0</v>
      </c>
      <c r="I26" s="5">
        <f>'B-ADIENT REAR SEAT'!R67</f>
        <v>5280</v>
      </c>
      <c r="J26" s="12">
        <f t="shared" ca="1" si="0"/>
        <v>27.5</v>
      </c>
      <c r="K26" s="5">
        <f t="shared" ca="1" si="1"/>
        <v>4923</v>
      </c>
      <c r="L26" s="5">
        <v>0</v>
      </c>
      <c r="M26" s="5">
        <f ca="1">'B-ADIENT REAR SEAT'!$D$99</f>
        <v>7.6799999999999993E-2</v>
      </c>
      <c r="N26" s="5">
        <v>0</v>
      </c>
      <c r="O26" s="5">
        <v>8</v>
      </c>
      <c r="P26" s="5"/>
      <c r="Q26" s="5">
        <v>0</v>
      </c>
      <c r="R26" s="5">
        <f t="shared" si="2"/>
        <v>1056</v>
      </c>
      <c r="S26" s="5">
        <v>3</v>
      </c>
      <c r="T26" s="6">
        <v>1</v>
      </c>
      <c r="U26" s="5">
        <f t="shared" si="3"/>
        <v>42</v>
      </c>
      <c r="V26" s="5">
        <f t="shared" ca="1" si="4"/>
        <v>1641</v>
      </c>
      <c r="W26" s="5">
        <f t="shared" si="5"/>
        <v>3</v>
      </c>
      <c r="X26" s="6">
        <v>1</v>
      </c>
      <c r="Y26" s="5">
        <f t="shared" si="6"/>
        <v>42</v>
      </c>
      <c r="Z26" s="5">
        <f t="shared" ca="1" si="7"/>
        <v>1641</v>
      </c>
      <c r="AA26" s="5">
        <f t="shared" si="8"/>
        <v>3</v>
      </c>
      <c r="AB26" s="6">
        <v>1</v>
      </c>
      <c r="AC26" s="5">
        <f t="shared" si="9"/>
        <v>42</v>
      </c>
      <c r="AD26" s="5">
        <f t="shared" ca="1" si="10"/>
        <v>1641</v>
      </c>
      <c r="AE26" s="7">
        <f t="shared" si="11"/>
        <v>9</v>
      </c>
      <c r="AF26" s="5" t="e">
        <f t="shared" si="16"/>
        <v>#DIV/0!</v>
      </c>
      <c r="AG26" s="5">
        <f t="shared" ca="1" si="12"/>
        <v>378.08639999999997</v>
      </c>
      <c r="AH26" s="5">
        <f t="shared" si="13"/>
        <v>378</v>
      </c>
      <c r="AI26" s="6">
        <f t="shared" ca="1" si="14"/>
        <v>1.0002285714285712</v>
      </c>
    </row>
    <row r="27" spans="2:35" x14ac:dyDescent="0.2">
      <c r="B27" s="5" t="s">
        <v>60</v>
      </c>
      <c r="C27" s="21">
        <v>46258</v>
      </c>
      <c r="D27" s="5">
        <v>35</v>
      </c>
      <c r="E27" s="5">
        <v>5</v>
      </c>
      <c r="F27" s="5">
        <v>5</v>
      </c>
      <c r="G27" s="7">
        <f t="shared" ca="1" si="15"/>
        <v>23797</v>
      </c>
      <c r="H27" s="5">
        <v>0</v>
      </c>
      <c r="I27" s="5">
        <f>'B-ADIENT REAR SEAT'!S67</f>
        <v>6000</v>
      </c>
      <c r="J27" s="12">
        <f t="shared" ca="1" si="0"/>
        <v>19.8</v>
      </c>
      <c r="K27" s="5">
        <f t="shared" ca="1" si="1"/>
        <v>4101</v>
      </c>
      <c r="L27" s="5">
        <v>0</v>
      </c>
      <c r="M27" s="5">
        <f ca="1">'B-ADIENT REAR SEAT'!$D$99</f>
        <v>7.6799999999999993E-2</v>
      </c>
      <c r="N27" s="5">
        <v>0</v>
      </c>
      <c r="O27" s="5">
        <v>8</v>
      </c>
      <c r="P27" s="5"/>
      <c r="Q27" s="5">
        <v>0</v>
      </c>
      <c r="R27" s="5">
        <f t="shared" si="2"/>
        <v>1200</v>
      </c>
      <c r="S27" s="5">
        <v>3</v>
      </c>
      <c r="T27" s="6">
        <v>1</v>
      </c>
      <c r="U27" s="5">
        <f t="shared" si="3"/>
        <v>35</v>
      </c>
      <c r="V27" s="5">
        <f t="shared" ca="1" si="4"/>
        <v>1367</v>
      </c>
      <c r="W27" s="5">
        <f t="shared" si="5"/>
        <v>3</v>
      </c>
      <c r="X27" s="6">
        <v>1</v>
      </c>
      <c r="Y27" s="5">
        <f t="shared" si="6"/>
        <v>35</v>
      </c>
      <c r="Z27" s="5">
        <f t="shared" ca="1" si="7"/>
        <v>1367</v>
      </c>
      <c r="AA27" s="5">
        <f t="shared" si="8"/>
        <v>3</v>
      </c>
      <c r="AB27" s="6">
        <v>1</v>
      </c>
      <c r="AC27" s="5">
        <f t="shared" si="9"/>
        <v>35</v>
      </c>
      <c r="AD27" s="5">
        <f t="shared" ca="1" si="10"/>
        <v>1367</v>
      </c>
      <c r="AE27" s="7">
        <f t="shared" si="11"/>
        <v>9</v>
      </c>
      <c r="AF27" s="5" t="e">
        <f t="shared" si="16"/>
        <v>#DIV/0!</v>
      </c>
      <c r="AG27" s="5">
        <f t="shared" ca="1" si="12"/>
        <v>314.95679999999999</v>
      </c>
      <c r="AH27" s="5">
        <f t="shared" si="13"/>
        <v>315</v>
      </c>
      <c r="AI27" s="6">
        <f t="shared" ca="1" si="14"/>
        <v>0.99986285714285705</v>
      </c>
    </row>
    <row r="28" spans="2:35" x14ac:dyDescent="0.2">
      <c r="B28" s="5" t="s">
        <v>60</v>
      </c>
      <c r="C28" s="21">
        <v>46265</v>
      </c>
      <c r="D28" s="5">
        <v>36</v>
      </c>
      <c r="E28" s="5">
        <v>6</v>
      </c>
      <c r="F28" s="5">
        <v>5</v>
      </c>
      <c r="G28" s="7">
        <f t="shared" ca="1" si="15"/>
        <v>22720</v>
      </c>
      <c r="H28" s="5">
        <v>0</v>
      </c>
      <c r="I28" s="5">
        <f>'B-ADIENT REAR SEAT'!T67</f>
        <v>6200</v>
      </c>
      <c r="J28" s="12">
        <f t="shared" ca="1" si="0"/>
        <v>18.3</v>
      </c>
      <c r="K28" s="5">
        <f t="shared" ca="1" si="1"/>
        <v>4923</v>
      </c>
      <c r="L28" s="5">
        <v>0</v>
      </c>
      <c r="M28" s="5">
        <f ca="1">'B-ADIENT REAR SEAT'!$D$99</f>
        <v>7.6799999999999993E-2</v>
      </c>
      <c r="N28" s="5">
        <v>0</v>
      </c>
      <c r="O28" s="5">
        <v>8</v>
      </c>
      <c r="P28" s="5"/>
      <c r="Q28" s="5">
        <v>0</v>
      </c>
      <c r="R28" s="5">
        <f t="shared" si="2"/>
        <v>1240</v>
      </c>
      <c r="S28" s="5">
        <v>3</v>
      </c>
      <c r="T28" s="6">
        <v>1</v>
      </c>
      <c r="U28" s="5">
        <f t="shared" si="3"/>
        <v>42</v>
      </c>
      <c r="V28" s="5">
        <f t="shared" ca="1" si="4"/>
        <v>1641</v>
      </c>
      <c r="W28" s="5">
        <f t="shared" si="5"/>
        <v>3</v>
      </c>
      <c r="X28" s="6">
        <v>1</v>
      </c>
      <c r="Y28" s="5">
        <f t="shared" si="6"/>
        <v>42</v>
      </c>
      <c r="Z28" s="5">
        <f t="shared" ca="1" si="7"/>
        <v>1641</v>
      </c>
      <c r="AA28" s="5">
        <f t="shared" si="8"/>
        <v>3</v>
      </c>
      <c r="AB28" s="6">
        <v>1</v>
      </c>
      <c r="AC28" s="5">
        <f t="shared" si="9"/>
        <v>42</v>
      </c>
      <c r="AD28" s="5">
        <f t="shared" ca="1" si="10"/>
        <v>1641</v>
      </c>
      <c r="AE28" s="7">
        <f t="shared" si="11"/>
        <v>9</v>
      </c>
      <c r="AF28" s="5" t="e">
        <f t="shared" si="16"/>
        <v>#DIV/0!</v>
      </c>
      <c r="AG28" s="5">
        <f t="shared" ca="1" si="12"/>
        <v>378.08639999999997</v>
      </c>
      <c r="AH28" s="5">
        <f t="shared" si="13"/>
        <v>378</v>
      </c>
      <c r="AI28" s="6">
        <f t="shared" ca="1" si="14"/>
        <v>1.0002285714285712</v>
      </c>
    </row>
    <row r="29" spans="2:35" x14ac:dyDescent="0.2">
      <c r="B29" s="5" t="s">
        <v>61</v>
      </c>
      <c r="C29" s="21">
        <v>46272</v>
      </c>
      <c r="D29" s="5">
        <v>37</v>
      </c>
      <c r="E29" s="5">
        <v>6</v>
      </c>
      <c r="F29" s="5">
        <v>5</v>
      </c>
      <c r="G29" s="7">
        <f t="shared" ca="1" si="15"/>
        <v>21443</v>
      </c>
      <c r="H29" s="5">
        <v>0</v>
      </c>
      <c r="I29" s="5">
        <f>'B-ADIENT REAR SEAT'!U67</f>
        <v>5870</v>
      </c>
      <c r="J29" s="12">
        <f t="shared" ca="1" si="0"/>
        <v>18.3</v>
      </c>
      <c r="K29" s="5">
        <f t="shared" ca="1" si="1"/>
        <v>4923</v>
      </c>
      <c r="L29" s="5">
        <v>0</v>
      </c>
      <c r="M29" s="5">
        <f ca="1">'B-ADIENT REAR SEAT'!$D$99</f>
        <v>7.6799999999999993E-2</v>
      </c>
      <c r="N29" s="5">
        <v>0</v>
      </c>
      <c r="O29" s="5">
        <v>9</v>
      </c>
      <c r="P29" s="5"/>
      <c r="Q29" s="5">
        <v>0</v>
      </c>
      <c r="R29" s="5">
        <f t="shared" si="2"/>
        <v>1174</v>
      </c>
      <c r="S29" s="5">
        <v>3</v>
      </c>
      <c r="T29" s="6">
        <v>1</v>
      </c>
      <c r="U29" s="5">
        <f t="shared" si="3"/>
        <v>42</v>
      </c>
      <c r="V29" s="5">
        <f t="shared" ca="1" si="4"/>
        <v>1641</v>
      </c>
      <c r="W29" s="5">
        <f t="shared" si="5"/>
        <v>3</v>
      </c>
      <c r="X29" s="6">
        <v>1</v>
      </c>
      <c r="Y29" s="5">
        <f t="shared" si="6"/>
        <v>42</v>
      </c>
      <c r="Z29" s="5">
        <f t="shared" ca="1" si="7"/>
        <v>1641</v>
      </c>
      <c r="AA29" s="5">
        <f t="shared" si="8"/>
        <v>3</v>
      </c>
      <c r="AB29" s="6">
        <v>1</v>
      </c>
      <c r="AC29" s="5">
        <f t="shared" si="9"/>
        <v>42</v>
      </c>
      <c r="AD29" s="5">
        <f t="shared" ca="1" si="10"/>
        <v>1641</v>
      </c>
      <c r="AE29" s="7">
        <f t="shared" si="11"/>
        <v>9</v>
      </c>
      <c r="AF29" s="5" t="e">
        <f t="shared" si="16"/>
        <v>#DIV/0!</v>
      </c>
      <c r="AG29" s="5">
        <f t="shared" ca="1" si="12"/>
        <v>378.08639999999997</v>
      </c>
      <c r="AH29" s="5">
        <f t="shared" si="13"/>
        <v>378</v>
      </c>
      <c r="AI29" s="6">
        <f t="shared" ca="1" si="14"/>
        <v>1.0002285714285712</v>
      </c>
    </row>
    <row r="30" spans="2:35" x14ac:dyDescent="0.2">
      <c r="B30" s="5" t="s">
        <v>61</v>
      </c>
      <c r="C30" s="21">
        <v>46279</v>
      </c>
      <c r="D30" s="5">
        <v>38</v>
      </c>
      <c r="E30" s="5">
        <v>6</v>
      </c>
      <c r="F30" s="5">
        <v>5</v>
      </c>
      <c r="G30" s="7">
        <f t="shared" ca="1" si="15"/>
        <v>20496</v>
      </c>
      <c r="H30" s="5">
        <v>0</v>
      </c>
      <c r="I30" s="5">
        <f>'B-ADIENT REAR SEAT'!V67</f>
        <v>5870</v>
      </c>
      <c r="J30" s="12">
        <f t="shared" ca="1" si="0"/>
        <v>17.5</v>
      </c>
      <c r="K30" s="5">
        <f t="shared" ca="1" si="1"/>
        <v>4923</v>
      </c>
      <c r="L30" s="5">
        <v>0</v>
      </c>
      <c r="M30" s="5">
        <f ca="1">'B-ADIENT REAR SEAT'!$D$99</f>
        <v>7.6799999999999993E-2</v>
      </c>
      <c r="N30" s="5">
        <v>0</v>
      </c>
      <c r="O30" s="5">
        <v>9</v>
      </c>
      <c r="P30" s="5"/>
      <c r="Q30" s="5">
        <v>0</v>
      </c>
      <c r="R30" s="5">
        <f t="shared" si="2"/>
        <v>1174</v>
      </c>
      <c r="S30" s="5">
        <v>3</v>
      </c>
      <c r="T30" s="6">
        <v>1</v>
      </c>
      <c r="U30" s="5">
        <f t="shared" si="3"/>
        <v>42</v>
      </c>
      <c r="V30" s="5">
        <f t="shared" ca="1" si="4"/>
        <v>1641</v>
      </c>
      <c r="W30" s="5">
        <f t="shared" si="5"/>
        <v>3</v>
      </c>
      <c r="X30" s="6">
        <v>1</v>
      </c>
      <c r="Y30" s="5">
        <f t="shared" si="6"/>
        <v>42</v>
      </c>
      <c r="Z30" s="5">
        <f t="shared" ca="1" si="7"/>
        <v>1641</v>
      </c>
      <c r="AA30" s="5">
        <f t="shared" si="8"/>
        <v>3</v>
      </c>
      <c r="AB30" s="6">
        <v>1</v>
      </c>
      <c r="AC30" s="5">
        <f t="shared" si="9"/>
        <v>42</v>
      </c>
      <c r="AD30" s="5">
        <f t="shared" ca="1" si="10"/>
        <v>1641</v>
      </c>
      <c r="AE30" s="7">
        <f t="shared" si="11"/>
        <v>9</v>
      </c>
      <c r="AF30" s="5" t="e">
        <f t="shared" si="16"/>
        <v>#DIV/0!</v>
      </c>
      <c r="AG30" s="5">
        <f t="shared" ca="1" si="12"/>
        <v>378.08639999999997</v>
      </c>
      <c r="AH30" s="5">
        <f t="shared" si="13"/>
        <v>378</v>
      </c>
      <c r="AI30" s="6">
        <f t="shared" ca="1" si="14"/>
        <v>1.0002285714285712</v>
      </c>
    </row>
    <row r="31" spans="2:35" x14ac:dyDescent="0.2">
      <c r="B31" s="5" t="s">
        <v>61</v>
      </c>
      <c r="C31" s="21">
        <v>46286</v>
      </c>
      <c r="D31" s="5">
        <v>39</v>
      </c>
      <c r="E31" s="5">
        <v>4</v>
      </c>
      <c r="F31" s="5">
        <v>5</v>
      </c>
      <c r="G31" s="7">
        <f t="shared" ca="1" si="15"/>
        <v>19549</v>
      </c>
      <c r="H31" s="5">
        <v>0</v>
      </c>
      <c r="I31" s="5">
        <f>'B-ADIENT REAR SEAT'!W67</f>
        <v>5870</v>
      </c>
      <c r="J31" s="12">
        <f t="shared" ca="1" si="0"/>
        <v>16.7</v>
      </c>
      <c r="K31" s="5">
        <f t="shared" ca="1" si="1"/>
        <v>3282</v>
      </c>
      <c r="L31" s="5">
        <v>0</v>
      </c>
      <c r="M31" s="5">
        <f ca="1">'B-ADIENT REAR SEAT'!$D$99</f>
        <v>7.6799999999999993E-2</v>
      </c>
      <c r="N31" s="5">
        <v>0</v>
      </c>
      <c r="O31" s="5">
        <v>9</v>
      </c>
      <c r="P31" s="5"/>
      <c r="Q31" s="5">
        <v>0</v>
      </c>
      <c r="R31" s="5">
        <f t="shared" si="2"/>
        <v>1174</v>
      </c>
      <c r="S31" s="5">
        <v>3</v>
      </c>
      <c r="T31" s="6">
        <v>1</v>
      </c>
      <c r="U31" s="5">
        <f t="shared" si="3"/>
        <v>28</v>
      </c>
      <c r="V31" s="5">
        <f t="shared" ca="1" si="4"/>
        <v>1094</v>
      </c>
      <c r="W31" s="5">
        <f t="shared" si="5"/>
        <v>3</v>
      </c>
      <c r="X31" s="6">
        <v>1</v>
      </c>
      <c r="Y31" s="5">
        <f t="shared" si="6"/>
        <v>28</v>
      </c>
      <c r="Z31" s="5">
        <f t="shared" ca="1" si="7"/>
        <v>1094</v>
      </c>
      <c r="AA31" s="5">
        <f t="shared" si="8"/>
        <v>3</v>
      </c>
      <c r="AB31" s="6">
        <v>1</v>
      </c>
      <c r="AC31" s="5">
        <f t="shared" si="9"/>
        <v>28</v>
      </c>
      <c r="AD31" s="5">
        <f t="shared" ca="1" si="10"/>
        <v>1094</v>
      </c>
      <c r="AE31" s="7">
        <f t="shared" si="11"/>
        <v>9</v>
      </c>
      <c r="AF31" s="5" t="e">
        <f t="shared" si="16"/>
        <v>#DIV/0!</v>
      </c>
      <c r="AG31" s="5">
        <f t="shared" ca="1" si="12"/>
        <v>252.05759999999998</v>
      </c>
      <c r="AH31" s="5">
        <f t="shared" si="13"/>
        <v>252</v>
      </c>
      <c r="AI31" s="6">
        <f t="shared" ca="1" si="14"/>
        <v>1.0002285714285712</v>
      </c>
    </row>
    <row r="32" spans="2:35" x14ac:dyDescent="0.2">
      <c r="B32" s="5" t="s">
        <v>61</v>
      </c>
      <c r="C32" s="21">
        <v>46293</v>
      </c>
      <c r="D32" s="5">
        <v>40</v>
      </c>
      <c r="E32" s="5">
        <v>5</v>
      </c>
      <c r="F32" s="5">
        <v>5</v>
      </c>
      <c r="G32" s="7">
        <f t="shared" ca="1" si="15"/>
        <v>17780</v>
      </c>
      <c r="H32" s="5">
        <v>0</v>
      </c>
      <c r="I32" s="5">
        <f>'B-ADIENT REAR SEAT'!X67</f>
        <v>5870</v>
      </c>
      <c r="J32" s="12">
        <f t="shared" ca="1" si="0"/>
        <v>15.1</v>
      </c>
      <c r="K32" s="5">
        <f t="shared" ca="1" si="1"/>
        <v>4101</v>
      </c>
      <c r="L32" s="5">
        <v>0</v>
      </c>
      <c r="M32" s="5">
        <f ca="1">'B-ADIENT REAR SEAT'!$D$99</f>
        <v>7.6799999999999993E-2</v>
      </c>
      <c r="N32" s="5">
        <v>0</v>
      </c>
      <c r="O32" s="5">
        <v>9</v>
      </c>
      <c r="P32" s="5"/>
      <c r="Q32" s="5">
        <v>0</v>
      </c>
      <c r="R32" s="5">
        <f t="shared" si="2"/>
        <v>1174</v>
      </c>
      <c r="S32" s="5">
        <v>3</v>
      </c>
      <c r="T32" s="6">
        <v>1</v>
      </c>
      <c r="U32" s="5">
        <f t="shared" si="3"/>
        <v>35</v>
      </c>
      <c r="V32" s="5">
        <f t="shared" ca="1" si="4"/>
        <v>1367</v>
      </c>
      <c r="W32" s="5">
        <f t="shared" si="5"/>
        <v>3</v>
      </c>
      <c r="X32" s="6">
        <v>1</v>
      </c>
      <c r="Y32" s="5">
        <f t="shared" si="6"/>
        <v>35</v>
      </c>
      <c r="Z32" s="5">
        <f t="shared" ca="1" si="7"/>
        <v>1367</v>
      </c>
      <c r="AA32" s="5">
        <f t="shared" si="8"/>
        <v>3</v>
      </c>
      <c r="AB32" s="6">
        <v>1</v>
      </c>
      <c r="AC32" s="5">
        <f t="shared" si="9"/>
        <v>35</v>
      </c>
      <c r="AD32" s="5">
        <f t="shared" ca="1" si="10"/>
        <v>1367</v>
      </c>
      <c r="AE32" s="7">
        <f t="shared" si="11"/>
        <v>9</v>
      </c>
      <c r="AF32" s="5" t="e">
        <f t="shared" si="16"/>
        <v>#DIV/0!</v>
      </c>
      <c r="AG32" s="5">
        <f t="shared" ca="1" si="12"/>
        <v>314.95679999999999</v>
      </c>
      <c r="AH32" s="5">
        <f t="shared" si="13"/>
        <v>315</v>
      </c>
      <c r="AI32" s="6">
        <f t="shared" ca="1" si="14"/>
        <v>0.99986285714285705</v>
      </c>
    </row>
    <row r="33" spans="2:35" x14ac:dyDescent="0.2">
      <c r="B33" s="5" t="s">
        <v>62</v>
      </c>
      <c r="C33" s="21">
        <v>46300</v>
      </c>
      <c r="D33" s="5">
        <v>41</v>
      </c>
      <c r="E33" s="5">
        <v>5</v>
      </c>
      <c r="F33" s="5">
        <v>5</v>
      </c>
      <c r="G33" s="7">
        <f t="shared" ca="1" si="15"/>
        <v>16833</v>
      </c>
      <c r="H33" s="5">
        <v>0</v>
      </c>
      <c r="I33" s="5">
        <f>'B-ADIENT REAR SEAT'!Y67</f>
        <v>4180</v>
      </c>
      <c r="J33" s="12">
        <f t="shared" ca="1" si="0"/>
        <v>20.100000000000001</v>
      </c>
      <c r="K33" s="5">
        <f t="shared" ca="1" si="1"/>
        <v>6835</v>
      </c>
      <c r="L33" s="5">
        <v>0</v>
      </c>
      <c r="M33" s="5">
        <f ca="1">'B-ADIENT REAR SEAT'!$D$99</f>
        <v>7.6799999999999993E-2</v>
      </c>
      <c r="N33" s="5">
        <v>0</v>
      </c>
      <c r="O33" s="5">
        <v>10</v>
      </c>
      <c r="P33" s="5"/>
      <c r="Q33" s="5">
        <v>0</v>
      </c>
      <c r="R33" s="5">
        <f t="shared" si="2"/>
        <v>836</v>
      </c>
      <c r="S33" s="5">
        <v>3</v>
      </c>
      <c r="T33" s="6">
        <v>1</v>
      </c>
      <c r="U33" s="5">
        <f t="shared" si="3"/>
        <v>35</v>
      </c>
      <c r="V33" s="5">
        <f t="shared" ca="1" si="4"/>
        <v>1367</v>
      </c>
      <c r="W33" s="5">
        <f t="shared" si="5"/>
        <v>3</v>
      </c>
      <c r="X33" s="6">
        <v>2</v>
      </c>
      <c r="Y33" s="5">
        <f t="shared" si="6"/>
        <v>35</v>
      </c>
      <c r="Z33" s="5">
        <f t="shared" ca="1" si="7"/>
        <v>2734</v>
      </c>
      <c r="AA33" s="5">
        <f t="shared" si="8"/>
        <v>3</v>
      </c>
      <c r="AB33" s="6">
        <v>2</v>
      </c>
      <c r="AC33" s="5">
        <f t="shared" si="9"/>
        <v>35</v>
      </c>
      <c r="AD33" s="5">
        <f t="shared" ca="1" si="10"/>
        <v>2734</v>
      </c>
      <c r="AE33" s="7">
        <f t="shared" si="11"/>
        <v>9</v>
      </c>
      <c r="AF33" s="5" t="e">
        <f t="shared" si="16"/>
        <v>#DIV/0!</v>
      </c>
      <c r="AG33" s="5">
        <f t="shared" ca="1" si="12"/>
        <v>524.928</v>
      </c>
      <c r="AH33" s="5">
        <f t="shared" si="13"/>
        <v>315</v>
      </c>
      <c r="AI33" s="6">
        <f t="shared" ca="1" si="14"/>
        <v>1.6664380952380953</v>
      </c>
    </row>
    <row r="34" spans="2:35" x14ac:dyDescent="0.2">
      <c r="B34" s="5" t="s">
        <v>62</v>
      </c>
      <c r="C34" s="21">
        <v>46307</v>
      </c>
      <c r="D34" s="5">
        <v>42</v>
      </c>
      <c r="E34" s="5">
        <v>6</v>
      </c>
      <c r="F34" s="5">
        <v>5</v>
      </c>
      <c r="G34" s="7">
        <f t="shared" ca="1" si="15"/>
        <v>17576</v>
      </c>
      <c r="H34" s="5">
        <v>0</v>
      </c>
      <c r="I34" s="5">
        <f>'B-ADIENT REAR SEAT'!Z67</f>
        <v>4180</v>
      </c>
      <c r="J34" s="12">
        <f t="shared" ca="1" si="0"/>
        <v>21</v>
      </c>
      <c r="K34" s="5">
        <f t="shared" ca="1" si="1"/>
        <v>4923</v>
      </c>
      <c r="L34" s="5">
        <v>0</v>
      </c>
      <c r="M34" s="5">
        <f ca="1">'B-ADIENT REAR SEAT'!$D$99</f>
        <v>7.6799999999999993E-2</v>
      </c>
      <c r="N34" s="5">
        <v>0</v>
      </c>
      <c r="O34" s="5">
        <v>10</v>
      </c>
      <c r="P34" s="5"/>
      <c r="Q34" s="5">
        <v>0</v>
      </c>
      <c r="R34" s="5">
        <f t="shared" si="2"/>
        <v>836</v>
      </c>
      <c r="S34" s="5">
        <v>3</v>
      </c>
      <c r="T34" s="6">
        <v>1</v>
      </c>
      <c r="U34" s="5">
        <f t="shared" si="3"/>
        <v>42</v>
      </c>
      <c r="V34" s="5">
        <f t="shared" ca="1" si="4"/>
        <v>1641</v>
      </c>
      <c r="W34" s="5">
        <f t="shared" si="5"/>
        <v>3</v>
      </c>
      <c r="X34" s="6">
        <v>1</v>
      </c>
      <c r="Y34" s="5">
        <f t="shared" si="6"/>
        <v>42</v>
      </c>
      <c r="Z34" s="5">
        <f t="shared" ca="1" si="7"/>
        <v>1641</v>
      </c>
      <c r="AA34" s="5">
        <f t="shared" si="8"/>
        <v>3</v>
      </c>
      <c r="AB34" s="6">
        <v>1</v>
      </c>
      <c r="AC34" s="5">
        <f t="shared" si="9"/>
        <v>42</v>
      </c>
      <c r="AD34" s="5">
        <f t="shared" ca="1" si="10"/>
        <v>1641</v>
      </c>
      <c r="AE34" s="7">
        <f t="shared" si="11"/>
        <v>9</v>
      </c>
      <c r="AF34" s="5" t="e">
        <f t="shared" si="16"/>
        <v>#DIV/0!</v>
      </c>
      <c r="AG34" s="5">
        <f t="shared" ca="1" si="12"/>
        <v>378.08639999999997</v>
      </c>
      <c r="AH34" s="5">
        <f t="shared" si="13"/>
        <v>378</v>
      </c>
      <c r="AI34" s="6">
        <f t="shared" ca="1" si="14"/>
        <v>1.0002285714285712</v>
      </c>
    </row>
    <row r="35" spans="2:35" x14ac:dyDescent="0.2">
      <c r="B35" s="5" t="s">
        <v>62</v>
      </c>
      <c r="C35" s="21">
        <v>46314</v>
      </c>
      <c r="D35" s="5">
        <v>43</v>
      </c>
      <c r="E35" s="5">
        <v>6</v>
      </c>
      <c r="F35" s="5">
        <v>5</v>
      </c>
      <c r="G35" s="7">
        <f t="shared" ca="1" si="15"/>
        <v>18319</v>
      </c>
      <c r="H35" s="5">
        <v>0</v>
      </c>
      <c r="I35" s="5">
        <f>'B-ADIENT REAR SEAT'!AA67</f>
        <v>4180</v>
      </c>
      <c r="J35" s="12">
        <f t="shared" ca="1" si="0"/>
        <v>21.9</v>
      </c>
      <c r="K35" s="5">
        <f t="shared" ca="1" si="1"/>
        <v>4923</v>
      </c>
      <c r="L35" s="5">
        <v>0</v>
      </c>
      <c r="M35" s="5">
        <f ca="1">'B-ADIENT REAR SEAT'!$D$99</f>
        <v>7.6799999999999993E-2</v>
      </c>
      <c r="N35" s="5">
        <v>0</v>
      </c>
      <c r="O35" s="5">
        <v>10</v>
      </c>
      <c r="P35" s="5"/>
      <c r="Q35" s="5">
        <v>0</v>
      </c>
      <c r="R35" s="5">
        <f t="shared" si="2"/>
        <v>836</v>
      </c>
      <c r="S35" s="5">
        <v>3</v>
      </c>
      <c r="T35" s="6">
        <v>1</v>
      </c>
      <c r="U35" s="5">
        <f t="shared" si="3"/>
        <v>42</v>
      </c>
      <c r="V35" s="5">
        <f t="shared" ca="1" si="4"/>
        <v>1641</v>
      </c>
      <c r="W35" s="5">
        <f t="shared" si="5"/>
        <v>3</v>
      </c>
      <c r="X35" s="6">
        <v>1</v>
      </c>
      <c r="Y35" s="5">
        <f t="shared" si="6"/>
        <v>42</v>
      </c>
      <c r="Z35" s="5">
        <f t="shared" ca="1" si="7"/>
        <v>1641</v>
      </c>
      <c r="AA35" s="5">
        <f t="shared" si="8"/>
        <v>3</v>
      </c>
      <c r="AB35" s="6">
        <v>1</v>
      </c>
      <c r="AC35" s="5">
        <f t="shared" si="9"/>
        <v>42</v>
      </c>
      <c r="AD35" s="5">
        <f t="shared" ca="1" si="10"/>
        <v>1641</v>
      </c>
      <c r="AE35" s="7">
        <f t="shared" si="11"/>
        <v>9</v>
      </c>
      <c r="AF35" s="5" t="e">
        <f t="shared" si="16"/>
        <v>#DIV/0!</v>
      </c>
      <c r="AG35" s="5">
        <f t="shared" ca="1" si="12"/>
        <v>378.08639999999997</v>
      </c>
      <c r="AH35" s="5">
        <f t="shared" si="13"/>
        <v>378</v>
      </c>
      <c r="AI35" s="6">
        <f t="shared" ca="1" si="14"/>
        <v>1.0002285714285712</v>
      </c>
    </row>
    <row r="36" spans="2:35" x14ac:dyDescent="0.2">
      <c r="B36" s="5" t="s">
        <v>62</v>
      </c>
      <c r="C36" s="21">
        <v>46321</v>
      </c>
      <c r="D36" s="5">
        <v>44</v>
      </c>
      <c r="E36" s="5">
        <v>6</v>
      </c>
      <c r="F36" s="5">
        <v>5</v>
      </c>
      <c r="G36" s="7">
        <f t="shared" ca="1" si="15"/>
        <v>17421</v>
      </c>
      <c r="H36" s="5">
        <v>0</v>
      </c>
      <c r="I36" s="5">
        <f>'B-ADIENT REAR SEAT'!AB67</f>
        <v>4180</v>
      </c>
      <c r="J36" s="12">
        <f t="shared" ca="1" si="0"/>
        <v>20.8</v>
      </c>
      <c r="K36" s="5">
        <f t="shared" ca="1" si="1"/>
        <v>4923</v>
      </c>
      <c r="L36" s="5">
        <v>0</v>
      </c>
      <c r="M36" s="5">
        <f ca="1">'B-ADIENT REAR SEAT'!$D$99</f>
        <v>7.6799999999999993E-2</v>
      </c>
      <c r="N36" s="5">
        <v>0</v>
      </c>
      <c r="O36" s="5">
        <v>10</v>
      </c>
      <c r="P36" s="5"/>
      <c r="Q36" s="5">
        <v>0</v>
      </c>
      <c r="R36" s="5">
        <f t="shared" si="2"/>
        <v>836</v>
      </c>
      <c r="S36" s="5">
        <v>3</v>
      </c>
      <c r="T36" s="6">
        <v>1</v>
      </c>
      <c r="U36" s="5">
        <f t="shared" si="3"/>
        <v>42</v>
      </c>
      <c r="V36" s="5">
        <f t="shared" ca="1" si="4"/>
        <v>1641</v>
      </c>
      <c r="W36" s="5">
        <f t="shared" si="5"/>
        <v>3</v>
      </c>
      <c r="X36" s="6">
        <v>1</v>
      </c>
      <c r="Y36" s="5">
        <f t="shared" si="6"/>
        <v>42</v>
      </c>
      <c r="Z36" s="5">
        <f t="shared" ca="1" si="7"/>
        <v>1641</v>
      </c>
      <c r="AA36" s="5">
        <f t="shared" si="8"/>
        <v>3</v>
      </c>
      <c r="AB36" s="6">
        <v>1</v>
      </c>
      <c r="AC36" s="5">
        <f t="shared" si="9"/>
        <v>42</v>
      </c>
      <c r="AD36" s="5">
        <f t="shared" ca="1" si="10"/>
        <v>1641</v>
      </c>
      <c r="AE36" s="7">
        <f t="shared" si="11"/>
        <v>9</v>
      </c>
      <c r="AF36" s="5" t="e">
        <f t="shared" si="16"/>
        <v>#DIV/0!</v>
      </c>
      <c r="AG36" s="5">
        <f t="shared" ca="1" si="12"/>
        <v>378.08639999999997</v>
      </c>
      <c r="AH36" s="5">
        <f t="shared" si="13"/>
        <v>378</v>
      </c>
      <c r="AI36" s="6">
        <f t="shared" ca="1" si="14"/>
        <v>1.0002285714285712</v>
      </c>
    </row>
    <row r="37" spans="2:35" x14ac:dyDescent="0.2">
      <c r="B37" s="5" t="s">
        <v>63</v>
      </c>
      <c r="C37" s="21">
        <v>46328</v>
      </c>
      <c r="D37" s="5">
        <v>45</v>
      </c>
      <c r="E37" s="5">
        <v>6</v>
      </c>
      <c r="F37" s="5">
        <v>5</v>
      </c>
      <c r="G37" s="7">
        <f t="shared" ca="1" si="15"/>
        <v>17342</v>
      </c>
      <c r="H37" s="5">
        <v>0</v>
      </c>
      <c r="I37" s="5">
        <f>'B-ADIENT REAR SEAT'!AC67</f>
        <v>6060</v>
      </c>
      <c r="J37" s="12">
        <f t="shared" ca="1" si="0"/>
        <v>14.3</v>
      </c>
      <c r="K37" s="5">
        <f t="shared" ca="1" si="1"/>
        <v>4923</v>
      </c>
      <c r="L37" s="5">
        <v>0</v>
      </c>
      <c r="M37" s="5">
        <f ca="1">'B-ADIENT REAR SEAT'!$D$99</f>
        <v>7.6799999999999993E-2</v>
      </c>
      <c r="N37" s="5">
        <v>0</v>
      </c>
      <c r="O37" s="5">
        <v>11</v>
      </c>
      <c r="P37" s="5"/>
      <c r="Q37" s="5">
        <v>0</v>
      </c>
      <c r="R37" s="5">
        <f t="shared" si="2"/>
        <v>1212</v>
      </c>
      <c r="S37" s="5">
        <v>3</v>
      </c>
      <c r="T37" s="6">
        <v>1</v>
      </c>
      <c r="U37" s="5">
        <f t="shared" si="3"/>
        <v>42</v>
      </c>
      <c r="V37" s="5">
        <f t="shared" ca="1" si="4"/>
        <v>1641</v>
      </c>
      <c r="W37" s="5">
        <f t="shared" si="5"/>
        <v>3</v>
      </c>
      <c r="X37" s="6">
        <v>1</v>
      </c>
      <c r="Y37" s="5">
        <f t="shared" si="6"/>
        <v>42</v>
      </c>
      <c r="Z37" s="5">
        <f t="shared" ca="1" si="7"/>
        <v>1641</v>
      </c>
      <c r="AA37" s="5">
        <f t="shared" si="8"/>
        <v>3</v>
      </c>
      <c r="AB37" s="6">
        <v>1</v>
      </c>
      <c r="AC37" s="5">
        <f t="shared" si="9"/>
        <v>42</v>
      </c>
      <c r="AD37" s="5">
        <f t="shared" ca="1" si="10"/>
        <v>1641</v>
      </c>
      <c r="AE37" s="7">
        <f t="shared" si="11"/>
        <v>9</v>
      </c>
      <c r="AF37" s="5" t="e">
        <f t="shared" si="16"/>
        <v>#DIV/0!</v>
      </c>
      <c r="AG37" s="5">
        <f t="shared" ca="1" si="12"/>
        <v>378.08639999999997</v>
      </c>
      <c r="AH37" s="5">
        <f t="shared" si="13"/>
        <v>378</v>
      </c>
      <c r="AI37" s="6">
        <f t="shared" ca="1" si="14"/>
        <v>1.0002285714285712</v>
      </c>
    </row>
    <row r="38" spans="2:35" x14ac:dyDescent="0.2">
      <c r="B38" s="5" t="s">
        <v>63</v>
      </c>
      <c r="C38" s="21">
        <v>46335</v>
      </c>
      <c r="D38" s="5">
        <v>46</v>
      </c>
      <c r="E38" s="5">
        <v>6</v>
      </c>
      <c r="F38" s="31">
        <v>4</v>
      </c>
      <c r="G38" s="7">
        <f t="shared" ca="1" si="15"/>
        <v>18117</v>
      </c>
      <c r="H38" s="5">
        <v>0</v>
      </c>
      <c r="I38" s="5">
        <f>'B-ADIENT REAR SEAT'!AD67</f>
        <v>6060</v>
      </c>
      <c r="J38" s="12">
        <f t="shared" ca="1" si="0"/>
        <v>12</v>
      </c>
      <c r="K38" s="5">
        <f t="shared" ca="1" si="1"/>
        <v>4923</v>
      </c>
      <c r="L38" s="5">
        <v>0</v>
      </c>
      <c r="M38" s="5">
        <f ca="1">'B-ADIENT REAR SEAT'!$D$99</f>
        <v>7.6799999999999993E-2</v>
      </c>
      <c r="N38" s="5">
        <v>0</v>
      </c>
      <c r="O38" s="5">
        <v>11</v>
      </c>
      <c r="P38" s="5"/>
      <c r="Q38" s="5">
        <v>0</v>
      </c>
      <c r="R38" s="5">
        <f t="shared" si="2"/>
        <v>1515</v>
      </c>
      <c r="S38" s="5">
        <v>3</v>
      </c>
      <c r="T38" s="6">
        <v>1</v>
      </c>
      <c r="U38" s="5">
        <f t="shared" si="3"/>
        <v>42</v>
      </c>
      <c r="V38" s="5">
        <f t="shared" ca="1" si="4"/>
        <v>1641</v>
      </c>
      <c r="W38" s="5">
        <f t="shared" si="5"/>
        <v>3</v>
      </c>
      <c r="X38" s="6">
        <v>1</v>
      </c>
      <c r="Y38" s="5">
        <f t="shared" si="6"/>
        <v>42</v>
      </c>
      <c r="Z38" s="5">
        <f t="shared" ca="1" si="7"/>
        <v>1641</v>
      </c>
      <c r="AA38" s="5">
        <f t="shared" si="8"/>
        <v>3</v>
      </c>
      <c r="AB38" s="6">
        <v>1</v>
      </c>
      <c r="AC38" s="5">
        <f t="shared" si="9"/>
        <v>42</v>
      </c>
      <c r="AD38" s="5">
        <f t="shared" ca="1" si="10"/>
        <v>1641</v>
      </c>
      <c r="AE38" s="7">
        <f t="shared" si="11"/>
        <v>9</v>
      </c>
      <c r="AF38" s="5" t="e">
        <f t="shared" si="16"/>
        <v>#DIV/0!</v>
      </c>
      <c r="AG38" s="5">
        <f t="shared" ca="1" si="12"/>
        <v>378.08639999999997</v>
      </c>
      <c r="AH38" s="5">
        <f t="shared" si="13"/>
        <v>378</v>
      </c>
      <c r="AI38" s="6">
        <f t="shared" ca="1" si="14"/>
        <v>1.0002285714285712</v>
      </c>
    </row>
    <row r="39" spans="2:35" x14ac:dyDescent="0.2">
      <c r="B39" s="5" t="s">
        <v>63</v>
      </c>
      <c r="C39" s="21">
        <v>46342</v>
      </c>
      <c r="D39" s="5">
        <v>47</v>
      </c>
      <c r="E39" s="5">
        <v>6</v>
      </c>
      <c r="F39" s="5">
        <v>5</v>
      </c>
      <c r="G39" s="7">
        <f t="shared" ca="1" si="15"/>
        <v>16980</v>
      </c>
      <c r="H39" s="5">
        <v>0</v>
      </c>
      <c r="I39" s="5">
        <f>'B-ADIENT REAR SEAT'!AE67</f>
        <v>6060</v>
      </c>
      <c r="J39" s="12">
        <f t="shared" ca="1" si="0"/>
        <v>14</v>
      </c>
      <c r="K39" s="5">
        <f t="shared" ca="1" si="1"/>
        <v>4923</v>
      </c>
      <c r="L39" s="5">
        <v>0</v>
      </c>
      <c r="M39" s="5">
        <f ca="1">'B-ADIENT REAR SEAT'!$D$99</f>
        <v>7.6799999999999993E-2</v>
      </c>
      <c r="N39" s="5">
        <v>0</v>
      </c>
      <c r="O39" s="5">
        <v>11</v>
      </c>
      <c r="P39" s="5"/>
      <c r="Q39" s="5">
        <v>0</v>
      </c>
      <c r="R39" s="5">
        <f t="shared" si="2"/>
        <v>1212</v>
      </c>
      <c r="S39" s="5">
        <v>3</v>
      </c>
      <c r="T39" s="6">
        <v>1</v>
      </c>
      <c r="U39" s="5">
        <f t="shared" si="3"/>
        <v>42</v>
      </c>
      <c r="V39" s="5">
        <f t="shared" ca="1" si="4"/>
        <v>1641</v>
      </c>
      <c r="W39" s="5">
        <f t="shared" si="5"/>
        <v>3</v>
      </c>
      <c r="X39" s="6">
        <v>1</v>
      </c>
      <c r="Y39" s="5">
        <f t="shared" si="6"/>
        <v>42</v>
      </c>
      <c r="Z39" s="5">
        <f t="shared" ca="1" si="7"/>
        <v>1641</v>
      </c>
      <c r="AA39" s="5">
        <f t="shared" si="8"/>
        <v>3</v>
      </c>
      <c r="AB39" s="6">
        <v>1</v>
      </c>
      <c r="AC39" s="5">
        <f t="shared" si="9"/>
        <v>42</v>
      </c>
      <c r="AD39" s="5">
        <f t="shared" ca="1" si="10"/>
        <v>1641</v>
      </c>
      <c r="AE39" s="7">
        <f t="shared" si="11"/>
        <v>9</v>
      </c>
      <c r="AF39" s="5" t="e">
        <f t="shared" si="16"/>
        <v>#DIV/0!</v>
      </c>
      <c r="AG39" s="5">
        <f t="shared" ca="1" si="12"/>
        <v>378.08639999999997</v>
      </c>
      <c r="AH39" s="5">
        <f t="shared" si="13"/>
        <v>378</v>
      </c>
      <c r="AI39" s="6">
        <f t="shared" ca="1" si="14"/>
        <v>1.0002285714285712</v>
      </c>
    </row>
    <row r="40" spans="2:35" x14ac:dyDescent="0.2">
      <c r="B40" s="5" t="s">
        <v>63</v>
      </c>
      <c r="C40" s="21">
        <v>46349</v>
      </c>
      <c r="D40" s="5">
        <v>48</v>
      </c>
      <c r="E40" s="5">
        <v>6</v>
      </c>
      <c r="F40" s="5">
        <v>5</v>
      </c>
      <c r="G40" s="7">
        <f t="shared" ca="1" si="15"/>
        <v>15843</v>
      </c>
      <c r="H40" s="5">
        <v>0</v>
      </c>
      <c r="I40" s="5">
        <f>'B-ADIENT REAR SEAT'!AF67</f>
        <v>6060</v>
      </c>
      <c r="J40" s="12">
        <f t="shared" ca="1" si="0"/>
        <v>13.1</v>
      </c>
      <c r="K40" s="5">
        <f t="shared" ca="1" si="1"/>
        <v>4923</v>
      </c>
      <c r="L40" s="5">
        <v>0</v>
      </c>
      <c r="M40" s="5">
        <f ca="1">'B-ADIENT REAR SEAT'!$D$99</f>
        <v>7.6799999999999993E-2</v>
      </c>
      <c r="N40" s="5">
        <v>0</v>
      </c>
      <c r="O40" s="5">
        <v>11</v>
      </c>
      <c r="P40" s="5"/>
      <c r="Q40" s="5">
        <v>0</v>
      </c>
      <c r="R40" s="5">
        <f t="shared" si="2"/>
        <v>1212</v>
      </c>
      <c r="S40" s="5">
        <v>3</v>
      </c>
      <c r="T40" s="6">
        <v>1</v>
      </c>
      <c r="U40" s="5">
        <f t="shared" si="3"/>
        <v>42</v>
      </c>
      <c r="V40" s="5">
        <f t="shared" ca="1" si="4"/>
        <v>1641</v>
      </c>
      <c r="W40" s="5">
        <f t="shared" si="5"/>
        <v>3</v>
      </c>
      <c r="X40" s="6">
        <v>1</v>
      </c>
      <c r="Y40" s="5">
        <f t="shared" si="6"/>
        <v>42</v>
      </c>
      <c r="Z40" s="5">
        <f t="shared" ca="1" si="7"/>
        <v>1641</v>
      </c>
      <c r="AA40" s="5">
        <f t="shared" si="8"/>
        <v>3</v>
      </c>
      <c r="AB40" s="6">
        <v>1</v>
      </c>
      <c r="AC40" s="5">
        <f t="shared" si="9"/>
        <v>42</v>
      </c>
      <c r="AD40" s="5">
        <f t="shared" ca="1" si="10"/>
        <v>1641</v>
      </c>
      <c r="AE40" s="7">
        <f t="shared" si="11"/>
        <v>9</v>
      </c>
      <c r="AF40" s="5" t="e">
        <f t="shared" si="16"/>
        <v>#DIV/0!</v>
      </c>
      <c r="AG40" s="5">
        <f t="shared" ca="1" si="12"/>
        <v>378.08639999999997</v>
      </c>
      <c r="AH40" s="5">
        <f t="shared" si="13"/>
        <v>378</v>
      </c>
      <c r="AI40" s="6">
        <f t="shared" ca="1" si="14"/>
        <v>1.0002285714285712</v>
      </c>
    </row>
    <row r="41" spans="2:35" x14ac:dyDescent="0.2">
      <c r="B41" s="5" t="s">
        <v>63</v>
      </c>
      <c r="C41" s="21">
        <v>46356</v>
      </c>
      <c r="D41" s="5">
        <v>49</v>
      </c>
      <c r="E41" s="5">
        <v>6</v>
      </c>
      <c r="F41" s="5">
        <v>5</v>
      </c>
      <c r="G41" s="7">
        <f t="shared" ca="1" si="15"/>
        <v>14706</v>
      </c>
      <c r="H41" s="5">
        <v>0</v>
      </c>
      <c r="I41" s="5">
        <f>'B-ADIENT REAR SEAT'!AG67</f>
        <v>6000</v>
      </c>
      <c r="J41" s="12">
        <f t="shared" ca="1" si="0"/>
        <v>12.3</v>
      </c>
      <c r="K41" s="5">
        <f t="shared" ca="1" si="1"/>
        <v>4923</v>
      </c>
      <c r="L41" s="5">
        <v>0</v>
      </c>
      <c r="M41" s="5">
        <f ca="1">'B-ADIENT REAR SEAT'!$D$99</f>
        <v>7.6799999999999993E-2</v>
      </c>
      <c r="N41" s="5">
        <v>0</v>
      </c>
      <c r="O41" s="5">
        <v>11</v>
      </c>
      <c r="P41" s="5"/>
      <c r="Q41" s="5">
        <v>0</v>
      </c>
      <c r="R41" s="5">
        <f t="shared" si="2"/>
        <v>1200</v>
      </c>
      <c r="S41" s="5">
        <v>3</v>
      </c>
      <c r="T41" s="6">
        <v>1</v>
      </c>
      <c r="U41" s="5">
        <f t="shared" si="3"/>
        <v>42</v>
      </c>
      <c r="V41" s="5">
        <f t="shared" ca="1" si="4"/>
        <v>1641</v>
      </c>
      <c r="W41" s="5">
        <f t="shared" si="5"/>
        <v>3</v>
      </c>
      <c r="X41" s="6">
        <v>1</v>
      </c>
      <c r="Y41" s="5">
        <f t="shared" si="6"/>
        <v>42</v>
      </c>
      <c r="Z41" s="5">
        <f t="shared" ca="1" si="7"/>
        <v>1641</v>
      </c>
      <c r="AA41" s="5">
        <f t="shared" si="8"/>
        <v>3</v>
      </c>
      <c r="AB41" s="6">
        <v>1</v>
      </c>
      <c r="AC41" s="5">
        <f t="shared" si="9"/>
        <v>42</v>
      </c>
      <c r="AD41" s="5">
        <f t="shared" ca="1" si="10"/>
        <v>1641</v>
      </c>
      <c r="AE41" s="7">
        <f t="shared" si="11"/>
        <v>9</v>
      </c>
      <c r="AF41" s="5" t="e">
        <f t="shared" si="16"/>
        <v>#DIV/0!</v>
      </c>
      <c r="AG41" s="5">
        <f t="shared" ca="1" si="12"/>
        <v>378.08639999999997</v>
      </c>
      <c r="AH41" s="5">
        <f t="shared" si="13"/>
        <v>378</v>
      </c>
      <c r="AI41" s="6">
        <f t="shared" ca="1" si="14"/>
        <v>1.0002285714285712</v>
      </c>
    </row>
    <row r="42" spans="2:35" x14ac:dyDescent="0.2">
      <c r="B42" s="5" t="s">
        <v>64</v>
      </c>
      <c r="C42" s="21">
        <v>46363</v>
      </c>
      <c r="D42" s="5">
        <v>50</v>
      </c>
      <c r="E42" s="5">
        <v>6</v>
      </c>
      <c r="F42" s="5">
        <v>5</v>
      </c>
      <c r="G42" s="7">
        <f t="shared" ca="1" si="15"/>
        <v>13629</v>
      </c>
      <c r="H42" s="5">
        <v>0</v>
      </c>
      <c r="I42" s="5">
        <f>'B-ADIENT REAR SEAT'!AH67</f>
        <v>6100</v>
      </c>
      <c r="J42" s="12">
        <f t="shared" ca="1" si="0"/>
        <v>11.2</v>
      </c>
      <c r="K42" s="5">
        <f t="shared" ca="1" si="1"/>
        <v>4923</v>
      </c>
      <c r="L42" s="5">
        <v>0</v>
      </c>
      <c r="M42" s="5">
        <f ca="1">'B-ADIENT REAR SEAT'!$D$99</f>
        <v>7.6799999999999993E-2</v>
      </c>
      <c r="N42" s="5">
        <v>0</v>
      </c>
      <c r="O42" s="5">
        <v>12</v>
      </c>
      <c r="P42" s="5"/>
      <c r="Q42" s="5">
        <v>0</v>
      </c>
      <c r="R42" s="5">
        <f t="shared" si="2"/>
        <v>1220</v>
      </c>
      <c r="S42" s="5">
        <v>3</v>
      </c>
      <c r="T42" s="6">
        <v>1</v>
      </c>
      <c r="U42" s="5">
        <f t="shared" si="3"/>
        <v>42</v>
      </c>
      <c r="V42" s="5">
        <f t="shared" ca="1" si="4"/>
        <v>1641</v>
      </c>
      <c r="W42" s="5">
        <f t="shared" si="5"/>
        <v>3</v>
      </c>
      <c r="X42" s="6">
        <v>1</v>
      </c>
      <c r="Y42" s="5">
        <f t="shared" si="6"/>
        <v>42</v>
      </c>
      <c r="Z42" s="5">
        <f t="shared" ca="1" si="7"/>
        <v>1641</v>
      </c>
      <c r="AA42" s="5">
        <f t="shared" si="8"/>
        <v>3</v>
      </c>
      <c r="AB42" s="6">
        <v>1</v>
      </c>
      <c r="AC42" s="5">
        <f t="shared" si="9"/>
        <v>42</v>
      </c>
      <c r="AD42" s="5">
        <f t="shared" ca="1" si="10"/>
        <v>1641</v>
      </c>
      <c r="AE42" s="7">
        <f t="shared" si="11"/>
        <v>9</v>
      </c>
      <c r="AF42" s="5" t="e">
        <f t="shared" si="16"/>
        <v>#DIV/0!</v>
      </c>
      <c r="AG42" s="5">
        <f t="shared" ca="1" si="12"/>
        <v>378.08639999999997</v>
      </c>
      <c r="AH42" s="5">
        <f t="shared" si="13"/>
        <v>378</v>
      </c>
      <c r="AI42" s="6">
        <f t="shared" ca="1" si="14"/>
        <v>1.0002285714285712</v>
      </c>
    </row>
    <row r="43" spans="2:35" x14ac:dyDescent="0.2">
      <c r="B43" s="5" t="s">
        <v>64</v>
      </c>
      <c r="C43" s="21">
        <v>46370</v>
      </c>
      <c r="D43" s="5">
        <v>51</v>
      </c>
      <c r="E43" s="5">
        <v>6</v>
      </c>
      <c r="F43" s="24">
        <v>10</v>
      </c>
      <c r="G43" s="7">
        <f t="shared" ca="1" si="15"/>
        <v>12452</v>
      </c>
      <c r="H43" s="5">
        <v>0</v>
      </c>
      <c r="I43" s="5">
        <f>'B-ADIENT REAR SEAT'!AI67</f>
        <v>6100</v>
      </c>
      <c r="J43" s="12">
        <f t="shared" ca="1" si="0"/>
        <v>20.399999999999999</v>
      </c>
      <c r="K43" s="5">
        <f t="shared" ca="1" si="1"/>
        <v>4923</v>
      </c>
      <c r="L43" s="5">
        <v>0</v>
      </c>
      <c r="M43" s="5">
        <f ca="1">'B-ADIENT REAR SEAT'!$D$99</f>
        <v>7.6799999999999993E-2</v>
      </c>
      <c r="N43" s="5">
        <v>0</v>
      </c>
      <c r="O43" s="5">
        <v>12</v>
      </c>
      <c r="P43" s="5"/>
      <c r="Q43" s="5">
        <v>0</v>
      </c>
      <c r="R43" s="5">
        <f t="shared" si="2"/>
        <v>610</v>
      </c>
      <c r="S43" s="5">
        <v>3</v>
      </c>
      <c r="T43" s="6">
        <v>1</v>
      </c>
      <c r="U43" s="5">
        <f t="shared" si="3"/>
        <v>42</v>
      </c>
      <c r="V43" s="5">
        <f t="shared" ca="1" si="4"/>
        <v>1641</v>
      </c>
      <c r="W43" s="5">
        <f t="shared" si="5"/>
        <v>3</v>
      </c>
      <c r="X43" s="6">
        <v>1</v>
      </c>
      <c r="Y43" s="5">
        <f t="shared" si="6"/>
        <v>42</v>
      </c>
      <c r="Z43" s="5">
        <f t="shared" ca="1" si="7"/>
        <v>1641</v>
      </c>
      <c r="AA43" s="5">
        <f t="shared" si="8"/>
        <v>3</v>
      </c>
      <c r="AB43" s="6">
        <v>1</v>
      </c>
      <c r="AC43" s="5">
        <f t="shared" si="9"/>
        <v>42</v>
      </c>
      <c r="AD43" s="5">
        <f t="shared" ca="1" si="10"/>
        <v>1641</v>
      </c>
      <c r="AE43" s="7">
        <f t="shared" si="11"/>
        <v>9</v>
      </c>
      <c r="AF43" s="5" t="e">
        <f t="shared" si="16"/>
        <v>#DIV/0!</v>
      </c>
      <c r="AG43" s="5">
        <f t="shared" ca="1" si="12"/>
        <v>378.08639999999997</v>
      </c>
      <c r="AH43" s="5">
        <f t="shared" si="13"/>
        <v>378</v>
      </c>
      <c r="AI43" s="6">
        <f t="shared" ca="1" si="14"/>
        <v>1.0002285714285712</v>
      </c>
    </row>
    <row r="44" spans="2:35" x14ac:dyDescent="0.2">
      <c r="B44" s="5" t="s">
        <v>64</v>
      </c>
      <c r="C44" s="21">
        <v>46377</v>
      </c>
      <c r="D44" s="5">
        <v>52</v>
      </c>
      <c r="E44" s="5">
        <v>6</v>
      </c>
      <c r="F44" s="32">
        <v>0</v>
      </c>
      <c r="G44" s="7">
        <f t="shared" ca="1" si="15"/>
        <v>11275</v>
      </c>
      <c r="H44" s="5">
        <v>0</v>
      </c>
      <c r="I44" s="5">
        <f>'B-ADIENT REAR SEAT'!AJ67</f>
        <v>0</v>
      </c>
      <c r="J44" s="12" t="str">
        <f t="shared" ref="J44:J75" si="17">IF(I44=0,"N/S",ROUND( ( ((G44) * 1)/I44)*F44,1))</f>
        <v>N/S</v>
      </c>
      <c r="K44" s="5">
        <f t="shared" ref="K44:K75" ca="1" si="18">V44+Z44+AD44</f>
        <v>4923</v>
      </c>
      <c r="L44" s="5">
        <v>0</v>
      </c>
      <c r="M44" s="5">
        <f ca="1">'B-ADIENT REAR SEAT'!$D$99</f>
        <v>7.6799999999999993E-2</v>
      </c>
      <c r="N44" s="5">
        <v>0</v>
      </c>
      <c r="O44" s="5">
        <v>12</v>
      </c>
      <c r="P44" s="5"/>
      <c r="Q44" s="5">
        <v>0</v>
      </c>
      <c r="R44" s="5">
        <f t="shared" ref="R44:R75" si="19">IF(F44=0,0,ROUND(I44/F44,0))</f>
        <v>0</v>
      </c>
      <c r="S44" s="5">
        <v>3</v>
      </c>
      <c r="T44" s="6">
        <v>1</v>
      </c>
      <c r="U44" s="5">
        <f t="shared" si="3"/>
        <v>42</v>
      </c>
      <c r="V44" s="5">
        <f t="shared" ref="V44:V75" ca="1" si="20">ROUND(((S44*T44*U44)/M44),0)</f>
        <v>1641</v>
      </c>
      <c r="W44" s="5">
        <f t="shared" ref="W44:W75" si="21">S44</f>
        <v>3</v>
      </c>
      <c r="X44" s="6">
        <v>1</v>
      </c>
      <c r="Y44" s="5">
        <f t="shared" ref="Y44:Y75" si="22">U44</f>
        <v>42</v>
      </c>
      <c r="Z44" s="5">
        <f t="shared" ref="Z44:Z75" ca="1" si="23">ROUND(((W44*X44*Y44)/M44),0)</f>
        <v>1641</v>
      </c>
      <c r="AA44" s="5">
        <f t="shared" ref="AA44:AA75" si="24">W44</f>
        <v>3</v>
      </c>
      <c r="AB44" s="6">
        <v>1</v>
      </c>
      <c r="AC44" s="5">
        <f t="shared" ref="AC44:AC75" si="25">E44*7-N44</f>
        <v>42</v>
      </c>
      <c r="AD44" s="5">
        <f t="shared" ref="AD44:AD75" ca="1" si="26">ROUND(((AA44*AB44*AC44)/M44),0)</f>
        <v>1641</v>
      </c>
      <c r="AE44" s="7">
        <f t="shared" ref="AE44:AE75" si="27">S44+W44+AA44</f>
        <v>9</v>
      </c>
      <c r="AF44" s="5" t="e">
        <f t="shared" si="16"/>
        <v>#DIV/0!</v>
      </c>
      <c r="AG44" s="5">
        <f t="shared" ref="AG44:AG75" ca="1" si="28">K44*M44</f>
        <v>378.08639999999997</v>
      </c>
      <c r="AH44" s="5">
        <f t="shared" ref="AH44:AH75" si="29">S44*U44+W44*Y44+AA44*AC44</f>
        <v>378</v>
      </c>
      <c r="AI44" s="6">
        <f t="shared" ref="AI44:AI75" ca="1" si="30">IF(AH44=0,0,AG44/AH44)</f>
        <v>1.0002285714285712</v>
      </c>
    </row>
    <row r="45" spans="2:35" x14ac:dyDescent="0.2">
      <c r="B45" s="5" t="s">
        <v>64</v>
      </c>
      <c r="C45" s="21">
        <v>46384</v>
      </c>
      <c r="D45" s="5">
        <v>53</v>
      </c>
      <c r="E45" s="5">
        <v>0</v>
      </c>
      <c r="F45" s="32">
        <v>0</v>
      </c>
      <c r="G45" s="7">
        <f t="shared" ca="1" si="15"/>
        <v>16198</v>
      </c>
      <c r="H45" s="5">
        <v>0</v>
      </c>
      <c r="I45" s="5">
        <f>'B-ADIENT REAR SEAT'!AK67</f>
        <v>0</v>
      </c>
      <c r="J45" s="12" t="str">
        <f t="shared" si="17"/>
        <v>N/S</v>
      </c>
      <c r="K45" s="5">
        <f t="shared" ca="1" si="18"/>
        <v>0</v>
      </c>
      <c r="L45" s="5">
        <v>0</v>
      </c>
      <c r="M45" s="5">
        <f ca="1">'B-ADIENT REAR SEAT'!$D$99</f>
        <v>7.6799999999999993E-2</v>
      </c>
      <c r="N45" s="5">
        <v>0</v>
      </c>
      <c r="O45" s="5">
        <v>12</v>
      </c>
      <c r="P45" s="5"/>
      <c r="Q45" s="5">
        <v>0</v>
      </c>
      <c r="R45" s="5">
        <f t="shared" si="19"/>
        <v>0</v>
      </c>
      <c r="S45" s="5">
        <v>3</v>
      </c>
      <c r="T45" s="6">
        <v>1</v>
      </c>
      <c r="U45" s="5">
        <f t="shared" si="3"/>
        <v>0</v>
      </c>
      <c r="V45" s="5">
        <f t="shared" ca="1" si="20"/>
        <v>0</v>
      </c>
      <c r="W45" s="5">
        <f t="shared" si="21"/>
        <v>3</v>
      </c>
      <c r="X45" s="6">
        <v>1</v>
      </c>
      <c r="Y45" s="5">
        <f t="shared" si="22"/>
        <v>0</v>
      </c>
      <c r="Z45" s="5">
        <f t="shared" ca="1" si="23"/>
        <v>0</v>
      </c>
      <c r="AA45" s="5">
        <f t="shared" si="24"/>
        <v>3</v>
      </c>
      <c r="AB45" s="6">
        <v>1</v>
      </c>
      <c r="AC45" s="5">
        <f t="shared" si="25"/>
        <v>0</v>
      </c>
      <c r="AD45" s="5">
        <f t="shared" ca="1" si="26"/>
        <v>0</v>
      </c>
      <c r="AE45" s="7">
        <f t="shared" si="27"/>
        <v>9</v>
      </c>
      <c r="AF45" s="5" t="e">
        <f t="shared" si="16"/>
        <v>#DIV/0!</v>
      </c>
      <c r="AG45" s="5">
        <f t="shared" ca="1" si="28"/>
        <v>0</v>
      </c>
      <c r="AH45" s="5">
        <f t="shared" si="29"/>
        <v>0</v>
      </c>
      <c r="AI45" s="6">
        <f t="shared" si="30"/>
        <v>0</v>
      </c>
    </row>
    <row r="46" spans="2:35" x14ac:dyDescent="0.2">
      <c r="B46" s="5" t="s">
        <v>65</v>
      </c>
      <c r="C46" s="21">
        <v>46391</v>
      </c>
      <c r="D46" s="5">
        <v>1</v>
      </c>
      <c r="E46" s="5">
        <v>6</v>
      </c>
      <c r="F46" s="29">
        <v>0</v>
      </c>
      <c r="G46" s="7">
        <f t="shared" ca="1" si="15"/>
        <v>21121</v>
      </c>
      <c r="H46" s="5">
        <v>0</v>
      </c>
      <c r="I46" s="5">
        <f>'B-ADIENT REAR SEAT'!AL67</f>
        <v>0</v>
      </c>
      <c r="J46" s="12" t="str">
        <f t="shared" si="17"/>
        <v>N/S</v>
      </c>
      <c r="K46" s="5">
        <f t="shared" ca="1" si="18"/>
        <v>4923</v>
      </c>
      <c r="L46" s="5">
        <v>0</v>
      </c>
      <c r="M46" s="5">
        <f ca="1">'B-ADIENT REAR SEAT'!$D$99</f>
        <v>7.6799999999999993E-2</v>
      </c>
      <c r="N46" s="5">
        <v>0</v>
      </c>
      <c r="O46" s="5">
        <v>1</v>
      </c>
      <c r="P46" s="5"/>
      <c r="Q46" s="5">
        <v>0</v>
      </c>
      <c r="R46" s="5">
        <f t="shared" si="19"/>
        <v>0</v>
      </c>
      <c r="S46" s="5">
        <v>3</v>
      </c>
      <c r="T46" s="6">
        <v>1</v>
      </c>
      <c r="U46" s="5">
        <f t="shared" si="3"/>
        <v>42</v>
      </c>
      <c r="V46" s="5">
        <f t="shared" ca="1" si="20"/>
        <v>1641</v>
      </c>
      <c r="W46" s="5">
        <f t="shared" si="21"/>
        <v>3</v>
      </c>
      <c r="X46" s="6">
        <v>1</v>
      </c>
      <c r="Y46" s="5">
        <f t="shared" si="22"/>
        <v>42</v>
      </c>
      <c r="Z46" s="5">
        <f t="shared" ca="1" si="23"/>
        <v>1641</v>
      </c>
      <c r="AA46" s="5">
        <f t="shared" si="24"/>
        <v>3</v>
      </c>
      <c r="AB46" s="6">
        <v>1</v>
      </c>
      <c r="AC46" s="5">
        <f t="shared" si="25"/>
        <v>42</v>
      </c>
      <c r="AD46" s="5">
        <f t="shared" ca="1" si="26"/>
        <v>1641</v>
      </c>
      <c r="AE46" s="7">
        <f t="shared" si="27"/>
        <v>9</v>
      </c>
      <c r="AF46" s="5" t="e">
        <f t="shared" si="16"/>
        <v>#DIV/0!</v>
      </c>
      <c r="AG46" s="5">
        <f t="shared" ca="1" si="28"/>
        <v>378.08639999999997</v>
      </c>
      <c r="AH46" s="5">
        <f t="shared" si="29"/>
        <v>378</v>
      </c>
      <c r="AI46" s="6">
        <f t="shared" ca="1" si="30"/>
        <v>1.0002285714285712</v>
      </c>
    </row>
    <row r="47" spans="2:35" x14ac:dyDescent="0.2">
      <c r="B47" s="5" t="s">
        <v>65</v>
      </c>
      <c r="C47" s="21">
        <v>46398</v>
      </c>
      <c r="D47" s="5">
        <v>2</v>
      </c>
      <c r="E47" s="5">
        <v>4</v>
      </c>
      <c r="F47" s="5">
        <v>0</v>
      </c>
      <c r="G47" s="7">
        <f t="shared" ca="1" si="15"/>
        <v>26044</v>
      </c>
      <c r="H47" s="5">
        <v>0</v>
      </c>
      <c r="I47" s="5">
        <f>'B-ADIENT REAR SEAT'!AM67</f>
        <v>0</v>
      </c>
      <c r="J47" s="12" t="str">
        <f t="shared" si="17"/>
        <v>N/S</v>
      </c>
      <c r="K47" s="5">
        <f t="shared" ca="1" si="18"/>
        <v>3282</v>
      </c>
      <c r="L47" s="5">
        <v>0</v>
      </c>
      <c r="M47" s="5">
        <f ca="1">'B-ADIENT REAR SEAT'!$D$99</f>
        <v>7.6799999999999993E-2</v>
      </c>
      <c r="N47" s="5">
        <v>0</v>
      </c>
      <c r="O47" s="5">
        <v>1</v>
      </c>
      <c r="P47" s="5"/>
      <c r="Q47" s="5">
        <v>0</v>
      </c>
      <c r="R47" s="5">
        <f t="shared" si="19"/>
        <v>0</v>
      </c>
      <c r="S47" s="5">
        <v>3</v>
      </c>
      <c r="T47" s="6">
        <v>1</v>
      </c>
      <c r="U47" s="5">
        <f t="shared" si="3"/>
        <v>28</v>
      </c>
      <c r="V47" s="5">
        <f t="shared" ca="1" si="20"/>
        <v>1094</v>
      </c>
      <c r="W47" s="5">
        <f t="shared" si="21"/>
        <v>3</v>
      </c>
      <c r="X47" s="6">
        <v>1</v>
      </c>
      <c r="Y47" s="5">
        <f t="shared" si="22"/>
        <v>28</v>
      </c>
      <c r="Z47" s="5">
        <f t="shared" ca="1" si="23"/>
        <v>1094</v>
      </c>
      <c r="AA47" s="5">
        <f t="shared" si="24"/>
        <v>3</v>
      </c>
      <c r="AB47" s="6">
        <v>1</v>
      </c>
      <c r="AC47" s="5">
        <f t="shared" si="25"/>
        <v>28</v>
      </c>
      <c r="AD47" s="5">
        <f t="shared" ca="1" si="26"/>
        <v>1094</v>
      </c>
      <c r="AE47" s="7">
        <f t="shared" si="27"/>
        <v>9</v>
      </c>
      <c r="AF47" s="5" t="e">
        <f t="shared" si="16"/>
        <v>#DIV/0!</v>
      </c>
      <c r="AG47" s="5">
        <f t="shared" ca="1" si="28"/>
        <v>252.05759999999998</v>
      </c>
      <c r="AH47" s="5">
        <f t="shared" si="29"/>
        <v>252</v>
      </c>
      <c r="AI47" s="6">
        <f t="shared" ca="1" si="30"/>
        <v>1.0002285714285712</v>
      </c>
    </row>
    <row r="48" spans="2:35" x14ac:dyDescent="0.2">
      <c r="B48" s="5" t="s">
        <v>65</v>
      </c>
      <c r="C48" s="21">
        <v>46405</v>
      </c>
      <c r="D48" s="5">
        <v>3</v>
      </c>
      <c r="E48" s="5">
        <v>6</v>
      </c>
      <c r="F48" s="5">
        <v>5</v>
      </c>
      <c r="G48" s="7">
        <f t="shared" ca="1" si="15"/>
        <v>30967</v>
      </c>
      <c r="H48" s="5">
        <v>0</v>
      </c>
      <c r="I48" s="5">
        <f>'B-ADIENT REAR SEAT'!AN67</f>
        <v>4394</v>
      </c>
      <c r="J48" s="12">
        <f t="shared" ca="1" si="17"/>
        <v>35.200000000000003</v>
      </c>
      <c r="K48" s="5">
        <f t="shared" ca="1" si="18"/>
        <v>4923</v>
      </c>
      <c r="L48" s="5">
        <v>0</v>
      </c>
      <c r="M48" s="5">
        <f ca="1">'B-ADIENT REAR SEAT'!$D$99</f>
        <v>7.6799999999999993E-2</v>
      </c>
      <c r="N48" s="5">
        <v>0</v>
      </c>
      <c r="O48" s="5">
        <v>1</v>
      </c>
      <c r="P48" s="5"/>
      <c r="Q48" s="5">
        <v>0</v>
      </c>
      <c r="R48" s="5">
        <f t="shared" si="19"/>
        <v>879</v>
      </c>
      <c r="S48" s="5">
        <v>3</v>
      </c>
      <c r="T48" s="6">
        <v>1</v>
      </c>
      <c r="U48" s="5">
        <f t="shared" si="3"/>
        <v>42</v>
      </c>
      <c r="V48" s="5">
        <f t="shared" ca="1" si="20"/>
        <v>1641</v>
      </c>
      <c r="W48" s="5">
        <f t="shared" si="21"/>
        <v>3</v>
      </c>
      <c r="X48" s="6">
        <v>1</v>
      </c>
      <c r="Y48" s="5">
        <f t="shared" si="22"/>
        <v>42</v>
      </c>
      <c r="Z48" s="5">
        <f t="shared" ca="1" si="23"/>
        <v>1641</v>
      </c>
      <c r="AA48" s="5">
        <f t="shared" si="24"/>
        <v>3</v>
      </c>
      <c r="AB48" s="6">
        <v>1</v>
      </c>
      <c r="AC48" s="5">
        <f t="shared" si="25"/>
        <v>42</v>
      </c>
      <c r="AD48" s="5">
        <f t="shared" ca="1" si="26"/>
        <v>1641</v>
      </c>
      <c r="AE48" s="7">
        <f t="shared" si="27"/>
        <v>9</v>
      </c>
      <c r="AF48" s="5" t="e">
        <f t="shared" si="16"/>
        <v>#DIV/0!</v>
      </c>
      <c r="AG48" s="5">
        <f t="shared" ca="1" si="28"/>
        <v>378.08639999999997</v>
      </c>
      <c r="AH48" s="5">
        <f t="shared" si="29"/>
        <v>378</v>
      </c>
      <c r="AI48" s="6">
        <f t="shared" ca="1" si="30"/>
        <v>1.0002285714285712</v>
      </c>
    </row>
    <row r="49" spans="2:35" x14ac:dyDescent="0.2">
      <c r="B49" s="5" t="s">
        <v>65</v>
      </c>
      <c r="C49" s="21">
        <v>46412</v>
      </c>
      <c r="D49" s="5">
        <v>4</v>
      </c>
      <c r="E49" s="5">
        <v>6</v>
      </c>
      <c r="F49" s="5">
        <v>5</v>
      </c>
      <c r="G49" s="7">
        <f t="shared" ref="G49:G80" ca="1" si="31">(G48+H48-I48+K44)</f>
        <v>31496</v>
      </c>
      <c r="H49" s="5">
        <v>0</v>
      </c>
      <c r="I49" s="5">
        <f>'B-ADIENT REAR SEAT'!AO67</f>
        <v>4394</v>
      </c>
      <c r="J49" s="12">
        <f t="shared" ca="1" si="17"/>
        <v>35.799999999999997</v>
      </c>
      <c r="K49" s="5">
        <f t="shared" ca="1" si="18"/>
        <v>4923</v>
      </c>
      <c r="L49" s="5">
        <v>0</v>
      </c>
      <c r="M49" s="5">
        <f ca="1">'B-ADIENT REAR SEAT'!$D$99</f>
        <v>7.6799999999999993E-2</v>
      </c>
      <c r="N49" s="5">
        <v>0</v>
      </c>
      <c r="O49" s="5">
        <v>1</v>
      </c>
      <c r="P49" s="5"/>
      <c r="Q49" s="5">
        <v>0</v>
      </c>
      <c r="R49" s="5">
        <f t="shared" si="19"/>
        <v>879</v>
      </c>
      <c r="S49" s="5">
        <v>3</v>
      </c>
      <c r="T49" s="6">
        <v>1</v>
      </c>
      <c r="U49" s="5">
        <f t="shared" si="3"/>
        <v>42</v>
      </c>
      <c r="V49" s="5">
        <f t="shared" ca="1" si="20"/>
        <v>1641</v>
      </c>
      <c r="W49" s="5">
        <f t="shared" si="21"/>
        <v>3</v>
      </c>
      <c r="X49" s="6">
        <v>1</v>
      </c>
      <c r="Y49" s="5">
        <f t="shared" si="22"/>
        <v>42</v>
      </c>
      <c r="Z49" s="5">
        <f t="shared" ca="1" si="23"/>
        <v>1641</v>
      </c>
      <c r="AA49" s="5">
        <f t="shared" si="24"/>
        <v>3</v>
      </c>
      <c r="AB49" s="6">
        <v>1</v>
      </c>
      <c r="AC49" s="5">
        <f t="shared" si="25"/>
        <v>42</v>
      </c>
      <c r="AD49" s="5">
        <f t="shared" ca="1" si="26"/>
        <v>1641</v>
      </c>
      <c r="AE49" s="7">
        <f t="shared" si="27"/>
        <v>9</v>
      </c>
      <c r="AF49" s="5" t="e">
        <f t="shared" si="16"/>
        <v>#DIV/0!</v>
      </c>
      <c r="AG49" s="5">
        <f t="shared" ca="1" si="28"/>
        <v>378.08639999999997</v>
      </c>
      <c r="AH49" s="5">
        <f t="shared" si="29"/>
        <v>378</v>
      </c>
      <c r="AI49" s="6">
        <f t="shared" ca="1" si="30"/>
        <v>1.0002285714285712</v>
      </c>
    </row>
    <row r="50" spans="2:35" x14ac:dyDescent="0.2">
      <c r="B50" s="5" t="s">
        <v>66</v>
      </c>
      <c r="C50" s="21">
        <v>46419</v>
      </c>
      <c r="D50" s="5">
        <v>5</v>
      </c>
      <c r="E50" s="5">
        <v>5</v>
      </c>
      <c r="F50" s="5">
        <v>5</v>
      </c>
      <c r="G50" s="7">
        <f t="shared" ca="1" si="31"/>
        <v>27102</v>
      </c>
      <c r="H50" s="5">
        <v>0</v>
      </c>
      <c r="I50" s="5">
        <f>'B-ADIENT REAR SEAT'!AP67</f>
        <v>4394</v>
      </c>
      <c r="J50" s="12">
        <f t="shared" ca="1" si="17"/>
        <v>30.8</v>
      </c>
      <c r="K50" s="5">
        <f t="shared" ca="1" si="18"/>
        <v>4101</v>
      </c>
      <c r="L50" s="5">
        <v>0</v>
      </c>
      <c r="M50" s="5">
        <f ca="1">'B-ADIENT REAR SEAT'!$D$99</f>
        <v>7.6799999999999993E-2</v>
      </c>
      <c r="N50" s="5">
        <v>0</v>
      </c>
      <c r="O50" s="5">
        <v>2</v>
      </c>
      <c r="P50" s="5"/>
      <c r="Q50" s="5">
        <v>0</v>
      </c>
      <c r="R50" s="5">
        <f t="shared" si="19"/>
        <v>879</v>
      </c>
      <c r="S50" s="5">
        <v>3</v>
      </c>
      <c r="T50" s="6">
        <v>1</v>
      </c>
      <c r="U50" s="5">
        <f t="shared" si="3"/>
        <v>35</v>
      </c>
      <c r="V50" s="5">
        <f t="shared" ca="1" si="20"/>
        <v>1367</v>
      </c>
      <c r="W50" s="5">
        <f t="shared" si="21"/>
        <v>3</v>
      </c>
      <c r="X50" s="6">
        <v>1</v>
      </c>
      <c r="Y50" s="5">
        <f t="shared" si="22"/>
        <v>35</v>
      </c>
      <c r="Z50" s="5">
        <f t="shared" ca="1" si="23"/>
        <v>1367</v>
      </c>
      <c r="AA50" s="5">
        <f t="shared" si="24"/>
        <v>3</v>
      </c>
      <c r="AB50" s="6">
        <v>1</v>
      </c>
      <c r="AC50" s="5">
        <f t="shared" si="25"/>
        <v>35</v>
      </c>
      <c r="AD50" s="5">
        <f t="shared" ca="1" si="26"/>
        <v>1367</v>
      </c>
      <c r="AE50" s="7">
        <f t="shared" si="27"/>
        <v>9</v>
      </c>
      <c r="AF50" s="5" t="e">
        <f t="shared" si="16"/>
        <v>#DIV/0!</v>
      </c>
      <c r="AG50" s="5">
        <f t="shared" ca="1" si="28"/>
        <v>314.95679999999999</v>
      </c>
      <c r="AH50" s="5">
        <f t="shared" si="29"/>
        <v>315</v>
      </c>
      <c r="AI50" s="6">
        <f t="shared" ca="1" si="30"/>
        <v>0.99986285714285705</v>
      </c>
    </row>
    <row r="51" spans="2:35" x14ac:dyDescent="0.2">
      <c r="B51" s="5" t="s">
        <v>66</v>
      </c>
      <c r="C51" s="21">
        <v>46426</v>
      </c>
      <c r="D51" s="5">
        <v>6</v>
      </c>
      <c r="E51" s="5">
        <v>6</v>
      </c>
      <c r="F51" s="5">
        <v>5</v>
      </c>
      <c r="G51" s="7">
        <f t="shared" ca="1" si="31"/>
        <v>27631</v>
      </c>
      <c r="H51" s="5">
        <v>0</v>
      </c>
      <c r="I51" s="5">
        <f>'B-ADIENT REAR SEAT'!AQ67</f>
        <v>5309</v>
      </c>
      <c r="J51" s="12">
        <f t="shared" ca="1" si="17"/>
        <v>26</v>
      </c>
      <c r="K51" s="5">
        <f t="shared" ca="1" si="18"/>
        <v>4923</v>
      </c>
      <c r="L51" s="5">
        <v>0</v>
      </c>
      <c r="M51" s="5">
        <f ca="1">'B-ADIENT REAR SEAT'!$D$99</f>
        <v>7.6799999999999993E-2</v>
      </c>
      <c r="N51" s="5">
        <v>0</v>
      </c>
      <c r="O51" s="5">
        <v>2</v>
      </c>
      <c r="P51" s="5"/>
      <c r="Q51" s="5">
        <v>0</v>
      </c>
      <c r="R51" s="5">
        <f t="shared" si="19"/>
        <v>1062</v>
      </c>
      <c r="S51" s="5">
        <v>3</v>
      </c>
      <c r="T51" s="6">
        <v>1</v>
      </c>
      <c r="U51" s="5">
        <f t="shared" si="3"/>
        <v>42</v>
      </c>
      <c r="V51" s="5">
        <f t="shared" ca="1" si="20"/>
        <v>1641</v>
      </c>
      <c r="W51" s="5">
        <f t="shared" si="21"/>
        <v>3</v>
      </c>
      <c r="X51" s="6">
        <v>1</v>
      </c>
      <c r="Y51" s="5">
        <f t="shared" si="22"/>
        <v>42</v>
      </c>
      <c r="Z51" s="5">
        <f t="shared" ca="1" si="23"/>
        <v>1641</v>
      </c>
      <c r="AA51" s="5">
        <f t="shared" si="24"/>
        <v>3</v>
      </c>
      <c r="AB51" s="6">
        <v>1</v>
      </c>
      <c r="AC51" s="5">
        <f t="shared" si="25"/>
        <v>42</v>
      </c>
      <c r="AD51" s="5">
        <f t="shared" ca="1" si="26"/>
        <v>1641</v>
      </c>
      <c r="AE51" s="7">
        <f t="shared" si="27"/>
        <v>9</v>
      </c>
      <c r="AF51" s="5" t="e">
        <f t="shared" si="16"/>
        <v>#DIV/0!</v>
      </c>
      <c r="AG51" s="5">
        <f t="shared" ca="1" si="28"/>
        <v>378.08639999999997</v>
      </c>
      <c r="AH51" s="5">
        <f t="shared" si="29"/>
        <v>378</v>
      </c>
      <c r="AI51" s="6">
        <f t="shared" ca="1" si="30"/>
        <v>1.0002285714285712</v>
      </c>
    </row>
    <row r="52" spans="2:35" x14ac:dyDescent="0.2">
      <c r="B52" s="5" t="s">
        <v>66</v>
      </c>
      <c r="C52" s="21">
        <v>46433</v>
      </c>
      <c r="D52" s="5">
        <v>7</v>
      </c>
      <c r="E52" s="33">
        <v>5</v>
      </c>
      <c r="F52" s="5">
        <v>5</v>
      </c>
      <c r="G52" s="7">
        <f t="shared" ca="1" si="31"/>
        <v>25604</v>
      </c>
      <c r="H52" s="5">
        <v>0</v>
      </c>
      <c r="I52" s="5">
        <f>'B-ADIENT REAR SEAT'!AR67</f>
        <v>5309</v>
      </c>
      <c r="J52" s="12">
        <f t="shared" ca="1" si="17"/>
        <v>24.1</v>
      </c>
      <c r="K52" s="5">
        <f t="shared" ca="1" si="18"/>
        <v>2735</v>
      </c>
      <c r="L52" s="5">
        <v>0</v>
      </c>
      <c r="M52" s="5">
        <f ca="1">'B-ADIENT REAR SEAT'!$D$99</f>
        <v>7.6799999999999993E-2</v>
      </c>
      <c r="N52" s="5">
        <v>0</v>
      </c>
      <c r="O52" s="5">
        <v>2</v>
      </c>
      <c r="P52" s="5"/>
      <c r="Q52" s="5">
        <v>0</v>
      </c>
      <c r="R52" s="5">
        <f t="shared" si="19"/>
        <v>1062</v>
      </c>
      <c r="S52" s="33">
        <v>3</v>
      </c>
      <c r="T52" s="34">
        <v>1</v>
      </c>
      <c r="U52" s="33">
        <f>E52*3.5-N52</f>
        <v>17.5</v>
      </c>
      <c r="V52" s="33">
        <f t="shared" ca="1" si="20"/>
        <v>684</v>
      </c>
      <c r="W52" s="33">
        <f t="shared" si="21"/>
        <v>3</v>
      </c>
      <c r="X52" s="34">
        <v>1</v>
      </c>
      <c r="Y52" s="33">
        <f t="shared" si="22"/>
        <v>17.5</v>
      </c>
      <c r="Z52" s="33">
        <f t="shared" ca="1" si="23"/>
        <v>684</v>
      </c>
      <c r="AA52" s="33">
        <f t="shared" si="24"/>
        <v>3</v>
      </c>
      <c r="AB52" s="34">
        <v>1</v>
      </c>
      <c r="AC52" s="33">
        <f t="shared" si="25"/>
        <v>35</v>
      </c>
      <c r="AD52" s="33">
        <f t="shared" ca="1" si="26"/>
        <v>1367</v>
      </c>
      <c r="AE52" s="7">
        <f t="shared" si="27"/>
        <v>9</v>
      </c>
      <c r="AF52" s="5" t="e">
        <f t="shared" si="16"/>
        <v>#DIV/0!</v>
      </c>
      <c r="AG52" s="5">
        <f t="shared" ca="1" si="28"/>
        <v>210.04799999999997</v>
      </c>
      <c r="AH52" s="5">
        <f t="shared" si="29"/>
        <v>210</v>
      </c>
      <c r="AI52" s="6">
        <f t="shared" ca="1" si="30"/>
        <v>1.0002285714285712</v>
      </c>
    </row>
    <row r="53" spans="2:35" x14ac:dyDescent="0.2">
      <c r="B53" s="5" t="s">
        <v>66</v>
      </c>
      <c r="C53" s="21">
        <v>46440</v>
      </c>
      <c r="D53" s="5">
        <v>8</v>
      </c>
      <c r="E53" s="33">
        <v>6</v>
      </c>
      <c r="F53" s="31">
        <v>4</v>
      </c>
      <c r="G53" s="7">
        <f t="shared" ca="1" si="31"/>
        <v>25218</v>
      </c>
      <c r="H53" s="5">
        <v>0</v>
      </c>
      <c r="I53" s="5">
        <f>'B-ADIENT REAR SEAT'!AS67</f>
        <v>4247</v>
      </c>
      <c r="J53" s="12">
        <f t="shared" ca="1" si="17"/>
        <v>23.8</v>
      </c>
      <c r="K53" s="5">
        <f t="shared" ca="1" si="18"/>
        <v>3281</v>
      </c>
      <c r="L53" s="5">
        <v>0</v>
      </c>
      <c r="M53" s="5">
        <f ca="1">'B-ADIENT REAR SEAT'!$D$99</f>
        <v>7.6799999999999993E-2</v>
      </c>
      <c r="N53" s="5">
        <v>0</v>
      </c>
      <c r="O53" s="5">
        <v>2</v>
      </c>
      <c r="P53" s="5"/>
      <c r="Q53" s="5">
        <v>0</v>
      </c>
      <c r="R53" s="5">
        <f t="shared" si="19"/>
        <v>1062</v>
      </c>
      <c r="S53" s="33">
        <v>3</v>
      </c>
      <c r="T53" s="34">
        <v>1</v>
      </c>
      <c r="U53" s="33">
        <f>E53*3.5-N53</f>
        <v>21</v>
      </c>
      <c r="V53" s="33">
        <f t="shared" ca="1" si="20"/>
        <v>820</v>
      </c>
      <c r="W53" s="33">
        <f t="shared" si="21"/>
        <v>3</v>
      </c>
      <c r="X53" s="34">
        <v>1</v>
      </c>
      <c r="Y53" s="33">
        <f t="shared" si="22"/>
        <v>21</v>
      </c>
      <c r="Z53" s="33">
        <f t="shared" ca="1" si="23"/>
        <v>820</v>
      </c>
      <c r="AA53" s="33">
        <f t="shared" si="24"/>
        <v>3</v>
      </c>
      <c r="AB53" s="34">
        <v>1</v>
      </c>
      <c r="AC53" s="33">
        <f t="shared" si="25"/>
        <v>42</v>
      </c>
      <c r="AD53" s="33">
        <f t="shared" ca="1" si="26"/>
        <v>1641</v>
      </c>
      <c r="AE53" s="7">
        <f t="shared" si="27"/>
        <v>9</v>
      </c>
      <c r="AF53" s="5" t="e">
        <f t="shared" si="16"/>
        <v>#DIV/0!</v>
      </c>
      <c r="AG53" s="5">
        <f t="shared" ca="1" si="28"/>
        <v>251.98079999999999</v>
      </c>
      <c r="AH53" s="5">
        <f t="shared" si="29"/>
        <v>252</v>
      </c>
      <c r="AI53" s="6">
        <f t="shared" ca="1" si="30"/>
        <v>0.99992380952380944</v>
      </c>
    </row>
    <row r="54" spans="2:35" x14ac:dyDescent="0.2">
      <c r="B54" s="5" t="s">
        <v>67</v>
      </c>
      <c r="C54" s="21">
        <v>46447</v>
      </c>
      <c r="D54" s="5">
        <v>9</v>
      </c>
      <c r="E54" s="33">
        <v>6</v>
      </c>
      <c r="F54" s="5">
        <v>5</v>
      </c>
      <c r="G54" s="7">
        <f t="shared" ca="1" si="31"/>
        <v>25894</v>
      </c>
      <c r="H54" s="5">
        <v>0</v>
      </c>
      <c r="I54" s="5">
        <f>'B-ADIENT REAR SEAT'!AT67</f>
        <v>5309</v>
      </c>
      <c r="J54" s="12">
        <f t="shared" ca="1" si="17"/>
        <v>24.4</v>
      </c>
      <c r="K54" s="5">
        <f t="shared" ca="1" si="18"/>
        <v>3281</v>
      </c>
      <c r="L54" s="5">
        <v>0</v>
      </c>
      <c r="M54" s="5">
        <f ca="1">'B-ADIENT REAR SEAT'!$D$99</f>
        <v>7.6799999999999993E-2</v>
      </c>
      <c r="N54" s="5">
        <v>0</v>
      </c>
      <c r="O54" s="5">
        <v>3</v>
      </c>
      <c r="P54" s="5"/>
      <c r="Q54" s="5">
        <v>0</v>
      </c>
      <c r="R54" s="5">
        <f t="shared" si="19"/>
        <v>1062</v>
      </c>
      <c r="S54" s="33">
        <v>3</v>
      </c>
      <c r="T54" s="34">
        <v>1</v>
      </c>
      <c r="U54" s="33">
        <f>E54*3.5-N54</f>
        <v>21</v>
      </c>
      <c r="V54" s="33">
        <f t="shared" ca="1" si="20"/>
        <v>820</v>
      </c>
      <c r="W54" s="33">
        <f t="shared" si="21"/>
        <v>3</v>
      </c>
      <c r="X54" s="34">
        <v>1</v>
      </c>
      <c r="Y54" s="33">
        <f t="shared" si="22"/>
        <v>21</v>
      </c>
      <c r="Z54" s="33">
        <f t="shared" ca="1" si="23"/>
        <v>820</v>
      </c>
      <c r="AA54" s="33">
        <f t="shared" si="24"/>
        <v>3</v>
      </c>
      <c r="AB54" s="34">
        <v>1</v>
      </c>
      <c r="AC54" s="33">
        <f t="shared" si="25"/>
        <v>42</v>
      </c>
      <c r="AD54" s="33">
        <f t="shared" ca="1" si="26"/>
        <v>1641</v>
      </c>
      <c r="AE54" s="7">
        <f t="shared" si="27"/>
        <v>9</v>
      </c>
      <c r="AF54" s="5" t="e">
        <f t="shared" si="16"/>
        <v>#DIV/0!</v>
      </c>
      <c r="AG54" s="5">
        <f t="shared" ca="1" si="28"/>
        <v>251.98079999999999</v>
      </c>
      <c r="AH54" s="5">
        <f t="shared" si="29"/>
        <v>252</v>
      </c>
      <c r="AI54" s="6">
        <f t="shared" ca="1" si="30"/>
        <v>0.99992380952380944</v>
      </c>
    </row>
    <row r="55" spans="2:35" x14ac:dyDescent="0.2">
      <c r="B55" s="5" t="s">
        <v>67</v>
      </c>
      <c r="C55" s="21">
        <v>46454</v>
      </c>
      <c r="D55" s="5">
        <v>10</v>
      </c>
      <c r="E55" s="33">
        <v>6</v>
      </c>
      <c r="F55" s="5">
        <v>5</v>
      </c>
      <c r="G55" s="7">
        <f t="shared" ca="1" si="31"/>
        <v>24686</v>
      </c>
      <c r="H55" s="5">
        <v>0</v>
      </c>
      <c r="I55" s="5">
        <f>'B-ADIENT REAR SEAT'!AU67</f>
        <v>5042</v>
      </c>
      <c r="J55" s="12">
        <f t="shared" ca="1" si="17"/>
        <v>24.5</v>
      </c>
      <c r="K55" s="5">
        <f t="shared" ca="1" si="18"/>
        <v>3281</v>
      </c>
      <c r="L55" s="5">
        <v>0</v>
      </c>
      <c r="M55" s="5">
        <f ca="1">'B-ADIENT REAR SEAT'!$D$99</f>
        <v>7.6799999999999993E-2</v>
      </c>
      <c r="N55" s="5">
        <v>0</v>
      </c>
      <c r="O55" s="5">
        <v>3</v>
      </c>
      <c r="P55" s="5"/>
      <c r="Q55" s="5">
        <v>0</v>
      </c>
      <c r="R55" s="5">
        <f t="shared" si="19"/>
        <v>1008</v>
      </c>
      <c r="S55" s="33">
        <v>3</v>
      </c>
      <c r="T55" s="34">
        <v>1</v>
      </c>
      <c r="U55" s="33">
        <f>E55*3.5-N55</f>
        <v>21</v>
      </c>
      <c r="V55" s="33">
        <f t="shared" ca="1" si="20"/>
        <v>820</v>
      </c>
      <c r="W55" s="33">
        <f t="shared" si="21"/>
        <v>3</v>
      </c>
      <c r="X55" s="34">
        <v>1</v>
      </c>
      <c r="Y55" s="33">
        <f t="shared" si="22"/>
        <v>21</v>
      </c>
      <c r="Z55" s="33">
        <f t="shared" ca="1" si="23"/>
        <v>820</v>
      </c>
      <c r="AA55" s="33">
        <f t="shared" si="24"/>
        <v>3</v>
      </c>
      <c r="AB55" s="34">
        <v>1</v>
      </c>
      <c r="AC55" s="33">
        <f t="shared" si="25"/>
        <v>42</v>
      </c>
      <c r="AD55" s="33">
        <f t="shared" ca="1" si="26"/>
        <v>1641</v>
      </c>
      <c r="AE55" s="7">
        <f t="shared" si="27"/>
        <v>9</v>
      </c>
      <c r="AF55" s="5" t="e">
        <f t="shared" ref="AF55:AF89" si="32">ROUND( ((SUM(I54:I55)*1)/SUM(Q54:Q55)*100),1)</f>
        <v>#DIV/0!</v>
      </c>
      <c r="AG55" s="5">
        <f t="shared" ca="1" si="28"/>
        <v>251.98079999999999</v>
      </c>
      <c r="AH55" s="5">
        <f t="shared" si="29"/>
        <v>252</v>
      </c>
      <c r="AI55" s="6">
        <f t="shared" ca="1" si="30"/>
        <v>0.99992380952380944</v>
      </c>
    </row>
    <row r="56" spans="2:35" x14ac:dyDescent="0.2">
      <c r="B56" s="5" t="s">
        <v>67</v>
      </c>
      <c r="C56" s="21">
        <v>46461</v>
      </c>
      <c r="D56" s="5">
        <v>11</v>
      </c>
      <c r="E56" s="33">
        <v>3</v>
      </c>
      <c r="F56" s="5">
        <v>5</v>
      </c>
      <c r="G56" s="7">
        <f t="shared" ca="1" si="31"/>
        <v>24567</v>
      </c>
      <c r="H56" s="5">
        <v>0</v>
      </c>
      <c r="I56" s="5">
        <f>'B-ADIENT REAR SEAT'!AV67</f>
        <v>5042</v>
      </c>
      <c r="J56" s="12">
        <f t="shared" ca="1" si="17"/>
        <v>24.4</v>
      </c>
      <c r="K56" s="5">
        <f t="shared" ca="1" si="18"/>
        <v>1640</v>
      </c>
      <c r="L56" s="5">
        <v>0</v>
      </c>
      <c r="M56" s="5">
        <f ca="1">'B-ADIENT REAR SEAT'!$D$99</f>
        <v>7.6799999999999993E-2</v>
      </c>
      <c r="N56" s="5">
        <v>0</v>
      </c>
      <c r="O56" s="5">
        <v>3</v>
      </c>
      <c r="P56" s="5"/>
      <c r="Q56" s="5">
        <v>0</v>
      </c>
      <c r="R56" s="5">
        <f t="shared" si="19"/>
        <v>1008</v>
      </c>
      <c r="S56" s="33">
        <v>3</v>
      </c>
      <c r="T56" s="34">
        <v>1</v>
      </c>
      <c r="U56" s="33">
        <f>E56*3.5-N56</f>
        <v>10.5</v>
      </c>
      <c r="V56" s="33">
        <f t="shared" ca="1" si="20"/>
        <v>410</v>
      </c>
      <c r="W56" s="33">
        <f t="shared" si="21"/>
        <v>3</v>
      </c>
      <c r="X56" s="34">
        <v>1</v>
      </c>
      <c r="Y56" s="33">
        <f t="shared" si="22"/>
        <v>10.5</v>
      </c>
      <c r="Z56" s="33">
        <f t="shared" ca="1" si="23"/>
        <v>410</v>
      </c>
      <c r="AA56" s="33">
        <f t="shared" si="24"/>
        <v>3</v>
      </c>
      <c r="AB56" s="34">
        <v>1</v>
      </c>
      <c r="AC56" s="33">
        <f t="shared" si="25"/>
        <v>21</v>
      </c>
      <c r="AD56" s="33">
        <f t="shared" ca="1" si="26"/>
        <v>820</v>
      </c>
      <c r="AE56" s="7">
        <f t="shared" si="27"/>
        <v>9</v>
      </c>
      <c r="AF56" s="5" t="e">
        <f t="shared" si="32"/>
        <v>#DIV/0!</v>
      </c>
      <c r="AG56" s="5">
        <f t="shared" ca="1" si="28"/>
        <v>125.95199999999998</v>
      </c>
      <c r="AH56" s="5">
        <f t="shared" si="29"/>
        <v>126</v>
      </c>
      <c r="AI56" s="6">
        <f t="shared" ca="1" si="30"/>
        <v>0.99961904761904752</v>
      </c>
    </row>
    <row r="57" spans="2:35" x14ac:dyDescent="0.2">
      <c r="B57" s="5" t="s">
        <v>67</v>
      </c>
      <c r="C57" s="21">
        <v>46468</v>
      </c>
      <c r="D57" s="5">
        <v>12</v>
      </c>
      <c r="E57" s="5">
        <v>4</v>
      </c>
      <c r="F57" s="5">
        <v>5</v>
      </c>
      <c r="G57" s="7">
        <f t="shared" ca="1" si="31"/>
        <v>22260</v>
      </c>
      <c r="H57" s="5">
        <v>0</v>
      </c>
      <c r="I57" s="5">
        <f>'B-ADIENT REAR SEAT'!AW67</f>
        <v>5042</v>
      </c>
      <c r="J57" s="12">
        <f t="shared" ca="1" si="17"/>
        <v>22.1</v>
      </c>
      <c r="K57" s="5">
        <f t="shared" ca="1" si="18"/>
        <v>3282</v>
      </c>
      <c r="L57" s="5">
        <v>0</v>
      </c>
      <c r="M57" s="5">
        <f ca="1">'B-ADIENT REAR SEAT'!$D$99</f>
        <v>7.6799999999999993E-2</v>
      </c>
      <c r="N57" s="5">
        <v>0</v>
      </c>
      <c r="O57" s="5">
        <v>3</v>
      </c>
      <c r="P57" s="5"/>
      <c r="Q57" s="5">
        <v>0</v>
      </c>
      <c r="R57" s="5">
        <f t="shared" si="19"/>
        <v>1008</v>
      </c>
      <c r="S57" s="5">
        <v>3</v>
      </c>
      <c r="T57" s="6">
        <v>1</v>
      </c>
      <c r="U57" s="5">
        <f t="shared" ref="U57:U89" si="33">E57*7-N57</f>
        <v>28</v>
      </c>
      <c r="V57" s="5">
        <f t="shared" ca="1" si="20"/>
        <v>1094</v>
      </c>
      <c r="W57" s="5">
        <f t="shared" si="21"/>
        <v>3</v>
      </c>
      <c r="X57" s="6">
        <v>1</v>
      </c>
      <c r="Y57" s="5">
        <f t="shared" si="22"/>
        <v>28</v>
      </c>
      <c r="Z57" s="5">
        <f t="shared" ca="1" si="23"/>
        <v>1094</v>
      </c>
      <c r="AA57" s="5">
        <f t="shared" si="24"/>
        <v>3</v>
      </c>
      <c r="AB57" s="6">
        <v>1</v>
      </c>
      <c r="AC57" s="5">
        <f t="shared" si="25"/>
        <v>28</v>
      </c>
      <c r="AD57" s="5">
        <f t="shared" ca="1" si="26"/>
        <v>1094</v>
      </c>
      <c r="AE57" s="7">
        <f t="shared" si="27"/>
        <v>9</v>
      </c>
      <c r="AF57" s="5" t="e">
        <f t="shared" si="32"/>
        <v>#DIV/0!</v>
      </c>
      <c r="AG57" s="5">
        <f t="shared" ca="1" si="28"/>
        <v>252.05759999999998</v>
      </c>
      <c r="AH57" s="5">
        <f t="shared" si="29"/>
        <v>252</v>
      </c>
      <c r="AI57" s="6">
        <f t="shared" ca="1" si="30"/>
        <v>1.0002285714285712</v>
      </c>
    </row>
    <row r="58" spans="2:35" x14ac:dyDescent="0.2">
      <c r="B58" s="5" t="s">
        <v>67</v>
      </c>
      <c r="C58" s="21">
        <v>46475</v>
      </c>
      <c r="D58" s="5">
        <v>13</v>
      </c>
      <c r="E58" s="5">
        <v>6</v>
      </c>
      <c r="F58" s="5">
        <v>5</v>
      </c>
      <c r="G58" s="7">
        <f t="shared" ca="1" si="31"/>
        <v>20499</v>
      </c>
      <c r="H58" s="5">
        <v>0</v>
      </c>
      <c r="I58" s="5">
        <f>'B-ADIENT REAR SEAT'!AX67</f>
        <v>5042</v>
      </c>
      <c r="J58" s="12">
        <f t="shared" ca="1" si="17"/>
        <v>20.3</v>
      </c>
      <c r="K58" s="5">
        <f t="shared" ca="1" si="18"/>
        <v>4101</v>
      </c>
      <c r="L58" s="5">
        <v>0</v>
      </c>
      <c r="M58" s="5">
        <f ca="1">'B-ADIENT REAR SEAT'!$D$99</f>
        <v>7.6799999999999993E-2</v>
      </c>
      <c r="N58" s="5">
        <v>0</v>
      </c>
      <c r="O58" s="5">
        <v>3</v>
      </c>
      <c r="P58" s="5"/>
      <c r="Q58" s="5">
        <v>0</v>
      </c>
      <c r="R58" s="5">
        <f t="shared" si="19"/>
        <v>1008</v>
      </c>
      <c r="S58" s="22">
        <v>2.5</v>
      </c>
      <c r="T58" s="23">
        <v>1</v>
      </c>
      <c r="U58" s="22">
        <f t="shared" si="33"/>
        <v>42</v>
      </c>
      <c r="V58" s="22">
        <f t="shared" ca="1" si="20"/>
        <v>1367</v>
      </c>
      <c r="W58" s="22">
        <f t="shared" si="21"/>
        <v>2.5</v>
      </c>
      <c r="X58" s="23">
        <v>1</v>
      </c>
      <c r="Y58" s="22">
        <f t="shared" si="22"/>
        <v>42</v>
      </c>
      <c r="Z58" s="22">
        <f t="shared" ca="1" si="23"/>
        <v>1367</v>
      </c>
      <c r="AA58" s="22">
        <f t="shared" si="24"/>
        <v>2.5</v>
      </c>
      <c r="AB58" s="23">
        <v>1</v>
      </c>
      <c r="AC58" s="22">
        <f t="shared" si="25"/>
        <v>42</v>
      </c>
      <c r="AD58" s="22">
        <f t="shared" ca="1" si="26"/>
        <v>1367</v>
      </c>
      <c r="AE58" s="7">
        <f t="shared" si="27"/>
        <v>7.5</v>
      </c>
      <c r="AF58" s="5" t="e">
        <f t="shared" si="32"/>
        <v>#DIV/0!</v>
      </c>
      <c r="AG58" s="5">
        <f t="shared" ca="1" si="28"/>
        <v>314.95679999999999</v>
      </c>
      <c r="AH58" s="5">
        <f t="shared" si="29"/>
        <v>315</v>
      </c>
      <c r="AI58" s="6">
        <f t="shared" ca="1" si="30"/>
        <v>0.99986285714285705</v>
      </c>
    </row>
    <row r="59" spans="2:35" x14ac:dyDescent="0.2">
      <c r="B59" s="5" t="s">
        <v>68</v>
      </c>
      <c r="C59" s="21">
        <v>46482</v>
      </c>
      <c r="D59" s="5">
        <v>14</v>
      </c>
      <c r="E59" s="5">
        <v>4</v>
      </c>
      <c r="F59" s="31">
        <v>4</v>
      </c>
      <c r="G59" s="7">
        <f t="shared" ca="1" si="31"/>
        <v>18738</v>
      </c>
      <c r="H59" s="5">
        <v>0</v>
      </c>
      <c r="I59" s="5">
        <f>'B-ADIENT REAR SEAT'!AY67</f>
        <v>4035</v>
      </c>
      <c r="J59" s="12">
        <f t="shared" ca="1" si="17"/>
        <v>18.600000000000001</v>
      </c>
      <c r="K59" s="5">
        <f t="shared" ca="1" si="18"/>
        <v>2733</v>
      </c>
      <c r="L59" s="5">
        <v>0</v>
      </c>
      <c r="M59" s="5">
        <f ca="1">'B-ADIENT REAR SEAT'!$D$99</f>
        <v>7.6799999999999993E-2</v>
      </c>
      <c r="N59" s="5">
        <v>0</v>
      </c>
      <c r="O59" s="5">
        <v>4</v>
      </c>
      <c r="P59" s="5"/>
      <c r="Q59" s="5">
        <v>0</v>
      </c>
      <c r="R59" s="5">
        <f t="shared" si="19"/>
        <v>1009</v>
      </c>
      <c r="S59" s="5">
        <v>2.5</v>
      </c>
      <c r="T59" s="6">
        <v>1</v>
      </c>
      <c r="U59" s="5">
        <f t="shared" si="33"/>
        <v>28</v>
      </c>
      <c r="V59" s="5">
        <f t="shared" ca="1" si="20"/>
        <v>911</v>
      </c>
      <c r="W59" s="5">
        <f t="shared" si="21"/>
        <v>2.5</v>
      </c>
      <c r="X59" s="6">
        <v>1</v>
      </c>
      <c r="Y59" s="5">
        <f t="shared" si="22"/>
        <v>28</v>
      </c>
      <c r="Z59" s="5">
        <f t="shared" ca="1" si="23"/>
        <v>911</v>
      </c>
      <c r="AA59" s="5">
        <f t="shared" si="24"/>
        <v>2.5</v>
      </c>
      <c r="AB59" s="6">
        <v>1</v>
      </c>
      <c r="AC59" s="5">
        <f t="shared" si="25"/>
        <v>28</v>
      </c>
      <c r="AD59" s="5">
        <f t="shared" ca="1" si="26"/>
        <v>911</v>
      </c>
      <c r="AE59" s="7">
        <f t="shared" si="27"/>
        <v>7.5</v>
      </c>
      <c r="AF59" s="5" t="e">
        <f t="shared" si="32"/>
        <v>#DIV/0!</v>
      </c>
      <c r="AG59" s="5">
        <f t="shared" ca="1" si="28"/>
        <v>209.89439999999999</v>
      </c>
      <c r="AH59" s="5">
        <f t="shared" si="29"/>
        <v>210</v>
      </c>
      <c r="AI59" s="6">
        <f t="shared" ca="1" si="30"/>
        <v>0.99949714285714286</v>
      </c>
    </row>
    <row r="60" spans="2:35" x14ac:dyDescent="0.2">
      <c r="B60" s="5" t="s">
        <v>68</v>
      </c>
      <c r="C60" s="21">
        <v>46489</v>
      </c>
      <c r="D60" s="5">
        <v>15</v>
      </c>
      <c r="E60" s="5">
        <v>6</v>
      </c>
      <c r="F60" s="5">
        <v>5</v>
      </c>
      <c r="G60" s="7">
        <f t="shared" ca="1" si="31"/>
        <v>17984</v>
      </c>
      <c r="H60" s="5">
        <v>0</v>
      </c>
      <c r="I60" s="5">
        <f>'B-ADIENT REAR SEAT'!AZ67</f>
        <v>4035</v>
      </c>
      <c r="J60" s="12">
        <f t="shared" ca="1" si="17"/>
        <v>22.3</v>
      </c>
      <c r="K60" s="5">
        <f t="shared" ca="1" si="18"/>
        <v>4101</v>
      </c>
      <c r="L60" s="5">
        <v>0</v>
      </c>
      <c r="M60" s="5">
        <f ca="1">'B-ADIENT REAR SEAT'!$D$99</f>
        <v>7.6799999999999993E-2</v>
      </c>
      <c r="N60" s="5">
        <v>0</v>
      </c>
      <c r="O60" s="5">
        <v>4</v>
      </c>
      <c r="P60" s="5"/>
      <c r="Q60" s="5">
        <v>0</v>
      </c>
      <c r="R60" s="5">
        <f t="shared" si="19"/>
        <v>807</v>
      </c>
      <c r="S60" s="5">
        <v>2.5</v>
      </c>
      <c r="T60" s="6">
        <v>1</v>
      </c>
      <c r="U60" s="5">
        <f t="shared" si="33"/>
        <v>42</v>
      </c>
      <c r="V60" s="5">
        <f t="shared" ca="1" si="20"/>
        <v>1367</v>
      </c>
      <c r="W60" s="5">
        <f t="shared" si="21"/>
        <v>2.5</v>
      </c>
      <c r="X60" s="6">
        <v>1</v>
      </c>
      <c r="Y60" s="5">
        <f t="shared" si="22"/>
        <v>42</v>
      </c>
      <c r="Z60" s="5">
        <f t="shared" ca="1" si="23"/>
        <v>1367</v>
      </c>
      <c r="AA60" s="5">
        <f t="shared" si="24"/>
        <v>2.5</v>
      </c>
      <c r="AB60" s="6">
        <v>1</v>
      </c>
      <c r="AC60" s="5">
        <f t="shared" si="25"/>
        <v>42</v>
      </c>
      <c r="AD60" s="5">
        <f t="shared" ca="1" si="26"/>
        <v>1367</v>
      </c>
      <c r="AE60" s="7">
        <f t="shared" si="27"/>
        <v>7.5</v>
      </c>
      <c r="AF60" s="5" t="e">
        <f t="shared" si="32"/>
        <v>#DIV/0!</v>
      </c>
      <c r="AG60" s="5">
        <f t="shared" ca="1" si="28"/>
        <v>314.95679999999999</v>
      </c>
      <c r="AH60" s="5">
        <f t="shared" si="29"/>
        <v>315</v>
      </c>
      <c r="AI60" s="6">
        <f t="shared" ca="1" si="30"/>
        <v>0.99986285714285705</v>
      </c>
    </row>
    <row r="61" spans="2:35" x14ac:dyDescent="0.2">
      <c r="B61" s="5" t="s">
        <v>68</v>
      </c>
      <c r="C61" s="21">
        <v>46496</v>
      </c>
      <c r="D61" s="5">
        <v>16</v>
      </c>
      <c r="E61" s="5">
        <v>6</v>
      </c>
      <c r="F61" s="5">
        <v>5</v>
      </c>
      <c r="G61" s="7">
        <f t="shared" ca="1" si="31"/>
        <v>15589</v>
      </c>
      <c r="H61" s="5">
        <v>0</v>
      </c>
      <c r="I61" s="5">
        <f>'B-ADIENT REAR SEAT'!BA67</f>
        <v>4035</v>
      </c>
      <c r="J61" s="12">
        <f t="shared" ca="1" si="17"/>
        <v>19.3</v>
      </c>
      <c r="K61" s="5">
        <f t="shared" ca="1" si="18"/>
        <v>4101</v>
      </c>
      <c r="L61" s="5">
        <v>0</v>
      </c>
      <c r="M61" s="5">
        <f ca="1">'B-ADIENT REAR SEAT'!$D$99</f>
        <v>7.6799999999999993E-2</v>
      </c>
      <c r="N61" s="5">
        <v>0</v>
      </c>
      <c r="O61" s="5">
        <v>4</v>
      </c>
      <c r="P61" s="5"/>
      <c r="Q61" s="5">
        <v>0</v>
      </c>
      <c r="R61" s="5">
        <f t="shared" si="19"/>
        <v>807</v>
      </c>
      <c r="S61" s="5">
        <v>2.5</v>
      </c>
      <c r="T61" s="6">
        <v>1</v>
      </c>
      <c r="U61" s="5">
        <f t="shared" si="33"/>
        <v>42</v>
      </c>
      <c r="V61" s="5">
        <f t="shared" ca="1" si="20"/>
        <v>1367</v>
      </c>
      <c r="W61" s="5">
        <f t="shared" si="21"/>
        <v>2.5</v>
      </c>
      <c r="X61" s="6">
        <v>1</v>
      </c>
      <c r="Y61" s="5">
        <f t="shared" si="22"/>
        <v>42</v>
      </c>
      <c r="Z61" s="5">
        <f t="shared" ca="1" si="23"/>
        <v>1367</v>
      </c>
      <c r="AA61" s="5">
        <f t="shared" si="24"/>
        <v>2.5</v>
      </c>
      <c r="AB61" s="6">
        <v>1</v>
      </c>
      <c r="AC61" s="5">
        <f t="shared" si="25"/>
        <v>42</v>
      </c>
      <c r="AD61" s="5">
        <f t="shared" ca="1" si="26"/>
        <v>1367</v>
      </c>
      <c r="AE61" s="7">
        <f t="shared" si="27"/>
        <v>7.5</v>
      </c>
      <c r="AF61" s="5" t="e">
        <f t="shared" si="32"/>
        <v>#DIV/0!</v>
      </c>
      <c r="AG61" s="5">
        <f t="shared" ca="1" si="28"/>
        <v>314.95679999999999</v>
      </c>
      <c r="AH61" s="5">
        <f t="shared" si="29"/>
        <v>315</v>
      </c>
      <c r="AI61" s="6">
        <f t="shared" ca="1" si="30"/>
        <v>0.99986285714285705</v>
      </c>
    </row>
    <row r="62" spans="2:35" x14ac:dyDescent="0.2">
      <c r="B62" s="5" t="s">
        <v>68</v>
      </c>
      <c r="C62" s="21">
        <v>46503</v>
      </c>
      <c r="D62" s="5">
        <v>17</v>
      </c>
      <c r="E62" s="5">
        <v>3</v>
      </c>
      <c r="F62" s="5">
        <v>5</v>
      </c>
      <c r="G62" s="7">
        <f t="shared" ca="1" si="31"/>
        <v>14836</v>
      </c>
      <c r="H62" s="5">
        <v>0</v>
      </c>
      <c r="I62" s="5">
        <f>'B-ADIENT REAR SEAT'!BB67</f>
        <v>4035</v>
      </c>
      <c r="J62" s="12">
        <f t="shared" ca="1" si="17"/>
        <v>18.399999999999999</v>
      </c>
      <c r="K62" s="5">
        <f t="shared" ca="1" si="18"/>
        <v>2052</v>
      </c>
      <c r="L62" s="5">
        <v>0</v>
      </c>
      <c r="M62" s="5">
        <f ca="1">'B-ADIENT REAR SEAT'!$D$99</f>
        <v>7.6799999999999993E-2</v>
      </c>
      <c r="N62" s="5">
        <v>0</v>
      </c>
      <c r="O62" s="5">
        <v>4</v>
      </c>
      <c r="P62" s="5"/>
      <c r="Q62" s="5">
        <v>0</v>
      </c>
      <c r="R62" s="5">
        <f t="shared" si="19"/>
        <v>807</v>
      </c>
      <c r="S62" s="5">
        <v>2.5</v>
      </c>
      <c r="T62" s="6">
        <v>1</v>
      </c>
      <c r="U62" s="5">
        <f t="shared" si="33"/>
        <v>21</v>
      </c>
      <c r="V62" s="5">
        <f t="shared" ca="1" si="20"/>
        <v>684</v>
      </c>
      <c r="W62" s="5">
        <f t="shared" si="21"/>
        <v>2.5</v>
      </c>
      <c r="X62" s="6">
        <v>1</v>
      </c>
      <c r="Y62" s="5">
        <f t="shared" si="22"/>
        <v>21</v>
      </c>
      <c r="Z62" s="5">
        <f t="shared" ca="1" si="23"/>
        <v>684</v>
      </c>
      <c r="AA62" s="5">
        <f t="shared" si="24"/>
        <v>2.5</v>
      </c>
      <c r="AB62" s="6">
        <v>1</v>
      </c>
      <c r="AC62" s="5">
        <f t="shared" si="25"/>
        <v>21</v>
      </c>
      <c r="AD62" s="5">
        <f t="shared" ca="1" si="26"/>
        <v>684</v>
      </c>
      <c r="AE62" s="7">
        <f t="shared" si="27"/>
        <v>7.5</v>
      </c>
      <c r="AF62" s="5" t="e">
        <f t="shared" si="32"/>
        <v>#DIV/0!</v>
      </c>
      <c r="AG62" s="5">
        <f t="shared" ca="1" si="28"/>
        <v>157.59359999999998</v>
      </c>
      <c r="AH62" s="5">
        <f t="shared" si="29"/>
        <v>157.5</v>
      </c>
      <c r="AI62" s="6">
        <f t="shared" ca="1" si="30"/>
        <v>1.0005942857142855</v>
      </c>
    </row>
    <row r="63" spans="2:35" x14ac:dyDescent="0.2">
      <c r="B63" s="5" t="s">
        <v>57</v>
      </c>
      <c r="C63" s="21">
        <v>46510</v>
      </c>
      <c r="D63" s="5">
        <v>18</v>
      </c>
      <c r="E63" s="5">
        <v>6</v>
      </c>
      <c r="F63" s="31">
        <v>4</v>
      </c>
      <c r="G63" s="7">
        <f t="shared" ca="1" si="31"/>
        <v>14902</v>
      </c>
      <c r="H63" s="5">
        <v>0</v>
      </c>
      <c r="I63" s="5">
        <f>'B-ADIENT REAR SEAT'!BC67</f>
        <v>4035</v>
      </c>
      <c r="J63" s="12">
        <f t="shared" ca="1" si="17"/>
        <v>14.8</v>
      </c>
      <c r="K63" s="5">
        <f t="shared" ca="1" si="18"/>
        <v>4101</v>
      </c>
      <c r="L63" s="5">
        <v>0</v>
      </c>
      <c r="M63" s="5">
        <f ca="1">'B-ADIENT REAR SEAT'!$D$99</f>
        <v>7.6799999999999993E-2</v>
      </c>
      <c r="N63" s="5">
        <v>0</v>
      </c>
      <c r="O63" s="5">
        <v>5</v>
      </c>
      <c r="P63" s="5"/>
      <c r="Q63" s="5">
        <v>0</v>
      </c>
      <c r="R63" s="5">
        <f t="shared" si="19"/>
        <v>1009</v>
      </c>
      <c r="S63" s="5">
        <v>2.5</v>
      </c>
      <c r="T63" s="6">
        <v>1</v>
      </c>
      <c r="U63" s="5">
        <f t="shared" si="33"/>
        <v>42</v>
      </c>
      <c r="V63" s="5">
        <f t="shared" ca="1" si="20"/>
        <v>1367</v>
      </c>
      <c r="W63" s="5">
        <f t="shared" si="21"/>
        <v>2.5</v>
      </c>
      <c r="X63" s="6">
        <v>1</v>
      </c>
      <c r="Y63" s="5">
        <f t="shared" si="22"/>
        <v>42</v>
      </c>
      <c r="Z63" s="5">
        <f t="shared" ca="1" si="23"/>
        <v>1367</v>
      </c>
      <c r="AA63" s="5">
        <f t="shared" si="24"/>
        <v>2.5</v>
      </c>
      <c r="AB63" s="6">
        <v>1</v>
      </c>
      <c r="AC63" s="5">
        <f t="shared" si="25"/>
        <v>42</v>
      </c>
      <c r="AD63" s="5">
        <f t="shared" ca="1" si="26"/>
        <v>1367</v>
      </c>
      <c r="AE63" s="7">
        <f t="shared" si="27"/>
        <v>7.5</v>
      </c>
      <c r="AF63" s="5" t="e">
        <f t="shared" si="32"/>
        <v>#DIV/0!</v>
      </c>
      <c r="AG63" s="5">
        <f t="shared" ca="1" si="28"/>
        <v>314.95679999999999</v>
      </c>
      <c r="AH63" s="5">
        <f t="shared" si="29"/>
        <v>315</v>
      </c>
      <c r="AI63" s="6">
        <f t="shared" ca="1" si="30"/>
        <v>0.99986285714285705</v>
      </c>
    </row>
    <row r="64" spans="2:35" x14ac:dyDescent="0.2">
      <c r="B64" s="5" t="s">
        <v>57</v>
      </c>
      <c r="C64" s="21">
        <v>46517</v>
      </c>
      <c r="D64" s="5">
        <v>19</v>
      </c>
      <c r="E64" s="5">
        <v>3</v>
      </c>
      <c r="F64" s="5">
        <v>5</v>
      </c>
      <c r="G64" s="7">
        <f t="shared" ca="1" si="31"/>
        <v>13600</v>
      </c>
      <c r="H64" s="5">
        <v>0</v>
      </c>
      <c r="I64" s="5">
        <f>'B-ADIENT REAR SEAT'!BD67</f>
        <v>4035</v>
      </c>
      <c r="J64" s="12">
        <f t="shared" ca="1" si="17"/>
        <v>16.899999999999999</v>
      </c>
      <c r="K64" s="5">
        <f t="shared" ca="1" si="18"/>
        <v>2052</v>
      </c>
      <c r="L64" s="5">
        <v>0</v>
      </c>
      <c r="M64" s="5">
        <f ca="1">'B-ADIENT REAR SEAT'!$D$99</f>
        <v>7.6799999999999993E-2</v>
      </c>
      <c r="N64" s="5">
        <v>0</v>
      </c>
      <c r="O64" s="5">
        <v>5</v>
      </c>
      <c r="P64" s="5"/>
      <c r="Q64" s="5">
        <v>0</v>
      </c>
      <c r="R64" s="5">
        <f t="shared" si="19"/>
        <v>807</v>
      </c>
      <c r="S64" s="5">
        <v>2.5</v>
      </c>
      <c r="T64" s="6">
        <v>1</v>
      </c>
      <c r="U64" s="5">
        <f t="shared" si="33"/>
        <v>21</v>
      </c>
      <c r="V64" s="5">
        <f t="shared" ca="1" si="20"/>
        <v>684</v>
      </c>
      <c r="W64" s="5">
        <f t="shared" si="21"/>
        <v>2.5</v>
      </c>
      <c r="X64" s="6">
        <v>1</v>
      </c>
      <c r="Y64" s="5">
        <f t="shared" si="22"/>
        <v>21</v>
      </c>
      <c r="Z64" s="5">
        <f t="shared" ca="1" si="23"/>
        <v>684</v>
      </c>
      <c r="AA64" s="5">
        <f t="shared" si="24"/>
        <v>2.5</v>
      </c>
      <c r="AB64" s="6">
        <v>1</v>
      </c>
      <c r="AC64" s="5">
        <f t="shared" si="25"/>
        <v>21</v>
      </c>
      <c r="AD64" s="5">
        <f t="shared" ca="1" si="26"/>
        <v>684</v>
      </c>
      <c r="AE64" s="7">
        <f t="shared" si="27"/>
        <v>7.5</v>
      </c>
      <c r="AF64" s="5" t="e">
        <f t="shared" si="32"/>
        <v>#DIV/0!</v>
      </c>
      <c r="AG64" s="5">
        <f t="shared" ca="1" si="28"/>
        <v>157.59359999999998</v>
      </c>
      <c r="AH64" s="5">
        <f t="shared" si="29"/>
        <v>157.5</v>
      </c>
      <c r="AI64" s="6">
        <f t="shared" ca="1" si="30"/>
        <v>1.0005942857142855</v>
      </c>
    </row>
    <row r="65" spans="2:35" x14ac:dyDescent="0.2">
      <c r="B65" s="5" t="s">
        <v>57</v>
      </c>
      <c r="C65" s="21">
        <v>46524</v>
      </c>
      <c r="D65" s="5">
        <v>20</v>
      </c>
      <c r="E65" s="5">
        <v>6</v>
      </c>
      <c r="F65" s="31">
        <v>3</v>
      </c>
      <c r="G65" s="7">
        <f t="shared" ca="1" si="31"/>
        <v>13666</v>
      </c>
      <c r="H65" s="5">
        <v>0</v>
      </c>
      <c r="I65" s="5">
        <f>'B-ADIENT REAR SEAT'!BE67</f>
        <v>4035</v>
      </c>
      <c r="J65" s="12">
        <f t="shared" ca="1" si="17"/>
        <v>10.199999999999999</v>
      </c>
      <c r="K65" s="5">
        <f t="shared" ca="1" si="18"/>
        <v>4101</v>
      </c>
      <c r="L65" s="5">
        <v>0</v>
      </c>
      <c r="M65" s="5">
        <f ca="1">'B-ADIENT REAR SEAT'!$D$99</f>
        <v>7.6799999999999993E-2</v>
      </c>
      <c r="N65" s="5">
        <v>0</v>
      </c>
      <c r="O65" s="5">
        <v>5</v>
      </c>
      <c r="P65" s="5"/>
      <c r="Q65" s="5">
        <v>0</v>
      </c>
      <c r="R65" s="5">
        <f t="shared" si="19"/>
        <v>1345</v>
      </c>
      <c r="S65" s="5">
        <v>2.5</v>
      </c>
      <c r="T65" s="6">
        <v>1</v>
      </c>
      <c r="U65" s="5">
        <f t="shared" si="33"/>
        <v>42</v>
      </c>
      <c r="V65" s="5">
        <f t="shared" ca="1" si="20"/>
        <v>1367</v>
      </c>
      <c r="W65" s="5">
        <f t="shared" si="21"/>
        <v>2.5</v>
      </c>
      <c r="X65" s="6">
        <v>1</v>
      </c>
      <c r="Y65" s="5">
        <f t="shared" si="22"/>
        <v>42</v>
      </c>
      <c r="Z65" s="5">
        <f t="shared" ca="1" si="23"/>
        <v>1367</v>
      </c>
      <c r="AA65" s="5">
        <f t="shared" si="24"/>
        <v>2.5</v>
      </c>
      <c r="AB65" s="6">
        <v>1</v>
      </c>
      <c r="AC65" s="5">
        <f t="shared" si="25"/>
        <v>42</v>
      </c>
      <c r="AD65" s="5">
        <f t="shared" ca="1" si="26"/>
        <v>1367</v>
      </c>
      <c r="AE65" s="7">
        <f t="shared" si="27"/>
        <v>7.5</v>
      </c>
      <c r="AF65" s="5" t="e">
        <f t="shared" si="32"/>
        <v>#DIV/0!</v>
      </c>
      <c r="AG65" s="5">
        <f t="shared" ca="1" si="28"/>
        <v>314.95679999999999</v>
      </c>
      <c r="AH65" s="5">
        <f t="shared" si="29"/>
        <v>315</v>
      </c>
      <c r="AI65" s="6">
        <f t="shared" ca="1" si="30"/>
        <v>0.99986285714285705</v>
      </c>
    </row>
    <row r="66" spans="2:35" x14ac:dyDescent="0.2">
      <c r="B66" s="5" t="s">
        <v>57</v>
      </c>
      <c r="C66" s="21">
        <v>46531</v>
      </c>
      <c r="D66" s="5">
        <v>21</v>
      </c>
      <c r="E66" s="5">
        <v>6</v>
      </c>
      <c r="F66" s="5">
        <v>5</v>
      </c>
      <c r="G66" s="7">
        <f t="shared" ca="1" si="31"/>
        <v>13732</v>
      </c>
      <c r="H66" s="5">
        <v>0</v>
      </c>
      <c r="I66" s="5">
        <f>'B-ADIENT REAR SEAT'!BF67</f>
        <v>4035</v>
      </c>
      <c r="J66" s="12">
        <f t="shared" ca="1" si="17"/>
        <v>17</v>
      </c>
      <c r="K66" s="5">
        <f t="shared" ca="1" si="18"/>
        <v>4101</v>
      </c>
      <c r="L66" s="5">
        <v>0</v>
      </c>
      <c r="M66" s="5">
        <f ca="1">'B-ADIENT REAR SEAT'!$D$99</f>
        <v>7.6799999999999993E-2</v>
      </c>
      <c r="N66" s="5">
        <v>0</v>
      </c>
      <c r="O66" s="5">
        <v>5</v>
      </c>
      <c r="P66" s="5"/>
      <c r="Q66" s="5">
        <v>0</v>
      </c>
      <c r="R66" s="5">
        <f t="shared" si="19"/>
        <v>807</v>
      </c>
      <c r="S66" s="5">
        <v>2.5</v>
      </c>
      <c r="T66" s="6">
        <v>1</v>
      </c>
      <c r="U66" s="5">
        <f t="shared" si="33"/>
        <v>42</v>
      </c>
      <c r="V66" s="5">
        <f t="shared" ca="1" si="20"/>
        <v>1367</v>
      </c>
      <c r="W66" s="5">
        <f t="shared" si="21"/>
        <v>2.5</v>
      </c>
      <c r="X66" s="6">
        <v>1</v>
      </c>
      <c r="Y66" s="5">
        <f t="shared" si="22"/>
        <v>42</v>
      </c>
      <c r="Z66" s="5">
        <f t="shared" ca="1" si="23"/>
        <v>1367</v>
      </c>
      <c r="AA66" s="5">
        <f t="shared" si="24"/>
        <v>2.5</v>
      </c>
      <c r="AB66" s="6">
        <v>1</v>
      </c>
      <c r="AC66" s="5">
        <f t="shared" si="25"/>
        <v>42</v>
      </c>
      <c r="AD66" s="5">
        <f t="shared" ca="1" si="26"/>
        <v>1367</v>
      </c>
      <c r="AE66" s="7">
        <f t="shared" si="27"/>
        <v>7.5</v>
      </c>
      <c r="AF66" s="5" t="e">
        <f t="shared" si="32"/>
        <v>#DIV/0!</v>
      </c>
      <c r="AG66" s="5">
        <f t="shared" ca="1" si="28"/>
        <v>314.95679999999999</v>
      </c>
      <c r="AH66" s="5">
        <f t="shared" si="29"/>
        <v>315</v>
      </c>
      <c r="AI66" s="6">
        <f t="shared" ca="1" si="30"/>
        <v>0.99986285714285705</v>
      </c>
    </row>
    <row r="67" spans="2:35" x14ac:dyDescent="0.2">
      <c r="B67" s="5" t="s">
        <v>57</v>
      </c>
      <c r="C67" s="21">
        <v>46538</v>
      </c>
      <c r="D67" s="5">
        <v>22</v>
      </c>
      <c r="E67" s="5">
        <v>6</v>
      </c>
      <c r="F67" s="31">
        <v>4</v>
      </c>
      <c r="G67" s="7">
        <f t="shared" ca="1" si="31"/>
        <v>11749</v>
      </c>
      <c r="H67" s="5">
        <v>0</v>
      </c>
      <c r="I67" s="5">
        <f>'B-ADIENT REAR SEAT'!BG67</f>
        <v>4035</v>
      </c>
      <c r="J67" s="12">
        <f t="shared" ca="1" si="17"/>
        <v>11.6</v>
      </c>
      <c r="K67" s="5">
        <f t="shared" ca="1" si="18"/>
        <v>4101</v>
      </c>
      <c r="L67" s="5">
        <v>0</v>
      </c>
      <c r="M67" s="5">
        <f ca="1">'B-ADIENT REAR SEAT'!$D$99</f>
        <v>7.6799999999999993E-2</v>
      </c>
      <c r="N67" s="5">
        <v>0</v>
      </c>
      <c r="O67" s="5">
        <v>5</v>
      </c>
      <c r="P67" s="5"/>
      <c r="Q67" s="5">
        <v>0</v>
      </c>
      <c r="R67" s="5">
        <f t="shared" si="19"/>
        <v>1009</v>
      </c>
      <c r="S67" s="5">
        <v>2.5</v>
      </c>
      <c r="T67" s="6">
        <v>1</v>
      </c>
      <c r="U67" s="5">
        <f t="shared" si="33"/>
        <v>42</v>
      </c>
      <c r="V67" s="5">
        <f t="shared" ca="1" si="20"/>
        <v>1367</v>
      </c>
      <c r="W67" s="5">
        <f t="shared" si="21"/>
        <v>2.5</v>
      </c>
      <c r="X67" s="6">
        <v>1</v>
      </c>
      <c r="Y67" s="5">
        <f t="shared" si="22"/>
        <v>42</v>
      </c>
      <c r="Z67" s="5">
        <f t="shared" ca="1" si="23"/>
        <v>1367</v>
      </c>
      <c r="AA67" s="5">
        <f t="shared" si="24"/>
        <v>2.5</v>
      </c>
      <c r="AB67" s="6">
        <v>1</v>
      </c>
      <c r="AC67" s="5">
        <f t="shared" si="25"/>
        <v>42</v>
      </c>
      <c r="AD67" s="5">
        <f t="shared" ca="1" si="26"/>
        <v>1367</v>
      </c>
      <c r="AE67" s="7">
        <f t="shared" si="27"/>
        <v>7.5</v>
      </c>
      <c r="AF67" s="5" t="e">
        <f t="shared" si="32"/>
        <v>#DIV/0!</v>
      </c>
      <c r="AG67" s="5">
        <f t="shared" ca="1" si="28"/>
        <v>314.95679999999999</v>
      </c>
      <c r="AH67" s="5">
        <f t="shared" si="29"/>
        <v>315</v>
      </c>
      <c r="AI67" s="6">
        <f t="shared" ca="1" si="30"/>
        <v>0.99986285714285705</v>
      </c>
    </row>
    <row r="68" spans="2:35" x14ac:dyDescent="0.2">
      <c r="B68" s="5" t="s">
        <v>58</v>
      </c>
      <c r="C68" s="21">
        <v>46545</v>
      </c>
      <c r="D68" s="5">
        <v>23</v>
      </c>
      <c r="E68" s="5">
        <v>6</v>
      </c>
      <c r="F68" s="5">
        <v>5</v>
      </c>
      <c r="G68" s="7">
        <f t="shared" ca="1" si="31"/>
        <v>11815</v>
      </c>
      <c r="H68" s="5">
        <v>0</v>
      </c>
      <c r="I68" s="5">
        <f>'B-ADIENT REAR SEAT'!BH67</f>
        <v>4035</v>
      </c>
      <c r="J68" s="12">
        <f t="shared" ca="1" si="17"/>
        <v>14.6</v>
      </c>
      <c r="K68" s="5">
        <f t="shared" ca="1" si="18"/>
        <v>4101</v>
      </c>
      <c r="L68" s="5">
        <v>0</v>
      </c>
      <c r="M68" s="5">
        <f ca="1">'B-ADIENT REAR SEAT'!$D$99</f>
        <v>7.6799999999999993E-2</v>
      </c>
      <c r="N68" s="5">
        <v>0</v>
      </c>
      <c r="O68" s="5">
        <v>6</v>
      </c>
      <c r="P68" s="5"/>
      <c r="Q68" s="5">
        <v>0</v>
      </c>
      <c r="R68" s="5">
        <f t="shared" si="19"/>
        <v>807</v>
      </c>
      <c r="S68" s="5">
        <v>2.5</v>
      </c>
      <c r="T68" s="6">
        <v>1</v>
      </c>
      <c r="U68" s="5">
        <f t="shared" si="33"/>
        <v>42</v>
      </c>
      <c r="V68" s="5">
        <f t="shared" ca="1" si="20"/>
        <v>1367</v>
      </c>
      <c r="W68" s="5">
        <f t="shared" si="21"/>
        <v>2.5</v>
      </c>
      <c r="X68" s="6">
        <v>1</v>
      </c>
      <c r="Y68" s="5">
        <f t="shared" si="22"/>
        <v>42</v>
      </c>
      <c r="Z68" s="5">
        <f t="shared" ca="1" si="23"/>
        <v>1367</v>
      </c>
      <c r="AA68" s="5">
        <f t="shared" si="24"/>
        <v>2.5</v>
      </c>
      <c r="AB68" s="6">
        <v>1</v>
      </c>
      <c r="AC68" s="5">
        <f t="shared" si="25"/>
        <v>42</v>
      </c>
      <c r="AD68" s="5">
        <f t="shared" ca="1" si="26"/>
        <v>1367</v>
      </c>
      <c r="AE68" s="7">
        <f t="shared" si="27"/>
        <v>7.5</v>
      </c>
      <c r="AF68" s="5" t="e">
        <f t="shared" si="32"/>
        <v>#DIV/0!</v>
      </c>
      <c r="AG68" s="5">
        <f t="shared" ca="1" si="28"/>
        <v>314.95679999999999</v>
      </c>
      <c r="AH68" s="5">
        <f t="shared" si="29"/>
        <v>315</v>
      </c>
      <c r="AI68" s="6">
        <f t="shared" ca="1" si="30"/>
        <v>0.99986285714285705</v>
      </c>
    </row>
    <row r="69" spans="2:35" x14ac:dyDescent="0.2">
      <c r="B69" s="5" t="s">
        <v>58</v>
      </c>
      <c r="C69" s="21">
        <v>46552</v>
      </c>
      <c r="D69" s="5">
        <v>24</v>
      </c>
      <c r="E69" s="5">
        <v>5</v>
      </c>
      <c r="F69" s="5">
        <v>5</v>
      </c>
      <c r="G69" s="7">
        <f t="shared" ca="1" si="31"/>
        <v>9832</v>
      </c>
      <c r="H69" s="5">
        <v>0</v>
      </c>
      <c r="I69" s="5">
        <f>'B-ADIENT REAR SEAT'!BI67</f>
        <v>4035</v>
      </c>
      <c r="J69" s="12">
        <f t="shared" ca="1" si="17"/>
        <v>12.2</v>
      </c>
      <c r="K69" s="5">
        <f t="shared" ca="1" si="18"/>
        <v>3417</v>
      </c>
      <c r="L69" s="5">
        <v>0</v>
      </c>
      <c r="M69" s="5">
        <f ca="1">'B-ADIENT REAR SEAT'!$D$99</f>
        <v>7.6799999999999993E-2</v>
      </c>
      <c r="N69" s="5">
        <v>0</v>
      </c>
      <c r="O69" s="5">
        <v>6</v>
      </c>
      <c r="P69" s="5"/>
      <c r="Q69" s="5">
        <v>0</v>
      </c>
      <c r="R69" s="5">
        <f t="shared" si="19"/>
        <v>807</v>
      </c>
      <c r="S69" s="5">
        <v>2.5</v>
      </c>
      <c r="T69" s="6">
        <v>1</v>
      </c>
      <c r="U69" s="5">
        <f t="shared" si="33"/>
        <v>35</v>
      </c>
      <c r="V69" s="5">
        <f t="shared" ca="1" si="20"/>
        <v>1139</v>
      </c>
      <c r="W69" s="5">
        <f t="shared" si="21"/>
        <v>2.5</v>
      </c>
      <c r="X69" s="6">
        <v>1</v>
      </c>
      <c r="Y69" s="5">
        <f t="shared" si="22"/>
        <v>35</v>
      </c>
      <c r="Z69" s="5">
        <f t="shared" ca="1" si="23"/>
        <v>1139</v>
      </c>
      <c r="AA69" s="5">
        <f t="shared" si="24"/>
        <v>2.5</v>
      </c>
      <c r="AB69" s="6">
        <v>1</v>
      </c>
      <c r="AC69" s="5">
        <f t="shared" si="25"/>
        <v>35</v>
      </c>
      <c r="AD69" s="5">
        <f t="shared" ca="1" si="26"/>
        <v>1139</v>
      </c>
      <c r="AE69" s="7">
        <f t="shared" si="27"/>
        <v>7.5</v>
      </c>
      <c r="AF69" s="5" t="e">
        <f t="shared" si="32"/>
        <v>#DIV/0!</v>
      </c>
      <c r="AG69" s="5">
        <f t="shared" ca="1" si="28"/>
        <v>262.42559999999997</v>
      </c>
      <c r="AH69" s="5">
        <f t="shared" si="29"/>
        <v>262.5</v>
      </c>
      <c r="AI69" s="6">
        <f t="shared" ca="1" si="30"/>
        <v>0.99971657142857129</v>
      </c>
    </row>
    <row r="70" spans="2:35" x14ac:dyDescent="0.2">
      <c r="B70" s="5" t="s">
        <v>58</v>
      </c>
      <c r="C70" s="21">
        <v>46559</v>
      </c>
      <c r="D70" s="5">
        <v>25</v>
      </c>
      <c r="E70" s="5">
        <v>6</v>
      </c>
      <c r="F70" s="5">
        <v>5</v>
      </c>
      <c r="G70" s="7">
        <f t="shared" ca="1" si="31"/>
        <v>9898</v>
      </c>
      <c r="H70" s="5">
        <v>0</v>
      </c>
      <c r="I70" s="5">
        <f>'B-ADIENT REAR SEAT'!BJ67</f>
        <v>4035</v>
      </c>
      <c r="J70" s="12">
        <f t="shared" ca="1" si="17"/>
        <v>12.3</v>
      </c>
      <c r="K70" s="5">
        <f t="shared" ca="1" si="18"/>
        <v>4101</v>
      </c>
      <c r="L70" s="5">
        <v>0</v>
      </c>
      <c r="M70" s="5">
        <f ca="1">'B-ADIENT REAR SEAT'!$D$99</f>
        <v>7.6799999999999993E-2</v>
      </c>
      <c r="N70" s="5">
        <v>0</v>
      </c>
      <c r="O70" s="5">
        <v>6</v>
      </c>
      <c r="P70" s="5"/>
      <c r="Q70" s="5">
        <v>0</v>
      </c>
      <c r="R70" s="5">
        <f t="shared" si="19"/>
        <v>807</v>
      </c>
      <c r="S70" s="5">
        <v>2.5</v>
      </c>
      <c r="T70" s="6">
        <v>1</v>
      </c>
      <c r="U70" s="5">
        <f t="shared" si="33"/>
        <v>42</v>
      </c>
      <c r="V70" s="5">
        <f t="shared" ca="1" si="20"/>
        <v>1367</v>
      </c>
      <c r="W70" s="5">
        <f t="shared" si="21"/>
        <v>2.5</v>
      </c>
      <c r="X70" s="6">
        <v>1</v>
      </c>
      <c r="Y70" s="5">
        <f t="shared" si="22"/>
        <v>42</v>
      </c>
      <c r="Z70" s="5">
        <f t="shared" ca="1" si="23"/>
        <v>1367</v>
      </c>
      <c r="AA70" s="5">
        <f t="shared" si="24"/>
        <v>2.5</v>
      </c>
      <c r="AB70" s="6">
        <v>1</v>
      </c>
      <c r="AC70" s="5">
        <f t="shared" si="25"/>
        <v>42</v>
      </c>
      <c r="AD70" s="5">
        <f t="shared" ca="1" si="26"/>
        <v>1367</v>
      </c>
      <c r="AE70" s="7">
        <f t="shared" si="27"/>
        <v>7.5</v>
      </c>
      <c r="AF70" s="5" t="e">
        <f t="shared" si="32"/>
        <v>#DIV/0!</v>
      </c>
      <c r="AG70" s="5">
        <f t="shared" ca="1" si="28"/>
        <v>314.95679999999999</v>
      </c>
      <c r="AH70" s="5">
        <f t="shared" si="29"/>
        <v>315</v>
      </c>
      <c r="AI70" s="6">
        <f t="shared" ca="1" si="30"/>
        <v>0.99986285714285705</v>
      </c>
    </row>
    <row r="71" spans="2:35" x14ac:dyDescent="0.2">
      <c r="B71" s="5" t="s">
        <v>58</v>
      </c>
      <c r="C71" s="21">
        <v>46566</v>
      </c>
      <c r="D71" s="5">
        <v>26</v>
      </c>
      <c r="E71" s="5">
        <v>4</v>
      </c>
      <c r="F71" s="5">
        <v>5</v>
      </c>
      <c r="G71" s="7">
        <f t="shared" ca="1" si="31"/>
        <v>9964</v>
      </c>
      <c r="H71" s="5">
        <v>0</v>
      </c>
      <c r="I71" s="5">
        <f>'B-ADIENT REAR SEAT'!BK67</f>
        <v>4035</v>
      </c>
      <c r="J71" s="12">
        <f t="shared" ca="1" si="17"/>
        <v>12.3</v>
      </c>
      <c r="K71" s="5">
        <f t="shared" ca="1" si="18"/>
        <v>2733</v>
      </c>
      <c r="L71" s="5">
        <v>0</v>
      </c>
      <c r="M71" s="5">
        <f ca="1">'B-ADIENT REAR SEAT'!$D$99</f>
        <v>7.6799999999999993E-2</v>
      </c>
      <c r="N71" s="5">
        <v>0</v>
      </c>
      <c r="O71" s="5">
        <v>6</v>
      </c>
      <c r="P71" s="5"/>
      <c r="Q71" s="5">
        <v>0</v>
      </c>
      <c r="R71" s="5">
        <f t="shared" si="19"/>
        <v>807</v>
      </c>
      <c r="S71" s="5">
        <v>2.5</v>
      </c>
      <c r="T71" s="6">
        <v>1</v>
      </c>
      <c r="U71" s="5">
        <f t="shared" si="33"/>
        <v>28</v>
      </c>
      <c r="V71" s="5">
        <f t="shared" ca="1" si="20"/>
        <v>911</v>
      </c>
      <c r="W71" s="5">
        <f t="shared" si="21"/>
        <v>2.5</v>
      </c>
      <c r="X71" s="6">
        <v>1</v>
      </c>
      <c r="Y71" s="5">
        <f t="shared" si="22"/>
        <v>28</v>
      </c>
      <c r="Z71" s="5">
        <f t="shared" ca="1" si="23"/>
        <v>911</v>
      </c>
      <c r="AA71" s="5">
        <f t="shared" si="24"/>
        <v>2.5</v>
      </c>
      <c r="AB71" s="6">
        <v>1</v>
      </c>
      <c r="AC71" s="5">
        <f t="shared" si="25"/>
        <v>28</v>
      </c>
      <c r="AD71" s="5">
        <f t="shared" ca="1" si="26"/>
        <v>911</v>
      </c>
      <c r="AE71" s="7">
        <f t="shared" si="27"/>
        <v>7.5</v>
      </c>
      <c r="AF71" s="5" t="e">
        <f t="shared" si="32"/>
        <v>#DIV/0!</v>
      </c>
      <c r="AG71" s="5">
        <f t="shared" ca="1" si="28"/>
        <v>209.89439999999999</v>
      </c>
      <c r="AH71" s="5">
        <f t="shared" si="29"/>
        <v>210</v>
      </c>
      <c r="AI71" s="6">
        <f t="shared" ca="1" si="30"/>
        <v>0.99949714285714286</v>
      </c>
    </row>
    <row r="72" spans="2:35" x14ac:dyDescent="0.2">
      <c r="B72" s="5" t="s">
        <v>59</v>
      </c>
      <c r="C72" s="21">
        <v>46573</v>
      </c>
      <c r="D72" s="5">
        <v>27</v>
      </c>
      <c r="E72" s="5">
        <v>1</v>
      </c>
      <c r="F72" s="5">
        <v>5</v>
      </c>
      <c r="G72" s="7">
        <f t="shared" ca="1" si="31"/>
        <v>10030</v>
      </c>
      <c r="H72" s="5">
        <v>0</v>
      </c>
      <c r="I72" s="5">
        <f>'B-ADIENT REAR SEAT'!BL67</f>
        <v>4013</v>
      </c>
      <c r="J72" s="12">
        <f t="shared" ca="1" si="17"/>
        <v>12.5</v>
      </c>
      <c r="K72" s="5">
        <f t="shared" ca="1" si="18"/>
        <v>684</v>
      </c>
      <c r="L72" s="5">
        <v>0</v>
      </c>
      <c r="M72" s="5">
        <f ca="1">'B-ADIENT REAR SEAT'!$D$99</f>
        <v>7.6799999999999993E-2</v>
      </c>
      <c r="N72" s="5">
        <v>0</v>
      </c>
      <c r="O72" s="5">
        <v>7</v>
      </c>
      <c r="P72" s="5"/>
      <c r="Q72" s="5">
        <v>0</v>
      </c>
      <c r="R72" s="5">
        <f t="shared" si="19"/>
        <v>803</v>
      </c>
      <c r="S72" s="5">
        <v>2.5</v>
      </c>
      <c r="T72" s="6">
        <v>1</v>
      </c>
      <c r="U72" s="5">
        <f t="shared" si="33"/>
        <v>7</v>
      </c>
      <c r="V72" s="5">
        <f t="shared" ca="1" si="20"/>
        <v>228</v>
      </c>
      <c r="W72" s="5">
        <f t="shared" si="21"/>
        <v>2.5</v>
      </c>
      <c r="X72" s="6">
        <v>1</v>
      </c>
      <c r="Y72" s="5">
        <f t="shared" si="22"/>
        <v>7</v>
      </c>
      <c r="Z72" s="5">
        <f t="shared" ca="1" si="23"/>
        <v>228</v>
      </c>
      <c r="AA72" s="5">
        <f t="shared" si="24"/>
        <v>2.5</v>
      </c>
      <c r="AB72" s="6">
        <v>1</v>
      </c>
      <c r="AC72" s="5">
        <f t="shared" si="25"/>
        <v>7</v>
      </c>
      <c r="AD72" s="5">
        <f t="shared" ca="1" si="26"/>
        <v>228</v>
      </c>
      <c r="AE72" s="7">
        <f t="shared" si="27"/>
        <v>7.5</v>
      </c>
      <c r="AF72" s="5" t="e">
        <f t="shared" si="32"/>
        <v>#DIV/0!</v>
      </c>
      <c r="AG72" s="5">
        <f t="shared" ca="1" si="28"/>
        <v>52.531199999999998</v>
      </c>
      <c r="AH72" s="5">
        <f t="shared" si="29"/>
        <v>52.5</v>
      </c>
      <c r="AI72" s="6">
        <f t="shared" ca="1" si="30"/>
        <v>1.0005942857142858</v>
      </c>
    </row>
    <row r="73" spans="2:35" x14ac:dyDescent="0.2">
      <c r="B73" s="5" t="s">
        <v>59</v>
      </c>
      <c r="C73" s="21">
        <v>46580</v>
      </c>
      <c r="D73" s="5">
        <v>28</v>
      </c>
      <c r="E73" s="5">
        <v>6</v>
      </c>
      <c r="F73" s="5">
        <v>5</v>
      </c>
      <c r="G73" s="7">
        <f t="shared" ca="1" si="31"/>
        <v>10118</v>
      </c>
      <c r="H73" s="5">
        <v>0</v>
      </c>
      <c r="I73" s="5">
        <f>'B-ADIENT REAR SEAT'!BM67</f>
        <v>4013</v>
      </c>
      <c r="J73" s="12">
        <f t="shared" ca="1" si="17"/>
        <v>12.6</v>
      </c>
      <c r="K73" s="5">
        <f t="shared" ca="1" si="18"/>
        <v>4101</v>
      </c>
      <c r="L73" s="5">
        <v>0</v>
      </c>
      <c r="M73" s="5">
        <f ca="1">'B-ADIENT REAR SEAT'!$D$99</f>
        <v>7.6799999999999993E-2</v>
      </c>
      <c r="N73" s="5">
        <v>0</v>
      </c>
      <c r="O73" s="5">
        <v>7</v>
      </c>
      <c r="P73" s="5"/>
      <c r="Q73" s="5">
        <v>0</v>
      </c>
      <c r="R73" s="5">
        <f t="shared" si="19"/>
        <v>803</v>
      </c>
      <c r="S73" s="5">
        <v>2.5</v>
      </c>
      <c r="T73" s="6">
        <v>1</v>
      </c>
      <c r="U73" s="5">
        <f t="shared" si="33"/>
        <v>42</v>
      </c>
      <c r="V73" s="5">
        <f t="shared" ca="1" si="20"/>
        <v>1367</v>
      </c>
      <c r="W73" s="5">
        <f t="shared" si="21"/>
        <v>2.5</v>
      </c>
      <c r="X73" s="6">
        <v>1</v>
      </c>
      <c r="Y73" s="5">
        <f t="shared" si="22"/>
        <v>42</v>
      </c>
      <c r="Z73" s="5">
        <f t="shared" ca="1" si="23"/>
        <v>1367</v>
      </c>
      <c r="AA73" s="5">
        <f t="shared" si="24"/>
        <v>2.5</v>
      </c>
      <c r="AB73" s="6">
        <v>1</v>
      </c>
      <c r="AC73" s="5">
        <f t="shared" si="25"/>
        <v>42</v>
      </c>
      <c r="AD73" s="5">
        <f t="shared" ca="1" si="26"/>
        <v>1367</v>
      </c>
      <c r="AE73" s="7">
        <f t="shared" si="27"/>
        <v>7.5</v>
      </c>
      <c r="AF73" s="5" t="e">
        <f t="shared" si="32"/>
        <v>#DIV/0!</v>
      </c>
      <c r="AG73" s="5">
        <f t="shared" ca="1" si="28"/>
        <v>314.95679999999999</v>
      </c>
      <c r="AH73" s="5">
        <f t="shared" si="29"/>
        <v>315</v>
      </c>
      <c r="AI73" s="6">
        <f t="shared" ca="1" si="30"/>
        <v>0.99986285714285705</v>
      </c>
    </row>
    <row r="74" spans="2:35" x14ac:dyDescent="0.2">
      <c r="B74" s="5" t="s">
        <v>59</v>
      </c>
      <c r="C74" s="21">
        <v>46587</v>
      </c>
      <c r="D74" s="5">
        <v>29</v>
      </c>
      <c r="E74" s="5">
        <v>6</v>
      </c>
      <c r="F74" s="24">
        <v>9</v>
      </c>
      <c r="G74" s="7">
        <f t="shared" ca="1" si="31"/>
        <v>9522</v>
      </c>
      <c r="H74" s="5">
        <v>0</v>
      </c>
      <c r="I74" s="5">
        <f>'B-ADIENT REAR SEAT'!BN67</f>
        <v>7321</v>
      </c>
      <c r="J74" s="12">
        <f t="shared" ca="1" si="17"/>
        <v>11.7</v>
      </c>
      <c r="K74" s="5">
        <f t="shared" ca="1" si="18"/>
        <v>4101</v>
      </c>
      <c r="L74" s="5">
        <v>0</v>
      </c>
      <c r="M74" s="5">
        <f ca="1">'B-ADIENT REAR SEAT'!$D$99</f>
        <v>7.6799999999999993E-2</v>
      </c>
      <c r="N74" s="5">
        <v>0</v>
      </c>
      <c r="O74" s="5">
        <v>7</v>
      </c>
      <c r="P74" s="5"/>
      <c r="Q74" s="5">
        <v>0</v>
      </c>
      <c r="R74" s="5">
        <f t="shared" si="19"/>
        <v>813</v>
      </c>
      <c r="S74" s="5">
        <v>2.5</v>
      </c>
      <c r="T74" s="6">
        <v>1</v>
      </c>
      <c r="U74" s="5">
        <f t="shared" si="33"/>
        <v>42</v>
      </c>
      <c r="V74" s="5">
        <f t="shared" ca="1" si="20"/>
        <v>1367</v>
      </c>
      <c r="W74" s="5">
        <f t="shared" si="21"/>
        <v>2.5</v>
      </c>
      <c r="X74" s="6">
        <v>1</v>
      </c>
      <c r="Y74" s="5">
        <f t="shared" si="22"/>
        <v>42</v>
      </c>
      <c r="Z74" s="5">
        <f t="shared" ca="1" si="23"/>
        <v>1367</v>
      </c>
      <c r="AA74" s="5">
        <f t="shared" si="24"/>
        <v>2.5</v>
      </c>
      <c r="AB74" s="6">
        <v>1</v>
      </c>
      <c r="AC74" s="5">
        <f t="shared" si="25"/>
        <v>42</v>
      </c>
      <c r="AD74" s="5">
        <f t="shared" ca="1" si="26"/>
        <v>1367</v>
      </c>
      <c r="AE74" s="7">
        <f t="shared" si="27"/>
        <v>7.5</v>
      </c>
      <c r="AF74" s="5" t="e">
        <f t="shared" si="32"/>
        <v>#DIV/0!</v>
      </c>
      <c r="AG74" s="5">
        <f t="shared" ca="1" si="28"/>
        <v>314.95679999999999</v>
      </c>
      <c r="AH74" s="5">
        <f t="shared" si="29"/>
        <v>315</v>
      </c>
      <c r="AI74" s="6">
        <f t="shared" ca="1" si="30"/>
        <v>0.99986285714285705</v>
      </c>
    </row>
    <row r="75" spans="2:35" x14ac:dyDescent="0.2">
      <c r="B75" s="5" t="s">
        <v>59</v>
      </c>
      <c r="C75" s="21">
        <v>46594</v>
      </c>
      <c r="D75" s="5">
        <v>30</v>
      </c>
      <c r="E75" s="5">
        <v>5</v>
      </c>
      <c r="F75" s="29">
        <v>0</v>
      </c>
      <c r="G75" s="7">
        <f t="shared" ca="1" si="31"/>
        <v>6302</v>
      </c>
      <c r="H75" s="5">
        <v>0</v>
      </c>
      <c r="I75" s="5">
        <f>'B-ADIENT REAR SEAT'!BO67</f>
        <v>0</v>
      </c>
      <c r="J75" s="12" t="str">
        <f t="shared" si="17"/>
        <v>N/S</v>
      </c>
      <c r="K75" s="5">
        <f t="shared" ca="1" si="18"/>
        <v>3417</v>
      </c>
      <c r="L75" s="5">
        <v>0</v>
      </c>
      <c r="M75" s="5">
        <f ca="1">'B-ADIENT REAR SEAT'!$D$99</f>
        <v>7.6799999999999993E-2</v>
      </c>
      <c r="N75" s="5">
        <v>0</v>
      </c>
      <c r="O75" s="5">
        <v>7</v>
      </c>
      <c r="P75" s="5"/>
      <c r="Q75" s="5">
        <v>0</v>
      </c>
      <c r="R75" s="5">
        <f t="shared" si="19"/>
        <v>0</v>
      </c>
      <c r="S75" s="5">
        <v>2.5</v>
      </c>
      <c r="T75" s="6">
        <v>1</v>
      </c>
      <c r="U75" s="5">
        <f t="shared" si="33"/>
        <v>35</v>
      </c>
      <c r="V75" s="5">
        <f t="shared" ca="1" si="20"/>
        <v>1139</v>
      </c>
      <c r="W75" s="5">
        <f t="shared" si="21"/>
        <v>2.5</v>
      </c>
      <c r="X75" s="6">
        <v>1</v>
      </c>
      <c r="Y75" s="5">
        <f t="shared" si="22"/>
        <v>35</v>
      </c>
      <c r="Z75" s="5">
        <f t="shared" ca="1" si="23"/>
        <v>1139</v>
      </c>
      <c r="AA75" s="5">
        <f t="shared" si="24"/>
        <v>2.5</v>
      </c>
      <c r="AB75" s="6">
        <v>1</v>
      </c>
      <c r="AC75" s="5">
        <f t="shared" si="25"/>
        <v>35</v>
      </c>
      <c r="AD75" s="5">
        <f t="shared" ca="1" si="26"/>
        <v>1139</v>
      </c>
      <c r="AE75" s="7">
        <f t="shared" si="27"/>
        <v>7.5</v>
      </c>
      <c r="AF75" s="5" t="e">
        <f t="shared" si="32"/>
        <v>#DIV/0!</v>
      </c>
      <c r="AG75" s="5">
        <f t="shared" ca="1" si="28"/>
        <v>262.42559999999997</v>
      </c>
      <c r="AH75" s="5">
        <f t="shared" si="29"/>
        <v>262.5</v>
      </c>
      <c r="AI75" s="6">
        <f t="shared" ca="1" si="30"/>
        <v>0.99971657142857129</v>
      </c>
    </row>
    <row r="76" spans="2:35" x14ac:dyDescent="0.2">
      <c r="B76" s="5" t="s">
        <v>60</v>
      </c>
      <c r="C76" s="21">
        <v>46601</v>
      </c>
      <c r="D76" s="5">
        <v>31</v>
      </c>
      <c r="E76" s="5">
        <v>6</v>
      </c>
      <c r="F76" s="29">
        <v>0</v>
      </c>
      <c r="G76" s="7">
        <f t="shared" ca="1" si="31"/>
        <v>9035</v>
      </c>
      <c r="H76" s="5">
        <v>0</v>
      </c>
      <c r="I76" s="5">
        <f>'B-ADIENT REAR SEAT'!BP67</f>
        <v>0</v>
      </c>
      <c r="J76" s="12" t="str">
        <f t="shared" ref="J76:J89" si="34">IF(I76=0,"N/S",ROUND( ( ((G76) * 1)/I76)*F76,1))</f>
        <v>N/S</v>
      </c>
      <c r="K76" s="5">
        <f t="shared" ref="K76:K89" ca="1" si="35">V76+Z76+AD76</f>
        <v>4101</v>
      </c>
      <c r="L76" s="5">
        <v>0</v>
      </c>
      <c r="M76" s="5">
        <f ca="1">'B-ADIENT REAR SEAT'!$D$99</f>
        <v>7.6799999999999993E-2</v>
      </c>
      <c r="N76" s="5">
        <v>0</v>
      </c>
      <c r="O76" s="5">
        <v>8</v>
      </c>
      <c r="P76" s="5"/>
      <c r="Q76" s="5">
        <v>0</v>
      </c>
      <c r="R76" s="5">
        <f t="shared" ref="R76:R89" si="36">IF(F76=0,0,ROUND(I76/F76,0))</f>
        <v>0</v>
      </c>
      <c r="S76" s="5">
        <v>2.5</v>
      </c>
      <c r="T76" s="6">
        <v>1</v>
      </c>
      <c r="U76" s="5">
        <f t="shared" si="33"/>
        <v>42</v>
      </c>
      <c r="V76" s="5">
        <f t="shared" ref="V76:V89" ca="1" si="37">ROUND(((S76*T76*U76)/M76),0)</f>
        <v>1367</v>
      </c>
      <c r="W76" s="5">
        <f t="shared" ref="W76:W89" si="38">S76</f>
        <v>2.5</v>
      </c>
      <c r="X76" s="6">
        <v>1</v>
      </c>
      <c r="Y76" s="5">
        <f t="shared" ref="Y76:Y89" si="39">U76</f>
        <v>42</v>
      </c>
      <c r="Z76" s="5">
        <f t="shared" ref="Z76:Z89" ca="1" si="40">ROUND(((W76*X76*Y76)/M76),0)</f>
        <v>1367</v>
      </c>
      <c r="AA76" s="5">
        <f t="shared" ref="AA76:AA89" si="41">W76</f>
        <v>2.5</v>
      </c>
      <c r="AB76" s="6">
        <v>1</v>
      </c>
      <c r="AC76" s="5">
        <f t="shared" ref="AC76:AC89" si="42">E76*7-N76</f>
        <v>42</v>
      </c>
      <c r="AD76" s="5">
        <f t="shared" ref="AD76:AD89" ca="1" si="43">ROUND(((AA76*AB76*AC76)/M76),0)</f>
        <v>1367</v>
      </c>
      <c r="AE76" s="7">
        <f t="shared" ref="AE76:AE89" si="44">S76+W76+AA76</f>
        <v>7.5</v>
      </c>
      <c r="AF76" s="5" t="e">
        <f t="shared" si="32"/>
        <v>#DIV/0!</v>
      </c>
      <c r="AG76" s="5">
        <f t="shared" ref="AG76:AG89" ca="1" si="45">K76*M76</f>
        <v>314.95679999999999</v>
      </c>
      <c r="AH76" s="5">
        <f t="shared" ref="AH76:AH89" si="46">S76*U76+W76*Y76+AA76*AC76</f>
        <v>315</v>
      </c>
      <c r="AI76" s="6">
        <f t="shared" ref="AI76:AI89" ca="1" si="47">IF(AH76=0,0,AG76/AH76)</f>
        <v>0.99986285714285705</v>
      </c>
    </row>
    <row r="77" spans="2:35" x14ac:dyDescent="0.2">
      <c r="B77" s="5" t="s">
        <v>60</v>
      </c>
      <c r="C77" s="21">
        <v>46608</v>
      </c>
      <c r="D77" s="5">
        <v>32</v>
      </c>
      <c r="E77" s="5">
        <v>0</v>
      </c>
      <c r="F77" s="29">
        <v>0</v>
      </c>
      <c r="G77" s="7">
        <f t="shared" ca="1" si="31"/>
        <v>9719</v>
      </c>
      <c r="H77" s="5">
        <v>0</v>
      </c>
      <c r="I77" s="5">
        <f>'B-ADIENT REAR SEAT'!BQ67</f>
        <v>0</v>
      </c>
      <c r="J77" s="12" t="str">
        <f t="shared" si="34"/>
        <v>N/S</v>
      </c>
      <c r="K77" s="5">
        <f t="shared" ca="1" si="35"/>
        <v>0</v>
      </c>
      <c r="L77" s="5">
        <v>0</v>
      </c>
      <c r="M77" s="5">
        <f ca="1">'B-ADIENT REAR SEAT'!$D$99</f>
        <v>7.6799999999999993E-2</v>
      </c>
      <c r="N77" s="5">
        <v>0</v>
      </c>
      <c r="O77" s="5">
        <v>8</v>
      </c>
      <c r="P77" s="5"/>
      <c r="Q77" s="5">
        <v>0</v>
      </c>
      <c r="R77" s="5">
        <f t="shared" si="36"/>
        <v>0</v>
      </c>
      <c r="S77" s="5">
        <v>2.5</v>
      </c>
      <c r="T77" s="6">
        <v>1</v>
      </c>
      <c r="U77" s="5">
        <f t="shared" si="33"/>
        <v>0</v>
      </c>
      <c r="V77" s="5">
        <f t="shared" ca="1" si="37"/>
        <v>0</v>
      </c>
      <c r="W77" s="5">
        <f t="shared" si="38"/>
        <v>2.5</v>
      </c>
      <c r="X77" s="6">
        <v>1</v>
      </c>
      <c r="Y77" s="5">
        <f t="shared" si="39"/>
        <v>0</v>
      </c>
      <c r="Z77" s="5">
        <f t="shared" ca="1" si="40"/>
        <v>0</v>
      </c>
      <c r="AA77" s="5">
        <f t="shared" si="41"/>
        <v>2.5</v>
      </c>
      <c r="AB77" s="6">
        <v>1</v>
      </c>
      <c r="AC77" s="5">
        <f t="shared" si="42"/>
        <v>0</v>
      </c>
      <c r="AD77" s="5">
        <f t="shared" ca="1" si="43"/>
        <v>0</v>
      </c>
      <c r="AE77" s="7">
        <f t="shared" si="44"/>
        <v>7.5</v>
      </c>
      <c r="AF77" s="5" t="e">
        <f t="shared" si="32"/>
        <v>#DIV/0!</v>
      </c>
      <c r="AG77" s="5">
        <f t="shared" ca="1" si="45"/>
        <v>0</v>
      </c>
      <c r="AH77" s="5">
        <f t="shared" si="46"/>
        <v>0</v>
      </c>
      <c r="AI77" s="6">
        <f t="shared" si="47"/>
        <v>0</v>
      </c>
    </row>
    <row r="78" spans="2:35" x14ac:dyDescent="0.2">
      <c r="B78" s="5" t="s">
        <v>60</v>
      </c>
      <c r="C78" s="21">
        <v>46615</v>
      </c>
      <c r="D78" s="5">
        <v>33</v>
      </c>
      <c r="E78" s="5">
        <v>0</v>
      </c>
      <c r="F78" s="31">
        <v>0</v>
      </c>
      <c r="G78" s="7">
        <f t="shared" ca="1" si="31"/>
        <v>13820</v>
      </c>
      <c r="H78" s="5">
        <v>0</v>
      </c>
      <c r="I78" s="5">
        <f>'B-ADIENT REAR SEAT'!BR67</f>
        <v>0</v>
      </c>
      <c r="J78" s="12" t="str">
        <f t="shared" si="34"/>
        <v>N/S</v>
      </c>
      <c r="K78" s="5">
        <f t="shared" ca="1" si="35"/>
        <v>0</v>
      </c>
      <c r="L78" s="5">
        <v>0</v>
      </c>
      <c r="M78" s="5">
        <f ca="1">'B-ADIENT REAR SEAT'!$D$99</f>
        <v>7.6799999999999993E-2</v>
      </c>
      <c r="N78" s="5">
        <v>0</v>
      </c>
      <c r="O78" s="5">
        <v>8</v>
      </c>
      <c r="P78" s="5"/>
      <c r="Q78" s="5">
        <v>0</v>
      </c>
      <c r="R78" s="5">
        <f t="shared" si="36"/>
        <v>0</v>
      </c>
      <c r="S78" s="5">
        <v>2.5</v>
      </c>
      <c r="T78" s="6">
        <v>1</v>
      </c>
      <c r="U78" s="5">
        <f t="shared" si="33"/>
        <v>0</v>
      </c>
      <c r="V78" s="5">
        <f t="shared" ca="1" si="37"/>
        <v>0</v>
      </c>
      <c r="W78" s="5">
        <f t="shared" si="38"/>
        <v>2.5</v>
      </c>
      <c r="X78" s="6">
        <v>1</v>
      </c>
      <c r="Y78" s="5">
        <f t="shared" si="39"/>
        <v>0</v>
      </c>
      <c r="Z78" s="5">
        <f t="shared" ca="1" si="40"/>
        <v>0</v>
      </c>
      <c r="AA78" s="5">
        <f t="shared" si="41"/>
        <v>2.5</v>
      </c>
      <c r="AB78" s="6">
        <v>1</v>
      </c>
      <c r="AC78" s="5">
        <f t="shared" si="42"/>
        <v>0</v>
      </c>
      <c r="AD78" s="5">
        <f t="shared" ca="1" si="43"/>
        <v>0</v>
      </c>
      <c r="AE78" s="7">
        <f t="shared" si="44"/>
        <v>7.5</v>
      </c>
      <c r="AF78" s="5" t="e">
        <f t="shared" si="32"/>
        <v>#DIV/0!</v>
      </c>
      <c r="AG78" s="5">
        <f t="shared" ca="1" si="45"/>
        <v>0</v>
      </c>
      <c r="AH78" s="5">
        <f t="shared" si="46"/>
        <v>0</v>
      </c>
      <c r="AI78" s="6">
        <f t="shared" si="47"/>
        <v>0</v>
      </c>
    </row>
    <row r="79" spans="2:35" x14ac:dyDescent="0.2">
      <c r="B79" s="5" t="s">
        <v>60</v>
      </c>
      <c r="C79" s="21">
        <v>46622</v>
      </c>
      <c r="D79" s="5">
        <v>34</v>
      </c>
      <c r="E79" s="5">
        <v>5</v>
      </c>
      <c r="F79" s="5">
        <v>5</v>
      </c>
      <c r="G79" s="7">
        <f t="shared" ca="1" si="31"/>
        <v>17921</v>
      </c>
      <c r="H79" s="5">
        <v>0</v>
      </c>
      <c r="I79" s="5">
        <f>'B-ADIENT REAR SEAT'!BS67</f>
        <v>4035</v>
      </c>
      <c r="J79" s="12">
        <f t="shared" ca="1" si="34"/>
        <v>22.2</v>
      </c>
      <c r="K79" s="5">
        <f t="shared" ca="1" si="35"/>
        <v>3417</v>
      </c>
      <c r="L79" s="5">
        <v>0</v>
      </c>
      <c r="M79" s="5">
        <f ca="1">'B-ADIENT REAR SEAT'!$D$99</f>
        <v>7.6799999999999993E-2</v>
      </c>
      <c r="N79" s="5">
        <v>0</v>
      </c>
      <c r="O79" s="5">
        <v>8</v>
      </c>
      <c r="P79" s="5"/>
      <c r="Q79" s="5">
        <v>0</v>
      </c>
      <c r="R79" s="5">
        <f t="shared" si="36"/>
        <v>807</v>
      </c>
      <c r="S79" s="5">
        <v>2.5</v>
      </c>
      <c r="T79" s="6">
        <v>1</v>
      </c>
      <c r="U79" s="5">
        <f t="shared" si="33"/>
        <v>35</v>
      </c>
      <c r="V79" s="5">
        <f t="shared" ca="1" si="37"/>
        <v>1139</v>
      </c>
      <c r="W79" s="5">
        <f t="shared" si="38"/>
        <v>2.5</v>
      </c>
      <c r="X79" s="6">
        <v>1</v>
      </c>
      <c r="Y79" s="5">
        <f t="shared" si="39"/>
        <v>35</v>
      </c>
      <c r="Z79" s="5">
        <f t="shared" ca="1" si="40"/>
        <v>1139</v>
      </c>
      <c r="AA79" s="5">
        <f t="shared" si="41"/>
        <v>2.5</v>
      </c>
      <c r="AB79" s="6">
        <v>1</v>
      </c>
      <c r="AC79" s="5">
        <f t="shared" si="42"/>
        <v>35</v>
      </c>
      <c r="AD79" s="5">
        <f t="shared" ca="1" si="43"/>
        <v>1139</v>
      </c>
      <c r="AE79" s="7">
        <f t="shared" si="44"/>
        <v>7.5</v>
      </c>
      <c r="AF79" s="5" t="e">
        <f t="shared" si="32"/>
        <v>#DIV/0!</v>
      </c>
      <c r="AG79" s="5">
        <f t="shared" ca="1" si="45"/>
        <v>262.42559999999997</v>
      </c>
      <c r="AH79" s="5">
        <f t="shared" si="46"/>
        <v>262.5</v>
      </c>
      <c r="AI79" s="6">
        <f t="shared" ca="1" si="47"/>
        <v>0.99971657142857129</v>
      </c>
    </row>
    <row r="80" spans="2:35" x14ac:dyDescent="0.2">
      <c r="B80" s="5" t="s">
        <v>60</v>
      </c>
      <c r="C80" s="21">
        <v>46629</v>
      </c>
      <c r="D80" s="5">
        <v>35</v>
      </c>
      <c r="E80" s="5">
        <v>6</v>
      </c>
      <c r="F80" s="5">
        <v>5</v>
      </c>
      <c r="G80" s="7">
        <f t="shared" ca="1" si="31"/>
        <v>17303</v>
      </c>
      <c r="H80" s="5">
        <v>0</v>
      </c>
      <c r="I80" s="5">
        <f>'B-ADIENT REAR SEAT'!BT67</f>
        <v>4035</v>
      </c>
      <c r="J80" s="12">
        <f t="shared" ca="1" si="34"/>
        <v>21.4</v>
      </c>
      <c r="K80" s="5">
        <f t="shared" ca="1" si="35"/>
        <v>4101</v>
      </c>
      <c r="L80" s="5">
        <v>0</v>
      </c>
      <c r="M80" s="5">
        <f ca="1">'B-ADIENT REAR SEAT'!$D$99</f>
        <v>7.6799999999999993E-2</v>
      </c>
      <c r="N80" s="5">
        <v>0</v>
      </c>
      <c r="O80" s="5">
        <v>8</v>
      </c>
      <c r="P80" s="5"/>
      <c r="Q80" s="5">
        <v>0</v>
      </c>
      <c r="R80" s="5">
        <f t="shared" si="36"/>
        <v>807</v>
      </c>
      <c r="S80" s="5">
        <v>2.5</v>
      </c>
      <c r="T80" s="6">
        <v>1</v>
      </c>
      <c r="U80" s="5">
        <f t="shared" si="33"/>
        <v>42</v>
      </c>
      <c r="V80" s="5">
        <f t="shared" ca="1" si="37"/>
        <v>1367</v>
      </c>
      <c r="W80" s="5">
        <f t="shared" si="38"/>
        <v>2.5</v>
      </c>
      <c r="X80" s="6">
        <v>1</v>
      </c>
      <c r="Y80" s="5">
        <f t="shared" si="39"/>
        <v>42</v>
      </c>
      <c r="Z80" s="5">
        <f t="shared" ca="1" si="40"/>
        <v>1367</v>
      </c>
      <c r="AA80" s="5">
        <f t="shared" si="41"/>
        <v>2.5</v>
      </c>
      <c r="AB80" s="6">
        <v>1</v>
      </c>
      <c r="AC80" s="5">
        <f t="shared" si="42"/>
        <v>42</v>
      </c>
      <c r="AD80" s="5">
        <f t="shared" ca="1" si="43"/>
        <v>1367</v>
      </c>
      <c r="AE80" s="7">
        <f t="shared" si="44"/>
        <v>7.5</v>
      </c>
      <c r="AF80" s="5" t="e">
        <f t="shared" si="32"/>
        <v>#DIV/0!</v>
      </c>
      <c r="AG80" s="5">
        <f t="shared" ca="1" si="45"/>
        <v>314.95679999999999</v>
      </c>
      <c r="AH80" s="5">
        <f t="shared" si="46"/>
        <v>315</v>
      </c>
      <c r="AI80" s="6">
        <f t="shared" ca="1" si="47"/>
        <v>0.99986285714285705</v>
      </c>
    </row>
    <row r="81" spans="2:35" x14ac:dyDescent="0.2">
      <c r="B81" s="5" t="s">
        <v>61</v>
      </c>
      <c r="C81" s="21">
        <v>46636</v>
      </c>
      <c r="D81" s="5">
        <v>36</v>
      </c>
      <c r="E81" s="5">
        <v>6</v>
      </c>
      <c r="F81" s="5">
        <v>5</v>
      </c>
      <c r="G81" s="7">
        <f t="shared" ref="G81:G89" ca="1" si="48">(G80+H80-I80+K76)</f>
        <v>17369</v>
      </c>
      <c r="H81" s="5">
        <v>0</v>
      </c>
      <c r="I81" s="5">
        <f>'B-ADIENT REAR SEAT'!BU67</f>
        <v>4035</v>
      </c>
      <c r="J81" s="12">
        <f t="shared" ca="1" si="34"/>
        <v>21.5</v>
      </c>
      <c r="K81" s="5">
        <f t="shared" ca="1" si="35"/>
        <v>4101</v>
      </c>
      <c r="L81" s="5">
        <v>0</v>
      </c>
      <c r="M81" s="5">
        <f ca="1">'B-ADIENT REAR SEAT'!$D$99</f>
        <v>7.6799999999999993E-2</v>
      </c>
      <c r="N81" s="5">
        <v>0</v>
      </c>
      <c r="O81" s="5">
        <v>9</v>
      </c>
      <c r="P81" s="5"/>
      <c r="Q81" s="5">
        <v>0</v>
      </c>
      <c r="R81" s="5">
        <f t="shared" si="36"/>
        <v>807</v>
      </c>
      <c r="S81" s="5">
        <v>2.5</v>
      </c>
      <c r="T81" s="6">
        <v>1</v>
      </c>
      <c r="U81" s="5">
        <f t="shared" si="33"/>
        <v>42</v>
      </c>
      <c r="V81" s="5">
        <f t="shared" ca="1" si="37"/>
        <v>1367</v>
      </c>
      <c r="W81" s="5">
        <f t="shared" si="38"/>
        <v>2.5</v>
      </c>
      <c r="X81" s="6">
        <v>1</v>
      </c>
      <c r="Y81" s="5">
        <f t="shared" si="39"/>
        <v>42</v>
      </c>
      <c r="Z81" s="5">
        <f t="shared" ca="1" si="40"/>
        <v>1367</v>
      </c>
      <c r="AA81" s="5">
        <f t="shared" si="41"/>
        <v>2.5</v>
      </c>
      <c r="AB81" s="6">
        <v>1</v>
      </c>
      <c r="AC81" s="5">
        <f t="shared" si="42"/>
        <v>42</v>
      </c>
      <c r="AD81" s="5">
        <f t="shared" ca="1" si="43"/>
        <v>1367</v>
      </c>
      <c r="AE81" s="7">
        <f t="shared" si="44"/>
        <v>7.5</v>
      </c>
      <c r="AF81" s="5" t="e">
        <f t="shared" si="32"/>
        <v>#DIV/0!</v>
      </c>
      <c r="AG81" s="5">
        <f t="shared" ca="1" si="45"/>
        <v>314.95679999999999</v>
      </c>
      <c r="AH81" s="5">
        <f t="shared" si="46"/>
        <v>315</v>
      </c>
      <c r="AI81" s="6">
        <f t="shared" ca="1" si="47"/>
        <v>0.99986285714285705</v>
      </c>
    </row>
    <row r="82" spans="2:35" x14ac:dyDescent="0.2">
      <c r="B82" s="5" t="s">
        <v>61</v>
      </c>
      <c r="C82" s="21">
        <v>46643</v>
      </c>
      <c r="D82" s="5">
        <v>37</v>
      </c>
      <c r="E82" s="5">
        <v>6</v>
      </c>
      <c r="F82" s="5">
        <v>5</v>
      </c>
      <c r="G82" s="7">
        <f t="shared" ca="1" si="48"/>
        <v>13334</v>
      </c>
      <c r="H82" s="5">
        <v>0</v>
      </c>
      <c r="I82" s="5">
        <f>'B-ADIENT REAR SEAT'!BV67</f>
        <v>4035</v>
      </c>
      <c r="J82" s="12">
        <f t="shared" ca="1" si="34"/>
        <v>16.5</v>
      </c>
      <c r="K82" s="5">
        <f t="shared" ca="1" si="35"/>
        <v>4101</v>
      </c>
      <c r="L82" s="5">
        <v>0</v>
      </c>
      <c r="M82" s="5">
        <f ca="1">'B-ADIENT REAR SEAT'!$D$99</f>
        <v>7.6799999999999993E-2</v>
      </c>
      <c r="N82" s="5">
        <v>0</v>
      </c>
      <c r="O82" s="5">
        <v>9</v>
      </c>
      <c r="P82" s="5"/>
      <c r="Q82" s="5">
        <v>0</v>
      </c>
      <c r="R82" s="5">
        <f t="shared" si="36"/>
        <v>807</v>
      </c>
      <c r="S82" s="5">
        <v>2.5</v>
      </c>
      <c r="T82" s="6">
        <v>1</v>
      </c>
      <c r="U82" s="5">
        <f t="shared" si="33"/>
        <v>42</v>
      </c>
      <c r="V82" s="5">
        <f t="shared" ca="1" si="37"/>
        <v>1367</v>
      </c>
      <c r="W82" s="5">
        <f t="shared" si="38"/>
        <v>2.5</v>
      </c>
      <c r="X82" s="6">
        <v>1</v>
      </c>
      <c r="Y82" s="5">
        <f t="shared" si="39"/>
        <v>42</v>
      </c>
      <c r="Z82" s="5">
        <f t="shared" ca="1" si="40"/>
        <v>1367</v>
      </c>
      <c r="AA82" s="5">
        <f t="shared" si="41"/>
        <v>2.5</v>
      </c>
      <c r="AB82" s="6">
        <v>1</v>
      </c>
      <c r="AC82" s="5">
        <f t="shared" si="42"/>
        <v>42</v>
      </c>
      <c r="AD82" s="5">
        <f t="shared" ca="1" si="43"/>
        <v>1367</v>
      </c>
      <c r="AE82" s="7">
        <f t="shared" si="44"/>
        <v>7.5</v>
      </c>
      <c r="AF82" s="5" t="e">
        <f t="shared" si="32"/>
        <v>#DIV/0!</v>
      </c>
      <c r="AG82" s="5">
        <f t="shared" ca="1" si="45"/>
        <v>314.95679999999999</v>
      </c>
      <c r="AH82" s="5">
        <f t="shared" si="46"/>
        <v>315</v>
      </c>
      <c r="AI82" s="6">
        <f t="shared" ca="1" si="47"/>
        <v>0.99986285714285705</v>
      </c>
    </row>
    <row r="83" spans="2:35" x14ac:dyDescent="0.2">
      <c r="B83" s="5" t="s">
        <v>61</v>
      </c>
      <c r="C83" s="21">
        <v>46650</v>
      </c>
      <c r="D83" s="5">
        <v>38</v>
      </c>
      <c r="E83" s="5">
        <v>6</v>
      </c>
      <c r="F83" s="5">
        <v>5</v>
      </c>
      <c r="G83" s="7">
        <f t="shared" ca="1" si="48"/>
        <v>9299</v>
      </c>
      <c r="H83" s="5">
        <v>0</v>
      </c>
      <c r="I83" s="5">
        <f>'B-ADIENT REAR SEAT'!BW67</f>
        <v>4035</v>
      </c>
      <c r="J83" s="12">
        <f t="shared" ca="1" si="34"/>
        <v>11.5</v>
      </c>
      <c r="K83" s="5">
        <f t="shared" ca="1" si="35"/>
        <v>4101</v>
      </c>
      <c r="L83" s="5">
        <v>0</v>
      </c>
      <c r="M83" s="5">
        <f ca="1">'B-ADIENT REAR SEAT'!$D$99</f>
        <v>7.6799999999999993E-2</v>
      </c>
      <c r="N83" s="5">
        <v>0</v>
      </c>
      <c r="O83" s="5">
        <v>9</v>
      </c>
      <c r="P83" s="5"/>
      <c r="Q83" s="5">
        <v>0</v>
      </c>
      <c r="R83" s="5">
        <f t="shared" si="36"/>
        <v>807</v>
      </c>
      <c r="S83" s="5">
        <v>2.5</v>
      </c>
      <c r="T83" s="6">
        <v>1</v>
      </c>
      <c r="U83" s="5">
        <f t="shared" si="33"/>
        <v>42</v>
      </c>
      <c r="V83" s="5">
        <f t="shared" ca="1" si="37"/>
        <v>1367</v>
      </c>
      <c r="W83" s="5">
        <f t="shared" si="38"/>
        <v>2.5</v>
      </c>
      <c r="X83" s="6">
        <v>1</v>
      </c>
      <c r="Y83" s="5">
        <f t="shared" si="39"/>
        <v>42</v>
      </c>
      <c r="Z83" s="5">
        <f t="shared" ca="1" si="40"/>
        <v>1367</v>
      </c>
      <c r="AA83" s="5">
        <f t="shared" si="41"/>
        <v>2.5</v>
      </c>
      <c r="AB83" s="6">
        <v>1</v>
      </c>
      <c r="AC83" s="5">
        <f t="shared" si="42"/>
        <v>42</v>
      </c>
      <c r="AD83" s="5">
        <f t="shared" ca="1" si="43"/>
        <v>1367</v>
      </c>
      <c r="AE83" s="7">
        <f t="shared" si="44"/>
        <v>7.5</v>
      </c>
      <c r="AF83" s="5" t="e">
        <f t="shared" si="32"/>
        <v>#DIV/0!</v>
      </c>
      <c r="AG83" s="5">
        <f t="shared" ca="1" si="45"/>
        <v>314.95679999999999</v>
      </c>
      <c r="AH83" s="5">
        <f t="shared" si="46"/>
        <v>315</v>
      </c>
      <c r="AI83" s="6">
        <f t="shared" ca="1" si="47"/>
        <v>0.99986285714285705</v>
      </c>
    </row>
    <row r="84" spans="2:35" x14ac:dyDescent="0.2">
      <c r="B84" s="5" t="s">
        <v>61</v>
      </c>
      <c r="C84" s="21">
        <v>46657</v>
      </c>
      <c r="D84" s="5">
        <v>39</v>
      </c>
      <c r="E84" s="5">
        <v>4</v>
      </c>
      <c r="F84" s="5">
        <v>5</v>
      </c>
      <c r="G84" s="7">
        <f t="shared" ca="1" si="48"/>
        <v>8681</v>
      </c>
      <c r="H84" s="5">
        <v>0</v>
      </c>
      <c r="I84" s="5">
        <f>'B-ADIENT REAR SEAT'!BX67</f>
        <v>4035</v>
      </c>
      <c r="J84" s="12">
        <f t="shared" ca="1" si="34"/>
        <v>10.8</v>
      </c>
      <c r="K84" s="5">
        <f t="shared" ca="1" si="35"/>
        <v>2733</v>
      </c>
      <c r="L84" s="5">
        <v>0</v>
      </c>
      <c r="M84" s="5">
        <f ca="1">'B-ADIENT REAR SEAT'!$D$99</f>
        <v>7.6799999999999993E-2</v>
      </c>
      <c r="N84" s="5">
        <v>0</v>
      </c>
      <c r="O84" s="5">
        <v>9</v>
      </c>
      <c r="P84" s="5"/>
      <c r="Q84" s="5">
        <v>0</v>
      </c>
      <c r="R84" s="5">
        <f t="shared" si="36"/>
        <v>807</v>
      </c>
      <c r="S84" s="5">
        <v>2.5</v>
      </c>
      <c r="T84" s="6">
        <v>1</v>
      </c>
      <c r="U84" s="5">
        <f t="shared" si="33"/>
        <v>28</v>
      </c>
      <c r="V84" s="5">
        <f t="shared" ca="1" si="37"/>
        <v>911</v>
      </c>
      <c r="W84" s="5">
        <f t="shared" si="38"/>
        <v>2.5</v>
      </c>
      <c r="X84" s="6">
        <v>1</v>
      </c>
      <c r="Y84" s="5">
        <f t="shared" si="39"/>
        <v>28</v>
      </c>
      <c r="Z84" s="5">
        <f t="shared" ca="1" si="40"/>
        <v>911</v>
      </c>
      <c r="AA84" s="5">
        <f t="shared" si="41"/>
        <v>2.5</v>
      </c>
      <c r="AB84" s="6">
        <v>1</v>
      </c>
      <c r="AC84" s="5">
        <f t="shared" si="42"/>
        <v>28</v>
      </c>
      <c r="AD84" s="5">
        <f t="shared" ca="1" si="43"/>
        <v>911</v>
      </c>
      <c r="AE84" s="7">
        <f t="shared" si="44"/>
        <v>7.5</v>
      </c>
      <c r="AF84" s="5" t="e">
        <f t="shared" si="32"/>
        <v>#DIV/0!</v>
      </c>
      <c r="AG84" s="5">
        <f t="shared" ca="1" si="45"/>
        <v>209.89439999999999</v>
      </c>
      <c r="AH84" s="5">
        <f t="shared" si="46"/>
        <v>210</v>
      </c>
      <c r="AI84" s="6">
        <f t="shared" ca="1" si="47"/>
        <v>0.99949714285714286</v>
      </c>
    </row>
    <row r="85" spans="2:35" x14ac:dyDescent="0.2">
      <c r="B85" s="5" t="s">
        <v>62</v>
      </c>
      <c r="C85" s="21">
        <v>46664</v>
      </c>
      <c r="D85" s="5">
        <v>40</v>
      </c>
      <c r="E85" s="5">
        <v>6</v>
      </c>
      <c r="F85" s="5">
        <v>5</v>
      </c>
      <c r="G85" s="7">
        <f t="shared" ca="1" si="48"/>
        <v>8747</v>
      </c>
      <c r="H85" s="5">
        <v>0</v>
      </c>
      <c r="I85" s="5">
        <f>'B-ADIENT REAR SEAT'!BY67</f>
        <v>4035</v>
      </c>
      <c r="J85" s="12">
        <f t="shared" ca="1" si="34"/>
        <v>10.8</v>
      </c>
      <c r="K85" s="5">
        <f t="shared" ca="1" si="35"/>
        <v>4101</v>
      </c>
      <c r="L85" s="5">
        <v>0</v>
      </c>
      <c r="M85" s="5">
        <f ca="1">'B-ADIENT REAR SEAT'!$D$99</f>
        <v>7.6799999999999993E-2</v>
      </c>
      <c r="N85" s="5">
        <v>0</v>
      </c>
      <c r="O85" s="5">
        <v>10</v>
      </c>
      <c r="P85" s="5"/>
      <c r="Q85" s="5">
        <v>0</v>
      </c>
      <c r="R85" s="5">
        <f t="shared" si="36"/>
        <v>807</v>
      </c>
      <c r="S85" s="5">
        <v>2.5</v>
      </c>
      <c r="T85" s="6">
        <v>1</v>
      </c>
      <c r="U85" s="5">
        <f t="shared" si="33"/>
        <v>42</v>
      </c>
      <c r="V85" s="5">
        <f t="shared" ca="1" si="37"/>
        <v>1367</v>
      </c>
      <c r="W85" s="5">
        <f t="shared" si="38"/>
        <v>2.5</v>
      </c>
      <c r="X85" s="6">
        <v>1</v>
      </c>
      <c r="Y85" s="5">
        <f t="shared" si="39"/>
        <v>42</v>
      </c>
      <c r="Z85" s="5">
        <f t="shared" ca="1" si="40"/>
        <v>1367</v>
      </c>
      <c r="AA85" s="5">
        <f t="shared" si="41"/>
        <v>2.5</v>
      </c>
      <c r="AB85" s="6">
        <v>1</v>
      </c>
      <c r="AC85" s="5">
        <f t="shared" si="42"/>
        <v>42</v>
      </c>
      <c r="AD85" s="5">
        <f t="shared" ca="1" si="43"/>
        <v>1367</v>
      </c>
      <c r="AE85" s="7">
        <f t="shared" si="44"/>
        <v>7.5</v>
      </c>
      <c r="AF85" s="5" t="e">
        <f t="shared" si="32"/>
        <v>#DIV/0!</v>
      </c>
      <c r="AG85" s="5">
        <f t="shared" ca="1" si="45"/>
        <v>314.95679999999999</v>
      </c>
      <c r="AH85" s="5">
        <f t="shared" si="46"/>
        <v>315</v>
      </c>
      <c r="AI85" s="6">
        <f t="shared" ca="1" si="47"/>
        <v>0.99986285714285705</v>
      </c>
    </row>
    <row r="86" spans="2:35" x14ac:dyDescent="0.2">
      <c r="B86" s="5" t="s">
        <v>62</v>
      </c>
      <c r="C86" s="21">
        <v>46671</v>
      </c>
      <c r="D86" s="5">
        <v>41</v>
      </c>
      <c r="E86" s="5">
        <v>5</v>
      </c>
      <c r="F86" s="5">
        <v>5</v>
      </c>
      <c r="G86" s="7">
        <f t="shared" ca="1" si="48"/>
        <v>8813</v>
      </c>
      <c r="H86" s="5">
        <v>0</v>
      </c>
      <c r="I86" s="5">
        <f>'B-ADIENT REAR SEAT'!BZ67</f>
        <v>4035</v>
      </c>
      <c r="J86" s="12">
        <f t="shared" ca="1" si="34"/>
        <v>10.9</v>
      </c>
      <c r="K86" s="5">
        <f t="shared" ca="1" si="35"/>
        <v>3417</v>
      </c>
      <c r="L86" s="5">
        <v>0</v>
      </c>
      <c r="M86" s="5">
        <f ca="1">'B-ADIENT REAR SEAT'!$D$99</f>
        <v>7.6799999999999993E-2</v>
      </c>
      <c r="N86" s="5">
        <v>0</v>
      </c>
      <c r="O86" s="5">
        <v>10</v>
      </c>
      <c r="P86" s="5"/>
      <c r="Q86" s="5">
        <v>0</v>
      </c>
      <c r="R86" s="5">
        <f t="shared" si="36"/>
        <v>807</v>
      </c>
      <c r="S86" s="5">
        <v>2.5</v>
      </c>
      <c r="T86" s="6">
        <v>1</v>
      </c>
      <c r="U86" s="5">
        <f t="shared" si="33"/>
        <v>35</v>
      </c>
      <c r="V86" s="5">
        <f t="shared" ca="1" si="37"/>
        <v>1139</v>
      </c>
      <c r="W86" s="5">
        <f t="shared" si="38"/>
        <v>2.5</v>
      </c>
      <c r="X86" s="6">
        <v>1</v>
      </c>
      <c r="Y86" s="5">
        <f t="shared" si="39"/>
        <v>35</v>
      </c>
      <c r="Z86" s="5">
        <f t="shared" ca="1" si="40"/>
        <v>1139</v>
      </c>
      <c r="AA86" s="5">
        <f t="shared" si="41"/>
        <v>2.5</v>
      </c>
      <c r="AB86" s="6">
        <v>1</v>
      </c>
      <c r="AC86" s="5">
        <f t="shared" si="42"/>
        <v>35</v>
      </c>
      <c r="AD86" s="5">
        <f t="shared" ca="1" si="43"/>
        <v>1139</v>
      </c>
      <c r="AE86" s="7">
        <f t="shared" si="44"/>
        <v>7.5</v>
      </c>
      <c r="AF86" s="5" t="e">
        <f t="shared" si="32"/>
        <v>#DIV/0!</v>
      </c>
      <c r="AG86" s="5">
        <f t="shared" ca="1" si="45"/>
        <v>262.42559999999997</v>
      </c>
      <c r="AH86" s="5">
        <f t="shared" si="46"/>
        <v>262.5</v>
      </c>
      <c r="AI86" s="6">
        <f t="shared" ca="1" si="47"/>
        <v>0.99971657142857129</v>
      </c>
    </row>
    <row r="87" spans="2:35" x14ac:dyDescent="0.2">
      <c r="B87" s="5" t="s">
        <v>62</v>
      </c>
      <c r="C87" s="21">
        <v>46678</v>
      </c>
      <c r="D87" s="5">
        <v>42</v>
      </c>
      <c r="E87" s="5">
        <v>6</v>
      </c>
      <c r="F87" s="5">
        <v>5</v>
      </c>
      <c r="G87" s="7">
        <f t="shared" ca="1" si="48"/>
        <v>8879</v>
      </c>
      <c r="H87" s="5">
        <v>0</v>
      </c>
      <c r="I87" s="5">
        <f>'B-ADIENT REAR SEAT'!CA67</f>
        <v>4035</v>
      </c>
      <c r="J87" s="12">
        <f t="shared" ca="1" si="34"/>
        <v>11</v>
      </c>
      <c r="K87" s="5">
        <f t="shared" ca="1" si="35"/>
        <v>4101</v>
      </c>
      <c r="L87" s="5">
        <v>0</v>
      </c>
      <c r="M87" s="5">
        <f ca="1">'B-ADIENT REAR SEAT'!$D$99</f>
        <v>7.6799999999999993E-2</v>
      </c>
      <c r="N87" s="5">
        <v>0</v>
      </c>
      <c r="O87" s="5">
        <v>10</v>
      </c>
      <c r="P87" s="5"/>
      <c r="Q87" s="5">
        <v>0</v>
      </c>
      <c r="R87" s="5">
        <f t="shared" si="36"/>
        <v>807</v>
      </c>
      <c r="S87" s="5">
        <v>2.5</v>
      </c>
      <c r="T87" s="6">
        <v>1</v>
      </c>
      <c r="U87" s="5">
        <f t="shared" si="33"/>
        <v>42</v>
      </c>
      <c r="V87" s="5">
        <f t="shared" ca="1" si="37"/>
        <v>1367</v>
      </c>
      <c r="W87" s="5">
        <f t="shared" si="38"/>
        <v>2.5</v>
      </c>
      <c r="X87" s="6">
        <v>1</v>
      </c>
      <c r="Y87" s="5">
        <f t="shared" si="39"/>
        <v>42</v>
      </c>
      <c r="Z87" s="5">
        <f t="shared" ca="1" si="40"/>
        <v>1367</v>
      </c>
      <c r="AA87" s="5">
        <f t="shared" si="41"/>
        <v>2.5</v>
      </c>
      <c r="AB87" s="6">
        <v>1</v>
      </c>
      <c r="AC87" s="5">
        <f t="shared" si="42"/>
        <v>42</v>
      </c>
      <c r="AD87" s="5">
        <f t="shared" ca="1" si="43"/>
        <v>1367</v>
      </c>
      <c r="AE87" s="7">
        <f t="shared" si="44"/>
        <v>7.5</v>
      </c>
      <c r="AF87" s="5" t="e">
        <f t="shared" si="32"/>
        <v>#DIV/0!</v>
      </c>
      <c r="AG87" s="5">
        <f t="shared" ca="1" si="45"/>
        <v>314.95679999999999</v>
      </c>
      <c r="AH87" s="5">
        <f t="shared" si="46"/>
        <v>315</v>
      </c>
      <c r="AI87" s="6">
        <f t="shared" ca="1" si="47"/>
        <v>0.99986285714285705</v>
      </c>
    </row>
    <row r="88" spans="2:35" x14ac:dyDescent="0.2">
      <c r="B88" s="5" t="s">
        <v>62</v>
      </c>
      <c r="C88" s="21">
        <v>46685</v>
      </c>
      <c r="D88" s="5">
        <v>43</v>
      </c>
      <c r="E88" s="5">
        <v>6</v>
      </c>
      <c r="F88" s="5">
        <v>5</v>
      </c>
      <c r="G88" s="7">
        <f t="shared" ca="1" si="48"/>
        <v>8945</v>
      </c>
      <c r="H88" s="5">
        <v>0</v>
      </c>
      <c r="I88" s="5">
        <f>'B-ADIENT REAR SEAT'!CB67</f>
        <v>4035</v>
      </c>
      <c r="J88" s="12">
        <f t="shared" ca="1" si="34"/>
        <v>11.1</v>
      </c>
      <c r="K88" s="5">
        <f t="shared" ca="1" si="35"/>
        <v>4101</v>
      </c>
      <c r="L88" s="5">
        <v>0</v>
      </c>
      <c r="M88" s="5">
        <f ca="1">'B-ADIENT REAR SEAT'!$D$99</f>
        <v>7.6799999999999993E-2</v>
      </c>
      <c r="N88" s="5">
        <v>0</v>
      </c>
      <c r="O88" s="5">
        <v>10</v>
      </c>
      <c r="P88" s="5"/>
      <c r="Q88" s="5">
        <v>0</v>
      </c>
      <c r="R88" s="5">
        <f t="shared" si="36"/>
        <v>807</v>
      </c>
      <c r="S88" s="5">
        <v>2.5</v>
      </c>
      <c r="T88" s="6">
        <v>1</v>
      </c>
      <c r="U88" s="5">
        <f t="shared" si="33"/>
        <v>42</v>
      </c>
      <c r="V88" s="5">
        <f t="shared" ca="1" si="37"/>
        <v>1367</v>
      </c>
      <c r="W88" s="5">
        <f t="shared" si="38"/>
        <v>2.5</v>
      </c>
      <c r="X88" s="6">
        <v>1</v>
      </c>
      <c r="Y88" s="5">
        <f t="shared" si="39"/>
        <v>42</v>
      </c>
      <c r="Z88" s="5">
        <f t="shared" ca="1" si="40"/>
        <v>1367</v>
      </c>
      <c r="AA88" s="5">
        <f t="shared" si="41"/>
        <v>2.5</v>
      </c>
      <c r="AB88" s="6">
        <v>1</v>
      </c>
      <c r="AC88" s="5">
        <f t="shared" si="42"/>
        <v>42</v>
      </c>
      <c r="AD88" s="5">
        <f t="shared" ca="1" si="43"/>
        <v>1367</v>
      </c>
      <c r="AE88" s="7">
        <f t="shared" si="44"/>
        <v>7.5</v>
      </c>
      <c r="AF88" s="5" t="e">
        <f t="shared" si="32"/>
        <v>#DIV/0!</v>
      </c>
      <c r="AG88" s="5">
        <f t="shared" ca="1" si="45"/>
        <v>314.95679999999999</v>
      </c>
      <c r="AH88" s="5">
        <f t="shared" si="46"/>
        <v>315</v>
      </c>
      <c r="AI88" s="6">
        <f t="shared" ca="1" si="47"/>
        <v>0.99986285714285705</v>
      </c>
    </row>
    <row r="89" spans="2:35" x14ac:dyDescent="0.2">
      <c r="B89" s="5" t="s">
        <v>63</v>
      </c>
      <c r="C89" s="21">
        <v>46692</v>
      </c>
      <c r="D89" s="5">
        <v>44</v>
      </c>
      <c r="E89" s="5">
        <v>6</v>
      </c>
      <c r="F89" s="5">
        <v>5</v>
      </c>
      <c r="G89" s="7">
        <f t="shared" ca="1" si="48"/>
        <v>7643</v>
      </c>
      <c r="H89" s="5">
        <v>0</v>
      </c>
      <c r="I89" s="5">
        <f>'B-ADIENT REAR SEAT'!CC67</f>
        <v>4035</v>
      </c>
      <c r="J89" s="12">
        <f t="shared" ca="1" si="34"/>
        <v>9.5</v>
      </c>
      <c r="K89" s="5">
        <f t="shared" ca="1" si="35"/>
        <v>4101</v>
      </c>
      <c r="L89" s="5">
        <v>0</v>
      </c>
      <c r="M89" s="5">
        <f ca="1">'B-ADIENT REAR SEAT'!$D$99</f>
        <v>7.6799999999999993E-2</v>
      </c>
      <c r="N89" s="5">
        <v>0</v>
      </c>
      <c r="O89" s="5">
        <v>11</v>
      </c>
      <c r="P89" s="5"/>
      <c r="Q89" s="5">
        <v>0</v>
      </c>
      <c r="R89" s="5">
        <f t="shared" si="36"/>
        <v>807</v>
      </c>
      <c r="S89" s="5">
        <v>2.5</v>
      </c>
      <c r="T89" s="6">
        <v>1</v>
      </c>
      <c r="U89" s="5">
        <f t="shared" si="33"/>
        <v>42</v>
      </c>
      <c r="V89" s="5">
        <f t="shared" ca="1" si="37"/>
        <v>1367</v>
      </c>
      <c r="W89" s="5">
        <f t="shared" si="38"/>
        <v>2.5</v>
      </c>
      <c r="X89" s="6">
        <v>1</v>
      </c>
      <c r="Y89" s="5">
        <f t="shared" si="39"/>
        <v>42</v>
      </c>
      <c r="Z89" s="5">
        <f t="shared" ca="1" si="40"/>
        <v>1367</v>
      </c>
      <c r="AA89" s="5">
        <f t="shared" si="41"/>
        <v>2.5</v>
      </c>
      <c r="AB89" s="6">
        <v>1</v>
      </c>
      <c r="AC89" s="5">
        <f t="shared" si="42"/>
        <v>42</v>
      </c>
      <c r="AD89" s="5">
        <f t="shared" ca="1" si="43"/>
        <v>1367</v>
      </c>
      <c r="AE89" s="7">
        <f t="shared" si="44"/>
        <v>7.5</v>
      </c>
      <c r="AF89" s="5" t="e">
        <f t="shared" si="32"/>
        <v>#DIV/0!</v>
      </c>
      <c r="AG89" s="5">
        <f t="shared" ca="1" si="45"/>
        <v>314.95679999999999</v>
      </c>
      <c r="AH89" s="5">
        <f t="shared" si="46"/>
        <v>315</v>
      </c>
      <c r="AI89" s="6">
        <f t="shared" ca="1" si="47"/>
        <v>0.99986285714285705</v>
      </c>
    </row>
    <row r="90" spans="2:35" x14ac:dyDescent="0.2">
      <c r="T90" s="13"/>
      <c r="X90" s="13"/>
      <c r="AB90" s="13"/>
    </row>
  </sheetData>
  <mergeCells count="35">
    <mergeCell ref="L1:N1"/>
    <mergeCell ref="B3:P3"/>
    <mergeCell ref="B5:C5"/>
    <mergeCell ref="D5:I5"/>
    <mergeCell ref="J5:P5"/>
    <mergeCell ref="B1:C1"/>
    <mergeCell ref="D1:E1"/>
    <mergeCell ref="F1:G1"/>
    <mergeCell ref="H1:I1"/>
    <mergeCell ref="J1:K1"/>
    <mergeCell ref="B6:C6"/>
    <mergeCell ref="D6:I6"/>
    <mergeCell ref="J6:K6"/>
    <mergeCell ref="L6:M6"/>
    <mergeCell ref="N6:O6"/>
    <mergeCell ref="B7:C7"/>
    <mergeCell ref="D7:I7"/>
    <mergeCell ref="J7:K7"/>
    <mergeCell ref="L7:M7"/>
    <mergeCell ref="N7:O7"/>
    <mergeCell ref="S10:V10"/>
    <mergeCell ref="W10:Z10"/>
    <mergeCell ref="AA10:AD10"/>
    <mergeCell ref="N8:O8"/>
    <mergeCell ref="B9:C9"/>
    <mergeCell ref="E9:F9"/>
    <mergeCell ref="G9:I9"/>
    <mergeCell ref="J9:K9"/>
    <mergeCell ref="L9:M9"/>
    <mergeCell ref="N9:O9"/>
    <mergeCell ref="B8:C8"/>
    <mergeCell ref="E8:F8"/>
    <mergeCell ref="G8:I8"/>
    <mergeCell ref="J8:K8"/>
    <mergeCell ref="L8:M8"/>
  </mergeCells>
  <conditionalFormatting sqref="J12:J89">
    <cfRule type="cellIs" dxfId="34" priority="1" stopIfTrue="1" operator="equal">
      <formula>"N/S"</formula>
    </cfRule>
    <cfRule type="cellIs" dxfId="33" priority="2" stopIfTrue="1" operator="greaterThanOrEqual">
      <formula>$D$9</formula>
    </cfRule>
    <cfRule type="cellIs" dxfId="32" priority="3" stopIfTrue="1" operator="lessThan">
      <formula>$D$9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0423-DE0C-4AFA-977D-10B5A0B171E3}">
  <dimension ref="A1:CC105"/>
  <sheetViews>
    <sheetView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C37" sqref="C37"/>
    </sheetView>
  </sheetViews>
  <sheetFormatPr defaultRowHeight="12.75" x14ac:dyDescent="0.2"/>
  <cols>
    <col min="1" max="1" width="26.85546875" bestFit="1" customWidth="1"/>
    <col min="2" max="2" width="12.140625" bestFit="1" customWidth="1"/>
    <col min="3" max="3" width="16" bestFit="1" customWidth="1"/>
    <col min="4" max="4" width="16.5703125" bestFit="1" customWidth="1"/>
    <col min="5" max="5" width="10.42578125" bestFit="1" customWidth="1"/>
    <col min="6" max="12" width="6.7109375" bestFit="1" customWidth="1"/>
    <col min="13" max="13" width="7" bestFit="1" customWidth="1"/>
    <col min="14" max="27" width="7.5703125" bestFit="1" customWidth="1"/>
    <col min="28" max="81" width="8.7109375" bestFit="1" customWidth="1"/>
  </cols>
  <sheetData>
    <row r="1" spans="1:81" x14ac:dyDescent="0.2">
      <c r="B1" s="5" t="s">
        <v>0</v>
      </c>
      <c r="C1" s="14" t="s">
        <v>1</v>
      </c>
      <c r="D1" s="5" t="s">
        <v>2</v>
      </c>
      <c r="E1" s="14" t="s">
        <v>3</v>
      </c>
      <c r="F1" s="85" t="s">
        <v>4</v>
      </c>
      <c r="G1" s="86"/>
      <c r="H1" s="87" t="s">
        <v>5</v>
      </c>
      <c r="I1" s="87"/>
      <c r="J1" s="87"/>
    </row>
    <row r="2" spans="1:81" x14ac:dyDescent="0.2"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</row>
    <row r="3" spans="1:81" ht="38.25" x14ac:dyDescent="0.2">
      <c r="B3" s="82" t="s">
        <v>69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" t="s">
        <v>757</v>
      </c>
      <c r="O3" s="62">
        <v>49</v>
      </c>
    </row>
    <row r="4" spans="1:81" x14ac:dyDescent="0.2">
      <c r="D4">
        <v>2</v>
      </c>
      <c r="E4">
        <v>3</v>
      </c>
      <c r="F4">
        <v>4</v>
      </c>
      <c r="N4" s="63" t="s">
        <v>758</v>
      </c>
      <c r="O4" s="62">
        <v>10</v>
      </c>
    </row>
    <row r="5" spans="1:81" ht="38.25" x14ac:dyDescent="0.2">
      <c r="B5" s="5" t="s">
        <v>7</v>
      </c>
      <c r="C5" s="78" t="s">
        <v>8</v>
      </c>
      <c r="D5" s="78"/>
      <c r="E5" s="78"/>
      <c r="F5" s="78"/>
      <c r="G5" s="77" t="s">
        <v>70</v>
      </c>
      <c r="H5" s="77"/>
      <c r="I5" s="78">
        <v>0</v>
      </c>
      <c r="J5" s="78"/>
      <c r="K5" s="77" t="s">
        <v>71</v>
      </c>
      <c r="L5" s="77"/>
      <c r="M5" s="15">
        <v>4</v>
      </c>
      <c r="N5" s="1" t="s">
        <v>759</v>
      </c>
      <c r="O5" s="62">
        <v>95</v>
      </c>
      <c r="AK5">
        <v>0</v>
      </c>
      <c r="AL5">
        <v>0</v>
      </c>
      <c r="AM5">
        <v>0</v>
      </c>
      <c r="AN5">
        <v>4392</v>
      </c>
      <c r="AO5">
        <v>4392</v>
      </c>
      <c r="AP5">
        <v>4392</v>
      </c>
      <c r="AQ5">
        <v>5306</v>
      </c>
      <c r="AR5">
        <v>5306</v>
      </c>
      <c r="AS5">
        <v>4244</v>
      </c>
      <c r="AT5">
        <v>5306</v>
      </c>
      <c r="AU5">
        <v>5040</v>
      </c>
      <c r="AV5">
        <v>5040</v>
      </c>
      <c r="AW5">
        <v>5040</v>
      </c>
      <c r="AX5">
        <v>5040</v>
      </c>
      <c r="AY5">
        <v>4032</v>
      </c>
      <c r="AZ5">
        <v>4032</v>
      </c>
      <c r="BA5">
        <v>4032</v>
      </c>
      <c r="BB5">
        <v>4032</v>
      </c>
      <c r="BC5">
        <v>4032</v>
      </c>
      <c r="BD5">
        <v>4032</v>
      </c>
      <c r="BE5">
        <v>4032</v>
      </c>
      <c r="BF5">
        <v>4032</v>
      </c>
      <c r="BG5">
        <v>4032</v>
      </c>
      <c r="BH5">
        <v>4032</v>
      </c>
      <c r="BI5">
        <v>4032</v>
      </c>
      <c r="BJ5">
        <v>4032</v>
      </c>
      <c r="BK5">
        <v>4032</v>
      </c>
      <c r="BL5">
        <v>4010</v>
      </c>
      <c r="BM5">
        <v>4010</v>
      </c>
      <c r="BN5">
        <v>7320</v>
      </c>
      <c r="BO5">
        <v>0</v>
      </c>
      <c r="BP5">
        <v>0</v>
      </c>
      <c r="BQ5">
        <v>0</v>
      </c>
      <c r="BR5">
        <v>0</v>
      </c>
      <c r="BS5">
        <v>4032</v>
      </c>
      <c r="BT5">
        <v>4032</v>
      </c>
      <c r="BU5">
        <v>4032</v>
      </c>
      <c r="BV5">
        <v>4032</v>
      </c>
      <c r="BW5">
        <v>4032</v>
      </c>
      <c r="BX5">
        <v>4032</v>
      </c>
      <c r="BY5">
        <v>4032</v>
      </c>
      <c r="BZ5">
        <v>4032</v>
      </c>
      <c r="CA5">
        <v>4032</v>
      </c>
      <c r="CB5">
        <v>4032</v>
      </c>
      <c r="CC5">
        <v>4032</v>
      </c>
    </row>
    <row r="6" spans="1:81" x14ac:dyDescent="0.2">
      <c r="B6" s="5" t="s">
        <v>9</v>
      </c>
      <c r="C6" s="78" t="s">
        <v>324</v>
      </c>
      <c r="D6" s="78"/>
      <c r="E6" s="78"/>
      <c r="F6" s="78"/>
      <c r="G6" s="77" t="s">
        <v>11</v>
      </c>
      <c r="H6" s="77"/>
      <c r="I6" s="78" t="s">
        <v>12</v>
      </c>
      <c r="J6" s="78"/>
      <c r="K6" s="77" t="s">
        <v>13</v>
      </c>
      <c r="L6" s="77"/>
      <c r="M6" s="16">
        <v>1.08</v>
      </c>
      <c r="N6" s="63" t="s">
        <v>760</v>
      </c>
      <c r="O6" s="62">
        <v>14</v>
      </c>
    </row>
    <row r="7" spans="1:81" x14ac:dyDescent="0.2">
      <c r="B7" s="5" t="s">
        <v>14</v>
      </c>
      <c r="C7" s="78" t="s">
        <v>325</v>
      </c>
      <c r="D7" s="78"/>
      <c r="E7" s="78"/>
      <c r="F7" s="78"/>
      <c r="G7" s="77" t="s">
        <v>16</v>
      </c>
      <c r="H7" s="77"/>
      <c r="I7" s="78" t="s">
        <v>326</v>
      </c>
      <c r="J7" s="78"/>
      <c r="K7" s="77" t="s">
        <v>18</v>
      </c>
      <c r="L7" s="77"/>
      <c r="M7" s="15">
        <v>7</v>
      </c>
      <c r="N7" s="63" t="s">
        <v>761</v>
      </c>
      <c r="O7" s="62">
        <v>16</v>
      </c>
    </row>
    <row r="8" spans="1:81" ht="38.25" x14ac:dyDescent="0.2">
      <c r="B8" s="5" t="s">
        <v>19</v>
      </c>
      <c r="C8" s="17" t="s">
        <v>20</v>
      </c>
      <c r="D8" s="5" t="s">
        <v>21</v>
      </c>
      <c r="E8" s="79" t="s">
        <v>22</v>
      </c>
      <c r="F8" s="78"/>
      <c r="G8" s="77" t="s">
        <v>23</v>
      </c>
      <c r="H8" s="77"/>
      <c r="I8" s="78">
        <v>78</v>
      </c>
      <c r="J8" s="78"/>
      <c r="K8" s="77" t="s">
        <v>24</v>
      </c>
      <c r="L8" s="77"/>
      <c r="M8" s="5">
        <v>4</v>
      </c>
      <c r="N8" s="64" t="s">
        <v>762</v>
      </c>
      <c r="O8" s="65">
        <v>5</v>
      </c>
    </row>
    <row r="9" spans="1:81" ht="25.5" x14ac:dyDescent="0.2">
      <c r="B9" s="5" t="s">
        <v>25</v>
      </c>
      <c r="C9" s="15">
        <v>10</v>
      </c>
      <c r="D9" s="5" t="s">
        <v>26</v>
      </c>
      <c r="E9" s="78" t="s">
        <v>27</v>
      </c>
      <c r="F9" s="78"/>
      <c r="G9" s="77" t="s">
        <v>28</v>
      </c>
      <c r="H9" s="77"/>
      <c r="I9" s="78">
        <v>99</v>
      </c>
      <c r="J9" s="78"/>
      <c r="K9" s="77" t="s">
        <v>29</v>
      </c>
      <c r="L9" s="77"/>
      <c r="M9" s="15">
        <v>6.4600000000000005E-2</v>
      </c>
      <c r="N9" s="64" t="s">
        <v>763</v>
      </c>
      <c r="O9" s="66">
        <v>-0.01</v>
      </c>
    </row>
    <row r="10" spans="1:81" x14ac:dyDescent="0.2">
      <c r="C10" s="37" t="s">
        <v>72</v>
      </c>
      <c r="D10" s="38">
        <f t="shared" ref="D10:AI10" ca="1" si="0">D90-D69</f>
        <v>-7.7714285714287623E-3</v>
      </c>
      <c r="E10" s="38">
        <f t="shared" ca="1" si="0"/>
        <v>-3.7714285714287588E-3</v>
      </c>
      <c r="F10" s="38">
        <f t="shared" ca="1" si="0"/>
        <v>-3.7714285714287588E-3</v>
      </c>
      <c r="G10" s="38">
        <f t="shared" ca="1" si="0"/>
        <v>1.0000457142857142</v>
      </c>
      <c r="H10" s="38">
        <f t="shared" ca="1" si="0"/>
        <v>1.0002285714285712</v>
      </c>
      <c r="I10" s="38">
        <f t="shared" ca="1" si="0"/>
        <v>1.0000457142857142</v>
      </c>
      <c r="J10" s="38">
        <f t="shared" ca="1" si="0"/>
        <v>1.0002285714285712</v>
      </c>
      <c r="K10" s="38">
        <f t="shared" ca="1" si="0"/>
        <v>1.0000457142857142</v>
      </c>
      <c r="L10" s="38">
        <f t="shared" ca="1" si="0"/>
        <v>1.0002285714285712</v>
      </c>
      <c r="M10" s="38">
        <f t="shared" si="0"/>
        <v>0</v>
      </c>
      <c r="N10" s="38">
        <f t="shared" si="0"/>
        <v>0</v>
      </c>
      <c r="O10" s="38">
        <f t="shared" ca="1" si="0"/>
        <v>1.0002285714285712</v>
      </c>
      <c r="P10" s="38">
        <f t="shared" ca="1" si="0"/>
        <v>1.0002285714285712</v>
      </c>
      <c r="Q10" s="38">
        <f t="shared" ca="1" si="0"/>
        <v>1.0002285714285712</v>
      </c>
      <c r="R10" s="38">
        <f t="shared" ca="1" si="0"/>
        <v>1.0002285714285712</v>
      </c>
      <c r="S10" s="38">
        <f t="shared" ca="1" si="0"/>
        <v>0.99986285714285705</v>
      </c>
      <c r="T10" s="38">
        <f t="shared" ca="1" si="0"/>
        <v>1.0002285714285712</v>
      </c>
      <c r="U10" s="38">
        <f t="shared" ca="1" si="0"/>
        <v>1.0002285714285712</v>
      </c>
      <c r="V10" s="38">
        <f t="shared" ca="1" si="0"/>
        <v>1.0002285714285712</v>
      </c>
      <c r="W10" s="38">
        <f t="shared" ca="1" si="0"/>
        <v>1.0002285714285712</v>
      </c>
      <c r="X10" s="38">
        <f t="shared" ca="1" si="0"/>
        <v>0.99986285714285705</v>
      </c>
      <c r="Y10" s="38">
        <f t="shared" ca="1" si="0"/>
        <v>1.6664380952380953</v>
      </c>
      <c r="Z10" s="38">
        <f t="shared" ca="1" si="0"/>
        <v>1.0002285714285712</v>
      </c>
      <c r="AA10" s="38">
        <f t="shared" ca="1" si="0"/>
        <v>1.0002285714285712</v>
      </c>
      <c r="AB10" s="38">
        <f t="shared" ca="1" si="0"/>
        <v>1.0002285714285712</v>
      </c>
      <c r="AC10" s="38">
        <f t="shared" ca="1" si="0"/>
        <v>1.0002285714285712</v>
      </c>
      <c r="AD10" s="38">
        <f t="shared" ca="1" si="0"/>
        <v>1.0002285714285712</v>
      </c>
      <c r="AE10" s="38">
        <f t="shared" ca="1" si="0"/>
        <v>1.0002285714285712</v>
      </c>
      <c r="AF10" s="38">
        <f t="shared" ca="1" si="0"/>
        <v>1.0002285714285712</v>
      </c>
      <c r="AG10" s="38">
        <f t="shared" ca="1" si="0"/>
        <v>1.0002285714285712</v>
      </c>
      <c r="AH10" s="38">
        <f t="shared" ca="1" si="0"/>
        <v>1.0002285714285712</v>
      </c>
      <c r="AI10" s="38">
        <f t="shared" ca="1" si="0"/>
        <v>1.0002285714285712</v>
      </c>
      <c r="AJ10" s="38">
        <f t="shared" ref="AJ10:BO10" ca="1" si="1">AJ90-AJ69</f>
        <v>1.0002285714285712</v>
      </c>
      <c r="AK10" s="38">
        <f t="shared" si="1"/>
        <v>0</v>
      </c>
      <c r="AL10" s="38">
        <f t="shared" ca="1" si="1"/>
        <v>1.0002285714285712</v>
      </c>
      <c r="AM10" s="38">
        <f t="shared" ca="1" si="1"/>
        <v>1.0002285714285712</v>
      </c>
      <c r="AN10" s="38">
        <f t="shared" ca="1" si="1"/>
        <v>1.0002285714285712</v>
      </c>
      <c r="AO10" s="38">
        <f t="shared" ca="1" si="1"/>
        <v>1.0002285714285712</v>
      </c>
      <c r="AP10" s="38">
        <f t="shared" ca="1" si="1"/>
        <v>0.99986285714285705</v>
      </c>
      <c r="AQ10" s="38">
        <f t="shared" ca="1" si="1"/>
        <v>1.0002285714285712</v>
      </c>
      <c r="AR10" s="38">
        <f t="shared" ca="1" si="1"/>
        <v>1.0002285714285712</v>
      </c>
      <c r="AS10" s="38">
        <f t="shared" ca="1" si="1"/>
        <v>0.99992380952380944</v>
      </c>
      <c r="AT10" s="38">
        <f t="shared" ca="1" si="1"/>
        <v>0.99992380952380944</v>
      </c>
      <c r="AU10" s="38">
        <f t="shared" ca="1" si="1"/>
        <v>0.99992380952380944</v>
      </c>
      <c r="AV10" s="38">
        <f t="shared" ca="1" si="1"/>
        <v>0.99961904761904752</v>
      </c>
      <c r="AW10" s="38">
        <f t="shared" ca="1" si="1"/>
        <v>1.0002285714285712</v>
      </c>
      <c r="AX10" s="38">
        <f t="shared" ca="1" si="1"/>
        <v>0.99986285714285705</v>
      </c>
      <c r="AY10" s="38">
        <f t="shared" ca="1" si="1"/>
        <v>0.99949714285714286</v>
      </c>
      <c r="AZ10" s="38">
        <f t="shared" ca="1" si="1"/>
        <v>0.99986285714285705</v>
      </c>
      <c r="BA10" s="38">
        <f t="shared" ca="1" si="1"/>
        <v>0.99986285714285705</v>
      </c>
      <c r="BB10" s="38">
        <f t="shared" ca="1" si="1"/>
        <v>1.0005942857142855</v>
      </c>
      <c r="BC10" s="38">
        <f t="shared" ca="1" si="1"/>
        <v>0.99986285714285705</v>
      </c>
      <c r="BD10" s="38">
        <f t="shared" ca="1" si="1"/>
        <v>1.0005942857142855</v>
      </c>
      <c r="BE10" s="38">
        <f t="shared" ca="1" si="1"/>
        <v>0.99986285714285705</v>
      </c>
      <c r="BF10" s="38">
        <f t="shared" ca="1" si="1"/>
        <v>0.99986285714285705</v>
      </c>
      <c r="BG10" s="38">
        <f t="shared" ca="1" si="1"/>
        <v>0.99986285714285705</v>
      </c>
      <c r="BH10" s="38">
        <f t="shared" ca="1" si="1"/>
        <v>0.99986285714285705</v>
      </c>
      <c r="BI10" s="38">
        <f t="shared" ca="1" si="1"/>
        <v>0.99971657142857129</v>
      </c>
      <c r="BJ10" s="38">
        <f t="shared" ca="1" si="1"/>
        <v>0.99986285714285705</v>
      </c>
      <c r="BK10" s="38">
        <f t="shared" ca="1" si="1"/>
        <v>0.99949714285714286</v>
      </c>
      <c r="BL10" s="38">
        <f t="shared" ca="1" si="1"/>
        <v>1.0005942857142858</v>
      </c>
      <c r="BM10" s="38">
        <f t="shared" ca="1" si="1"/>
        <v>0.99986285714285705</v>
      </c>
      <c r="BN10" s="38">
        <f t="shared" ca="1" si="1"/>
        <v>0.99986285714285705</v>
      </c>
      <c r="BO10" s="38">
        <f t="shared" ca="1" si="1"/>
        <v>0.99971657142857129</v>
      </c>
      <c r="BP10" s="38">
        <f t="shared" ref="BP10:CC10" ca="1" si="2">BP90-BP69</f>
        <v>0.99986285714285705</v>
      </c>
      <c r="BQ10" s="38">
        <f t="shared" si="2"/>
        <v>0</v>
      </c>
      <c r="BR10" s="38">
        <f t="shared" si="2"/>
        <v>0</v>
      </c>
      <c r="BS10" s="38">
        <f t="shared" ca="1" si="2"/>
        <v>0.99971657142857129</v>
      </c>
      <c r="BT10" s="38">
        <f t="shared" ca="1" si="2"/>
        <v>0.99986285714285705</v>
      </c>
      <c r="BU10" s="38">
        <f t="shared" ca="1" si="2"/>
        <v>0.99986285714285705</v>
      </c>
      <c r="BV10" s="38">
        <f t="shared" ca="1" si="2"/>
        <v>0.99986285714285705</v>
      </c>
      <c r="BW10" s="38">
        <f t="shared" ca="1" si="2"/>
        <v>0.99986285714285705</v>
      </c>
      <c r="BX10" s="38">
        <f t="shared" ca="1" si="2"/>
        <v>0.99949714285714286</v>
      </c>
      <c r="BY10" s="38">
        <f t="shared" ca="1" si="2"/>
        <v>0.99986285714285705</v>
      </c>
      <c r="BZ10" s="38">
        <f t="shared" ca="1" si="2"/>
        <v>0.99971657142857129</v>
      </c>
      <c r="CA10" s="38">
        <f t="shared" ca="1" si="2"/>
        <v>0.99986285714285705</v>
      </c>
      <c r="CB10" s="38">
        <f t="shared" ca="1" si="2"/>
        <v>0.99986285714285705</v>
      </c>
      <c r="CC10" s="38">
        <f t="shared" ca="1" si="2"/>
        <v>0.99986285714285705</v>
      </c>
    </row>
    <row r="11" spans="1:81" x14ac:dyDescent="0.2">
      <c r="A11" s="39" t="s">
        <v>73</v>
      </c>
      <c r="B11" s="39" t="s">
        <v>74</v>
      </c>
      <c r="C11" s="39" t="s">
        <v>34</v>
      </c>
      <c r="D11" s="40" t="s">
        <v>75</v>
      </c>
      <c r="E11" s="40" t="s">
        <v>76</v>
      </c>
      <c r="F11" s="40" t="s">
        <v>77</v>
      </c>
      <c r="G11" s="40" t="s">
        <v>78</v>
      </c>
      <c r="H11" s="40" t="s">
        <v>79</v>
      </c>
      <c r="I11" s="40" t="s">
        <v>80</v>
      </c>
      <c r="J11" s="40" t="s">
        <v>81</v>
      </c>
      <c r="K11" s="40" t="s">
        <v>82</v>
      </c>
      <c r="L11" s="40" t="s">
        <v>83</v>
      </c>
      <c r="M11" s="40" t="s">
        <v>84</v>
      </c>
      <c r="N11" s="40" t="s">
        <v>85</v>
      </c>
      <c r="O11" s="40" t="s">
        <v>86</v>
      </c>
      <c r="P11" s="40" t="s">
        <v>87</v>
      </c>
      <c r="Q11" s="40" t="s">
        <v>88</v>
      </c>
      <c r="R11" s="40" t="s">
        <v>89</v>
      </c>
      <c r="S11" s="40" t="s">
        <v>90</v>
      </c>
      <c r="T11" s="40" t="s">
        <v>91</v>
      </c>
      <c r="U11" s="40" t="s">
        <v>92</v>
      </c>
      <c r="V11" s="40" t="s">
        <v>93</v>
      </c>
      <c r="W11" s="40" t="s">
        <v>94</v>
      </c>
      <c r="X11" s="40" t="s">
        <v>95</v>
      </c>
      <c r="Y11" s="40" t="s">
        <v>96</v>
      </c>
      <c r="Z11" s="40" t="s">
        <v>97</v>
      </c>
      <c r="AA11" s="40" t="s">
        <v>98</v>
      </c>
      <c r="AB11" s="40" t="s">
        <v>99</v>
      </c>
      <c r="AC11" s="40" t="s">
        <v>100</v>
      </c>
      <c r="AD11" s="40" t="s">
        <v>101</v>
      </c>
      <c r="AE11" s="40" t="s">
        <v>102</v>
      </c>
      <c r="AF11" s="40" t="s">
        <v>103</v>
      </c>
      <c r="AG11" s="40" t="s">
        <v>104</v>
      </c>
      <c r="AH11" s="40" t="s">
        <v>105</v>
      </c>
      <c r="AI11" s="40" t="s">
        <v>106</v>
      </c>
      <c r="AJ11" s="40" t="s">
        <v>107</v>
      </c>
      <c r="AK11" s="40" t="s">
        <v>108</v>
      </c>
      <c r="AL11" s="40" t="s">
        <v>109</v>
      </c>
      <c r="AM11" s="40" t="s">
        <v>110</v>
      </c>
      <c r="AN11" s="40" t="s">
        <v>111</v>
      </c>
      <c r="AO11" s="40" t="s">
        <v>112</v>
      </c>
      <c r="AP11" s="40" t="s">
        <v>113</v>
      </c>
      <c r="AQ11" s="40" t="s">
        <v>114</v>
      </c>
      <c r="AR11" s="40" t="s">
        <v>115</v>
      </c>
      <c r="AS11" s="40" t="s">
        <v>116</v>
      </c>
      <c r="AT11" s="40" t="s">
        <v>117</v>
      </c>
      <c r="AU11" s="40" t="s">
        <v>118</v>
      </c>
      <c r="AV11" s="40" t="s">
        <v>119</v>
      </c>
      <c r="AW11" s="40" t="s">
        <v>120</v>
      </c>
      <c r="AX11" s="40" t="s">
        <v>121</v>
      </c>
      <c r="AY11" s="40" t="s">
        <v>122</v>
      </c>
      <c r="AZ11" s="40" t="s">
        <v>123</v>
      </c>
      <c r="BA11" s="40" t="s">
        <v>124</v>
      </c>
      <c r="BB11" s="40" t="s">
        <v>125</v>
      </c>
      <c r="BC11" s="40" t="s">
        <v>126</v>
      </c>
      <c r="BD11" s="40" t="s">
        <v>127</v>
      </c>
      <c r="BE11" s="40" t="s">
        <v>128</v>
      </c>
      <c r="BF11" s="40" t="s">
        <v>129</v>
      </c>
      <c r="BG11" s="40" t="s">
        <v>130</v>
      </c>
      <c r="BH11" s="40" t="s">
        <v>131</v>
      </c>
      <c r="BI11" s="40" t="s">
        <v>132</v>
      </c>
      <c r="BJ11" s="40" t="s">
        <v>133</v>
      </c>
      <c r="BK11" s="40" t="s">
        <v>134</v>
      </c>
      <c r="BL11" s="40" t="s">
        <v>135</v>
      </c>
      <c r="BM11" s="40" t="s">
        <v>136</v>
      </c>
      <c r="BN11" s="40" t="s">
        <v>137</v>
      </c>
      <c r="BO11" s="40" t="s">
        <v>138</v>
      </c>
      <c r="BP11" s="40" t="s">
        <v>139</v>
      </c>
      <c r="BQ11" s="40" t="s">
        <v>140</v>
      </c>
      <c r="BR11" s="40" t="s">
        <v>141</v>
      </c>
      <c r="BS11" s="40" t="s">
        <v>142</v>
      </c>
      <c r="BT11" s="40" t="s">
        <v>143</v>
      </c>
      <c r="BU11" s="40" t="s">
        <v>144</v>
      </c>
      <c r="BV11" s="40" t="s">
        <v>145</v>
      </c>
      <c r="BW11" s="40" t="s">
        <v>146</v>
      </c>
      <c r="BX11" s="40" t="s">
        <v>147</v>
      </c>
      <c r="BY11" s="40" t="s">
        <v>148</v>
      </c>
      <c r="BZ11" s="40" t="s">
        <v>149</v>
      </c>
      <c r="CA11" s="40" t="s">
        <v>150</v>
      </c>
      <c r="CB11" s="40" t="s">
        <v>151</v>
      </c>
      <c r="CC11" s="40" t="s">
        <v>152</v>
      </c>
    </row>
    <row r="12" spans="1:81" x14ac:dyDescent="0.2">
      <c r="C12" s="41" t="s">
        <v>35</v>
      </c>
      <c r="D12" s="42" t="s">
        <v>153</v>
      </c>
      <c r="E12" s="42" t="s">
        <v>154</v>
      </c>
      <c r="F12" s="42" t="s">
        <v>155</v>
      </c>
      <c r="G12" s="42" t="s">
        <v>156</v>
      </c>
      <c r="H12" s="42" t="s">
        <v>157</v>
      </c>
      <c r="I12" s="42" t="s">
        <v>158</v>
      </c>
      <c r="J12" s="42" t="s">
        <v>159</v>
      </c>
      <c r="K12" s="42" t="s">
        <v>160</v>
      </c>
      <c r="L12" s="42" t="s">
        <v>161</v>
      </c>
      <c r="M12" s="42" t="s">
        <v>162</v>
      </c>
      <c r="N12" s="42" t="s">
        <v>163</v>
      </c>
      <c r="O12" s="42" t="s">
        <v>164</v>
      </c>
      <c r="P12" s="42" t="s">
        <v>165</v>
      </c>
      <c r="Q12" s="42" t="s">
        <v>166</v>
      </c>
      <c r="R12" s="42" t="s">
        <v>167</v>
      </c>
      <c r="S12" s="42" t="s">
        <v>168</v>
      </c>
      <c r="T12" s="42" t="s">
        <v>169</v>
      </c>
      <c r="U12" s="42" t="s">
        <v>170</v>
      </c>
      <c r="V12" s="42" t="s">
        <v>171</v>
      </c>
      <c r="W12" s="42" t="s">
        <v>172</v>
      </c>
      <c r="X12" s="42" t="s">
        <v>173</v>
      </c>
      <c r="Y12" s="42" t="s">
        <v>174</v>
      </c>
      <c r="Z12" s="42" t="s">
        <v>175</v>
      </c>
      <c r="AA12" s="42" t="s">
        <v>176</v>
      </c>
      <c r="AB12" s="42" t="s">
        <v>177</v>
      </c>
      <c r="AC12" s="42" t="s">
        <v>178</v>
      </c>
      <c r="AD12" s="42" t="s">
        <v>179</v>
      </c>
      <c r="AE12" s="42" t="s">
        <v>180</v>
      </c>
      <c r="AF12" s="42" t="s">
        <v>181</v>
      </c>
      <c r="AG12" s="42" t="s">
        <v>182</v>
      </c>
      <c r="AH12" s="42" t="s">
        <v>183</v>
      </c>
      <c r="AI12" s="42" t="s">
        <v>184</v>
      </c>
      <c r="AJ12" s="42" t="s">
        <v>185</v>
      </c>
      <c r="AK12" s="42" t="s">
        <v>186</v>
      </c>
      <c r="AL12" s="42" t="s">
        <v>187</v>
      </c>
      <c r="AM12" s="42" t="s">
        <v>188</v>
      </c>
      <c r="AN12" s="42" t="s">
        <v>189</v>
      </c>
      <c r="AO12" s="42" t="s">
        <v>190</v>
      </c>
      <c r="AP12" s="42" t="s">
        <v>191</v>
      </c>
      <c r="AQ12" s="42" t="s">
        <v>192</v>
      </c>
      <c r="AR12" s="42" t="s">
        <v>193</v>
      </c>
      <c r="AS12" s="42" t="s">
        <v>194</v>
      </c>
      <c r="AT12" s="42" t="s">
        <v>195</v>
      </c>
      <c r="AU12" s="42" t="s">
        <v>196</v>
      </c>
      <c r="AV12" s="42" t="s">
        <v>197</v>
      </c>
      <c r="AW12" s="42" t="s">
        <v>198</v>
      </c>
      <c r="AX12" s="42" t="s">
        <v>199</v>
      </c>
      <c r="AY12" s="42" t="s">
        <v>200</v>
      </c>
      <c r="AZ12" s="42" t="s">
        <v>201</v>
      </c>
      <c r="BA12" s="42" t="s">
        <v>202</v>
      </c>
      <c r="BB12" s="42" t="s">
        <v>203</v>
      </c>
      <c r="BC12" s="42" t="s">
        <v>204</v>
      </c>
      <c r="BD12" s="42" t="s">
        <v>205</v>
      </c>
      <c r="BE12" s="42" t="s">
        <v>153</v>
      </c>
      <c r="BF12" s="42" t="s">
        <v>154</v>
      </c>
      <c r="BG12" s="42" t="s">
        <v>155</v>
      </c>
      <c r="BH12" s="42" t="s">
        <v>156</v>
      </c>
      <c r="BI12" s="42" t="s">
        <v>157</v>
      </c>
      <c r="BJ12" s="42" t="s">
        <v>158</v>
      </c>
      <c r="BK12" s="42" t="s">
        <v>159</v>
      </c>
      <c r="BL12" s="42" t="s">
        <v>160</v>
      </c>
      <c r="BM12" s="42" t="s">
        <v>161</v>
      </c>
      <c r="BN12" s="42" t="s">
        <v>162</v>
      </c>
      <c r="BO12" s="42" t="s">
        <v>163</v>
      </c>
      <c r="BP12" s="42" t="s">
        <v>164</v>
      </c>
      <c r="BQ12" s="42" t="s">
        <v>165</v>
      </c>
      <c r="BR12" s="42" t="s">
        <v>166</v>
      </c>
      <c r="BS12" s="42" t="s">
        <v>167</v>
      </c>
      <c r="BT12" s="42" t="s">
        <v>168</v>
      </c>
      <c r="BU12" s="42" t="s">
        <v>169</v>
      </c>
      <c r="BV12" s="42" t="s">
        <v>170</v>
      </c>
      <c r="BW12" s="42" t="s">
        <v>171</v>
      </c>
      <c r="BX12" s="42" t="s">
        <v>172</v>
      </c>
      <c r="BY12" s="42" t="s">
        <v>173</v>
      </c>
      <c r="BZ12" s="42" t="s">
        <v>174</v>
      </c>
      <c r="CA12" s="42" t="s">
        <v>175</v>
      </c>
      <c r="CB12" s="42" t="s">
        <v>176</v>
      </c>
      <c r="CC12" s="42" t="s">
        <v>177</v>
      </c>
    </row>
    <row r="13" spans="1:81" x14ac:dyDescent="0.2">
      <c r="B13" s="67">
        <f>SUM(D17:AJ17)/SUM($D$67:$AJ$67)</f>
        <v>0.19792420951001691</v>
      </c>
      <c r="C13" s="39" t="s">
        <v>206</v>
      </c>
      <c r="D13" s="39">
        <v>5</v>
      </c>
      <c r="E13" s="39">
        <v>5</v>
      </c>
      <c r="F13" s="39">
        <v>5</v>
      </c>
      <c r="G13" s="39">
        <v>5</v>
      </c>
      <c r="H13" s="39">
        <v>5</v>
      </c>
      <c r="I13" s="39">
        <v>5</v>
      </c>
      <c r="J13" s="39">
        <v>5</v>
      </c>
      <c r="K13" s="39">
        <v>5</v>
      </c>
      <c r="L13" s="39">
        <v>5</v>
      </c>
      <c r="M13" s="39">
        <v>5</v>
      </c>
      <c r="N13" s="39">
        <v>5</v>
      </c>
      <c r="O13" s="39">
        <v>5</v>
      </c>
      <c r="P13" s="39">
        <v>5</v>
      </c>
      <c r="Q13" s="39">
        <v>5</v>
      </c>
      <c r="R13" s="39">
        <v>5</v>
      </c>
      <c r="S13" s="39">
        <v>5</v>
      </c>
      <c r="T13" s="39">
        <v>5</v>
      </c>
      <c r="U13" s="39">
        <v>5</v>
      </c>
      <c r="V13" s="39">
        <v>5</v>
      </c>
      <c r="W13" s="39">
        <v>5</v>
      </c>
      <c r="X13" s="39">
        <v>5</v>
      </c>
      <c r="Y13" s="39">
        <v>5</v>
      </c>
      <c r="Z13" s="39">
        <v>5</v>
      </c>
      <c r="AA13" s="39">
        <v>5</v>
      </c>
      <c r="AB13" s="39">
        <v>5</v>
      </c>
      <c r="AC13" s="39">
        <v>5</v>
      </c>
      <c r="AD13" s="39">
        <v>5</v>
      </c>
      <c r="AE13" s="39">
        <v>5</v>
      </c>
      <c r="AF13" s="39">
        <v>5</v>
      </c>
      <c r="AG13" s="39">
        <v>5</v>
      </c>
      <c r="AH13" s="39">
        <v>5</v>
      </c>
      <c r="AI13" s="39">
        <v>5</v>
      </c>
      <c r="AJ13" s="39">
        <v>5</v>
      </c>
      <c r="AK13" s="39">
        <v>5</v>
      </c>
      <c r="AL13" s="39">
        <v>5</v>
      </c>
      <c r="AM13" s="39">
        <v>5</v>
      </c>
      <c r="AN13" s="39">
        <v>5</v>
      </c>
      <c r="AO13" s="39">
        <v>5</v>
      </c>
      <c r="AP13" s="39">
        <v>5</v>
      </c>
      <c r="AQ13" s="39">
        <v>5</v>
      </c>
      <c r="AR13" s="39">
        <v>5</v>
      </c>
      <c r="AS13" s="39">
        <v>5</v>
      </c>
      <c r="AT13" s="39">
        <v>5</v>
      </c>
      <c r="AU13" s="39">
        <v>5</v>
      </c>
      <c r="AV13" s="39">
        <v>5</v>
      </c>
      <c r="AW13" s="39">
        <v>5</v>
      </c>
      <c r="AX13" s="39">
        <v>5</v>
      </c>
      <c r="AY13" s="39">
        <v>5</v>
      </c>
      <c r="AZ13" s="39">
        <v>5</v>
      </c>
      <c r="BA13" s="39">
        <v>5</v>
      </c>
      <c r="BB13" s="39">
        <v>5</v>
      </c>
      <c r="BC13" s="39">
        <v>5</v>
      </c>
      <c r="BD13" s="39">
        <v>5</v>
      </c>
      <c r="BE13" s="39">
        <v>5</v>
      </c>
      <c r="BF13" s="39">
        <v>5</v>
      </c>
      <c r="BG13" s="39">
        <v>5</v>
      </c>
      <c r="BH13" s="39">
        <v>5</v>
      </c>
      <c r="BI13" s="39">
        <v>5</v>
      </c>
      <c r="BJ13" s="39">
        <v>5</v>
      </c>
      <c r="BK13" s="39">
        <v>5</v>
      </c>
      <c r="BL13" s="39">
        <v>5</v>
      </c>
      <c r="BM13" s="39">
        <v>5</v>
      </c>
      <c r="BN13" s="39">
        <v>5</v>
      </c>
      <c r="BO13" s="39">
        <v>5</v>
      </c>
      <c r="BP13" s="39">
        <v>5</v>
      </c>
      <c r="BQ13" s="39">
        <v>5</v>
      </c>
      <c r="BR13" s="39">
        <v>5</v>
      </c>
      <c r="BS13" s="39">
        <v>5</v>
      </c>
      <c r="BT13" s="39">
        <v>5</v>
      </c>
      <c r="BU13" s="39">
        <v>5</v>
      </c>
      <c r="BV13" s="39">
        <v>5</v>
      </c>
      <c r="BW13" s="39">
        <v>5</v>
      </c>
      <c r="BX13" s="39">
        <v>5</v>
      </c>
      <c r="BY13" s="39">
        <v>5</v>
      </c>
      <c r="BZ13" s="39">
        <v>5</v>
      </c>
      <c r="CA13" s="39">
        <v>5</v>
      </c>
      <c r="CB13" s="39">
        <v>5</v>
      </c>
      <c r="CC13" s="39">
        <v>5</v>
      </c>
    </row>
    <row r="14" spans="1:81" x14ac:dyDescent="0.2">
      <c r="A14" s="43" t="s">
        <v>330</v>
      </c>
      <c r="B14" s="44" t="s">
        <v>208</v>
      </c>
      <c r="C14" s="9" t="s">
        <v>38</v>
      </c>
      <c r="D14" s="58">
        <f>IFERROR(VLOOKUP(A14,OS!$A:$B,2,0),0)</f>
        <v>7150</v>
      </c>
      <c r="E14" s="5">
        <f>(D14+D15-D17)</f>
        <v>8850</v>
      </c>
      <c r="F14" s="5">
        <f>(E14+E15-E17)</f>
        <v>6450</v>
      </c>
      <c r="G14" s="5">
        <f>(F14+F15-F17)</f>
        <v>6450</v>
      </c>
      <c r="H14" s="5">
        <f>(G14+G15-G17)</f>
        <v>5450</v>
      </c>
      <c r="I14" s="5">
        <f t="shared" ref="I14:AN14" si="3">(H14+H15-H17+D16)</f>
        <v>5090</v>
      </c>
      <c r="J14" s="5">
        <f t="shared" si="3"/>
        <v>4740</v>
      </c>
      <c r="K14" s="5">
        <f t="shared" si="3"/>
        <v>4440</v>
      </c>
      <c r="L14" s="5">
        <f t="shared" si="3"/>
        <v>3040</v>
      </c>
      <c r="M14" s="5">
        <f t="shared" si="3"/>
        <v>1240</v>
      </c>
      <c r="N14" s="5">
        <f t="shared" si="3"/>
        <v>-960</v>
      </c>
      <c r="O14" s="5">
        <f t="shared" si="3"/>
        <v>-960</v>
      </c>
      <c r="P14" s="5">
        <f t="shared" si="3"/>
        <v>-960</v>
      </c>
      <c r="Q14" s="5">
        <f t="shared" si="3"/>
        <v>-960</v>
      </c>
      <c r="R14" s="5">
        <f t="shared" si="3"/>
        <v>-960</v>
      </c>
      <c r="S14" s="5">
        <f t="shared" si="3"/>
        <v>-2160</v>
      </c>
      <c r="T14" s="5">
        <f t="shared" si="3"/>
        <v>-3360</v>
      </c>
      <c r="U14" s="5">
        <f t="shared" si="3"/>
        <v>-4760</v>
      </c>
      <c r="V14" s="5">
        <f t="shared" si="3"/>
        <v>-5960</v>
      </c>
      <c r="W14" s="5">
        <f t="shared" si="3"/>
        <v>-7160</v>
      </c>
      <c r="X14" s="5">
        <f t="shared" si="3"/>
        <v>-8360</v>
      </c>
      <c r="Y14" s="5">
        <f t="shared" si="3"/>
        <v>-9560</v>
      </c>
      <c r="Z14" s="5">
        <f t="shared" si="3"/>
        <v>-10360</v>
      </c>
      <c r="AA14" s="5">
        <f t="shared" si="3"/>
        <v>-11160</v>
      </c>
      <c r="AB14" s="5">
        <f t="shared" si="3"/>
        <v>-11960</v>
      </c>
      <c r="AC14" s="5">
        <f t="shared" si="3"/>
        <v>-12760</v>
      </c>
      <c r="AD14" s="5">
        <f t="shared" si="3"/>
        <v>-13960</v>
      </c>
      <c r="AE14" s="5">
        <f t="shared" si="3"/>
        <v>-15160</v>
      </c>
      <c r="AF14" s="5">
        <f t="shared" si="3"/>
        <v>-16360</v>
      </c>
      <c r="AG14" s="5">
        <f t="shared" si="3"/>
        <v>-17560</v>
      </c>
      <c r="AH14" s="5">
        <f t="shared" si="3"/>
        <v>-18760</v>
      </c>
      <c r="AI14" s="5">
        <f t="shared" si="3"/>
        <v>-20060</v>
      </c>
      <c r="AJ14" s="5">
        <f t="shared" si="3"/>
        <v>-21360</v>
      </c>
      <c r="AK14" s="5">
        <f t="shared" si="3"/>
        <v>-21360</v>
      </c>
      <c r="AL14" s="5">
        <f t="shared" si="3"/>
        <v>-21360</v>
      </c>
      <c r="AM14" s="5">
        <f t="shared" si="3"/>
        <v>-21360</v>
      </c>
      <c r="AN14" s="5">
        <f t="shared" si="3"/>
        <v>-21360</v>
      </c>
      <c r="AO14" s="5">
        <f t="shared" ref="AO14:BT14" si="4">(AN14+AN15-AN17+AJ16)</f>
        <v>-22230</v>
      </c>
      <c r="AP14" s="5">
        <f t="shared" si="4"/>
        <v>-23100</v>
      </c>
      <c r="AQ14" s="5">
        <f t="shared" si="4"/>
        <v>-23970</v>
      </c>
      <c r="AR14" s="5">
        <f t="shared" si="4"/>
        <v>-25021</v>
      </c>
      <c r="AS14" s="5">
        <f t="shared" si="4"/>
        <v>-26072</v>
      </c>
      <c r="AT14" s="5">
        <f t="shared" si="4"/>
        <v>-26912</v>
      </c>
      <c r="AU14" s="5">
        <f t="shared" si="4"/>
        <v>-27963</v>
      </c>
      <c r="AV14" s="5">
        <f t="shared" si="4"/>
        <v>-28961</v>
      </c>
      <c r="AW14" s="5">
        <f t="shared" si="4"/>
        <v>-29959</v>
      </c>
      <c r="AX14" s="5">
        <f t="shared" si="4"/>
        <v>-30957</v>
      </c>
      <c r="AY14" s="5">
        <f t="shared" si="4"/>
        <v>-31955</v>
      </c>
      <c r="AZ14" s="5">
        <f t="shared" si="4"/>
        <v>-32754</v>
      </c>
      <c r="BA14" s="5">
        <f t="shared" si="4"/>
        <v>-33553</v>
      </c>
      <c r="BB14" s="5">
        <f t="shared" si="4"/>
        <v>-34352</v>
      </c>
      <c r="BC14" s="5">
        <f t="shared" si="4"/>
        <v>-35151</v>
      </c>
      <c r="BD14" s="5">
        <f t="shared" si="4"/>
        <v>-35950</v>
      </c>
      <c r="BE14" s="5">
        <f t="shared" si="4"/>
        <v>-36749</v>
      </c>
      <c r="BF14" s="5">
        <f t="shared" si="4"/>
        <v>-37548</v>
      </c>
      <c r="BG14" s="5">
        <f t="shared" si="4"/>
        <v>-38347</v>
      </c>
      <c r="BH14" s="5">
        <f t="shared" si="4"/>
        <v>-39146</v>
      </c>
      <c r="BI14" s="5">
        <f t="shared" si="4"/>
        <v>-39945</v>
      </c>
      <c r="BJ14" s="5">
        <f t="shared" si="4"/>
        <v>-40744</v>
      </c>
      <c r="BK14" s="5">
        <f t="shared" si="4"/>
        <v>-41543</v>
      </c>
      <c r="BL14" s="5">
        <f t="shared" si="4"/>
        <v>-42342</v>
      </c>
      <c r="BM14" s="5">
        <f t="shared" si="4"/>
        <v>-43136</v>
      </c>
      <c r="BN14" s="5">
        <f t="shared" si="4"/>
        <v>-43930</v>
      </c>
      <c r="BO14" s="5">
        <f t="shared" si="4"/>
        <v>-45379</v>
      </c>
      <c r="BP14" s="5">
        <f t="shared" si="4"/>
        <v>-45379</v>
      </c>
      <c r="BQ14" s="5">
        <f t="shared" si="4"/>
        <v>-45379</v>
      </c>
      <c r="BR14" s="5">
        <f t="shared" si="4"/>
        <v>-45379</v>
      </c>
      <c r="BS14" s="5">
        <f t="shared" si="4"/>
        <v>-45379</v>
      </c>
      <c r="BT14" s="5">
        <f t="shared" si="4"/>
        <v>-46178</v>
      </c>
      <c r="BU14" s="5">
        <f t="shared" ref="BU14:CC14" si="5">(BT14+BT15-BT17+BP16)</f>
        <v>-46977</v>
      </c>
      <c r="BV14" s="5">
        <f t="shared" si="5"/>
        <v>-47776</v>
      </c>
      <c r="BW14" s="5">
        <f t="shared" si="5"/>
        <v>-48575</v>
      </c>
      <c r="BX14" s="5">
        <f t="shared" si="5"/>
        <v>-49374</v>
      </c>
      <c r="BY14" s="5">
        <f t="shared" si="5"/>
        <v>-50173</v>
      </c>
      <c r="BZ14" s="5">
        <f t="shared" si="5"/>
        <v>-50972</v>
      </c>
      <c r="CA14" s="5">
        <f t="shared" si="5"/>
        <v>-51771</v>
      </c>
      <c r="CB14" s="5">
        <f t="shared" si="5"/>
        <v>-52570</v>
      </c>
      <c r="CC14" s="5">
        <f t="shared" si="5"/>
        <v>-53369</v>
      </c>
    </row>
    <row r="15" spans="1:81" x14ac:dyDescent="0.2">
      <c r="A15" s="5" t="s">
        <v>209</v>
      </c>
      <c r="B15" s="5">
        <v>2.1603300000000001</v>
      </c>
      <c r="C15" s="45" t="s">
        <v>39</v>
      </c>
      <c r="D15" s="59">
        <f>IFERROR(VLOOKUP(A14,WIP!$A:$B,2,0),0)</f>
        <v>1700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">
      <c r="A16" s="5" t="s">
        <v>210</v>
      </c>
      <c r="B16" s="5">
        <v>9.7000000000000003E-2</v>
      </c>
      <c r="C16" s="9" t="s">
        <v>211</v>
      </c>
      <c r="D16" s="60">
        <f>IFERROR(VLOOKUP($A14,Plan!$A:B,D$4,0),0)</f>
        <v>840</v>
      </c>
      <c r="E16" s="60">
        <f>IFERROR(VLOOKUP($A14,Plan!$A:C,E$4,0),0)</f>
        <v>850</v>
      </c>
      <c r="F16" s="60">
        <f>IFERROR(VLOOKUP($A14,Plan!$A:D,F$4,0),0)</f>
        <v>900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">
      <c r="A17" s="5" t="s">
        <v>212</v>
      </c>
      <c r="B17" s="5">
        <v>4.0000000000000001E-3</v>
      </c>
      <c r="C17" s="9" t="s">
        <v>213</v>
      </c>
      <c r="D17" s="61">
        <f>IFERROR(VLOOKUP($A14,Sales!$A:B,D$2,0),0)</f>
        <v>0</v>
      </c>
      <c r="E17" s="61">
        <f>IFERROR(VLOOKUP($A14,Sales!$A:C,E$2,0),0)</f>
        <v>2400</v>
      </c>
      <c r="F17" s="61">
        <f>IFERROR(VLOOKUP($A14,Sales!$A:D,F$2,0),0)</f>
        <v>0</v>
      </c>
      <c r="G17" s="61">
        <f>IFERROR(VLOOKUP($A14,Sales!$A:E,G$2,0),0)</f>
        <v>1000</v>
      </c>
      <c r="H17" s="61">
        <f>IFERROR(VLOOKUP($A14,Sales!$A:F,H$2,0),0)</f>
        <v>1200</v>
      </c>
      <c r="I17" s="61">
        <f>IFERROR(VLOOKUP($A14,Sales!$A:G,I$2,0),0)</f>
        <v>1200</v>
      </c>
      <c r="J17" s="61">
        <f>IFERROR(VLOOKUP($A14,Sales!$A:H,J$2,0),0)</f>
        <v>1200</v>
      </c>
      <c r="K17" s="61">
        <f>IFERROR(VLOOKUP($A14,Sales!$A:I,K$2,0),0)</f>
        <v>1400</v>
      </c>
      <c r="L17" s="61">
        <f>IFERROR(VLOOKUP($A14,Sales!$A:J,L$2,0),0)</f>
        <v>1800</v>
      </c>
      <c r="M17" s="61">
        <f>IFERROR(VLOOKUP($A14,Sales!$A:K,M$2,0),0)</f>
        <v>2200</v>
      </c>
      <c r="N17" s="61">
        <f>IFERROR(VLOOKUP($A14,Sales!$A:L,N$2,0),0)</f>
        <v>0</v>
      </c>
      <c r="O17" s="61">
        <f>IFERROR(VLOOKUP($A14,Sales!$A:M,O$2,0),0)</f>
        <v>0</v>
      </c>
      <c r="P17" s="61">
        <f>IFERROR(VLOOKUP($A14,Sales!$A:N,P$2,0),0)</f>
        <v>0</v>
      </c>
      <c r="Q17" s="61">
        <f>IFERROR(VLOOKUP($A14,Sales!$A:O,Q$2,0),0)</f>
        <v>0</v>
      </c>
      <c r="R17" s="61">
        <f>IFERROR(VLOOKUP($A14,Sales!$A:P,R$2,0),0)</f>
        <v>1200</v>
      </c>
      <c r="S17" s="61">
        <f>IFERROR(VLOOKUP($A14,Sales!$A:Q,S$2,0),0)</f>
        <v>1200</v>
      </c>
      <c r="T17" s="61">
        <f>IFERROR(VLOOKUP($A14,Sales!$A:R,T$2,0),0)</f>
        <v>1400</v>
      </c>
      <c r="U17" s="61">
        <f>IFERROR(VLOOKUP($A14,Sales!$A:S,U$2,0),0)</f>
        <v>1200</v>
      </c>
      <c r="V17" s="61">
        <f>IFERROR(VLOOKUP($A14,Sales!$A:T,V$2,0),0)</f>
        <v>1200</v>
      </c>
      <c r="W17" s="61">
        <f>IFERROR(VLOOKUP($A14,Sales!$A:U,W$2,0),0)</f>
        <v>1200</v>
      </c>
      <c r="X17" s="61">
        <f>IFERROR(VLOOKUP($A14,Sales!$A:V,X$2,0),0)</f>
        <v>1200</v>
      </c>
      <c r="Y17" s="61">
        <f>IFERROR(VLOOKUP($A14,Sales!$A:W,Y$2,0),0)</f>
        <v>800</v>
      </c>
      <c r="Z17" s="61">
        <f>IFERROR(VLOOKUP($A14,Sales!$A:X,Z$2,0),0)</f>
        <v>800</v>
      </c>
      <c r="AA17" s="61">
        <f>IFERROR(VLOOKUP($A14,Sales!$A:Y,AA$2,0),0)</f>
        <v>800</v>
      </c>
      <c r="AB17" s="61">
        <f>IFERROR(VLOOKUP($A14,Sales!$A:Z,AB$2,0),0)</f>
        <v>800</v>
      </c>
      <c r="AC17" s="61">
        <f>IFERROR(VLOOKUP($A14,Sales!$A:AA,AC$2,0),0)</f>
        <v>1200</v>
      </c>
      <c r="AD17" s="61">
        <f>IFERROR(VLOOKUP($A14,Sales!$A:AB,AD$2,0),0)</f>
        <v>1200</v>
      </c>
      <c r="AE17" s="61">
        <f>IFERROR(VLOOKUP($A14,Sales!$A:AC,AE$2,0),0)</f>
        <v>1200</v>
      </c>
      <c r="AF17" s="61">
        <f>IFERROR(VLOOKUP($A14,Sales!$A:AD,AF$2,0),0)</f>
        <v>1200</v>
      </c>
      <c r="AG17" s="61">
        <f>IFERROR(VLOOKUP($A14,Sales!$A:AE,AG$2,0),0)</f>
        <v>1200</v>
      </c>
      <c r="AH17" s="61">
        <f>IFERROR(VLOOKUP($A14,Sales!$A:AF,AH$2,0),0)</f>
        <v>1300</v>
      </c>
      <c r="AI17" s="61">
        <f>IFERROR(VLOOKUP($A14,Sales!$A:AG,AI$2,0),0)</f>
        <v>1300</v>
      </c>
      <c r="AJ17" s="61">
        <f>IFERROR(VLOOKUP($A14,Sales!$A:AH,AJ$2,0),0)</f>
        <v>0</v>
      </c>
      <c r="AK17" s="74">
        <f t="shared" ref="AK17:CC17" si="6">CEILING(AK$5*$B13,1)</f>
        <v>0</v>
      </c>
      <c r="AL17" s="74">
        <f t="shared" si="6"/>
        <v>0</v>
      </c>
      <c r="AM17" s="74">
        <f t="shared" si="6"/>
        <v>0</v>
      </c>
      <c r="AN17" s="74">
        <f t="shared" si="6"/>
        <v>870</v>
      </c>
      <c r="AO17" s="74">
        <f t="shared" si="6"/>
        <v>870</v>
      </c>
      <c r="AP17" s="74">
        <f t="shared" si="6"/>
        <v>870</v>
      </c>
      <c r="AQ17" s="74">
        <f t="shared" si="6"/>
        <v>1051</v>
      </c>
      <c r="AR17" s="74">
        <f t="shared" si="6"/>
        <v>1051</v>
      </c>
      <c r="AS17" s="74">
        <f t="shared" si="6"/>
        <v>840</v>
      </c>
      <c r="AT17" s="74">
        <f t="shared" si="6"/>
        <v>1051</v>
      </c>
      <c r="AU17" s="74">
        <f t="shared" si="6"/>
        <v>998</v>
      </c>
      <c r="AV17" s="74">
        <f t="shared" si="6"/>
        <v>998</v>
      </c>
      <c r="AW17" s="74">
        <f t="shared" si="6"/>
        <v>998</v>
      </c>
      <c r="AX17" s="74">
        <f t="shared" si="6"/>
        <v>998</v>
      </c>
      <c r="AY17" s="74">
        <f t="shared" si="6"/>
        <v>799</v>
      </c>
      <c r="AZ17" s="74">
        <f t="shared" si="6"/>
        <v>799</v>
      </c>
      <c r="BA17" s="74">
        <f t="shared" si="6"/>
        <v>799</v>
      </c>
      <c r="BB17" s="74">
        <f t="shared" si="6"/>
        <v>799</v>
      </c>
      <c r="BC17" s="74">
        <f t="shared" si="6"/>
        <v>799</v>
      </c>
      <c r="BD17" s="74">
        <f t="shared" si="6"/>
        <v>799</v>
      </c>
      <c r="BE17" s="74">
        <f t="shared" si="6"/>
        <v>799</v>
      </c>
      <c r="BF17" s="74">
        <f t="shared" si="6"/>
        <v>799</v>
      </c>
      <c r="BG17" s="74">
        <f t="shared" si="6"/>
        <v>799</v>
      </c>
      <c r="BH17" s="74">
        <f t="shared" si="6"/>
        <v>799</v>
      </c>
      <c r="BI17" s="74">
        <f t="shared" si="6"/>
        <v>799</v>
      </c>
      <c r="BJ17" s="74">
        <f t="shared" si="6"/>
        <v>799</v>
      </c>
      <c r="BK17" s="74">
        <f t="shared" si="6"/>
        <v>799</v>
      </c>
      <c r="BL17" s="74">
        <f t="shared" si="6"/>
        <v>794</v>
      </c>
      <c r="BM17" s="74">
        <f t="shared" si="6"/>
        <v>794</v>
      </c>
      <c r="BN17" s="74">
        <f t="shared" si="6"/>
        <v>1449</v>
      </c>
      <c r="BO17" s="74">
        <f t="shared" si="6"/>
        <v>0</v>
      </c>
      <c r="BP17" s="74">
        <f t="shared" si="6"/>
        <v>0</v>
      </c>
      <c r="BQ17" s="74">
        <f t="shared" si="6"/>
        <v>0</v>
      </c>
      <c r="BR17" s="74">
        <f t="shared" si="6"/>
        <v>0</v>
      </c>
      <c r="BS17" s="74">
        <f t="shared" si="6"/>
        <v>799</v>
      </c>
      <c r="BT17" s="74">
        <f t="shared" si="6"/>
        <v>799</v>
      </c>
      <c r="BU17" s="74">
        <f t="shared" si="6"/>
        <v>799</v>
      </c>
      <c r="BV17" s="74">
        <f t="shared" si="6"/>
        <v>799</v>
      </c>
      <c r="BW17" s="74">
        <f t="shared" si="6"/>
        <v>799</v>
      </c>
      <c r="BX17" s="74">
        <f t="shared" si="6"/>
        <v>799</v>
      </c>
      <c r="BY17" s="74">
        <f t="shared" si="6"/>
        <v>799</v>
      </c>
      <c r="BZ17" s="74">
        <f t="shared" si="6"/>
        <v>799</v>
      </c>
      <c r="CA17" s="74">
        <f t="shared" si="6"/>
        <v>799</v>
      </c>
      <c r="CB17" s="74">
        <f t="shared" si="6"/>
        <v>799</v>
      </c>
      <c r="CC17" s="74">
        <f t="shared" si="6"/>
        <v>799</v>
      </c>
    </row>
    <row r="18" spans="1:81" x14ac:dyDescent="0.2">
      <c r="A18" s="5" t="s">
        <v>214</v>
      </c>
      <c r="B18" s="5">
        <v>0.10100000000000001</v>
      </c>
      <c r="C18" s="46" t="s">
        <v>215</v>
      </c>
      <c r="D18" s="11">
        <f t="shared" ref="D18:AI18" si="7">IF(D17=0,0, ROUND(D14 * 1/D17* D$13,1))</f>
        <v>0</v>
      </c>
      <c r="E18" s="11">
        <f t="shared" si="7"/>
        <v>18.399999999999999</v>
      </c>
      <c r="F18" s="11">
        <f t="shared" si="7"/>
        <v>0</v>
      </c>
      <c r="G18" s="11">
        <f t="shared" si="7"/>
        <v>32.299999999999997</v>
      </c>
      <c r="H18" s="11">
        <f t="shared" si="7"/>
        <v>22.7</v>
      </c>
      <c r="I18" s="11">
        <f t="shared" si="7"/>
        <v>21.2</v>
      </c>
      <c r="J18" s="11">
        <f t="shared" si="7"/>
        <v>19.8</v>
      </c>
      <c r="K18" s="11">
        <f t="shared" si="7"/>
        <v>15.9</v>
      </c>
      <c r="L18" s="11">
        <f t="shared" si="7"/>
        <v>8.4</v>
      </c>
      <c r="M18" s="11">
        <f t="shared" si="7"/>
        <v>2.8</v>
      </c>
      <c r="N18" s="11">
        <f t="shared" si="7"/>
        <v>0</v>
      </c>
      <c r="O18" s="11">
        <f t="shared" si="7"/>
        <v>0</v>
      </c>
      <c r="P18" s="11">
        <f t="shared" si="7"/>
        <v>0</v>
      </c>
      <c r="Q18" s="11">
        <f t="shared" si="7"/>
        <v>0</v>
      </c>
      <c r="R18" s="11">
        <f t="shared" si="7"/>
        <v>-4</v>
      </c>
      <c r="S18" s="11">
        <f t="shared" si="7"/>
        <v>-9</v>
      </c>
      <c r="T18" s="11">
        <f t="shared" si="7"/>
        <v>-12</v>
      </c>
      <c r="U18" s="11">
        <f t="shared" si="7"/>
        <v>-19.8</v>
      </c>
      <c r="V18" s="11">
        <f t="shared" si="7"/>
        <v>-24.8</v>
      </c>
      <c r="W18" s="11">
        <f t="shared" si="7"/>
        <v>-29.8</v>
      </c>
      <c r="X18" s="11">
        <f t="shared" si="7"/>
        <v>-34.799999999999997</v>
      </c>
      <c r="Y18" s="11">
        <f t="shared" si="7"/>
        <v>-59.8</v>
      </c>
      <c r="Z18" s="11">
        <f t="shared" si="7"/>
        <v>-64.8</v>
      </c>
      <c r="AA18" s="11">
        <f t="shared" si="7"/>
        <v>-69.8</v>
      </c>
      <c r="AB18" s="11">
        <f t="shared" si="7"/>
        <v>-74.8</v>
      </c>
      <c r="AC18" s="11">
        <f t="shared" si="7"/>
        <v>-53.2</v>
      </c>
      <c r="AD18" s="11">
        <f t="shared" si="7"/>
        <v>-58.2</v>
      </c>
      <c r="AE18" s="11">
        <f t="shared" si="7"/>
        <v>-63.2</v>
      </c>
      <c r="AF18" s="11">
        <f t="shared" si="7"/>
        <v>-68.2</v>
      </c>
      <c r="AG18" s="11">
        <f t="shared" si="7"/>
        <v>-73.2</v>
      </c>
      <c r="AH18" s="11">
        <f t="shared" si="7"/>
        <v>-72.2</v>
      </c>
      <c r="AI18" s="11">
        <f t="shared" si="7"/>
        <v>-77.2</v>
      </c>
      <c r="AJ18" s="11">
        <f t="shared" ref="AJ18:BO18" si="8">IF(AJ17=0,0, ROUND(AJ14 * 1/AJ17* AJ$13,1))</f>
        <v>0</v>
      </c>
      <c r="AK18" s="11">
        <f t="shared" si="8"/>
        <v>0</v>
      </c>
      <c r="AL18" s="11">
        <f t="shared" si="8"/>
        <v>0</v>
      </c>
      <c r="AM18" s="11">
        <f t="shared" si="8"/>
        <v>0</v>
      </c>
      <c r="AN18" s="11">
        <f t="shared" si="8"/>
        <v>-122.8</v>
      </c>
      <c r="AO18" s="11">
        <f t="shared" si="8"/>
        <v>-127.8</v>
      </c>
      <c r="AP18" s="11">
        <f t="shared" si="8"/>
        <v>-132.80000000000001</v>
      </c>
      <c r="AQ18" s="11">
        <f t="shared" si="8"/>
        <v>-114</v>
      </c>
      <c r="AR18" s="11">
        <f t="shared" si="8"/>
        <v>-119</v>
      </c>
      <c r="AS18" s="11">
        <f t="shared" si="8"/>
        <v>-155.19999999999999</v>
      </c>
      <c r="AT18" s="11">
        <f t="shared" si="8"/>
        <v>-128</v>
      </c>
      <c r="AU18" s="11">
        <f t="shared" si="8"/>
        <v>-140.1</v>
      </c>
      <c r="AV18" s="11">
        <f t="shared" si="8"/>
        <v>-145.1</v>
      </c>
      <c r="AW18" s="11">
        <f t="shared" si="8"/>
        <v>-150.1</v>
      </c>
      <c r="AX18" s="11">
        <f t="shared" si="8"/>
        <v>-155.1</v>
      </c>
      <c r="AY18" s="11">
        <f t="shared" si="8"/>
        <v>-200</v>
      </c>
      <c r="AZ18" s="11">
        <f t="shared" si="8"/>
        <v>-205</v>
      </c>
      <c r="BA18" s="11">
        <f t="shared" si="8"/>
        <v>-210</v>
      </c>
      <c r="BB18" s="11">
        <f t="shared" si="8"/>
        <v>-215</v>
      </c>
      <c r="BC18" s="11">
        <f t="shared" si="8"/>
        <v>-220</v>
      </c>
      <c r="BD18" s="11">
        <f t="shared" si="8"/>
        <v>-225</v>
      </c>
      <c r="BE18" s="11">
        <f t="shared" si="8"/>
        <v>-230</v>
      </c>
      <c r="BF18" s="11">
        <f t="shared" si="8"/>
        <v>-235</v>
      </c>
      <c r="BG18" s="11">
        <f t="shared" si="8"/>
        <v>-240</v>
      </c>
      <c r="BH18" s="11">
        <f t="shared" si="8"/>
        <v>-245</v>
      </c>
      <c r="BI18" s="11">
        <f t="shared" si="8"/>
        <v>-250</v>
      </c>
      <c r="BJ18" s="11">
        <f t="shared" si="8"/>
        <v>-255</v>
      </c>
      <c r="BK18" s="11">
        <f t="shared" si="8"/>
        <v>-260</v>
      </c>
      <c r="BL18" s="11">
        <f t="shared" si="8"/>
        <v>-266.60000000000002</v>
      </c>
      <c r="BM18" s="11">
        <f t="shared" si="8"/>
        <v>-271.60000000000002</v>
      </c>
      <c r="BN18" s="11">
        <f t="shared" si="8"/>
        <v>-151.6</v>
      </c>
      <c r="BO18" s="11">
        <f t="shared" si="8"/>
        <v>0</v>
      </c>
      <c r="BP18" s="11">
        <f t="shared" ref="BP18:CC18" si="9">IF(BP17=0,0, ROUND(BP14 * 1/BP17* BP$13,1))</f>
        <v>0</v>
      </c>
      <c r="BQ18" s="11">
        <f t="shared" si="9"/>
        <v>0</v>
      </c>
      <c r="BR18" s="11">
        <f t="shared" si="9"/>
        <v>0</v>
      </c>
      <c r="BS18" s="11">
        <f t="shared" si="9"/>
        <v>-284</v>
      </c>
      <c r="BT18" s="11">
        <f t="shared" si="9"/>
        <v>-289</v>
      </c>
      <c r="BU18" s="11">
        <f t="shared" si="9"/>
        <v>-294</v>
      </c>
      <c r="BV18" s="11">
        <f t="shared" si="9"/>
        <v>-299</v>
      </c>
      <c r="BW18" s="11">
        <f t="shared" si="9"/>
        <v>-304</v>
      </c>
      <c r="BX18" s="11">
        <f t="shared" si="9"/>
        <v>-309</v>
      </c>
      <c r="BY18" s="11">
        <f t="shared" si="9"/>
        <v>-314</v>
      </c>
      <c r="BZ18" s="11">
        <f t="shared" si="9"/>
        <v>-319</v>
      </c>
      <c r="CA18" s="11">
        <f t="shared" si="9"/>
        <v>-324</v>
      </c>
      <c r="CB18" s="11">
        <f t="shared" si="9"/>
        <v>-329</v>
      </c>
      <c r="CC18" s="11">
        <f t="shared" si="9"/>
        <v>-334</v>
      </c>
    </row>
    <row r="19" spans="1:81" x14ac:dyDescent="0.2">
      <c r="A19">
        <v>9</v>
      </c>
      <c r="B19">
        <v>50</v>
      </c>
      <c r="C19" s="8">
        <v>1.5259100000000001</v>
      </c>
      <c r="D19">
        <f t="shared" ref="D19:AI19" si="10">D16/$B19</f>
        <v>16.8</v>
      </c>
      <c r="E19">
        <f t="shared" si="10"/>
        <v>17</v>
      </c>
      <c r="F19">
        <f t="shared" si="10"/>
        <v>18</v>
      </c>
      <c r="G19">
        <f t="shared" si="10"/>
        <v>0</v>
      </c>
      <c r="H19">
        <f t="shared" si="10"/>
        <v>0</v>
      </c>
      <c r="I19">
        <f t="shared" si="10"/>
        <v>0</v>
      </c>
      <c r="J19">
        <f t="shared" si="10"/>
        <v>0</v>
      </c>
      <c r="K19">
        <f t="shared" si="10"/>
        <v>0</v>
      </c>
      <c r="L19">
        <f t="shared" si="10"/>
        <v>0</v>
      </c>
      <c r="M19">
        <f t="shared" si="10"/>
        <v>0</v>
      </c>
      <c r="N19">
        <f t="shared" si="10"/>
        <v>0</v>
      </c>
      <c r="O19">
        <f t="shared" si="10"/>
        <v>0</v>
      </c>
      <c r="P19">
        <f t="shared" si="10"/>
        <v>0</v>
      </c>
      <c r="Q19">
        <f t="shared" si="10"/>
        <v>0</v>
      </c>
      <c r="R19">
        <f t="shared" si="10"/>
        <v>0</v>
      </c>
      <c r="S19">
        <f t="shared" si="10"/>
        <v>0</v>
      </c>
      <c r="T19">
        <f t="shared" si="10"/>
        <v>0</v>
      </c>
      <c r="U19">
        <f t="shared" si="10"/>
        <v>0</v>
      </c>
      <c r="V19">
        <f t="shared" si="10"/>
        <v>0</v>
      </c>
      <c r="W19">
        <f t="shared" si="10"/>
        <v>0</v>
      </c>
      <c r="X19">
        <f t="shared" si="10"/>
        <v>0</v>
      </c>
      <c r="Y19">
        <f t="shared" si="10"/>
        <v>0</v>
      </c>
      <c r="Z19">
        <f t="shared" si="10"/>
        <v>0</v>
      </c>
      <c r="AA19">
        <f t="shared" si="10"/>
        <v>0</v>
      </c>
      <c r="AB19">
        <f t="shared" si="10"/>
        <v>0</v>
      </c>
      <c r="AC19">
        <f t="shared" si="10"/>
        <v>0</v>
      </c>
      <c r="AD19">
        <f t="shared" si="10"/>
        <v>0</v>
      </c>
      <c r="AE19">
        <f t="shared" si="10"/>
        <v>0</v>
      </c>
      <c r="AF19">
        <f t="shared" si="10"/>
        <v>0</v>
      </c>
      <c r="AG19">
        <f t="shared" si="10"/>
        <v>0</v>
      </c>
      <c r="AH19">
        <f t="shared" si="10"/>
        <v>0</v>
      </c>
      <c r="AI19">
        <f t="shared" si="10"/>
        <v>0</v>
      </c>
      <c r="AJ19">
        <f t="shared" ref="AJ19:BO19" si="11">AJ16/$B19</f>
        <v>0</v>
      </c>
      <c r="AK19">
        <f t="shared" si="11"/>
        <v>0</v>
      </c>
      <c r="AL19">
        <f t="shared" si="11"/>
        <v>0</v>
      </c>
      <c r="AM19">
        <f t="shared" si="11"/>
        <v>0</v>
      </c>
      <c r="AN19">
        <f t="shared" si="11"/>
        <v>0</v>
      </c>
      <c r="AO19">
        <f t="shared" si="11"/>
        <v>0</v>
      </c>
      <c r="AP19">
        <f t="shared" si="11"/>
        <v>0</v>
      </c>
      <c r="AQ19">
        <f t="shared" si="11"/>
        <v>0</v>
      </c>
      <c r="AR19">
        <f t="shared" si="11"/>
        <v>0</v>
      </c>
      <c r="AS19">
        <f t="shared" si="11"/>
        <v>0</v>
      </c>
      <c r="AT19">
        <f t="shared" si="11"/>
        <v>0</v>
      </c>
      <c r="AU19">
        <f t="shared" si="11"/>
        <v>0</v>
      </c>
      <c r="AV19">
        <f t="shared" si="11"/>
        <v>0</v>
      </c>
      <c r="AW19">
        <f t="shared" si="11"/>
        <v>0</v>
      </c>
      <c r="AX19">
        <f t="shared" si="11"/>
        <v>0</v>
      </c>
      <c r="AY19">
        <f t="shared" si="11"/>
        <v>0</v>
      </c>
      <c r="AZ19">
        <f t="shared" si="11"/>
        <v>0</v>
      </c>
      <c r="BA19">
        <f t="shared" si="11"/>
        <v>0</v>
      </c>
      <c r="BB19">
        <f t="shared" si="11"/>
        <v>0</v>
      </c>
      <c r="BC19">
        <f t="shared" si="11"/>
        <v>0</v>
      </c>
      <c r="BD19">
        <f t="shared" si="11"/>
        <v>0</v>
      </c>
      <c r="BE19">
        <f t="shared" si="11"/>
        <v>0</v>
      </c>
      <c r="BF19">
        <f t="shared" si="11"/>
        <v>0</v>
      </c>
      <c r="BG19">
        <f t="shared" si="11"/>
        <v>0</v>
      </c>
      <c r="BH19">
        <f t="shared" si="11"/>
        <v>0</v>
      </c>
      <c r="BI19">
        <f t="shared" si="11"/>
        <v>0</v>
      </c>
      <c r="BJ19">
        <f t="shared" si="11"/>
        <v>0</v>
      </c>
      <c r="BK19">
        <f t="shared" si="11"/>
        <v>0</v>
      </c>
      <c r="BL19">
        <f t="shared" si="11"/>
        <v>0</v>
      </c>
      <c r="BM19">
        <f t="shared" si="11"/>
        <v>0</v>
      </c>
      <c r="BN19">
        <f t="shared" si="11"/>
        <v>0</v>
      </c>
      <c r="BO19">
        <f t="shared" si="11"/>
        <v>0</v>
      </c>
      <c r="BP19">
        <f t="shared" ref="BP19:CC19" si="12">BP16/$B19</f>
        <v>0</v>
      </c>
      <c r="BQ19">
        <f t="shared" si="12"/>
        <v>0</v>
      </c>
      <c r="BR19">
        <f t="shared" si="12"/>
        <v>0</v>
      </c>
      <c r="BS19">
        <f t="shared" si="12"/>
        <v>0</v>
      </c>
      <c r="BT19">
        <f t="shared" si="12"/>
        <v>0</v>
      </c>
      <c r="BU19">
        <f t="shared" si="12"/>
        <v>0</v>
      </c>
      <c r="BV19">
        <f t="shared" si="12"/>
        <v>0</v>
      </c>
      <c r="BW19">
        <f t="shared" si="12"/>
        <v>0</v>
      </c>
      <c r="BX19">
        <f t="shared" si="12"/>
        <v>0</v>
      </c>
      <c r="BY19">
        <f t="shared" si="12"/>
        <v>0</v>
      </c>
      <c r="BZ19">
        <f t="shared" si="12"/>
        <v>0</v>
      </c>
      <c r="CA19">
        <f t="shared" si="12"/>
        <v>0</v>
      </c>
      <c r="CB19">
        <f t="shared" si="12"/>
        <v>0</v>
      </c>
      <c r="CC19">
        <f t="shared" si="12"/>
        <v>0</v>
      </c>
    </row>
    <row r="20" spans="1:81" x14ac:dyDescent="0.2">
      <c r="B20" s="67">
        <f>SUM(D24:AJ24)/SUM($D$67:$AJ$67)</f>
        <v>0.19671735457398021</v>
      </c>
      <c r="C20" s="9" t="s">
        <v>216</v>
      </c>
      <c r="D20">
        <f t="shared" ref="D20:AI20" si="13">D14-D17</f>
        <v>7150</v>
      </c>
      <c r="E20">
        <f t="shared" si="13"/>
        <v>6450</v>
      </c>
      <c r="F20">
        <f t="shared" si="13"/>
        <v>6450</v>
      </c>
      <c r="G20">
        <f t="shared" si="13"/>
        <v>5450</v>
      </c>
      <c r="H20">
        <f t="shared" si="13"/>
        <v>4250</v>
      </c>
      <c r="I20">
        <f t="shared" si="13"/>
        <v>3890</v>
      </c>
      <c r="J20">
        <f t="shared" si="13"/>
        <v>3540</v>
      </c>
      <c r="K20">
        <f t="shared" si="13"/>
        <v>3040</v>
      </c>
      <c r="L20">
        <f t="shared" si="13"/>
        <v>1240</v>
      </c>
      <c r="M20">
        <f t="shared" si="13"/>
        <v>-960</v>
      </c>
      <c r="N20">
        <f t="shared" si="13"/>
        <v>-960</v>
      </c>
      <c r="O20">
        <f t="shared" si="13"/>
        <v>-960</v>
      </c>
      <c r="P20">
        <f t="shared" si="13"/>
        <v>-960</v>
      </c>
      <c r="Q20">
        <f t="shared" si="13"/>
        <v>-960</v>
      </c>
      <c r="R20">
        <f t="shared" si="13"/>
        <v>-2160</v>
      </c>
      <c r="S20">
        <f t="shared" si="13"/>
        <v>-3360</v>
      </c>
      <c r="T20">
        <f t="shared" si="13"/>
        <v>-4760</v>
      </c>
      <c r="U20">
        <f t="shared" si="13"/>
        <v>-5960</v>
      </c>
      <c r="V20">
        <f t="shared" si="13"/>
        <v>-7160</v>
      </c>
      <c r="W20">
        <f t="shared" si="13"/>
        <v>-8360</v>
      </c>
      <c r="X20">
        <f t="shared" si="13"/>
        <v>-9560</v>
      </c>
      <c r="Y20">
        <f t="shared" si="13"/>
        <v>-10360</v>
      </c>
      <c r="Z20">
        <f t="shared" si="13"/>
        <v>-11160</v>
      </c>
      <c r="AA20">
        <f t="shared" si="13"/>
        <v>-11960</v>
      </c>
      <c r="AB20">
        <f t="shared" si="13"/>
        <v>-12760</v>
      </c>
      <c r="AC20">
        <f t="shared" si="13"/>
        <v>-13960</v>
      </c>
      <c r="AD20">
        <f t="shared" si="13"/>
        <v>-15160</v>
      </c>
      <c r="AE20">
        <f t="shared" si="13"/>
        <v>-16360</v>
      </c>
      <c r="AF20">
        <f t="shared" si="13"/>
        <v>-17560</v>
      </c>
      <c r="AG20">
        <f t="shared" si="13"/>
        <v>-18760</v>
      </c>
      <c r="AH20">
        <f t="shared" si="13"/>
        <v>-20060</v>
      </c>
      <c r="AI20">
        <f t="shared" si="13"/>
        <v>-21360</v>
      </c>
      <c r="AJ20">
        <f t="shared" ref="AJ20:BO20" si="14">AJ14-AJ17</f>
        <v>-21360</v>
      </c>
      <c r="AK20">
        <f t="shared" si="14"/>
        <v>-21360</v>
      </c>
      <c r="AL20">
        <f t="shared" si="14"/>
        <v>-21360</v>
      </c>
      <c r="AM20">
        <f t="shared" si="14"/>
        <v>-21360</v>
      </c>
      <c r="AN20">
        <f t="shared" si="14"/>
        <v>-22230</v>
      </c>
      <c r="AO20">
        <f t="shared" si="14"/>
        <v>-23100</v>
      </c>
      <c r="AP20">
        <f t="shared" si="14"/>
        <v>-23970</v>
      </c>
      <c r="AQ20">
        <f t="shared" si="14"/>
        <v>-25021</v>
      </c>
      <c r="AR20">
        <f t="shared" si="14"/>
        <v>-26072</v>
      </c>
      <c r="AS20">
        <f t="shared" si="14"/>
        <v>-26912</v>
      </c>
      <c r="AT20">
        <f t="shared" si="14"/>
        <v>-27963</v>
      </c>
      <c r="AU20">
        <f t="shared" si="14"/>
        <v>-28961</v>
      </c>
      <c r="AV20">
        <f t="shared" si="14"/>
        <v>-29959</v>
      </c>
      <c r="AW20">
        <f t="shared" si="14"/>
        <v>-30957</v>
      </c>
      <c r="AX20">
        <f t="shared" si="14"/>
        <v>-31955</v>
      </c>
      <c r="AY20">
        <f t="shared" si="14"/>
        <v>-32754</v>
      </c>
      <c r="AZ20">
        <f t="shared" si="14"/>
        <v>-33553</v>
      </c>
      <c r="BA20">
        <f t="shared" si="14"/>
        <v>-34352</v>
      </c>
      <c r="BB20">
        <f t="shared" si="14"/>
        <v>-35151</v>
      </c>
      <c r="BC20">
        <f t="shared" si="14"/>
        <v>-35950</v>
      </c>
      <c r="BD20">
        <f t="shared" si="14"/>
        <v>-36749</v>
      </c>
      <c r="BE20">
        <f t="shared" si="14"/>
        <v>-37548</v>
      </c>
      <c r="BF20">
        <f t="shared" si="14"/>
        <v>-38347</v>
      </c>
      <c r="BG20">
        <f t="shared" si="14"/>
        <v>-39146</v>
      </c>
      <c r="BH20">
        <f t="shared" si="14"/>
        <v>-39945</v>
      </c>
      <c r="BI20">
        <f t="shared" si="14"/>
        <v>-40744</v>
      </c>
      <c r="BJ20">
        <f t="shared" si="14"/>
        <v>-41543</v>
      </c>
      <c r="BK20">
        <f t="shared" si="14"/>
        <v>-42342</v>
      </c>
      <c r="BL20">
        <f t="shared" si="14"/>
        <v>-43136</v>
      </c>
      <c r="BM20">
        <f t="shared" si="14"/>
        <v>-43930</v>
      </c>
      <c r="BN20">
        <f t="shared" si="14"/>
        <v>-45379</v>
      </c>
      <c r="BO20">
        <f t="shared" si="14"/>
        <v>-45379</v>
      </c>
      <c r="BP20">
        <f t="shared" ref="BP20:CC20" si="15">BP14-BP17</f>
        <v>-45379</v>
      </c>
      <c r="BQ20">
        <f t="shared" si="15"/>
        <v>-45379</v>
      </c>
      <c r="BR20">
        <f t="shared" si="15"/>
        <v>-45379</v>
      </c>
      <c r="BS20">
        <f t="shared" si="15"/>
        <v>-46178</v>
      </c>
      <c r="BT20">
        <f t="shared" si="15"/>
        <v>-46977</v>
      </c>
      <c r="BU20">
        <f t="shared" si="15"/>
        <v>-47776</v>
      </c>
      <c r="BV20">
        <f t="shared" si="15"/>
        <v>-48575</v>
      </c>
      <c r="BW20">
        <f t="shared" si="15"/>
        <v>-49374</v>
      </c>
      <c r="BX20">
        <f t="shared" si="15"/>
        <v>-50173</v>
      </c>
      <c r="BY20">
        <f t="shared" si="15"/>
        <v>-50972</v>
      </c>
      <c r="BZ20">
        <f t="shared" si="15"/>
        <v>-51771</v>
      </c>
      <c r="CA20">
        <f t="shared" si="15"/>
        <v>-52570</v>
      </c>
      <c r="CB20">
        <f t="shared" si="15"/>
        <v>-53369</v>
      </c>
      <c r="CC20">
        <f t="shared" si="15"/>
        <v>-54168</v>
      </c>
    </row>
    <row r="21" spans="1:81" x14ac:dyDescent="0.2">
      <c r="A21" s="43" t="s">
        <v>331</v>
      </c>
      <c r="B21" s="44" t="s">
        <v>208</v>
      </c>
      <c r="C21" s="9" t="s">
        <v>38</v>
      </c>
      <c r="D21" s="58">
        <f>IFERROR(VLOOKUP(A21,OS!$A:$B,2,0),0)</f>
        <v>6900</v>
      </c>
      <c r="E21" s="5">
        <f>(D21+D22-D24)</f>
        <v>8700</v>
      </c>
      <c r="F21" s="5">
        <f>(E21+E22-E24)</f>
        <v>7500</v>
      </c>
      <c r="G21" s="5">
        <f>(F21+F22-F24)</f>
        <v>6300</v>
      </c>
      <c r="H21" s="5">
        <f>(G21+G22-G24)</f>
        <v>5300</v>
      </c>
      <c r="I21" s="5">
        <f t="shared" ref="I21:AN21" si="16">(H21+H22-H24+D23)</f>
        <v>4940</v>
      </c>
      <c r="J21" s="5">
        <f t="shared" si="16"/>
        <v>4590</v>
      </c>
      <c r="K21" s="5">
        <f t="shared" si="16"/>
        <v>4290</v>
      </c>
      <c r="L21" s="5">
        <f t="shared" si="16"/>
        <v>2890</v>
      </c>
      <c r="M21" s="5">
        <f t="shared" si="16"/>
        <v>1090</v>
      </c>
      <c r="N21" s="5">
        <f t="shared" si="16"/>
        <v>-1110</v>
      </c>
      <c r="O21" s="5">
        <f t="shared" si="16"/>
        <v>-1110</v>
      </c>
      <c r="P21" s="5">
        <f t="shared" si="16"/>
        <v>-1110</v>
      </c>
      <c r="Q21" s="5">
        <f t="shared" si="16"/>
        <v>-1110</v>
      </c>
      <c r="R21" s="5">
        <f t="shared" si="16"/>
        <v>-1110</v>
      </c>
      <c r="S21" s="5">
        <f t="shared" si="16"/>
        <v>-2310</v>
      </c>
      <c r="T21" s="5">
        <f t="shared" si="16"/>
        <v>-3510</v>
      </c>
      <c r="U21" s="5">
        <f t="shared" si="16"/>
        <v>-4710</v>
      </c>
      <c r="V21" s="5">
        <f t="shared" si="16"/>
        <v>-5960</v>
      </c>
      <c r="W21" s="5">
        <f t="shared" si="16"/>
        <v>-7210</v>
      </c>
      <c r="X21" s="5">
        <f t="shared" si="16"/>
        <v>-8460</v>
      </c>
      <c r="Y21" s="5">
        <f t="shared" si="16"/>
        <v>-9710</v>
      </c>
      <c r="Z21" s="5">
        <f t="shared" si="16"/>
        <v>-10510</v>
      </c>
      <c r="AA21" s="5">
        <f t="shared" si="16"/>
        <v>-11310</v>
      </c>
      <c r="AB21" s="5">
        <f t="shared" si="16"/>
        <v>-12110</v>
      </c>
      <c r="AC21" s="5">
        <f t="shared" si="16"/>
        <v>-12910</v>
      </c>
      <c r="AD21" s="5">
        <f t="shared" si="16"/>
        <v>-14110</v>
      </c>
      <c r="AE21" s="5">
        <f t="shared" si="16"/>
        <v>-15310</v>
      </c>
      <c r="AF21" s="5">
        <f t="shared" si="16"/>
        <v>-16510</v>
      </c>
      <c r="AG21" s="5">
        <f t="shared" si="16"/>
        <v>-17710</v>
      </c>
      <c r="AH21" s="5">
        <f t="shared" si="16"/>
        <v>-18910</v>
      </c>
      <c r="AI21" s="5">
        <f t="shared" si="16"/>
        <v>-20110</v>
      </c>
      <c r="AJ21" s="5">
        <f t="shared" si="16"/>
        <v>-21310</v>
      </c>
      <c r="AK21" s="5">
        <f t="shared" si="16"/>
        <v>-21310</v>
      </c>
      <c r="AL21" s="5">
        <f t="shared" si="16"/>
        <v>-21310</v>
      </c>
      <c r="AM21" s="5">
        <f t="shared" si="16"/>
        <v>-21310</v>
      </c>
      <c r="AN21" s="5">
        <f t="shared" si="16"/>
        <v>-21310</v>
      </c>
      <c r="AO21" s="5">
        <f t="shared" ref="AO21:BT21" si="17">(AN21+AN22-AN24+AJ23)</f>
        <v>-22174</v>
      </c>
      <c r="AP21" s="5">
        <f t="shared" si="17"/>
        <v>-23038</v>
      </c>
      <c r="AQ21" s="5">
        <f t="shared" si="17"/>
        <v>-23902</v>
      </c>
      <c r="AR21" s="5">
        <f t="shared" si="17"/>
        <v>-24946</v>
      </c>
      <c r="AS21" s="5">
        <f t="shared" si="17"/>
        <v>-25990</v>
      </c>
      <c r="AT21" s="5">
        <f t="shared" si="17"/>
        <v>-26825</v>
      </c>
      <c r="AU21" s="5">
        <f t="shared" si="17"/>
        <v>-27869</v>
      </c>
      <c r="AV21" s="5">
        <f t="shared" si="17"/>
        <v>-28861</v>
      </c>
      <c r="AW21" s="5">
        <f t="shared" si="17"/>
        <v>-29853</v>
      </c>
      <c r="AX21" s="5">
        <f t="shared" si="17"/>
        <v>-30845</v>
      </c>
      <c r="AY21" s="5">
        <f t="shared" si="17"/>
        <v>-31837</v>
      </c>
      <c r="AZ21" s="5">
        <f t="shared" si="17"/>
        <v>-32631</v>
      </c>
      <c r="BA21" s="5">
        <f t="shared" si="17"/>
        <v>-33425</v>
      </c>
      <c r="BB21" s="5">
        <f t="shared" si="17"/>
        <v>-34219</v>
      </c>
      <c r="BC21" s="5">
        <f t="shared" si="17"/>
        <v>-35013</v>
      </c>
      <c r="BD21" s="5">
        <f t="shared" si="17"/>
        <v>-35807</v>
      </c>
      <c r="BE21" s="5">
        <f t="shared" si="17"/>
        <v>-36601</v>
      </c>
      <c r="BF21" s="5">
        <f t="shared" si="17"/>
        <v>-37395</v>
      </c>
      <c r="BG21" s="5">
        <f t="shared" si="17"/>
        <v>-38189</v>
      </c>
      <c r="BH21" s="5">
        <f t="shared" si="17"/>
        <v>-38983</v>
      </c>
      <c r="BI21" s="5">
        <f t="shared" si="17"/>
        <v>-39777</v>
      </c>
      <c r="BJ21" s="5">
        <f t="shared" si="17"/>
        <v>-40571</v>
      </c>
      <c r="BK21" s="5">
        <f t="shared" si="17"/>
        <v>-41365</v>
      </c>
      <c r="BL21" s="5">
        <f t="shared" si="17"/>
        <v>-42159</v>
      </c>
      <c r="BM21" s="5">
        <f t="shared" si="17"/>
        <v>-42948</v>
      </c>
      <c r="BN21" s="5">
        <f t="shared" si="17"/>
        <v>-43737</v>
      </c>
      <c r="BO21" s="5">
        <f t="shared" si="17"/>
        <v>-45177</v>
      </c>
      <c r="BP21" s="5">
        <f t="shared" si="17"/>
        <v>-45177</v>
      </c>
      <c r="BQ21" s="5">
        <f t="shared" si="17"/>
        <v>-45177</v>
      </c>
      <c r="BR21" s="5">
        <f t="shared" si="17"/>
        <v>-45177</v>
      </c>
      <c r="BS21" s="5">
        <f t="shared" si="17"/>
        <v>-45177</v>
      </c>
      <c r="BT21" s="5">
        <f t="shared" si="17"/>
        <v>-45971</v>
      </c>
      <c r="BU21" s="5">
        <f t="shared" ref="BU21:CC21" si="18">(BT21+BT22-BT24+BP23)</f>
        <v>-46765</v>
      </c>
      <c r="BV21" s="5">
        <f t="shared" si="18"/>
        <v>-47559</v>
      </c>
      <c r="BW21" s="5">
        <f t="shared" si="18"/>
        <v>-48353</v>
      </c>
      <c r="BX21" s="5">
        <f t="shared" si="18"/>
        <v>-49147</v>
      </c>
      <c r="BY21" s="5">
        <f t="shared" si="18"/>
        <v>-49941</v>
      </c>
      <c r="BZ21" s="5">
        <f t="shared" si="18"/>
        <v>-50735</v>
      </c>
      <c r="CA21" s="5">
        <f t="shared" si="18"/>
        <v>-51529</v>
      </c>
      <c r="CB21" s="5">
        <f t="shared" si="18"/>
        <v>-52323</v>
      </c>
      <c r="CC21" s="5">
        <f t="shared" si="18"/>
        <v>-53117</v>
      </c>
    </row>
    <row r="22" spans="1:81" x14ac:dyDescent="0.2">
      <c r="A22" s="5" t="s">
        <v>209</v>
      </c>
      <c r="B22" s="5">
        <v>2.1603300000000001</v>
      </c>
      <c r="C22" s="45" t="s">
        <v>39</v>
      </c>
      <c r="D22" s="59">
        <f>IFERROR(VLOOKUP(A21,WIP!$A:$B,2,0),0)</f>
        <v>1800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">
      <c r="A23" s="5" t="s">
        <v>210</v>
      </c>
      <c r="B23" s="5">
        <v>9.7000000000000003E-2</v>
      </c>
      <c r="C23" s="9" t="s">
        <v>211</v>
      </c>
      <c r="D23" s="60">
        <f>IFERROR(VLOOKUP($A21,Plan!$A:B,D$4,0),0)</f>
        <v>840</v>
      </c>
      <c r="E23" s="60">
        <f>IFERROR(VLOOKUP($A21,Plan!$A:C,E$4,0),0)</f>
        <v>850</v>
      </c>
      <c r="F23" s="60">
        <f>IFERROR(VLOOKUP($A21,Plan!$A:D,F$4,0),0)</f>
        <v>900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">
      <c r="A24" s="5" t="s">
        <v>212</v>
      </c>
      <c r="B24" s="5">
        <v>4.0000000000000001E-3</v>
      </c>
      <c r="C24" s="9" t="s">
        <v>213</v>
      </c>
      <c r="D24" s="61">
        <f>IFERROR(VLOOKUP($A21,Sales!$A:B,D$2,0),0)</f>
        <v>0</v>
      </c>
      <c r="E24" s="61">
        <f>IFERROR(VLOOKUP($A21,Sales!$A:C,E$2,0),0)</f>
        <v>1200</v>
      </c>
      <c r="F24" s="61">
        <f>IFERROR(VLOOKUP($A21,Sales!$A:D,F$2,0),0)</f>
        <v>1200</v>
      </c>
      <c r="G24" s="61">
        <f>IFERROR(VLOOKUP($A21,Sales!$A:E,G$2,0),0)</f>
        <v>1000</v>
      </c>
      <c r="H24" s="61">
        <f>IFERROR(VLOOKUP($A21,Sales!$A:F,H$2,0),0)</f>
        <v>1200</v>
      </c>
      <c r="I24" s="61">
        <f>IFERROR(VLOOKUP($A21,Sales!$A:G,I$2,0),0)</f>
        <v>1200</v>
      </c>
      <c r="J24" s="61">
        <f>IFERROR(VLOOKUP($A21,Sales!$A:H,J$2,0),0)</f>
        <v>1200</v>
      </c>
      <c r="K24" s="61">
        <f>IFERROR(VLOOKUP($A21,Sales!$A:I,K$2,0),0)</f>
        <v>1400</v>
      </c>
      <c r="L24" s="61">
        <f>IFERROR(VLOOKUP($A21,Sales!$A:J,L$2,0),0)</f>
        <v>1800</v>
      </c>
      <c r="M24" s="61">
        <f>IFERROR(VLOOKUP($A21,Sales!$A:K,M$2,0),0)</f>
        <v>2200</v>
      </c>
      <c r="N24" s="61">
        <f>IFERROR(VLOOKUP($A21,Sales!$A:L,N$2,0),0)</f>
        <v>0</v>
      </c>
      <c r="O24" s="61">
        <f>IFERROR(VLOOKUP($A21,Sales!$A:M,O$2,0),0)</f>
        <v>0</v>
      </c>
      <c r="P24" s="61">
        <f>IFERROR(VLOOKUP($A21,Sales!$A:N,P$2,0),0)</f>
        <v>0</v>
      </c>
      <c r="Q24" s="61">
        <f>IFERROR(VLOOKUP($A21,Sales!$A:O,Q$2,0),0)</f>
        <v>0</v>
      </c>
      <c r="R24" s="61">
        <f>IFERROR(VLOOKUP($A21,Sales!$A:P,R$2,0),0)</f>
        <v>1200</v>
      </c>
      <c r="S24" s="61">
        <f>IFERROR(VLOOKUP($A21,Sales!$A:Q,S$2,0),0)</f>
        <v>1200</v>
      </c>
      <c r="T24" s="61">
        <f>IFERROR(VLOOKUP($A21,Sales!$A:R,T$2,0),0)</f>
        <v>1200</v>
      </c>
      <c r="U24" s="61">
        <f>IFERROR(VLOOKUP($A21,Sales!$A:S,U$2,0),0)</f>
        <v>1250</v>
      </c>
      <c r="V24" s="61">
        <f>IFERROR(VLOOKUP($A21,Sales!$A:T,V$2,0),0)</f>
        <v>1250</v>
      </c>
      <c r="W24" s="61">
        <f>IFERROR(VLOOKUP($A21,Sales!$A:U,W$2,0),0)</f>
        <v>1250</v>
      </c>
      <c r="X24" s="61">
        <f>IFERROR(VLOOKUP($A21,Sales!$A:V,X$2,0),0)</f>
        <v>1250</v>
      </c>
      <c r="Y24" s="61">
        <f>IFERROR(VLOOKUP($A21,Sales!$A:W,Y$2,0),0)</f>
        <v>800</v>
      </c>
      <c r="Z24" s="61">
        <f>IFERROR(VLOOKUP($A21,Sales!$A:X,Z$2,0),0)</f>
        <v>800</v>
      </c>
      <c r="AA24" s="61">
        <f>IFERROR(VLOOKUP($A21,Sales!$A:Y,AA$2,0),0)</f>
        <v>800</v>
      </c>
      <c r="AB24" s="61">
        <f>IFERROR(VLOOKUP($A21,Sales!$A:Z,AB$2,0),0)</f>
        <v>800</v>
      </c>
      <c r="AC24" s="61">
        <f>IFERROR(VLOOKUP($A21,Sales!$A:AA,AC$2,0),0)</f>
        <v>1200</v>
      </c>
      <c r="AD24" s="61">
        <f>IFERROR(VLOOKUP($A21,Sales!$A:AB,AD$2,0),0)</f>
        <v>1200</v>
      </c>
      <c r="AE24" s="61">
        <f>IFERROR(VLOOKUP($A21,Sales!$A:AC,AE$2,0),0)</f>
        <v>1200</v>
      </c>
      <c r="AF24" s="61">
        <f>IFERROR(VLOOKUP($A21,Sales!$A:AD,AF$2,0),0)</f>
        <v>1200</v>
      </c>
      <c r="AG24" s="61">
        <f>IFERROR(VLOOKUP($A21,Sales!$A:AE,AG$2,0),0)</f>
        <v>1200</v>
      </c>
      <c r="AH24" s="61">
        <f>IFERROR(VLOOKUP($A21,Sales!$A:AF,AH$2,0),0)</f>
        <v>1200</v>
      </c>
      <c r="AI24" s="61">
        <f>IFERROR(VLOOKUP($A21,Sales!$A:AG,AI$2,0),0)</f>
        <v>1200</v>
      </c>
      <c r="AJ24" s="61">
        <f>IFERROR(VLOOKUP($A21,Sales!$A:AH,AJ$2,0),0)</f>
        <v>0</v>
      </c>
      <c r="AK24" s="74">
        <f t="shared" ref="AK24:CC24" si="19">CEILING(AK$5*$B20,1)</f>
        <v>0</v>
      </c>
      <c r="AL24" s="74">
        <f t="shared" si="19"/>
        <v>0</v>
      </c>
      <c r="AM24" s="74">
        <f t="shared" si="19"/>
        <v>0</v>
      </c>
      <c r="AN24" s="74">
        <f t="shared" si="19"/>
        <v>864</v>
      </c>
      <c r="AO24" s="74">
        <f t="shared" si="19"/>
        <v>864</v>
      </c>
      <c r="AP24" s="74">
        <f t="shared" si="19"/>
        <v>864</v>
      </c>
      <c r="AQ24" s="74">
        <f t="shared" si="19"/>
        <v>1044</v>
      </c>
      <c r="AR24" s="74">
        <f t="shared" si="19"/>
        <v>1044</v>
      </c>
      <c r="AS24" s="74">
        <f t="shared" si="19"/>
        <v>835</v>
      </c>
      <c r="AT24" s="74">
        <f t="shared" si="19"/>
        <v>1044</v>
      </c>
      <c r="AU24" s="74">
        <f t="shared" si="19"/>
        <v>992</v>
      </c>
      <c r="AV24" s="74">
        <f t="shared" si="19"/>
        <v>992</v>
      </c>
      <c r="AW24" s="74">
        <f t="shared" si="19"/>
        <v>992</v>
      </c>
      <c r="AX24" s="74">
        <f t="shared" si="19"/>
        <v>992</v>
      </c>
      <c r="AY24" s="74">
        <f t="shared" si="19"/>
        <v>794</v>
      </c>
      <c r="AZ24" s="74">
        <f t="shared" si="19"/>
        <v>794</v>
      </c>
      <c r="BA24" s="74">
        <f t="shared" si="19"/>
        <v>794</v>
      </c>
      <c r="BB24" s="74">
        <f t="shared" si="19"/>
        <v>794</v>
      </c>
      <c r="BC24" s="74">
        <f t="shared" si="19"/>
        <v>794</v>
      </c>
      <c r="BD24" s="74">
        <f t="shared" si="19"/>
        <v>794</v>
      </c>
      <c r="BE24" s="74">
        <f t="shared" si="19"/>
        <v>794</v>
      </c>
      <c r="BF24" s="74">
        <f t="shared" si="19"/>
        <v>794</v>
      </c>
      <c r="BG24" s="74">
        <f t="shared" si="19"/>
        <v>794</v>
      </c>
      <c r="BH24" s="74">
        <f t="shared" si="19"/>
        <v>794</v>
      </c>
      <c r="BI24" s="74">
        <f t="shared" si="19"/>
        <v>794</v>
      </c>
      <c r="BJ24" s="74">
        <f t="shared" si="19"/>
        <v>794</v>
      </c>
      <c r="BK24" s="74">
        <f t="shared" si="19"/>
        <v>794</v>
      </c>
      <c r="BL24" s="74">
        <f t="shared" si="19"/>
        <v>789</v>
      </c>
      <c r="BM24" s="74">
        <f t="shared" si="19"/>
        <v>789</v>
      </c>
      <c r="BN24" s="74">
        <f t="shared" si="19"/>
        <v>1440</v>
      </c>
      <c r="BO24" s="74">
        <f t="shared" si="19"/>
        <v>0</v>
      </c>
      <c r="BP24" s="74">
        <f t="shared" si="19"/>
        <v>0</v>
      </c>
      <c r="BQ24" s="74">
        <f t="shared" si="19"/>
        <v>0</v>
      </c>
      <c r="BR24" s="74">
        <f t="shared" si="19"/>
        <v>0</v>
      </c>
      <c r="BS24" s="74">
        <f t="shared" si="19"/>
        <v>794</v>
      </c>
      <c r="BT24" s="74">
        <f t="shared" si="19"/>
        <v>794</v>
      </c>
      <c r="BU24" s="74">
        <f t="shared" si="19"/>
        <v>794</v>
      </c>
      <c r="BV24" s="74">
        <f t="shared" si="19"/>
        <v>794</v>
      </c>
      <c r="BW24" s="74">
        <f t="shared" si="19"/>
        <v>794</v>
      </c>
      <c r="BX24" s="74">
        <f t="shared" si="19"/>
        <v>794</v>
      </c>
      <c r="BY24" s="74">
        <f t="shared" si="19"/>
        <v>794</v>
      </c>
      <c r="BZ24" s="74">
        <f t="shared" si="19"/>
        <v>794</v>
      </c>
      <c r="CA24" s="74">
        <f t="shared" si="19"/>
        <v>794</v>
      </c>
      <c r="CB24" s="74">
        <f t="shared" si="19"/>
        <v>794</v>
      </c>
      <c r="CC24" s="74">
        <f t="shared" si="19"/>
        <v>794</v>
      </c>
    </row>
    <row r="25" spans="1:81" x14ac:dyDescent="0.2">
      <c r="A25" s="5" t="s">
        <v>214</v>
      </c>
      <c r="B25" s="5">
        <v>0.10100000000000001</v>
      </c>
      <c r="C25" s="46" t="s">
        <v>215</v>
      </c>
      <c r="D25" s="11">
        <f t="shared" ref="D25:AI25" si="20">IF(D24=0,0, ROUND(D21 * 1/D24* D$13,1))</f>
        <v>0</v>
      </c>
      <c r="E25" s="11">
        <f t="shared" si="20"/>
        <v>36.299999999999997</v>
      </c>
      <c r="F25" s="11">
        <f t="shared" si="20"/>
        <v>31.3</v>
      </c>
      <c r="G25" s="11">
        <f t="shared" si="20"/>
        <v>31.5</v>
      </c>
      <c r="H25" s="11">
        <f t="shared" si="20"/>
        <v>22.1</v>
      </c>
      <c r="I25" s="11">
        <f t="shared" si="20"/>
        <v>20.6</v>
      </c>
      <c r="J25" s="11">
        <f t="shared" si="20"/>
        <v>19.100000000000001</v>
      </c>
      <c r="K25" s="11">
        <f t="shared" si="20"/>
        <v>15.3</v>
      </c>
      <c r="L25" s="11">
        <f t="shared" si="20"/>
        <v>8</v>
      </c>
      <c r="M25" s="11">
        <f t="shared" si="20"/>
        <v>2.5</v>
      </c>
      <c r="N25" s="11">
        <f t="shared" si="20"/>
        <v>0</v>
      </c>
      <c r="O25" s="11">
        <f t="shared" si="20"/>
        <v>0</v>
      </c>
      <c r="P25" s="11">
        <f t="shared" si="20"/>
        <v>0</v>
      </c>
      <c r="Q25" s="11">
        <f t="shared" si="20"/>
        <v>0</v>
      </c>
      <c r="R25" s="11">
        <f t="shared" si="20"/>
        <v>-4.5999999999999996</v>
      </c>
      <c r="S25" s="11">
        <f t="shared" si="20"/>
        <v>-9.6</v>
      </c>
      <c r="T25" s="11">
        <f t="shared" si="20"/>
        <v>-14.6</v>
      </c>
      <c r="U25" s="11">
        <f t="shared" si="20"/>
        <v>-18.8</v>
      </c>
      <c r="V25" s="11">
        <f t="shared" si="20"/>
        <v>-23.8</v>
      </c>
      <c r="W25" s="11">
        <f t="shared" si="20"/>
        <v>-28.8</v>
      </c>
      <c r="X25" s="11">
        <f t="shared" si="20"/>
        <v>-33.799999999999997</v>
      </c>
      <c r="Y25" s="11">
        <f t="shared" si="20"/>
        <v>-60.7</v>
      </c>
      <c r="Z25" s="11">
        <f t="shared" si="20"/>
        <v>-65.7</v>
      </c>
      <c r="AA25" s="11">
        <f t="shared" si="20"/>
        <v>-70.7</v>
      </c>
      <c r="AB25" s="11">
        <f t="shared" si="20"/>
        <v>-75.7</v>
      </c>
      <c r="AC25" s="11">
        <f t="shared" si="20"/>
        <v>-53.8</v>
      </c>
      <c r="AD25" s="11">
        <f t="shared" si="20"/>
        <v>-58.8</v>
      </c>
      <c r="AE25" s="11">
        <f t="shared" si="20"/>
        <v>-63.8</v>
      </c>
      <c r="AF25" s="11">
        <f t="shared" si="20"/>
        <v>-68.8</v>
      </c>
      <c r="AG25" s="11">
        <f t="shared" si="20"/>
        <v>-73.8</v>
      </c>
      <c r="AH25" s="11">
        <f t="shared" si="20"/>
        <v>-78.8</v>
      </c>
      <c r="AI25" s="11">
        <f t="shared" si="20"/>
        <v>-83.8</v>
      </c>
      <c r="AJ25" s="11">
        <f t="shared" ref="AJ25:BO25" si="21">IF(AJ24=0,0, ROUND(AJ21 * 1/AJ24* AJ$13,1))</f>
        <v>0</v>
      </c>
      <c r="AK25" s="11">
        <f t="shared" si="21"/>
        <v>0</v>
      </c>
      <c r="AL25" s="11">
        <f t="shared" si="21"/>
        <v>0</v>
      </c>
      <c r="AM25" s="11">
        <f t="shared" si="21"/>
        <v>0</v>
      </c>
      <c r="AN25" s="11">
        <f t="shared" si="21"/>
        <v>-123.3</v>
      </c>
      <c r="AO25" s="11">
        <f t="shared" si="21"/>
        <v>-128.30000000000001</v>
      </c>
      <c r="AP25" s="11">
        <f t="shared" si="21"/>
        <v>-133.30000000000001</v>
      </c>
      <c r="AQ25" s="11">
        <f t="shared" si="21"/>
        <v>-114.5</v>
      </c>
      <c r="AR25" s="11">
        <f t="shared" si="21"/>
        <v>-119.5</v>
      </c>
      <c r="AS25" s="11">
        <f t="shared" si="21"/>
        <v>-155.6</v>
      </c>
      <c r="AT25" s="11">
        <f t="shared" si="21"/>
        <v>-128.5</v>
      </c>
      <c r="AU25" s="11">
        <f t="shared" si="21"/>
        <v>-140.5</v>
      </c>
      <c r="AV25" s="11">
        <f t="shared" si="21"/>
        <v>-145.5</v>
      </c>
      <c r="AW25" s="11">
        <f t="shared" si="21"/>
        <v>-150.5</v>
      </c>
      <c r="AX25" s="11">
        <f t="shared" si="21"/>
        <v>-155.5</v>
      </c>
      <c r="AY25" s="11">
        <f t="shared" si="21"/>
        <v>-200.5</v>
      </c>
      <c r="AZ25" s="11">
        <f t="shared" si="21"/>
        <v>-205.5</v>
      </c>
      <c r="BA25" s="11">
        <f t="shared" si="21"/>
        <v>-210.5</v>
      </c>
      <c r="BB25" s="11">
        <f t="shared" si="21"/>
        <v>-215.5</v>
      </c>
      <c r="BC25" s="11">
        <f t="shared" si="21"/>
        <v>-220.5</v>
      </c>
      <c r="BD25" s="11">
        <f t="shared" si="21"/>
        <v>-225.5</v>
      </c>
      <c r="BE25" s="11">
        <f t="shared" si="21"/>
        <v>-230.5</v>
      </c>
      <c r="BF25" s="11">
        <f t="shared" si="21"/>
        <v>-235.5</v>
      </c>
      <c r="BG25" s="11">
        <f t="shared" si="21"/>
        <v>-240.5</v>
      </c>
      <c r="BH25" s="11">
        <f t="shared" si="21"/>
        <v>-245.5</v>
      </c>
      <c r="BI25" s="11">
        <f t="shared" si="21"/>
        <v>-250.5</v>
      </c>
      <c r="BJ25" s="11">
        <f t="shared" si="21"/>
        <v>-255.5</v>
      </c>
      <c r="BK25" s="11">
        <f t="shared" si="21"/>
        <v>-260.5</v>
      </c>
      <c r="BL25" s="11">
        <f t="shared" si="21"/>
        <v>-267.2</v>
      </c>
      <c r="BM25" s="11">
        <f t="shared" si="21"/>
        <v>-272.2</v>
      </c>
      <c r="BN25" s="11">
        <f t="shared" si="21"/>
        <v>-151.9</v>
      </c>
      <c r="BO25" s="11">
        <f t="shared" si="21"/>
        <v>0</v>
      </c>
      <c r="BP25" s="11">
        <f t="shared" ref="BP25:CC25" si="22">IF(BP24=0,0, ROUND(BP21 * 1/BP24* BP$13,1))</f>
        <v>0</v>
      </c>
      <c r="BQ25" s="11">
        <f t="shared" si="22"/>
        <v>0</v>
      </c>
      <c r="BR25" s="11">
        <f t="shared" si="22"/>
        <v>0</v>
      </c>
      <c r="BS25" s="11">
        <f t="shared" si="22"/>
        <v>-284.5</v>
      </c>
      <c r="BT25" s="11">
        <f t="shared" si="22"/>
        <v>-289.5</v>
      </c>
      <c r="BU25" s="11">
        <f t="shared" si="22"/>
        <v>-294.5</v>
      </c>
      <c r="BV25" s="11">
        <f t="shared" si="22"/>
        <v>-299.5</v>
      </c>
      <c r="BW25" s="11">
        <f t="shared" si="22"/>
        <v>-304.5</v>
      </c>
      <c r="BX25" s="11">
        <f t="shared" si="22"/>
        <v>-309.5</v>
      </c>
      <c r="BY25" s="11">
        <f t="shared" si="22"/>
        <v>-314.5</v>
      </c>
      <c r="BZ25" s="11">
        <f t="shared" si="22"/>
        <v>-319.5</v>
      </c>
      <c r="CA25" s="11">
        <f t="shared" si="22"/>
        <v>-324.5</v>
      </c>
      <c r="CB25" s="11">
        <f t="shared" si="22"/>
        <v>-329.5</v>
      </c>
      <c r="CC25" s="11">
        <f t="shared" si="22"/>
        <v>-334.5</v>
      </c>
    </row>
    <row r="26" spans="1:81" x14ac:dyDescent="0.2">
      <c r="A26">
        <v>9</v>
      </c>
      <c r="B26">
        <v>50</v>
      </c>
      <c r="C26" s="8">
        <v>1.5259100000000001</v>
      </c>
      <c r="D26">
        <f t="shared" ref="D26:AI26" si="23">D23/$B26</f>
        <v>16.8</v>
      </c>
      <c r="E26">
        <f t="shared" si="23"/>
        <v>17</v>
      </c>
      <c r="F26">
        <f t="shared" si="23"/>
        <v>18</v>
      </c>
      <c r="G26">
        <f t="shared" si="23"/>
        <v>0</v>
      </c>
      <c r="H26">
        <f t="shared" si="23"/>
        <v>0</v>
      </c>
      <c r="I26">
        <f t="shared" si="23"/>
        <v>0</v>
      </c>
      <c r="J26">
        <f t="shared" si="23"/>
        <v>0</v>
      </c>
      <c r="K26">
        <f t="shared" si="23"/>
        <v>0</v>
      </c>
      <c r="L26">
        <f t="shared" si="23"/>
        <v>0</v>
      </c>
      <c r="M26">
        <f t="shared" si="23"/>
        <v>0</v>
      </c>
      <c r="N26">
        <f t="shared" si="23"/>
        <v>0</v>
      </c>
      <c r="O26">
        <f t="shared" si="23"/>
        <v>0</v>
      </c>
      <c r="P26">
        <f t="shared" si="23"/>
        <v>0</v>
      </c>
      <c r="Q26">
        <f t="shared" si="23"/>
        <v>0</v>
      </c>
      <c r="R26">
        <f t="shared" si="23"/>
        <v>0</v>
      </c>
      <c r="S26">
        <f t="shared" si="23"/>
        <v>0</v>
      </c>
      <c r="T26">
        <f t="shared" si="23"/>
        <v>0</v>
      </c>
      <c r="U26">
        <f t="shared" si="23"/>
        <v>0</v>
      </c>
      <c r="V26">
        <f t="shared" si="23"/>
        <v>0</v>
      </c>
      <c r="W26">
        <f t="shared" si="23"/>
        <v>0</v>
      </c>
      <c r="X26">
        <f t="shared" si="23"/>
        <v>0</v>
      </c>
      <c r="Y26">
        <f t="shared" si="23"/>
        <v>0</v>
      </c>
      <c r="Z26">
        <f t="shared" si="23"/>
        <v>0</v>
      </c>
      <c r="AA26">
        <f t="shared" si="23"/>
        <v>0</v>
      </c>
      <c r="AB26">
        <f t="shared" si="23"/>
        <v>0</v>
      </c>
      <c r="AC26">
        <f t="shared" si="23"/>
        <v>0</v>
      </c>
      <c r="AD26">
        <f t="shared" si="23"/>
        <v>0</v>
      </c>
      <c r="AE26">
        <f t="shared" si="23"/>
        <v>0</v>
      </c>
      <c r="AF26">
        <f t="shared" si="23"/>
        <v>0</v>
      </c>
      <c r="AG26">
        <f t="shared" si="23"/>
        <v>0</v>
      </c>
      <c r="AH26">
        <f t="shared" si="23"/>
        <v>0</v>
      </c>
      <c r="AI26">
        <f t="shared" si="23"/>
        <v>0</v>
      </c>
      <c r="AJ26">
        <f t="shared" ref="AJ26:BO26" si="24">AJ23/$B26</f>
        <v>0</v>
      </c>
      <c r="AK26">
        <f t="shared" si="24"/>
        <v>0</v>
      </c>
      <c r="AL26">
        <f t="shared" si="24"/>
        <v>0</v>
      </c>
      <c r="AM26">
        <f t="shared" si="24"/>
        <v>0</v>
      </c>
      <c r="AN26">
        <f t="shared" si="24"/>
        <v>0</v>
      </c>
      <c r="AO26">
        <f t="shared" si="24"/>
        <v>0</v>
      </c>
      <c r="AP26">
        <f t="shared" si="24"/>
        <v>0</v>
      </c>
      <c r="AQ26">
        <f t="shared" si="24"/>
        <v>0</v>
      </c>
      <c r="AR26">
        <f t="shared" si="24"/>
        <v>0</v>
      </c>
      <c r="AS26">
        <f t="shared" si="24"/>
        <v>0</v>
      </c>
      <c r="AT26">
        <f t="shared" si="24"/>
        <v>0</v>
      </c>
      <c r="AU26">
        <f t="shared" si="24"/>
        <v>0</v>
      </c>
      <c r="AV26">
        <f t="shared" si="24"/>
        <v>0</v>
      </c>
      <c r="AW26">
        <f t="shared" si="24"/>
        <v>0</v>
      </c>
      <c r="AX26">
        <f t="shared" si="24"/>
        <v>0</v>
      </c>
      <c r="AY26">
        <f t="shared" si="24"/>
        <v>0</v>
      </c>
      <c r="AZ26">
        <f t="shared" si="24"/>
        <v>0</v>
      </c>
      <c r="BA26">
        <f t="shared" si="24"/>
        <v>0</v>
      </c>
      <c r="BB26">
        <f t="shared" si="24"/>
        <v>0</v>
      </c>
      <c r="BC26">
        <f t="shared" si="24"/>
        <v>0</v>
      </c>
      <c r="BD26">
        <f t="shared" si="24"/>
        <v>0</v>
      </c>
      <c r="BE26">
        <f t="shared" si="24"/>
        <v>0</v>
      </c>
      <c r="BF26">
        <f t="shared" si="24"/>
        <v>0</v>
      </c>
      <c r="BG26">
        <f t="shared" si="24"/>
        <v>0</v>
      </c>
      <c r="BH26">
        <f t="shared" si="24"/>
        <v>0</v>
      </c>
      <c r="BI26">
        <f t="shared" si="24"/>
        <v>0</v>
      </c>
      <c r="BJ26">
        <f t="shared" si="24"/>
        <v>0</v>
      </c>
      <c r="BK26">
        <f t="shared" si="24"/>
        <v>0</v>
      </c>
      <c r="BL26">
        <f t="shared" si="24"/>
        <v>0</v>
      </c>
      <c r="BM26">
        <f t="shared" si="24"/>
        <v>0</v>
      </c>
      <c r="BN26">
        <f t="shared" si="24"/>
        <v>0</v>
      </c>
      <c r="BO26">
        <f t="shared" si="24"/>
        <v>0</v>
      </c>
      <c r="BP26">
        <f t="shared" ref="BP26:CC26" si="25">BP23/$B26</f>
        <v>0</v>
      </c>
      <c r="BQ26">
        <f t="shared" si="25"/>
        <v>0</v>
      </c>
      <c r="BR26">
        <f t="shared" si="25"/>
        <v>0</v>
      </c>
      <c r="BS26">
        <f t="shared" si="25"/>
        <v>0</v>
      </c>
      <c r="BT26">
        <f t="shared" si="25"/>
        <v>0</v>
      </c>
      <c r="BU26">
        <f t="shared" si="25"/>
        <v>0</v>
      </c>
      <c r="BV26">
        <f t="shared" si="25"/>
        <v>0</v>
      </c>
      <c r="BW26">
        <f t="shared" si="25"/>
        <v>0</v>
      </c>
      <c r="BX26">
        <f t="shared" si="25"/>
        <v>0</v>
      </c>
      <c r="BY26">
        <f t="shared" si="25"/>
        <v>0</v>
      </c>
      <c r="BZ26">
        <f t="shared" si="25"/>
        <v>0</v>
      </c>
      <c r="CA26">
        <f t="shared" si="25"/>
        <v>0</v>
      </c>
      <c r="CB26">
        <f t="shared" si="25"/>
        <v>0</v>
      </c>
      <c r="CC26">
        <f t="shared" si="25"/>
        <v>0</v>
      </c>
    </row>
    <row r="27" spans="1:81" x14ac:dyDescent="0.2">
      <c r="B27" s="67">
        <f>SUM(D31:AJ31)/SUM($D$67:$AJ$67)</f>
        <v>0.16364952932657495</v>
      </c>
      <c r="C27" s="9" t="s">
        <v>216</v>
      </c>
      <c r="D27">
        <f t="shared" ref="D27:AI27" si="26">D21-D24</f>
        <v>6900</v>
      </c>
      <c r="E27">
        <f t="shared" si="26"/>
        <v>7500</v>
      </c>
      <c r="F27">
        <f t="shared" si="26"/>
        <v>6300</v>
      </c>
      <c r="G27">
        <f t="shared" si="26"/>
        <v>5300</v>
      </c>
      <c r="H27">
        <f t="shared" si="26"/>
        <v>4100</v>
      </c>
      <c r="I27">
        <f t="shared" si="26"/>
        <v>3740</v>
      </c>
      <c r="J27">
        <f t="shared" si="26"/>
        <v>3390</v>
      </c>
      <c r="K27">
        <f t="shared" si="26"/>
        <v>2890</v>
      </c>
      <c r="L27">
        <f t="shared" si="26"/>
        <v>1090</v>
      </c>
      <c r="M27">
        <f t="shared" si="26"/>
        <v>-1110</v>
      </c>
      <c r="N27">
        <f t="shared" si="26"/>
        <v>-1110</v>
      </c>
      <c r="O27">
        <f t="shared" si="26"/>
        <v>-1110</v>
      </c>
      <c r="P27">
        <f t="shared" si="26"/>
        <v>-1110</v>
      </c>
      <c r="Q27">
        <f t="shared" si="26"/>
        <v>-1110</v>
      </c>
      <c r="R27">
        <f t="shared" si="26"/>
        <v>-2310</v>
      </c>
      <c r="S27">
        <f t="shared" si="26"/>
        <v>-3510</v>
      </c>
      <c r="T27">
        <f t="shared" si="26"/>
        <v>-4710</v>
      </c>
      <c r="U27">
        <f t="shared" si="26"/>
        <v>-5960</v>
      </c>
      <c r="V27">
        <f t="shared" si="26"/>
        <v>-7210</v>
      </c>
      <c r="W27">
        <f t="shared" si="26"/>
        <v>-8460</v>
      </c>
      <c r="X27">
        <f t="shared" si="26"/>
        <v>-9710</v>
      </c>
      <c r="Y27">
        <f t="shared" si="26"/>
        <v>-10510</v>
      </c>
      <c r="Z27">
        <f t="shared" si="26"/>
        <v>-11310</v>
      </c>
      <c r="AA27">
        <f t="shared" si="26"/>
        <v>-12110</v>
      </c>
      <c r="AB27">
        <f t="shared" si="26"/>
        <v>-12910</v>
      </c>
      <c r="AC27">
        <f t="shared" si="26"/>
        <v>-14110</v>
      </c>
      <c r="AD27">
        <f t="shared" si="26"/>
        <v>-15310</v>
      </c>
      <c r="AE27">
        <f t="shared" si="26"/>
        <v>-16510</v>
      </c>
      <c r="AF27">
        <f t="shared" si="26"/>
        <v>-17710</v>
      </c>
      <c r="AG27">
        <f t="shared" si="26"/>
        <v>-18910</v>
      </c>
      <c r="AH27">
        <f t="shared" si="26"/>
        <v>-20110</v>
      </c>
      <c r="AI27">
        <f t="shared" si="26"/>
        <v>-21310</v>
      </c>
      <c r="AJ27">
        <f t="shared" ref="AJ27:BO27" si="27">AJ21-AJ24</f>
        <v>-21310</v>
      </c>
      <c r="AK27">
        <f t="shared" si="27"/>
        <v>-21310</v>
      </c>
      <c r="AL27">
        <f t="shared" si="27"/>
        <v>-21310</v>
      </c>
      <c r="AM27">
        <f t="shared" si="27"/>
        <v>-21310</v>
      </c>
      <c r="AN27">
        <f t="shared" si="27"/>
        <v>-22174</v>
      </c>
      <c r="AO27">
        <f t="shared" si="27"/>
        <v>-23038</v>
      </c>
      <c r="AP27">
        <f t="shared" si="27"/>
        <v>-23902</v>
      </c>
      <c r="AQ27">
        <f t="shared" si="27"/>
        <v>-24946</v>
      </c>
      <c r="AR27">
        <f t="shared" si="27"/>
        <v>-25990</v>
      </c>
      <c r="AS27">
        <f t="shared" si="27"/>
        <v>-26825</v>
      </c>
      <c r="AT27">
        <f t="shared" si="27"/>
        <v>-27869</v>
      </c>
      <c r="AU27">
        <f t="shared" si="27"/>
        <v>-28861</v>
      </c>
      <c r="AV27">
        <f t="shared" si="27"/>
        <v>-29853</v>
      </c>
      <c r="AW27">
        <f t="shared" si="27"/>
        <v>-30845</v>
      </c>
      <c r="AX27">
        <f t="shared" si="27"/>
        <v>-31837</v>
      </c>
      <c r="AY27">
        <f t="shared" si="27"/>
        <v>-32631</v>
      </c>
      <c r="AZ27">
        <f t="shared" si="27"/>
        <v>-33425</v>
      </c>
      <c r="BA27">
        <f t="shared" si="27"/>
        <v>-34219</v>
      </c>
      <c r="BB27">
        <f t="shared" si="27"/>
        <v>-35013</v>
      </c>
      <c r="BC27">
        <f t="shared" si="27"/>
        <v>-35807</v>
      </c>
      <c r="BD27">
        <f t="shared" si="27"/>
        <v>-36601</v>
      </c>
      <c r="BE27">
        <f t="shared" si="27"/>
        <v>-37395</v>
      </c>
      <c r="BF27">
        <f t="shared" si="27"/>
        <v>-38189</v>
      </c>
      <c r="BG27">
        <f t="shared" si="27"/>
        <v>-38983</v>
      </c>
      <c r="BH27">
        <f t="shared" si="27"/>
        <v>-39777</v>
      </c>
      <c r="BI27">
        <f t="shared" si="27"/>
        <v>-40571</v>
      </c>
      <c r="BJ27">
        <f t="shared" si="27"/>
        <v>-41365</v>
      </c>
      <c r="BK27">
        <f t="shared" si="27"/>
        <v>-42159</v>
      </c>
      <c r="BL27">
        <f t="shared" si="27"/>
        <v>-42948</v>
      </c>
      <c r="BM27">
        <f t="shared" si="27"/>
        <v>-43737</v>
      </c>
      <c r="BN27">
        <f t="shared" si="27"/>
        <v>-45177</v>
      </c>
      <c r="BO27">
        <f t="shared" si="27"/>
        <v>-45177</v>
      </c>
      <c r="BP27">
        <f t="shared" ref="BP27:CC27" si="28">BP21-BP24</f>
        <v>-45177</v>
      </c>
      <c r="BQ27">
        <f t="shared" si="28"/>
        <v>-45177</v>
      </c>
      <c r="BR27">
        <f t="shared" si="28"/>
        <v>-45177</v>
      </c>
      <c r="BS27">
        <f t="shared" si="28"/>
        <v>-45971</v>
      </c>
      <c r="BT27">
        <f t="shared" si="28"/>
        <v>-46765</v>
      </c>
      <c r="BU27">
        <f t="shared" si="28"/>
        <v>-47559</v>
      </c>
      <c r="BV27">
        <f t="shared" si="28"/>
        <v>-48353</v>
      </c>
      <c r="BW27">
        <f t="shared" si="28"/>
        <v>-49147</v>
      </c>
      <c r="BX27">
        <f t="shared" si="28"/>
        <v>-49941</v>
      </c>
      <c r="BY27">
        <f t="shared" si="28"/>
        <v>-50735</v>
      </c>
      <c r="BZ27">
        <f t="shared" si="28"/>
        <v>-51529</v>
      </c>
      <c r="CA27">
        <f t="shared" si="28"/>
        <v>-52323</v>
      </c>
      <c r="CB27">
        <f t="shared" si="28"/>
        <v>-53117</v>
      </c>
      <c r="CC27">
        <f t="shared" si="28"/>
        <v>-53911</v>
      </c>
    </row>
    <row r="28" spans="1:81" x14ac:dyDescent="0.2">
      <c r="A28" s="43" t="s">
        <v>332</v>
      </c>
      <c r="B28" s="44" t="s">
        <v>208</v>
      </c>
      <c r="C28" s="9" t="s">
        <v>38</v>
      </c>
      <c r="D28" s="58">
        <f>IFERROR(VLOOKUP(A28,OS!$A:$B,2,0),0)</f>
        <v>6960</v>
      </c>
      <c r="E28" s="5">
        <f>(D28+D29-D31)</f>
        <v>7080</v>
      </c>
      <c r="F28" s="5">
        <f>(E28+E29-E31)</f>
        <v>5880</v>
      </c>
      <c r="G28" s="5">
        <f>(F28+F29-F31)</f>
        <v>4680</v>
      </c>
      <c r="H28" s="5">
        <f>(G28+G29-G31)</f>
        <v>3480</v>
      </c>
      <c r="I28" s="5">
        <f t="shared" ref="I28:AN28" si="29">(H28+H29-H31+D30)</f>
        <v>2940</v>
      </c>
      <c r="J28" s="5">
        <f t="shared" si="29"/>
        <v>3180</v>
      </c>
      <c r="K28" s="5">
        <f t="shared" si="29"/>
        <v>2760</v>
      </c>
      <c r="L28" s="5">
        <f t="shared" si="29"/>
        <v>2040</v>
      </c>
      <c r="M28" s="5">
        <f t="shared" si="29"/>
        <v>840</v>
      </c>
      <c r="N28" s="5">
        <f t="shared" si="29"/>
        <v>-1080</v>
      </c>
      <c r="O28" s="5">
        <f t="shared" si="29"/>
        <v>-1080</v>
      </c>
      <c r="P28" s="5">
        <f t="shared" si="29"/>
        <v>-1080</v>
      </c>
      <c r="Q28" s="5">
        <f t="shared" si="29"/>
        <v>-1080</v>
      </c>
      <c r="R28" s="5">
        <f t="shared" si="29"/>
        <v>-1080</v>
      </c>
      <c r="S28" s="5">
        <f t="shared" si="29"/>
        <v>-1800</v>
      </c>
      <c r="T28" s="5">
        <f t="shared" si="29"/>
        <v>-2760</v>
      </c>
      <c r="U28" s="5">
        <f t="shared" si="29"/>
        <v>-3720</v>
      </c>
      <c r="V28" s="5">
        <f t="shared" si="29"/>
        <v>-4620</v>
      </c>
      <c r="W28" s="5">
        <f t="shared" si="29"/>
        <v>-5520</v>
      </c>
      <c r="X28" s="5">
        <f t="shared" si="29"/>
        <v>-6420</v>
      </c>
      <c r="Y28" s="5">
        <f t="shared" si="29"/>
        <v>-7320</v>
      </c>
      <c r="Z28" s="5">
        <f t="shared" si="29"/>
        <v>-8040</v>
      </c>
      <c r="AA28" s="5">
        <f t="shared" si="29"/>
        <v>-8760</v>
      </c>
      <c r="AB28" s="5">
        <f t="shared" si="29"/>
        <v>-9480</v>
      </c>
      <c r="AC28" s="5">
        <f t="shared" si="29"/>
        <v>-10200</v>
      </c>
      <c r="AD28" s="5">
        <f t="shared" si="29"/>
        <v>-11310</v>
      </c>
      <c r="AE28" s="5">
        <f t="shared" si="29"/>
        <v>-12420</v>
      </c>
      <c r="AF28" s="5">
        <f t="shared" si="29"/>
        <v>-13530</v>
      </c>
      <c r="AG28" s="5">
        <f t="shared" si="29"/>
        <v>-14640</v>
      </c>
      <c r="AH28" s="5">
        <f t="shared" si="29"/>
        <v>-15720</v>
      </c>
      <c r="AI28" s="5">
        <f t="shared" si="29"/>
        <v>-16560</v>
      </c>
      <c r="AJ28" s="5">
        <f t="shared" si="29"/>
        <v>-17400</v>
      </c>
      <c r="AK28" s="5">
        <f t="shared" si="29"/>
        <v>-17400</v>
      </c>
      <c r="AL28" s="5">
        <f t="shared" si="29"/>
        <v>-17400</v>
      </c>
      <c r="AM28" s="5">
        <f t="shared" si="29"/>
        <v>-17400</v>
      </c>
      <c r="AN28" s="5">
        <f t="shared" si="29"/>
        <v>-17400</v>
      </c>
      <c r="AO28" s="5">
        <f t="shared" ref="AO28:BT28" si="30">(AN28+AN29-AN31+AJ30)</f>
        <v>-18119</v>
      </c>
      <c r="AP28" s="5">
        <f t="shared" si="30"/>
        <v>-18838</v>
      </c>
      <c r="AQ28" s="5">
        <f t="shared" si="30"/>
        <v>-19557</v>
      </c>
      <c r="AR28" s="5">
        <f t="shared" si="30"/>
        <v>-20426</v>
      </c>
      <c r="AS28" s="5">
        <f t="shared" si="30"/>
        <v>-21295</v>
      </c>
      <c r="AT28" s="5">
        <f t="shared" si="30"/>
        <v>-21990</v>
      </c>
      <c r="AU28" s="5">
        <f t="shared" si="30"/>
        <v>-22859</v>
      </c>
      <c r="AV28" s="5">
        <f t="shared" si="30"/>
        <v>-23684</v>
      </c>
      <c r="AW28" s="5">
        <f t="shared" si="30"/>
        <v>-24509</v>
      </c>
      <c r="AX28" s="5">
        <f t="shared" si="30"/>
        <v>-25334</v>
      </c>
      <c r="AY28" s="5">
        <f t="shared" si="30"/>
        <v>-26159</v>
      </c>
      <c r="AZ28" s="5">
        <f t="shared" si="30"/>
        <v>-26819</v>
      </c>
      <c r="BA28" s="5">
        <f t="shared" si="30"/>
        <v>-27479</v>
      </c>
      <c r="BB28" s="5">
        <f t="shared" si="30"/>
        <v>-28139</v>
      </c>
      <c r="BC28" s="5">
        <f t="shared" si="30"/>
        <v>-28799</v>
      </c>
      <c r="BD28" s="5">
        <f t="shared" si="30"/>
        <v>-29459</v>
      </c>
      <c r="BE28" s="5">
        <f t="shared" si="30"/>
        <v>-30119</v>
      </c>
      <c r="BF28" s="5">
        <f t="shared" si="30"/>
        <v>-30779</v>
      </c>
      <c r="BG28" s="5">
        <f t="shared" si="30"/>
        <v>-31439</v>
      </c>
      <c r="BH28" s="5">
        <f t="shared" si="30"/>
        <v>-32099</v>
      </c>
      <c r="BI28" s="5">
        <f t="shared" si="30"/>
        <v>-32759</v>
      </c>
      <c r="BJ28" s="5">
        <f t="shared" si="30"/>
        <v>-33419</v>
      </c>
      <c r="BK28" s="5">
        <f t="shared" si="30"/>
        <v>-34079</v>
      </c>
      <c r="BL28" s="5">
        <f t="shared" si="30"/>
        <v>-34739</v>
      </c>
      <c r="BM28" s="5">
        <f t="shared" si="30"/>
        <v>-35396</v>
      </c>
      <c r="BN28" s="5">
        <f t="shared" si="30"/>
        <v>-36053</v>
      </c>
      <c r="BO28" s="5">
        <f t="shared" si="30"/>
        <v>-37251</v>
      </c>
      <c r="BP28" s="5">
        <f t="shared" si="30"/>
        <v>-37251</v>
      </c>
      <c r="BQ28" s="5">
        <f t="shared" si="30"/>
        <v>-37251</v>
      </c>
      <c r="BR28" s="5">
        <f t="shared" si="30"/>
        <v>-37251</v>
      </c>
      <c r="BS28" s="5">
        <f t="shared" si="30"/>
        <v>-37251</v>
      </c>
      <c r="BT28" s="5">
        <f t="shared" si="30"/>
        <v>-37911</v>
      </c>
      <c r="BU28" s="5">
        <f t="shared" ref="BU28:CC28" si="31">(BT28+BT29-BT31+BP30)</f>
        <v>-38571</v>
      </c>
      <c r="BV28" s="5">
        <f t="shared" si="31"/>
        <v>-39231</v>
      </c>
      <c r="BW28" s="5">
        <f t="shared" si="31"/>
        <v>-39891</v>
      </c>
      <c r="BX28" s="5">
        <f t="shared" si="31"/>
        <v>-40551</v>
      </c>
      <c r="BY28" s="5">
        <f t="shared" si="31"/>
        <v>-41211</v>
      </c>
      <c r="BZ28" s="5">
        <f t="shared" si="31"/>
        <v>-41871</v>
      </c>
      <c r="CA28" s="5">
        <f t="shared" si="31"/>
        <v>-42531</v>
      </c>
      <c r="CB28" s="5">
        <f t="shared" si="31"/>
        <v>-43191</v>
      </c>
      <c r="CC28" s="5">
        <f t="shared" si="31"/>
        <v>-43851</v>
      </c>
    </row>
    <row r="29" spans="1:81" x14ac:dyDescent="0.2">
      <c r="A29" s="5" t="s">
        <v>209</v>
      </c>
      <c r="B29" s="5">
        <v>1.39656</v>
      </c>
      <c r="C29" s="45" t="s">
        <v>39</v>
      </c>
      <c r="D29" s="59">
        <f>IFERROR(VLOOKUP(A28,WIP!$A:$B,2,0),0)</f>
        <v>360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">
      <c r="A30" s="5" t="s">
        <v>210</v>
      </c>
      <c r="B30" s="5">
        <v>7.2999999999999995E-2</v>
      </c>
      <c r="C30" s="9" t="s">
        <v>211</v>
      </c>
      <c r="D30" s="60">
        <f>IFERROR(VLOOKUP($A28,Plan!$A:B,D$4,0),0)</f>
        <v>660</v>
      </c>
      <c r="E30" s="60">
        <f>IFERROR(VLOOKUP($A28,Plan!$A:C,E$4,0),0)</f>
        <v>1200</v>
      </c>
      <c r="F30" s="60">
        <f>IFERROR(VLOOKUP($A28,Plan!$A:D,F$4,0),0)</f>
        <v>540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">
      <c r="A31" s="5" t="s">
        <v>212</v>
      </c>
      <c r="B31" s="5">
        <v>2E-3</v>
      </c>
      <c r="C31" s="9" t="s">
        <v>213</v>
      </c>
      <c r="D31" s="61">
        <f>IFERROR(VLOOKUP($A28,Sales!$A:B,D$2,0),0)</f>
        <v>240</v>
      </c>
      <c r="E31" s="61">
        <f>IFERROR(VLOOKUP($A28,Sales!$A:C,E$2,0),0)</f>
        <v>1200</v>
      </c>
      <c r="F31" s="61">
        <f>IFERROR(VLOOKUP($A28,Sales!$A:D,F$2,0),0)</f>
        <v>1200</v>
      </c>
      <c r="G31" s="61">
        <f>IFERROR(VLOOKUP($A28,Sales!$A:E,G$2,0),0)</f>
        <v>1200</v>
      </c>
      <c r="H31" s="61">
        <f>IFERROR(VLOOKUP($A28,Sales!$A:F,H$2,0),0)</f>
        <v>1200</v>
      </c>
      <c r="I31" s="61">
        <f>IFERROR(VLOOKUP($A28,Sales!$A:G,I$2,0),0)</f>
        <v>960</v>
      </c>
      <c r="J31" s="61">
        <f>IFERROR(VLOOKUP($A28,Sales!$A:H,J$2,0),0)</f>
        <v>960</v>
      </c>
      <c r="K31" s="61">
        <f>IFERROR(VLOOKUP($A28,Sales!$A:I,K$2,0),0)</f>
        <v>720</v>
      </c>
      <c r="L31" s="61">
        <f>IFERROR(VLOOKUP($A28,Sales!$A:J,L$2,0),0)</f>
        <v>1200</v>
      </c>
      <c r="M31" s="61">
        <f>IFERROR(VLOOKUP($A28,Sales!$A:K,M$2,0),0)</f>
        <v>1920</v>
      </c>
      <c r="N31" s="61">
        <f>IFERROR(VLOOKUP($A28,Sales!$A:L,N$2,0),0)</f>
        <v>0</v>
      </c>
      <c r="O31" s="61">
        <f>IFERROR(VLOOKUP($A28,Sales!$A:M,O$2,0),0)</f>
        <v>0</v>
      </c>
      <c r="P31" s="61">
        <f>IFERROR(VLOOKUP($A28,Sales!$A:N,P$2,0),0)</f>
        <v>0</v>
      </c>
      <c r="Q31" s="61">
        <f>IFERROR(VLOOKUP($A28,Sales!$A:O,Q$2,0),0)</f>
        <v>0</v>
      </c>
      <c r="R31" s="61">
        <f>IFERROR(VLOOKUP($A28,Sales!$A:P,R$2,0),0)</f>
        <v>720</v>
      </c>
      <c r="S31" s="61">
        <f>IFERROR(VLOOKUP($A28,Sales!$A:Q,S$2,0),0)</f>
        <v>960</v>
      </c>
      <c r="T31" s="61">
        <f>IFERROR(VLOOKUP($A28,Sales!$A:R,T$2,0),0)</f>
        <v>960</v>
      </c>
      <c r="U31" s="61">
        <f>IFERROR(VLOOKUP($A28,Sales!$A:S,U$2,0),0)</f>
        <v>900</v>
      </c>
      <c r="V31" s="61">
        <f>IFERROR(VLOOKUP($A28,Sales!$A:T,V$2,0),0)</f>
        <v>900</v>
      </c>
      <c r="W31" s="61">
        <f>IFERROR(VLOOKUP($A28,Sales!$A:U,W$2,0),0)</f>
        <v>900</v>
      </c>
      <c r="X31" s="61">
        <f>IFERROR(VLOOKUP($A28,Sales!$A:V,X$2,0),0)</f>
        <v>900</v>
      </c>
      <c r="Y31" s="61">
        <f>IFERROR(VLOOKUP($A28,Sales!$A:W,Y$2,0),0)</f>
        <v>720</v>
      </c>
      <c r="Z31" s="61">
        <f>IFERROR(VLOOKUP($A28,Sales!$A:X,Z$2,0),0)</f>
        <v>720</v>
      </c>
      <c r="AA31" s="61">
        <f>IFERROR(VLOOKUP($A28,Sales!$A:Y,AA$2,0),0)</f>
        <v>720</v>
      </c>
      <c r="AB31" s="61">
        <f>IFERROR(VLOOKUP($A28,Sales!$A:Z,AB$2,0),0)</f>
        <v>720</v>
      </c>
      <c r="AC31" s="61">
        <f>IFERROR(VLOOKUP($A28,Sales!$A:AA,AC$2,0),0)</f>
        <v>1110</v>
      </c>
      <c r="AD31" s="61">
        <f>IFERROR(VLOOKUP($A28,Sales!$A:AB,AD$2,0),0)</f>
        <v>1110</v>
      </c>
      <c r="AE31" s="61">
        <f>IFERROR(VLOOKUP($A28,Sales!$A:AC,AE$2,0),0)</f>
        <v>1110</v>
      </c>
      <c r="AF31" s="61">
        <f>IFERROR(VLOOKUP($A28,Sales!$A:AD,AF$2,0),0)</f>
        <v>1110</v>
      </c>
      <c r="AG31" s="61">
        <f>IFERROR(VLOOKUP($A28,Sales!$A:AE,AG$2,0),0)</f>
        <v>1080</v>
      </c>
      <c r="AH31" s="61">
        <f>IFERROR(VLOOKUP($A28,Sales!$A:AF,AH$2,0),0)</f>
        <v>840</v>
      </c>
      <c r="AI31" s="61">
        <f>IFERROR(VLOOKUP($A28,Sales!$A:AG,AI$2,0),0)</f>
        <v>840</v>
      </c>
      <c r="AJ31" s="61">
        <f>IFERROR(VLOOKUP($A28,Sales!$A:AH,AJ$2,0),0)</f>
        <v>0</v>
      </c>
      <c r="AK31" s="74">
        <f t="shared" ref="AK31:CC31" si="32">CEILING(AK$5*$B27,1)</f>
        <v>0</v>
      </c>
      <c r="AL31" s="74">
        <f t="shared" si="32"/>
        <v>0</v>
      </c>
      <c r="AM31" s="74">
        <f t="shared" si="32"/>
        <v>0</v>
      </c>
      <c r="AN31" s="74">
        <f t="shared" si="32"/>
        <v>719</v>
      </c>
      <c r="AO31" s="74">
        <f t="shared" si="32"/>
        <v>719</v>
      </c>
      <c r="AP31" s="74">
        <f t="shared" si="32"/>
        <v>719</v>
      </c>
      <c r="AQ31" s="74">
        <f t="shared" si="32"/>
        <v>869</v>
      </c>
      <c r="AR31" s="74">
        <f t="shared" si="32"/>
        <v>869</v>
      </c>
      <c r="AS31" s="74">
        <f t="shared" si="32"/>
        <v>695</v>
      </c>
      <c r="AT31" s="74">
        <f t="shared" si="32"/>
        <v>869</v>
      </c>
      <c r="AU31" s="74">
        <f t="shared" si="32"/>
        <v>825</v>
      </c>
      <c r="AV31" s="74">
        <f t="shared" si="32"/>
        <v>825</v>
      </c>
      <c r="AW31" s="74">
        <f t="shared" si="32"/>
        <v>825</v>
      </c>
      <c r="AX31" s="74">
        <f t="shared" si="32"/>
        <v>825</v>
      </c>
      <c r="AY31" s="74">
        <f t="shared" si="32"/>
        <v>660</v>
      </c>
      <c r="AZ31" s="74">
        <f t="shared" si="32"/>
        <v>660</v>
      </c>
      <c r="BA31" s="74">
        <f t="shared" si="32"/>
        <v>660</v>
      </c>
      <c r="BB31" s="74">
        <f t="shared" si="32"/>
        <v>660</v>
      </c>
      <c r="BC31" s="74">
        <f t="shared" si="32"/>
        <v>660</v>
      </c>
      <c r="BD31" s="74">
        <f t="shared" si="32"/>
        <v>660</v>
      </c>
      <c r="BE31" s="74">
        <f t="shared" si="32"/>
        <v>660</v>
      </c>
      <c r="BF31" s="74">
        <f t="shared" si="32"/>
        <v>660</v>
      </c>
      <c r="BG31" s="74">
        <f t="shared" si="32"/>
        <v>660</v>
      </c>
      <c r="BH31" s="74">
        <f t="shared" si="32"/>
        <v>660</v>
      </c>
      <c r="BI31" s="74">
        <f t="shared" si="32"/>
        <v>660</v>
      </c>
      <c r="BJ31" s="74">
        <f t="shared" si="32"/>
        <v>660</v>
      </c>
      <c r="BK31" s="74">
        <f t="shared" si="32"/>
        <v>660</v>
      </c>
      <c r="BL31" s="74">
        <f t="shared" si="32"/>
        <v>657</v>
      </c>
      <c r="BM31" s="74">
        <f t="shared" si="32"/>
        <v>657</v>
      </c>
      <c r="BN31" s="74">
        <f t="shared" si="32"/>
        <v>1198</v>
      </c>
      <c r="BO31" s="74">
        <f t="shared" si="32"/>
        <v>0</v>
      </c>
      <c r="BP31" s="74">
        <f t="shared" si="32"/>
        <v>0</v>
      </c>
      <c r="BQ31" s="74">
        <f t="shared" si="32"/>
        <v>0</v>
      </c>
      <c r="BR31" s="74">
        <f t="shared" si="32"/>
        <v>0</v>
      </c>
      <c r="BS31" s="74">
        <f t="shared" si="32"/>
        <v>660</v>
      </c>
      <c r="BT31" s="74">
        <f t="shared" si="32"/>
        <v>660</v>
      </c>
      <c r="BU31" s="74">
        <f t="shared" si="32"/>
        <v>660</v>
      </c>
      <c r="BV31" s="74">
        <f t="shared" si="32"/>
        <v>660</v>
      </c>
      <c r="BW31" s="74">
        <f t="shared" si="32"/>
        <v>660</v>
      </c>
      <c r="BX31" s="74">
        <f t="shared" si="32"/>
        <v>660</v>
      </c>
      <c r="BY31" s="74">
        <f t="shared" si="32"/>
        <v>660</v>
      </c>
      <c r="BZ31" s="74">
        <f t="shared" si="32"/>
        <v>660</v>
      </c>
      <c r="CA31" s="74">
        <f t="shared" si="32"/>
        <v>660</v>
      </c>
      <c r="CB31" s="74">
        <f t="shared" si="32"/>
        <v>660</v>
      </c>
      <c r="CC31" s="74">
        <f t="shared" si="32"/>
        <v>660</v>
      </c>
    </row>
    <row r="32" spans="1:81" x14ac:dyDescent="0.2">
      <c r="A32" s="5" t="s">
        <v>214</v>
      </c>
      <c r="B32" s="5">
        <v>7.4999999999999997E-2</v>
      </c>
      <c r="C32" s="46" t="s">
        <v>215</v>
      </c>
      <c r="D32" s="11">
        <f t="shared" ref="D32:AI32" si="33">IF(D31=0,0, ROUND(D28 * 1/D31* D$13,1))</f>
        <v>145</v>
      </c>
      <c r="E32" s="11">
        <f t="shared" si="33"/>
        <v>29.5</v>
      </c>
      <c r="F32" s="11">
        <f t="shared" si="33"/>
        <v>24.5</v>
      </c>
      <c r="G32" s="11">
        <f t="shared" si="33"/>
        <v>19.5</v>
      </c>
      <c r="H32" s="11">
        <f t="shared" si="33"/>
        <v>14.5</v>
      </c>
      <c r="I32" s="11">
        <f t="shared" si="33"/>
        <v>15.3</v>
      </c>
      <c r="J32" s="11">
        <f t="shared" si="33"/>
        <v>16.600000000000001</v>
      </c>
      <c r="K32" s="11">
        <f t="shared" si="33"/>
        <v>19.2</v>
      </c>
      <c r="L32" s="11">
        <f t="shared" si="33"/>
        <v>8.5</v>
      </c>
      <c r="M32" s="11">
        <f t="shared" si="33"/>
        <v>2.2000000000000002</v>
      </c>
      <c r="N32" s="11">
        <f t="shared" si="33"/>
        <v>0</v>
      </c>
      <c r="O32" s="11">
        <f t="shared" si="33"/>
        <v>0</v>
      </c>
      <c r="P32" s="11">
        <f t="shared" si="33"/>
        <v>0</v>
      </c>
      <c r="Q32" s="11">
        <f t="shared" si="33"/>
        <v>0</v>
      </c>
      <c r="R32" s="11">
        <f t="shared" si="33"/>
        <v>-7.5</v>
      </c>
      <c r="S32" s="11">
        <f t="shared" si="33"/>
        <v>-9.4</v>
      </c>
      <c r="T32" s="11">
        <f t="shared" si="33"/>
        <v>-14.4</v>
      </c>
      <c r="U32" s="11">
        <f t="shared" si="33"/>
        <v>-20.7</v>
      </c>
      <c r="V32" s="11">
        <f t="shared" si="33"/>
        <v>-25.7</v>
      </c>
      <c r="W32" s="11">
        <f t="shared" si="33"/>
        <v>-30.7</v>
      </c>
      <c r="X32" s="11">
        <f t="shared" si="33"/>
        <v>-35.700000000000003</v>
      </c>
      <c r="Y32" s="11">
        <f t="shared" si="33"/>
        <v>-50.8</v>
      </c>
      <c r="Z32" s="11">
        <f t="shared" si="33"/>
        <v>-55.8</v>
      </c>
      <c r="AA32" s="11">
        <f t="shared" si="33"/>
        <v>-60.8</v>
      </c>
      <c r="AB32" s="11">
        <f t="shared" si="33"/>
        <v>-65.8</v>
      </c>
      <c r="AC32" s="11">
        <f t="shared" si="33"/>
        <v>-45.9</v>
      </c>
      <c r="AD32" s="11">
        <f t="shared" si="33"/>
        <v>-50.9</v>
      </c>
      <c r="AE32" s="11">
        <f t="shared" si="33"/>
        <v>-55.9</v>
      </c>
      <c r="AF32" s="11">
        <f t="shared" si="33"/>
        <v>-60.9</v>
      </c>
      <c r="AG32" s="11">
        <f t="shared" si="33"/>
        <v>-67.8</v>
      </c>
      <c r="AH32" s="11">
        <f t="shared" si="33"/>
        <v>-93.6</v>
      </c>
      <c r="AI32" s="11">
        <f t="shared" si="33"/>
        <v>-98.6</v>
      </c>
      <c r="AJ32" s="11">
        <f t="shared" ref="AJ32:BO32" si="34">IF(AJ31=0,0, ROUND(AJ28 * 1/AJ31* AJ$13,1))</f>
        <v>0</v>
      </c>
      <c r="AK32" s="11">
        <f t="shared" si="34"/>
        <v>0</v>
      </c>
      <c r="AL32" s="11">
        <f t="shared" si="34"/>
        <v>0</v>
      </c>
      <c r="AM32" s="11">
        <f t="shared" si="34"/>
        <v>0</v>
      </c>
      <c r="AN32" s="11">
        <f t="shared" si="34"/>
        <v>-121</v>
      </c>
      <c r="AO32" s="11">
        <f t="shared" si="34"/>
        <v>-126</v>
      </c>
      <c r="AP32" s="11">
        <f t="shared" si="34"/>
        <v>-131</v>
      </c>
      <c r="AQ32" s="11">
        <f t="shared" si="34"/>
        <v>-112.5</v>
      </c>
      <c r="AR32" s="11">
        <f t="shared" si="34"/>
        <v>-117.5</v>
      </c>
      <c r="AS32" s="11">
        <f t="shared" si="34"/>
        <v>-153.19999999999999</v>
      </c>
      <c r="AT32" s="11">
        <f t="shared" si="34"/>
        <v>-126.5</v>
      </c>
      <c r="AU32" s="11">
        <f t="shared" si="34"/>
        <v>-138.5</v>
      </c>
      <c r="AV32" s="11">
        <f t="shared" si="34"/>
        <v>-143.5</v>
      </c>
      <c r="AW32" s="11">
        <f t="shared" si="34"/>
        <v>-148.5</v>
      </c>
      <c r="AX32" s="11">
        <f t="shared" si="34"/>
        <v>-153.5</v>
      </c>
      <c r="AY32" s="11">
        <f t="shared" si="34"/>
        <v>-198.2</v>
      </c>
      <c r="AZ32" s="11">
        <f t="shared" si="34"/>
        <v>-203.2</v>
      </c>
      <c r="BA32" s="11">
        <f t="shared" si="34"/>
        <v>-208.2</v>
      </c>
      <c r="BB32" s="11">
        <f t="shared" si="34"/>
        <v>-213.2</v>
      </c>
      <c r="BC32" s="11">
        <f t="shared" si="34"/>
        <v>-218.2</v>
      </c>
      <c r="BD32" s="11">
        <f t="shared" si="34"/>
        <v>-223.2</v>
      </c>
      <c r="BE32" s="11">
        <f t="shared" si="34"/>
        <v>-228.2</v>
      </c>
      <c r="BF32" s="11">
        <f t="shared" si="34"/>
        <v>-233.2</v>
      </c>
      <c r="BG32" s="11">
        <f t="shared" si="34"/>
        <v>-238.2</v>
      </c>
      <c r="BH32" s="11">
        <f t="shared" si="34"/>
        <v>-243.2</v>
      </c>
      <c r="BI32" s="11">
        <f t="shared" si="34"/>
        <v>-248.2</v>
      </c>
      <c r="BJ32" s="11">
        <f t="shared" si="34"/>
        <v>-253.2</v>
      </c>
      <c r="BK32" s="11">
        <f t="shared" si="34"/>
        <v>-258.2</v>
      </c>
      <c r="BL32" s="11">
        <f t="shared" si="34"/>
        <v>-264.39999999999998</v>
      </c>
      <c r="BM32" s="11">
        <f t="shared" si="34"/>
        <v>-269.39999999999998</v>
      </c>
      <c r="BN32" s="11">
        <f t="shared" si="34"/>
        <v>-150.5</v>
      </c>
      <c r="BO32" s="11">
        <f t="shared" si="34"/>
        <v>0</v>
      </c>
      <c r="BP32" s="11">
        <f t="shared" ref="BP32:CC32" si="35">IF(BP31=0,0, ROUND(BP28 * 1/BP31* BP$13,1))</f>
        <v>0</v>
      </c>
      <c r="BQ32" s="11">
        <f t="shared" si="35"/>
        <v>0</v>
      </c>
      <c r="BR32" s="11">
        <f t="shared" si="35"/>
        <v>0</v>
      </c>
      <c r="BS32" s="11">
        <f t="shared" si="35"/>
        <v>-282.2</v>
      </c>
      <c r="BT32" s="11">
        <f t="shared" si="35"/>
        <v>-287.2</v>
      </c>
      <c r="BU32" s="11">
        <f t="shared" si="35"/>
        <v>-292.2</v>
      </c>
      <c r="BV32" s="11">
        <f t="shared" si="35"/>
        <v>-297.2</v>
      </c>
      <c r="BW32" s="11">
        <f t="shared" si="35"/>
        <v>-302.2</v>
      </c>
      <c r="BX32" s="11">
        <f t="shared" si="35"/>
        <v>-307.2</v>
      </c>
      <c r="BY32" s="11">
        <f t="shared" si="35"/>
        <v>-312.2</v>
      </c>
      <c r="BZ32" s="11">
        <f t="shared" si="35"/>
        <v>-317.2</v>
      </c>
      <c r="CA32" s="11">
        <f t="shared" si="35"/>
        <v>-322.2</v>
      </c>
      <c r="CB32" s="11">
        <f t="shared" si="35"/>
        <v>-327.2</v>
      </c>
      <c r="CC32" s="11">
        <f t="shared" si="35"/>
        <v>-332.2</v>
      </c>
    </row>
    <row r="33" spans="1:81" x14ac:dyDescent="0.2">
      <c r="A33">
        <v>4</v>
      </c>
      <c r="B33">
        <v>50</v>
      </c>
      <c r="C33" s="8">
        <v>0.94330999999999998</v>
      </c>
      <c r="D33">
        <f t="shared" ref="D33:AI33" si="36">D30/$B33</f>
        <v>13.2</v>
      </c>
      <c r="E33">
        <f t="shared" si="36"/>
        <v>24</v>
      </c>
      <c r="F33">
        <f t="shared" si="36"/>
        <v>10.8</v>
      </c>
      <c r="G33">
        <f t="shared" si="36"/>
        <v>0</v>
      </c>
      <c r="H33">
        <f t="shared" si="36"/>
        <v>0</v>
      </c>
      <c r="I33">
        <f t="shared" si="36"/>
        <v>0</v>
      </c>
      <c r="J33">
        <f t="shared" si="36"/>
        <v>0</v>
      </c>
      <c r="K33">
        <f t="shared" si="36"/>
        <v>0</v>
      </c>
      <c r="L33">
        <f t="shared" si="36"/>
        <v>0</v>
      </c>
      <c r="M33">
        <f t="shared" si="36"/>
        <v>0</v>
      </c>
      <c r="N33">
        <f t="shared" si="36"/>
        <v>0</v>
      </c>
      <c r="O33">
        <f t="shared" si="36"/>
        <v>0</v>
      </c>
      <c r="P33">
        <f t="shared" si="36"/>
        <v>0</v>
      </c>
      <c r="Q33">
        <f t="shared" si="36"/>
        <v>0</v>
      </c>
      <c r="R33">
        <f t="shared" si="36"/>
        <v>0</v>
      </c>
      <c r="S33">
        <f t="shared" si="36"/>
        <v>0</v>
      </c>
      <c r="T33">
        <f t="shared" si="36"/>
        <v>0</v>
      </c>
      <c r="U33">
        <f t="shared" si="36"/>
        <v>0</v>
      </c>
      <c r="V33">
        <f t="shared" si="36"/>
        <v>0</v>
      </c>
      <c r="W33">
        <f t="shared" si="36"/>
        <v>0</v>
      </c>
      <c r="X33">
        <f t="shared" si="36"/>
        <v>0</v>
      </c>
      <c r="Y33">
        <f t="shared" si="36"/>
        <v>0</v>
      </c>
      <c r="Z33">
        <f t="shared" si="36"/>
        <v>0</v>
      </c>
      <c r="AA33">
        <f t="shared" si="36"/>
        <v>0</v>
      </c>
      <c r="AB33">
        <f t="shared" si="36"/>
        <v>0</v>
      </c>
      <c r="AC33">
        <f t="shared" si="36"/>
        <v>0</v>
      </c>
      <c r="AD33">
        <f t="shared" si="36"/>
        <v>0</v>
      </c>
      <c r="AE33">
        <f t="shared" si="36"/>
        <v>0</v>
      </c>
      <c r="AF33">
        <f t="shared" si="36"/>
        <v>0</v>
      </c>
      <c r="AG33">
        <f t="shared" si="36"/>
        <v>0</v>
      </c>
      <c r="AH33">
        <f t="shared" si="36"/>
        <v>0</v>
      </c>
      <c r="AI33">
        <f t="shared" si="36"/>
        <v>0</v>
      </c>
      <c r="AJ33">
        <f t="shared" ref="AJ33:BO33" si="37">AJ30/$B33</f>
        <v>0</v>
      </c>
      <c r="AK33">
        <f t="shared" si="37"/>
        <v>0</v>
      </c>
      <c r="AL33">
        <f t="shared" si="37"/>
        <v>0</v>
      </c>
      <c r="AM33">
        <f t="shared" si="37"/>
        <v>0</v>
      </c>
      <c r="AN33">
        <f t="shared" si="37"/>
        <v>0</v>
      </c>
      <c r="AO33">
        <f t="shared" si="37"/>
        <v>0</v>
      </c>
      <c r="AP33">
        <f t="shared" si="37"/>
        <v>0</v>
      </c>
      <c r="AQ33">
        <f t="shared" si="37"/>
        <v>0</v>
      </c>
      <c r="AR33">
        <f t="shared" si="37"/>
        <v>0</v>
      </c>
      <c r="AS33">
        <f t="shared" si="37"/>
        <v>0</v>
      </c>
      <c r="AT33">
        <f t="shared" si="37"/>
        <v>0</v>
      </c>
      <c r="AU33">
        <f t="shared" si="37"/>
        <v>0</v>
      </c>
      <c r="AV33">
        <f t="shared" si="37"/>
        <v>0</v>
      </c>
      <c r="AW33">
        <f t="shared" si="37"/>
        <v>0</v>
      </c>
      <c r="AX33">
        <f t="shared" si="37"/>
        <v>0</v>
      </c>
      <c r="AY33">
        <f t="shared" si="37"/>
        <v>0</v>
      </c>
      <c r="AZ33">
        <f t="shared" si="37"/>
        <v>0</v>
      </c>
      <c r="BA33">
        <f t="shared" si="37"/>
        <v>0</v>
      </c>
      <c r="BB33">
        <f t="shared" si="37"/>
        <v>0</v>
      </c>
      <c r="BC33">
        <f t="shared" si="37"/>
        <v>0</v>
      </c>
      <c r="BD33">
        <f t="shared" si="37"/>
        <v>0</v>
      </c>
      <c r="BE33">
        <f t="shared" si="37"/>
        <v>0</v>
      </c>
      <c r="BF33">
        <f t="shared" si="37"/>
        <v>0</v>
      </c>
      <c r="BG33">
        <f t="shared" si="37"/>
        <v>0</v>
      </c>
      <c r="BH33">
        <f t="shared" si="37"/>
        <v>0</v>
      </c>
      <c r="BI33">
        <f t="shared" si="37"/>
        <v>0</v>
      </c>
      <c r="BJ33">
        <f t="shared" si="37"/>
        <v>0</v>
      </c>
      <c r="BK33">
        <f t="shared" si="37"/>
        <v>0</v>
      </c>
      <c r="BL33">
        <f t="shared" si="37"/>
        <v>0</v>
      </c>
      <c r="BM33">
        <f t="shared" si="37"/>
        <v>0</v>
      </c>
      <c r="BN33">
        <f t="shared" si="37"/>
        <v>0</v>
      </c>
      <c r="BO33">
        <f t="shared" si="37"/>
        <v>0</v>
      </c>
      <c r="BP33">
        <f t="shared" ref="BP33:CC33" si="38">BP30/$B33</f>
        <v>0</v>
      </c>
      <c r="BQ33">
        <f t="shared" si="38"/>
        <v>0</v>
      </c>
      <c r="BR33">
        <f t="shared" si="38"/>
        <v>0</v>
      </c>
      <c r="BS33">
        <f t="shared" si="38"/>
        <v>0</v>
      </c>
      <c r="BT33">
        <f t="shared" si="38"/>
        <v>0</v>
      </c>
      <c r="BU33">
        <f t="shared" si="38"/>
        <v>0</v>
      </c>
      <c r="BV33">
        <f t="shared" si="38"/>
        <v>0</v>
      </c>
      <c r="BW33">
        <f t="shared" si="38"/>
        <v>0</v>
      </c>
      <c r="BX33">
        <f t="shared" si="38"/>
        <v>0</v>
      </c>
      <c r="BY33">
        <f t="shared" si="38"/>
        <v>0</v>
      </c>
      <c r="BZ33">
        <f t="shared" si="38"/>
        <v>0</v>
      </c>
      <c r="CA33">
        <f t="shared" si="38"/>
        <v>0</v>
      </c>
      <c r="CB33">
        <f t="shared" si="38"/>
        <v>0</v>
      </c>
      <c r="CC33">
        <f t="shared" si="38"/>
        <v>0</v>
      </c>
    </row>
    <row r="34" spans="1:81" x14ac:dyDescent="0.2">
      <c r="B34" s="67">
        <f>SUM(D38:AJ38)/SUM($D$67:$AJ$67)</f>
        <v>0.16364952932657495</v>
      </c>
      <c r="C34" s="9" t="s">
        <v>216</v>
      </c>
      <c r="D34">
        <f t="shared" ref="D34:AI34" si="39">D28-D31</f>
        <v>6720</v>
      </c>
      <c r="E34">
        <f t="shared" si="39"/>
        <v>5880</v>
      </c>
      <c r="F34">
        <f t="shared" si="39"/>
        <v>4680</v>
      </c>
      <c r="G34">
        <f t="shared" si="39"/>
        <v>3480</v>
      </c>
      <c r="H34">
        <f t="shared" si="39"/>
        <v>2280</v>
      </c>
      <c r="I34">
        <f t="shared" si="39"/>
        <v>1980</v>
      </c>
      <c r="J34">
        <f t="shared" si="39"/>
        <v>2220</v>
      </c>
      <c r="K34">
        <f t="shared" si="39"/>
        <v>2040</v>
      </c>
      <c r="L34">
        <f t="shared" si="39"/>
        <v>840</v>
      </c>
      <c r="M34">
        <f t="shared" si="39"/>
        <v>-1080</v>
      </c>
      <c r="N34">
        <f t="shared" si="39"/>
        <v>-1080</v>
      </c>
      <c r="O34">
        <f t="shared" si="39"/>
        <v>-1080</v>
      </c>
      <c r="P34">
        <f t="shared" si="39"/>
        <v>-1080</v>
      </c>
      <c r="Q34">
        <f t="shared" si="39"/>
        <v>-1080</v>
      </c>
      <c r="R34">
        <f t="shared" si="39"/>
        <v>-1800</v>
      </c>
      <c r="S34">
        <f t="shared" si="39"/>
        <v>-2760</v>
      </c>
      <c r="T34">
        <f t="shared" si="39"/>
        <v>-3720</v>
      </c>
      <c r="U34">
        <f t="shared" si="39"/>
        <v>-4620</v>
      </c>
      <c r="V34">
        <f t="shared" si="39"/>
        <v>-5520</v>
      </c>
      <c r="W34">
        <f t="shared" si="39"/>
        <v>-6420</v>
      </c>
      <c r="X34">
        <f t="shared" si="39"/>
        <v>-7320</v>
      </c>
      <c r="Y34">
        <f t="shared" si="39"/>
        <v>-8040</v>
      </c>
      <c r="Z34">
        <f t="shared" si="39"/>
        <v>-8760</v>
      </c>
      <c r="AA34">
        <f t="shared" si="39"/>
        <v>-9480</v>
      </c>
      <c r="AB34">
        <f t="shared" si="39"/>
        <v>-10200</v>
      </c>
      <c r="AC34">
        <f t="shared" si="39"/>
        <v>-11310</v>
      </c>
      <c r="AD34">
        <f t="shared" si="39"/>
        <v>-12420</v>
      </c>
      <c r="AE34">
        <f t="shared" si="39"/>
        <v>-13530</v>
      </c>
      <c r="AF34">
        <f t="shared" si="39"/>
        <v>-14640</v>
      </c>
      <c r="AG34">
        <f t="shared" si="39"/>
        <v>-15720</v>
      </c>
      <c r="AH34">
        <f t="shared" si="39"/>
        <v>-16560</v>
      </c>
      <c r="AI34">
        <f t="shared" si="39"/>
        <v>-17400</v>
      </c>
      <c r="AJ34">
        <f t="shared" ref="AJ34:BO34" si="40">AJ28-AJ31</f>
        <v>-17400</v>
      </c>
      <c r="AK34">
        <f t="shared" si="40"/>
        <v>-17400</v>
      </c>
      <c r="AL34">
        <f t="shared" si="40"/>
        <v>-17400</v>
      </c>
      <c r="AM34">
        <f t="shared" si="40"/>
        <v>-17400</v>
      </c>
      <c r="AN34">
        <f t="shared" si="40"/>
        <v>-18119</v>
      </c>
      <c r="AO34">
        <f t="shared" si="40"/>
        <v>-18838</v>
      </c>
      <c r="AP34">
        <f t="shared" si="40"/>
        <v>-19557</v>
      </c>
      <c r="AQ34">
        <f t="shared" si="40"/>
        <v>-20426</v>
      </c>
      <c r="AR34">
        <f t="shared" si="40"/>
        <v>-21295</v>
      </c>
      <c r="AS34">
        <f t="shared" si="40"/>
        <v>-21990</v>
      </c>
      <c r="AT34">
        <f t="shared" si="40"/>
        <v>-22859</v>
      </c>
      <c r="AU34">
        <f t="shared" si="40"/>
        <v>-23684</v>
      </c>
      <c r="AV34">
        <f t="shared" si="40"/>
        <v>-24509</v>
      </c>
      <c r="AW34">
        <f t="shared" si="40"/>
        <v>-25334</v>
      </c>
      <c r="AX34">
        <f t="shared" si="40"/>
        <v>-26159</v>
      </c>
      <c r="AY34">
        <f t="shared" si="40"/>
        <v>-26819</v>
      </c>
      <c r="AZ34">
        <f t="shared" si="40"/>
        <v>-27479</v>
      </c>
      <c r="BA34">
        <f t="shared" si="40"/>
        <v>-28139</v>
      </c>
      <c r="BB34">
        <f t="shared" si="40"/>
        <v>-28799</v>
      </c>
      <c r="BC34">
        <f t="shared" si="40"/>
        <v>-29459</v>
      </c>
      <c r="BD34">
        <f t="shared" si="40"/>
        <v>-30119</v>
      </c>
      <c r="BE34">
        <f t="shared" si="40"/>
        <v>-30779</v>
      </c>
      <c r="BF34">
        <f t="shared" si="40"/>
        <v>-31439</v>
      </c>
      <c r="BG34">
        <f t="shared" si="40"/>
        <v>-32099</v>
      </c>
      <c r="BH34">
        <f t="shared" si="40"/>
        <v>-32759</v>
      </c>
      <c r="BI34">
        <f t="shared" si="40"/>
        <v>-33419</v>
      </c>
      <c r="BJ34">
        <f t="shared" si="40"/>
        <v>-34079</v>
      </c>
      <c r="BK34">
        <f t="shared" si="40"/>
        <v>-34739</v>
      </c>
      <c r="BL34">
        <f t="shared" si="40"/>
        <v>-35396</v>
      </c>
      <c r="BM34">
        <f t="shared" si="40"/>
        <v>-36053</v>
      </c>
      <c r="BN34">
        <f t="shared" si="40"/>
        <v>-37251</v>
      </c>
      <c r="BO34">
        <f t="shared" si="40"/>
        <v>-37251</v>
      </c>
      <c r="BP34">
        <f t="shared" ref="BP34:CC34" si="41">BP28-BP31</f>
        <v>-37251</v>
      </c>
      <c r="BQ34">
        <f t="shared" si="41"/>
        <v>-37251</v>
      </c>
      <c r="BR34">
        <f t="shared" si="41"/>
        <v>-37251</v>
      </c>
      <c r="BS34">
        <f t="shared" si="41"/>
        <v>-37911</v>
      </c>
      <c r="BT34">
        <f t="shared" si="41"/>
        <v>-38571</v>
      </c>
      <c r="BU34">
        <f t="shared" si="41"/>
        <v>-39231</v>
      </c>
      <c r="BV34">
        <f t="shared" si="41"/>
        <v>-39891</v>
      </c>
      <c r="BW34">
        <f t="shared" si="41"/>
        <v>-40551</v>
      </c>
      <c r="BX34">
        <f t="shared" si="41"/>
        <v>-41211</v>
      </c>
      <c r="BY34">
        <f t="shared" si="41"/>
        <v>-41871</v>
      </c>
      <c r="BZ34">
        <f t="shared" si="41"/>
        <v>-42531</v>
      </c>
      <c r="CA34">
        <f t="shared" si="41"/>
        <v>-43191</v>
      </c>
      <c r="CB34">
        <f t="shared" si="41"/>
        <v>-43851</v>
      </c>
      <c r="CC34">
        <f t="shared" si="41"/>
        <v>-44511</v>
      </c>
    </row>
    <row r="35" spans="1:81" x14ac:dyDescent="0.2">
      <c r="A35" s="43" t="s">
        <v>333</v>
      </c>
      <c r="B35" s="44" t="s">
        <v>208</v>
      </c>
      <c r="C35" s="9" t="s">
        <v>38</v>
      </c>
      <c r="D35" s="58">
        <f>IFERROR(VLOOKUP(A35,OS!$A:$B,2,0),0)</f>
        <v>6900</v>
      </c>
      <c r="E35" s="5">
        <f>(D35+D36-D38)</f>
        <v>7080</v>
      </c>
      <c r="F35" s="5">
        <f>(E35+E36-E38)</f>
        <v>5640</v>
      </c>
      <c r="G35" s="5">
        <f>(F35+F36-F38)</f>
        <v>4440</v>
      </c>
      <c r="H35" s="5">
        <f>(G35+G36-G38)</f>
        <v>3480</v>
      </c>
      <c r="I35" s="5">
        <f t="shared" ref="I35:AN35" si="42">(H35+H36-H38+D37)</f>
        <v>2940</v>
      </c>
      <c r="J35" s="5">
        <f t="shared" si="42"/>
        <v>3180</v>
      </c>
      <c r="K35" s="5">
        <f t="shared" si="42"/>
        <v>2760</v>
      </c>
      <c r="L35" s="5">
        <f t="shared" si="42"/>
        <v>2040</v>
      </c>
      <c r="M35" s="5">
        <f t="shared" si="42"/>
        <v>840</v>
      </c>
      <c r="N35" s="5">
        <f t="shared" si="42"/>
        <v>-1080</v>
      </c>
      <c r="O35" s="5">
        <f t="shared" si="42"/>
        <v>-1080</v>
      </c>
      <c r="P35" s="5">
        <f t="shared" si="42"/>
        <v>-1080</v>
      </c>
      <c r="Q35" s="5">
        <f t="shared" si="42"/>
        <v>-1080</v>
      </c>
      <c r="R35" s="5">
        <f t="shared" si="42"/>
        <v>-1080</v>
      </c>
      <c r="S35" s="5">
        <f t="shared" si="42"/>
        <v>-1800</v>
      </c>
      <c r="T35" s="5">
        <f t="shared" si="42"/>
        <v>-2760</v>
      </c>
      <c r="U35" s="5">
        <f t="shared" si="42"/>
        <v>-3720</v>
      </c>
      <c r="V35" s="5">
        <f t="shared" si="42"/>
        <v>-4620</v>
      </c>
      <c r="W35" s="5">
        <f t="shared" si="42"/>
        <v>-5520</v>
      </c>
      <c r="X35" s="5">
        <f t="shared" si="42"/>
        <v>-6420</v>
      </c>
      <c r="Y35" s="5">
        <f t="shared" si="42"/>
        <v>-7320</v>
      </c>
      <c r="Z35" s="5">
        <f t="shared" si="42"/>
        <v>-8040</v>
      </c>
      <c r="AA35" s="5">
        <f t="shared" si="42"/>
        <v>-8760</v>
      </c>
      <c r="AB35" s="5">
        <f t="shared" si="42"/>
        <v>-9480</v>
      </c>
      <c r="AC35" s="5">
        <f t="shared" si="42"/>
        <v>-10200</v>
      </c>
      <c r="AD35" s="5">
        <f t="shared" si="42"/>
        <v>-11310</v>
      </c>
      <c r="AE35" s="5">
        <f t="shared" si="42"/>
        <v>-12420</v>
      </c>
      <c r="AF35" s="5">
        <f t="shared" si="42"/>
        <v>-13530</v>
      </c>
      <c r="AG35" s="5">
        <f t="shared" si="42"/>
        <v>-14640</v>
      </c>
      <c r="AH35" s="5">
        <f t="shared" si="42"/>
        <v>-15720</v>
      </c>
      <c r="AI35" s="5">
        <f t="shared" si="42"/>
        <v>-16560</v>
      </c>
      <c r="AJ35" s="5">
        <f t="shared" si="42"/>
        <v>-17400</v>
      </c>
      <c r="AK35" s="5">
        <f t="shared" si="42"/>
        <v>-17400</v>
      </c>
      <c r="AL35" s="5">
        <f t="shared" si="42"/>
        <v>-17400</v>
      </c>
      <c r="AM35" s="5">
        <f t="shared" si="42"/>
        <v>-17400</v>
      </c>
      <c r="AN35" s="5">
        <f t="shared" si="42"/>
        <v>-17400</v>
      </c>
      <c r="AO35" s="5">
        <f t="shared" ref="AO35:BT35" si="43">(AN35+AN36-AN38+AJ37)</f>
        <v>-18119</v>
      </c>
      <c r="AP35" s="5">
        <f t="shared" si="43"/>
        <v>-18838</v>
      </c>
      <c r="AQ35" s="5">
        <f t="shared" si="43"/>
        <v>-19557</v>
      </c>
      <c r="AR35" s="5">
        <f t="shared" si="43"/>
        <v>-20426</v>
      </c>
      <c r="AS35" s="5">
        <f t="shared" si="43"/>
        <v>-21295</v>
      </c>
      <c r="AT35" s="5">
        <f t="shared" si="43"/>
        <v>-21990</v>
      </c>
      <c r="AU35" s="5">
        <f t="shared" si="43"/>
        <v>-22859</v>
      </c>
      <c r="AV35" s="5">
        <f t="shared" si="43"/>
        <v>-23684</v>
      </c>
      <c r="AW35" s="5">
        <f t="shared" si="43"/>
        <v>-24509</v>
      </c>
      <c r="AX35" s="5">
        <f t="shared" si="43"/>
        <v>-25334</v>
      </c>
      <c r="AY35" s="5">
        <f t="shared" si="43"/>
        <v>-26159</v>
      </c>
      <c r="AZ35" s="5">
        <f t="shared" si="43"/>
        <v>-26819</v>
      </c>
      <c r="BA35" s="5">
        <f t="shared" si="43"/>
        <v>-27479</v>
      </c>
      <c r="BB35" s="5">
        <f t="shared" si="43"/>
        <v>-28139</v>
      </c>
      <c r="BC35" s="5">
        <f t="shared" si="43"/>
        <v>-28799</v>
      </c>
      <c r="BD35" s="5">
        <f t="shared" si="43"/>
        <v>-29459</v>
      </c>
      <c r="BE35" s="5">
        <f t="shared" si="43"/>
        <v>-30119</v>
      </c>
      <c r="BF35" s="5">
        <f t="shared" si="43"/>
        <v>-30779</v>
      </c>
      <c r="BG35" s="5">
        <f t="shared" si="43"/>
        <v>-31439</v>
      </c>
      <c r="BH35" s="5">
        <f t="shared" si="43"/>
        <v>-32099</v>
      </c>
      <c r="BI35" s="5">
        <f t="shared" si="43"/>
        <v>-32759</v>
      </c>
      <c r="BJ35" s="5">
        <f t="shared" si="43"/>
        <v>-33419</v>
      </c>
      <c r="BK35" s="5">
        <f t="shared" si="43"/>
        <v>-34079</v>
      </c>
      <c r="BL35" s="5">
        <f t="shared" si="43"/>
        <v>-34739</v>
      </c>
      <c r="BM35" s="5">
        <f t="shared" si="43"/>
        <v>-35396</v>
      </c>
      <c r="BN35" s="5">
        <f t="shared" si="43"/>
        <v>-36053</v>
      </c>
      <c r="BO35" s="5">
        <f t="shared" si="43"/>
        <v>-37251</v>
      </c>
      <c r="BP35" s="5">
        <f t="shared" si="43"/>
        <v>-37251</v>
      </c>
      <c r="BQ35" s="5">
        <f t="shared" si="43"/>
        <v>-37251</v>
      </c>
      <c r="BR35" s="5">
        <f t="shared" si="43"/>
        <v>-37251</v>
      </c>
      <c r="BS35" s="5">
        <f t="shared" si="43"/>
        <v>-37251</v>
      </c>
      <c r="BT35" s="5">
        <f t="shared" si="43"/>
        <v>-37911</v>
      </c>
      <c r="BU35" s="5">
        <f t="shared" ref="BU35:CC35" si="44">(BT35+BT36-BT38+BP37)</f>
        <v>-38571</v>
      </c>
      <c r="BV35" s="5">
        <f t="shared" si="44"/>
        <v>-39231</v>
      </c>
      <c r="BW35" s="5">
        <f t="shared" si="44"/>
        <v>-39891</v>
      </c>
      <c r="BX35" s="5">
        <f t="shared" si="44"/>
        <v>-40551</v>
      </c>
      <c r="BY35" s="5">
        <f t="shared" si="44"/>
        <v>-41211</v>
      </c>
      <c r="BZ35" s="5">
        <f t="shared" si="44"/>
        <v>-41871</v>
      </c>
      <c r="CA35" s="5">
        <f t="shared" si="44"/>
        <v>-42531</v>
      </c>
      <c r="CB35" s="5">
        <f t="shared" si="44"/>
        <v>-43191</v>
      </c>
      <c r="CC35" s="5">
        <f t="shared" si="44"/>
        <v>-43851</v>
      </c>
    </row>
    <row r="36" spans="1:81" x14ac:dyDescent="0.2">
      <c r="A36" s="5" t="s">
        <v>209</v>
      </c>
      <c r="B36" s="5">
        <v>1.39656</v>
      </c>
      <c r="C36" s="45" t="s">
        <v>39</v>
      </c>
      <c r="D36" s="59">
        <f>IFERROR(VLOOKUP(A35,WIP!$A:$B,2,0),0)</f>
        <v>420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">
      <c r="A37" s="5" t="s">
        <v>210</v>
      </c>
      <c r="B37" s="5">
        <v>7.2999999999999995E-2</v>
      </c>
      <c r="C37" s="9" t="s">
        <v>211</v>
      </c>
      <c r="D37" s="60">
        <f>IFERROR(VLOOKUP($A35,Plan!$A:B,D$4,0),0)</f>
        <v>660</v>
      </c>
      <c r="E37" s="60">
        <f>IFERROR(VLOOKUP($A35,Plan!$A:C,E$4,0),0)</f>
        <v>1200</v>
      </c>
      <c r="F37" s="60">
        <f>IFERROR(VLOOKUP($A35,Plan!$A:D,F$4,0),0)</f>
        <v>540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">
      <c r="A38" s="5" t="s">
        <v>212</v>
      </c>
      <c r="B38" s="5">
        <v>2E-3</v>
      </c>
      <c r="C38" s="9" t="s">
        <v>213</v>
      </c>
      <c r="D38" s="61">
        <f>IFERROR(VLOOKUP($A35,Sales!$A:B,D$2,0),0)</f>
        <v>240</v>
      </c>
      <c r="E38" s="61">
        <f>IFERROR(VLOOKUP($A35,Sales!$A:C,E$2,0),0)</f>
        <v>1440</v>
      </c>
      <c r="F38" s="61">
        <f>IFERROR(VLOOKUP($A35,Sales!$A:D,F$2,0),0)</f>
        <v>1200</v>
      </c>
      <c r="G38" s="61">
        <f>IFERROR(VLOOKUP($A35,Sales!$A:E,G$2,0),0)</f>
        <v>960</v>
      </c>
      <c r="H38" s="61">
        <f>IFERROR(VLOOKUP($A35,Sales!$A:F,H$2,0),0)</f>
        <v>1200</v>
      </c>
      <c r="I38" s="61">
        <f>IFERROR(VLOOKUP($A35,Sales!$A:G,I$2,0),0)</f>
        <v>960</v>
      </c>
      <c r="J38" s="61">
        <f>IFERROR(VLOOKUP($A35,Sales!$A:H,J$2,0),0)</f>
        <v>960</v>
      </c>
      <c r="K38" s="61">
        <f>IFERROR(VLOOKUP($A35,Sales!$A:I,K$2,0),0)</f>
        <v>720</v>
      </c>
      <c r="L38" s="61">
        <f>IFERROR(VLOOKUP($A35,Sales!$A:J,L$2,0),0)</f>
        <v>1200</v>
      </c>
      <c r="M38" s="61">
        <f>IFERROR(VLOOKUP($A35,Sales!$A:K,M$2,0),0)</f>
        <v>1920</v>
      </c>
      <c r="N38" s="61">
        <f>IFERROR(VLOOKUP($A35,Sales!$A:L,N$2,0),0)</f>
        <v>0</v>
      </c>
      <c r="O38" s="61">
        <f>IFERROR(VLOOKUP($A35,Sales!$A:M,O$2,0),0)</f>
        <v>0</v>
      </c>
      <c r="P38" s="61">
        <f>IFERROR(VLOOKUP($A35,Sales!$A:N,P$2,0),0)</f>
        <v>0</v>
      </c>
      <c r="Q38" s="61">
        <f>IFERROR(VLOOKUP($A35,Sales!$A:O,Q$2,0),0)</f>
        <v>0</v>
      </c>
      <c r="R38" s="61">
        <f>IFERROR(VLOOKUP($A35,Sales!$A:P,R$2,0),0)</f>
        <v>720</v>
      </c>
      <c r="S38" s="61">
        <f>IFERROR(VLOOKUP($A35,Sales!$A:Q,S$2,0),0)</f>
        <v>960</v>
      </c>
      <c r="T38" s="61">
        <f>IFERROR(VLOOKUP($A35,Sales!$A:R,T$2,0),0)</f>
        <v>960</v>
      </c>
      <c r="U38" s="61">
        <f>IFERROR(VLOOKUP($A35,Sales!$A:S,U$2,0),0)</f>
        <v>900</v>
      </c>
      <c r="V38" s="61">
        <f>IFERROR(VLOOKUP($A35,Sales!$A:T,V$2,0),0)</f>
        <v>900</v>
      </c>
      <c r="W38" s="61">
        <f>IFERROR(VLOOKUP($A35,Sales!$A:U,W$2,0),0)</f>
        <v>900</v>
      </c>
      <c r="X38" s="61">
        <f>IFERROR(VLOOKUP($A35,Sales!$A:V,X$2,0),0)</f>
        <v>900</v>
      </c>
      <c r="Y38" s="61">
        <f>IFERROR(VLOOKUP($A35,Sales!$A:W,Y$2,0),0)</f>
        <v>720</v>
      </c>
      <c r="Z38" s="61">
        <f>IFERROR(VLOOKUP($A35,Sales!$A:X,Z$2,0),0)</f>
        <v>720</v>
      </c>
      <c r="AA38" s="61">
        <f>IFERROR(VLOOKUP($A35,Sales!$A:Y,AA$2,0),0)</f>
        <v>720</v>
      </c>
      <c r="AB38" s="61">
        <f>IFERROR(VLOOKUP($A35,Sales!$A:Z,AB$2,0),0)</f>
        <v>720</v>
      </c>
      <c r="AC38" s="61">
        <f>IFERROR(VLOOKUP($A35,Sales!$A:AA,AC$2,0),0)</f>
        <v>1110</v>
      </c>
      <c r="AD38" s="61">
        <f>IFERROR(VLOOKUP($A35,Sales!$A:AB,AD$2,0),0)</f>
        <v>1110</v>
      </c>
      <c r="AE38" s="61">
        <f>IFERROR(VLOOKUP($A35,Sales!$A:AC,AE$2,0),0)</f>
        <v>1110</v>
      </c>
      <c r="AF38" s="61">
        <f>IFERROR(VLOOKUP($A35,Sales!$A:AD,AF$2,0),0)</f>
        <v>1110</v>
      </c>
      <c r="AG38" s="61">
        <f>IFERROR(VLOOKUP($A35,Sales!$A:AE,AG$2,0),0)</f>
        <v>1080</v>
      </c>
      <c r="AH38" s="61">
        <f>IFERROR(VLOOKUP($A35,Sales!$A:AF,AH$2,0),0)</f>
        <v>840</v>
      </c>
      <c r="AI38" s="61">
        <f>IFERROR(VLOOKUP($A35,Sales!$A:AG,AI$2,0),0)</f>
        <v>840</v>
      </c>
      <c r="AJ38" s="61">
        <f>IFERROR(VLOOKUP($A35,Sales!$A:AH,AJ$2,0),0)</f>
        <v>0</v>
      </c>
      <c r="AK38" s="74">
        <f t="shared" ref="AK38:CC38" si="45">CEILING(AK$5*$B34,1)</f>
        <v>0</v>
      </c>
      <c r="AL38" s="74">
        <f t="shared" si="45"/>
        <v>0</v>
      </c>
      <c r="AM38" s="74">
        <f t="shared" si="45"/>
        <v>0</v>
      </c>
      <c r="AN38" s="74">
        <f t="shared" si="45"/>
        <v>719</v>
      </c>
      <c r="AO38" s="74">
        <f t="shared" si="45"/>
        <v>719</v>
      </c>
      <c r="AP38" s="74">
        <f t="shared" si="45"/>
        <v>719</v>
      </c>
      <c r="AQ38" s="74">
        <f t="shared" si="45"/>
        <v>869</v>
      </c>
      <c r="AR38" s="74">
        <f t="shared" si="45"/>
        <v>869</v>
      </c>
      <c r="AS38" s="74">
        <f t="shared" si="45"/>
        <v>695</v>
      </c>
      <c r="AT38" s="74">
        <f t="shared" si="45"/>
        <v>869</v>
      </c>
      <c r="AU38" s="74">
        <f t="shared" si="45"/>
        <v>825</v>
      </c>
      <c r="AV38" s="74">
        <f t="shared" si="45"/>
        <v>825</v>
      </c>
      <c r="AW38" s="74">
        <f t="shared" si="45"/>
        <v>825</v>
      </c>
      <c r="AX38" s="74">
        <f t="shared" si="45"/>
        <v>825</v>
      </c>
      <c r="AY38" s="74">
        <f t="shared" si="45"/>
        <v>660</v>
      </c>
      <c r="AZ38" s="74">
        <f t="shared" si="45"/>
        <v>660</v>
      </c>
      <c r="BA38" s="74">
        <f t="shared" si="45"/>
        <v>660</v>
      </c>
      <c r="BB38" s="74">
        <f t="shared" si="45"/>
        <v>660</v>
      </c>
      <c r="BC38" s="74">
        <f t="shared" si="45"/>
        <v>660</v>
      </c>
      <c r="BD38" s="74">
        <f t="shared" si="45"/>
        <v>660</v>
      </c>
      <c r="BE38" s="74">
        <f t="shared" si="45"/>
        <v>660</v>
      </c>
      <c r="BF38" s="74">
        <f t="shared" si="45"/>
        <v>660</v>
      </c>
      <c r="BG38" s="74">
        <f t="shared" si="45"/>
        <v>660</v>
      </c>
      <c r="BH38" s="74">
        <f t="shared" si="45"/>
        <v>660</v>
      </c>
      <c r="BI38" s="74">
        <f t="shared" si="45"/>
        <v>660</v>
      </c>
      <c r="BJ38" s="74">
        <f t="shared" si="45"/>
        <v>660</v>
      </c>
      <c r="BK38" s="74">
        <f t="shared" si="45"/>
        <v>660</v>
      </c>
      <c r="BL38" s="74">
        <f t="shared" si="45"/>
        <v>657</v>
      </c>
      <c r="BM38" s="74">
        <f t="shared" si="45"/>
        <v>657</v>
      </c>
      <c r="BN38" s="74">
        <f t="shared" si="45"/>
        <v>1198</v>
      </c>
      <c r="BO38" s="74">
        <f t="shared" si="45"/>
        <v>0</v>
      </c>
      <c r="BP38" s="74">
        <f t="shared" si="45"/>
        <v>0</v>
      </c>
      <c r="BQ38" s="74">
        <f t="shared" si="45"/>
        <v>0</v>
      </c>
      <c r="BR38" s="74">
        <f t="shared" si="45"/>
        <v>0</v>
      </c>
      <c r="BS38" s="74">
        <f t="shared" si="45"/>
        <v>660</v>
      </c>
      <c r="BT38" s="74">
        <f t="shared" si="45"/>
        <v>660</v>
      </c>
      <c r="BU38" s="74">
        <f t="shared" si="45"/>
        <v>660</v>
      </c>
      <c r="BV38" s="74">
        <f t="shared" si="45"/>
        <v>660</v>
      </c>
      <c r="BW38" s="74">
        <f t="shared" si="45"/>
        <v>660</v>
      </c>
      <c r="BX38" s="74">
        <f t="shared" si="45"/>
        <v>660</v>
      </c>
      <c r="BY38" s="74">
        <f t="shared" si="45"/>
        <v>660</v>
      </c>
      <c r="BZ38" s="74">
        <f t="shared" si="45"/>
        <v>660</v>
      </c>
      <c r="CA38" s="74">
        <f t="shared" si="45"/>
        <v>660</v>
      </c>
      <c r="CB38" s="74">
        <f t="shared" si="45"/>
        <v>660</v>
      </c>
      <c r="CC38" s="74">
        <f t="shared" si="45"/>
        <v>660</v>
      </c>
    </row>
    <row r="39" spans="1:81" x14ac:dyDescent="0.2">
      <c r="A39" s="5" t="s">
        <v>214</v>
      </c>
      <c r="B39" s="5">
        <v>7.4999999999999997E-2</v>
      </c>
      <c r="C39" s="46" t="s">
        <v>215</v>
      </c>
      <c r="D39" s="11">
        <f t="shared" ref="D39:AI39" si="46">IF(D38=0,0, ROUND(D35 * 1/D38* D$13,1))</f>
        <v>143.80000000000001</v>
      </c>
      <c r="E39" s="11">
        <f t="shared" si="46"/>
        <v>24.6</v>
      </c>
      <c r="F39" s="11">
        <f t="shared" si="46"/>
        <v>23.5</v>
      </c>
      <c r="G39" s="11">
        <f t="shared" si="46"/>
        <v>23.1</v>
      </c>
      <c r="H39" s="11">
        <f t="shared" si="46"/>
        <v>14.5</v>
      </c>
      <c r="I39" s="11">
        <f t="shared" si="46"/>
        <v>15.3</v>
      </c>
      <c r="J39" s="11">
        <f t="shared" si="46"/>
        <v>16.600000000000001</v>
      </c>
      <c r="K39" s="11">
        <f t="shared" si="46"/>
        <v>19.2</v>
      </c>
      <c r="L39" s="11">
        <f t="shared" si="46"/>
        <v>8.5</v>
      </c>
      <c r="M39" s="11">
        <f t="shared" si="46"/>
        <v>2.2000000000000002</v>
      </c>
      <c r="N39" s="11">
        <f t="shared" si="46"/>
        <v>0</v>
      </c>
      <c r="O39" s="11">
        <f t="shared" si="46"/>
        <v>0</v>
      </c>
      <c r="P39" s="11">
        <f t="shared" si="46"/>
        <v>0</v>
      </c>
      <c r="Q39" s="11">
        <f t="shared" si="46"/>
        <v>0</v>
      </c>
      <c r="R39" s="11">
        <f t="shared" si="46"/>
        <v>-7.5</v>
      </c>
      <c r="S39" s="11">
        <f t="shared" si="46"/>
        <v>-9.4</v>
      </c>
      <c r="T39" s="11">
        <f t="shared" si="46"/>
        <v>-14.4</v>
      </c>
      <c r="U39" s="11">
        <f t="shared" si="46"/>
        <v>-20.7</v>
      </c>
      <c r="V39" s="11">
        <f t="shared" si="46"/>
        <v>-25.7</v>
      </c>
      <c r="W39" s="11">
        <f t="shared" si="46"/>
        <v>-30.7</v>
      </c>
      <c r="X39" s="11">
        <f t="shared" si="46"/>
        <v>-35.700000000000003</v>
      </c>
      <c r="Y39" s="11">
        <f t="shared" si="46"/>
        <v>-50.8</v>
      </c>
      <c r="Z39" s="11">
        <f t="shared" si="46"/>
        <v>-55.8</v>
      </c>
      <c r="AA39" s="11">
        <f t="shared" si="46"/>
        <v>-60.8</v>
      </c>
      <c r="AB39" s="11">
        <f t="shared" si="46"/>
        <v>-65.8</v>
      </c>
      <c r="AC39" s="11">
        <f t="shared" si="46"/>
        <v>-45.9</v>
      </c>
      <c r="AD39" s="11">
        <f t="shared" si="46"/>
        <v>-50.9</v>
      </c>
      <c r="AE39" s="11">
        <f t="shared" si="46"/>
        <v>-55.9</v>
      </c>
      <c r="AF39" s="11">
        <f t="shared" si="46"/>
        <v>-60.9</v>
      </c>
      <c r="AG39" s="11">
        <f t="shared" si="46"/>
        <v>-67.8</v>
      </c>
      <c r="AH39" s="11">
        <f t="shared" si="46"/>
        <v>-93.6</v>
      </c>
      <c r="AI39" s="11">
        <f t="shared" si="46"/>
        <v>-98.6</v>
      </c>
      <c r="AJ39" s="11">
        <f t="shared" ref="AJ39:BO39" si="47">IF(AJ38=0,0, ROUND(AJ35 * 1/AJ38* AJ$13,1))</f>
        <v>0</v>
      </c>
      <c r="AK39" s="11">
        <f t="shared" si="47"/>
        <v>0</v>
      </c>
      <c r="AL39" s="11">
        <f t="shared" si="47"/>
        <v>0</v>
      </c>
      <c r="AM39" s="11">
        <f t="shared" si="47"/>
        <v>0</v>
      </c>
      <c r="AN39" s="11">
        <f t="shared" si="47"/>
        <v>-121</v>
      </c>
      <c r="AO39" s="11">
        <f t="shared" si="47"/>
        <v>-126</v>
      </c>
      <c r="AP39" s="11">
        <f t="shared" si="47"/>
        <v>-131</v>
      </c>
      <c r="AQ39" s="11">
        <f t="shared" si="47"/>
        <v>-112.5</v>
      </c>
      <c r="AR39" s="11">
        <f t="shared" si="47"/>
        <v>-117.5</v>
      </c>
      <c r="AS39" s="11">
        <f t="shared" si="47"/>
        <v>-153.19999999999999</v>
      </c>
      <c r="AT39" s="11">
        <f t="shared" si="47"/>
        <v>-126.5</v>
      </c>
      <c r="AU39" s="11">
        <f t="shared" si="47"/>
        <v>-138.5</v>
      </c>
      <c r="AV39" s="11">
        <f t="shared" si="47"/>
        <v>-143.5</v>
      </c>
      <c r="AW39" s="11">
        <f t="shared" si="47"/>
        <v>-148.5</v>
      </c>
      <c r="AX39" s="11">
        <f t="shared" si="47"/>
        <v>-153.5</v>
      </c>
      <c r="AY39" s="11">
        <f t="shared" si="47"/>
        <v>-198.2</v>
      </c>
      <c r="AZ39" s="11">
        <f t="shared" si="47"/>
        <v>-203.2</v>
      </c>
      <c r="BA39" s="11">
        <f t="shared" si="47"/>
        <v>-208.2</v>
      </c>
      <c r="BB39" s="11">
        <f t="shared" si="47"/>
        <v>-213.2</v>
      </c>
      <c r="BC39" s="11">
        <f t="shared" si="47"/>
        <v>-218.2</v>
      </c>
      <c r="BD39" s="11">
        <f t="shared" si="47"/>
        <v>-223.2</v>
      </c>
      <c r="BE39" s="11">
        <f t="shared" si="47"/>
        <v>-228.2</v>
      </c>
      <c r="BF39" s="11">
        <f t="shared" si="47"/>
        <v>-233.2</v>
      </c>
      <c r="BG39" s="11">
        <f t="shared" si="47"/>
        <v>-238.2</v>
      </c>
      <c r="BH39" s="11">
        <f t="shared" si="47"/>
        <v>-243.2</v>
      </c>
      <c r="BI39" s="11">
        <f t="shared" si="47"/>
        <v>-248.2</v>
      </c>
      <c r="BJ39" s="11">
        <f t="shared" si="47"/>
        <v>-253.2</v>
      </c>
      <c r="BK39" s="11">
        <f t="shared" si="47"/>
        <v>-258.2</v>
      </c>
      <c r="BL39" s="11">
        <f t="shared" si="47"/>
        <v>-264.39999999999998</v>
      </c>
      <c r="BM39" s="11">
        <f t="shared" si="47"/>
        <v>-269.39999999999998</v>
      </c>
      <c r="BN39" s="11">
        <f t="shared" si="47"/>
        <v>-150.5</v>
      </c>
      <c r="BO39" s="11">
        <f t="shared" si="47"/>
        <v>0</v>
      </c>
      <c r="BP39" s="11">
        <f t="shared" ref="BP39:CC39" si="48">IF(BP38=0,0, ROUND(BP35 * 1/BP38* BP$13,1))</f>
        <v>0</v>
      </c>
      <c r="BQ39" s="11">
        <f t="shared" si="48"/>
        <v>0</v>
      </c>
      <c r="BR39" s="11">
        <f t="shared" si="48"/>
        <v>0</v>
      </c>
      <c r="BS39" s="11">
        <f t="shared" si="48"/>
        <v>-282.2</v>
      </c>
      <c r="BT39" s="11">
        <f t="shared" si="48"/>
        <v>-287.2</v>
      </c>
      <c r="BU39" s="11">
        <f t="shared" si="48"/>
        <v>-292.2</v>
      </c>
      <c r="BV39" s="11">
        <f t="shared" si="48"/>
        <v>-297.2</v>
      </c>
      <c r="BW39" s="11">
        <f t="shared" si="48"/>
        <v>-302.2</v>
      </c>
      <c r="BX39" s="11">
        <f t="shared" si="48"/>
        <v>-307.2</v>
      </c>
      <c r="BY39" s="11">
        <f t="shared" si="48"/>
        <v>-312.2</v>
      </c>
      <c r="BZ39" s="11">
        <f t="shared" si="48"/>
        <v>-317.2</v>
      </c>
      <c r="CA39" s="11">
        <f t="shared" si="48"/>
        <v>-322.2</v>
      </c>
      <c r="CB39" s="11">
        <f t="shared" si="48"/>
        <v>-327.2</v>
      </c>
      <c r="CC39" s="11">
        <f t="shared" si="48"/>
        <v>-332.2</v>
      </c>
    </row>
    <row r="40" spans="1:81" x14ac:dyDescent="0.2">
      <c r="A40">
        <v>4</v>
      </c>
      <c r="B40">
        <v>50</v>
      </c>
      <c r="C40" s="8">
        <v>0.94330999999999998</v>
      </c>
      <c r="D40">
        <f t="shared" ref="D40:AI40" si="49">D37/$B40</f>
        <v>13.2</v>
      </c>
      <c r="E40">
        <f t="shared" si="49"/>
        <v>24</v>
      </c>
      <c r="F40">
        <f t="shared" si="49"/>
        <v>10.8</v>
      </c>
      <c r="G40">
        <f t="shared" si="49"/>
        <v>0</v>
      </c>
      <c r="H40">
        <f t="shared" si="49"/>
        <v>0</v>
      </c>
      <c r="I40">
        <f t="shared" si="49"/>
        <v>0</v>
      </c>
      <c r="J40">
        <f t="shared" si="49"/>
        <v>0</v>
      </c>
      <c r="K40">
        <f t="shared" si="49"/>
        <v>0</v>
      </c>
      <c r="L40">
        <f t="shared" si="49"/>
        <v>0</v>
      </c>
      <c r="M40">
        <f t="shared" si="49"/>
        <v>0</v>
      </c>
      <c r="N40">
        <f t="shared" si="49"/>
        <v>0</v>
      </c>
      <c r="O40">
        <f t="shared" si="49"/>
        <v>0</v>
      </c>
      <c r="P40">
        <f t="shared" si="49"/>
        <v>0</v>
      </c>
      <c r="Q40">
        <f t="shared" si="49"/>
        <v>0</v>
      </c>
      <c r="R40">
        <f t="shared" si="49"/>
        <v>0</v>
      </c>
      <c r="S40">
        <f t="shared" si="49"/>
        <v>0</v>
      </c>
      <c r="T40">
        <f t="shared" si="49"/>
        <v>0</v>
      </c>
      <c r="U40">
        <f t="shared" si="49"/>
        <v>0</v>
      </c>
      <c r="V40">
        <f t="shared" si="49"/>
        <v>0</v>
      </c>
      <c r="W40">
        <f t="shared" si="49"/>
        <v>0</v>
      </c>
      <c r="X40">
        <f t="shared" si="49"/>
        <v>0</v>
      </c>
      <c r="Y40">
        <f t="shared" si="49"/>
        <v>0</v>
      </c>
      <c r="Z40">
        <f t="shared" si="49"/>
        <v>0</v>
      </c>
      <c r="AA40">
        <f t="shared" si="49"/>
        <v>0</v>
      </c>
      <c r="AB40">
        <f t="shared" si="49"/>
        <v>0</v>
      </c>
      <c r="AC40">
        <f t="shared" si="49"/>
        <v>0</v>
      </c>
      <c r="AD40">
        <f t="shared" si="49"/>
        <v>0</v>
      </c>
      <c r="AE40">
        <f t="shared" si="49"/>
        <v>0</v>
      </c>
      <c r="AF40">
        <f t="shared" si="49"/>
        <v>0</v>
      </c>
      <c r="AG40">
        <f t="shared" si="49"/>
        <v>0</v>
      </c>
      <c r="AH40">
        <f t="shared" si="49"/>
        <v>0</v>
      </c>
      <c r="AI40">
        <f t="shared" si="49"/>
        <v>0</v>
      </c>
      <c r="AJ40">
        <f t="shared" ref="AJ40:BO40" si="50">AJ37/$B40</f>
        <v>0</v>
      </c>
      <c r="AK40">
        <f t="shared" si="50"/>
        <v>0</v>
      </c>
      <c r="AL40">
        <f t="shared" si="50"/>
        <v>0</v>
      </c>
      <c r="AM40">
        <f t="shared" si="50"/>
        <v>0</v>
      </c>
      <c r="AN40">
        <f t="shared" si="50"/>
        <v>0</v>
      </c>
      <c r="AO40">
        <f t="shared" si="50"/>
        <v>0</v>
      </c>
      <c r="AP40">
        <f t="shared" si="50"/>
        <v>0</v>
      </c>
      <c r="AQ40">
        <f t="shared" si="50"/>
        <v>0</v>
      </c>
      <c r="AR40">
        <f t="shared" si="50"/>
        <v>0</v>
      </c>
      <c r="AS40">
        <f t="shared" si="50"/>
        <v>0</v>
      </c>
      <c r="AT40">
        <f t="shared" si="50"/>
        <v>0</v>
      </c>
      <c r="AU40">
        <f t="shared" si="50"/>
        <v>0</v>
      </c>
      <c r="AV40">
        <f t="shared" si="50"/>
        <v>0</v>
      </c>
      <c r="AW40">
        <f t="shared" si="50"/>
        <v>0</v>
      </c>
      <c r="AX40">
        <f t="shared" si="50"/>
        <v>0</v>
      </c>
      <c r="AY40">
        <f t="shared" si="50"/>
        <v>0</v>
      </c>
      <c r="AZ40">
        <f t="shared" si="50"/>
        <v>0</v>
      </c>
      <c r="BA40">
        <f t="shared" si="50"/>
        <v>0</v>
      </c>
      <c r="BB40">
        <f t="shared" si="50"/>
        <v>0</v>
      </c>
      <c r="BC40">
        <f t="shared" si="50"/>
        <v>0</v>
      </c>
      <c r="BD40">
        <f t="shared" si="50"/>
        <v>0</v>
      </c>
      <c r="BE40">
        <f t="shared" si="50"/>
        <v>0</v>
      </c>
      <c r="BF40">
        <f t="shared" si="50"/>
        <v>0</v>
      </c>
      <c r="BG40">
        <f t="shared" si="50"/>
        <v>0</v>
      </c>
      <c r="BH40">
        <f t="shared" si="50"/>
        <v>0</v>
      </c>
      <c r="BI40">
        <f t="shared" si="50"/>
        <v>0</v>
      </c>
      <c r="BJ40">
        <f t="shared" si="50"/>
        <v>0</v>
      </c>
      <c r="BK40">
        <f t="shared" si="50"/>
        <v>0</v>
      </c>
      <c r="BL40">
        <f t="shared" si="50"/>
        <v>0</v>
      </c>
      <c r="BM40">
        <f t="shared" si="50"/>
        <v>0</v>
      </c>
      <c r="BN40">
        <f t="shared" si="50"/>
        <v>0</v>
      </c>
      <c r="BO40">
        <f t="shared" si="50"/>
        <v>0</v>
      </c>
      <c r="BP40">
        <f t="shared" ref="BP40:CC40" si="51">BP37/$B40</f>
        <v>0</v>
      </c>
      <c r="BQ40">
        <f t="shared" si="51"/>
        <v>0</v>
      </c>
      <c r="BR40">
        <f t="shared" si="51"/>
        <v>0</v>
      </c>
      <c r="BS40">
        <f t="shared" si="51"/>
        <v>0</v>
      </c>
      <c r="BT40">
        <f t="shared" si="51"/>
        <v>0</v>
      </c>
      <c r="BU40">
        <f t="shared" si="51"/>
        <v>0</v>
      </c>
      <c r="BV40">
        <f t="shared" si="51"/>
        <v>0</v>
      </c>
      <c r="BW40">
        <f t="shared" si="51"/>
        <v>0</v>
      </c>
      <c r="BX40">
        <f t="shared" si="51"/>
        <v>0</v>
      </c>
      <c r="BY40">
        <f t="shared" si="51"/>
        <v>0</v>
      </c>
      <c r="BZ40">
        <f t="shared" si="51"/>
        <v>0</v>
      </c>
      <c r="CA40">
        <f t="shared" si="51"/>
        <v>0</v>
      </c>
      <c r="CB40">
        <f t="shared" si="51"/>
        <v>0</v>
      </c>
      <c r="CC40">
        <f t="shared" si="51"/>
        <v>0</v>
      </c>
    </row>
    <row r="41" spans="1:81" x14ac:dyDescent="0.2">
      <c r="B41" s="67">
        <f>SUM(D45:AJ45)/SUM($D$67:$AJ$67)</f>
        <v>0.13902968863142651</v>
      </c>
      <c r="C41" s="9" t="s">
        <v>216</v>
      </c>
      <c r="D41">
        <f t="shared" ref="D41:AI41" si="52">D35-D38</f>
        <v>6660</v>
      </c>
      <c r="E41">
        <f t="shared" si="52"/>
        <v>5640</v>
      </c>
      <c r="F41">
        <f t="shared" si="52"/>
        <v>4440</v>
      </c>
      <c r="G41">
        <f t="shared" si="52"/>
        <v>3480</v>
      </c>
      <c r="H41">
        <f t="shared" si="52"/>
        <v>2280</v>
      </c>
      <c r="I41">
        <f t="shared" si="52"/>
        <v>1980</v>
      </c>
      <c r="J41">
        <f t="shared" si="52"/>
        <v>2220</v>
      </c>
      <c r="K41">
        <f t="shared" si="52"/>
        <v>2040</v>
      </c>
      <c r="L41">
        <f t="shared" si="52"/>
        <v>840</v>
      </c>
      <c r="M41">
        <f t="shared" si="52"/>
        <v>-1080</v>
      </c>
      <c r="N41">
        <f t="shared" si="52"/>
        <v>-1080</v>
      </c>
      <c r="O41">
        <f t="shared" si="52"/>
        <v>-1080</v>
      </c>
      <c r="P41">
        <f t="shared" si="52"/>
        <v>-1080</v>
      </c>
      <c r="Q41">
        <f t="shared" si="52"/>
        <v>-1080</v>
      </c>
      <c r="R41">
        <f t="shared" si="52"/>
        <v>-1800</v>
      </c>
      <c r="S41">
        <f t="shared" si="52"/>
        <v>-2760</v>
      </c>
      <c r="T41">
        <f t="shared" si="52"/>
        <v>-3720</v>
      </c>
      <c r="U41">
        <f t="shared" si="52"/>
        <v>-4620</v>
      </c>
      <c r="V41">
        <f t="shared" si="52"/>
        <v>-5520</v>
      </c>
      <c r="W41">
        <f t="shared" si="52"/>
        <v>-6420</v>
      </c>
      <c r="X41">
        <f t="shared" si="52"/>
        <v>-7320</v>
      </c>
      <c r="Y41">
        <f t="shared" si="52"/>
        <v>-8040</v>
      </c>
      <c r="Z41">
        <f t="shared" si="52"/>
        <v>-8760</v>
      </c>
      <c r="AA41">
        <f t="shared" si="52"/>
        <v>-9480</v>
      </c>
      <c r="AB41">
        <f t="shared" si="52"/>
        <v>-10200</v>
      </c>
      <c r="AC41">
        <f t="shared" si="52"/>
        <v>-11310</v>
      </c>
      <c r="AD41">
        <f t="shared" si="52"/>
        <v>-12420</v>
      </c>
      <c r="AE41">
        <f t="shared" si="52"/>
        <v>-13530</v>
      </c>
      <c r="AF41">
        <f t="shared" si="52"/>
        <v>-14640</v>
      </c>
      <c r="AG41">
        <f t="shared" si="52"/>
        <v>-15720</v>
      </c>
      <c r="AH41">
        <f t="shared" si="52"/>
        <v>-16560</v>
      </c>
      <c r="AI41">
        <f t="shared" si="52"/>
        <v>-17400</v>
      </c>
      <c r="AJ41">
        <f t="shared" ref="AJ41:BO41" si="53">AJ35-AJ38</f>
        <v>-17400</v>
      </c>
      <c r="AK41">
        <f t="shared" si="53"/>
        <v>-17400</v>
      </c>
      <c r="AL41">
        <f t="shared" si="53"/>
        <v>-17400</v>
      </c>
      <c r="AM41">
        <f t="shared" si="53"/>
        <v>-17400</v>
      </c>
      <c r="AN41">
        <f t="shared" si="53"/>
        <v>-18119</v>
      </c>
      <c r="AO41">
        <f t="shared" si="53"/>
        <v>-18838</v>
      </c>
      <c r="AP41">
        <f t="shared" si="53"/>
        <v>-19557</v>
      </c>
      <c r="AQ41">
        <f t="shared" si="53"/>
        <v>-20426</v>
      </c>
      <c r="AR41">
        <f t="shared" si="53"/>
        <v>-21295</v>
      </c>
      <c r="AS41">
        <f t="shared" si="53"/>
        <v>-21990</v>
      </c>
      <c r="AT41">
        <f t="shared" si="53"/>
        <v>-22859</v>
      </c>
      <c r="AU41">
        <f t="shared" si="53"/>
        <v>-23684</v>
      </c>
      <c r="AV41">
        <f t="shared" si="53"/>
        <v>-24509</v>
      </c>
      <c r="AW41">
        <f t="shared" si="53"/>
        <v>-25334</v>
      </c>
      <c r="AX41">
        <f t="shared" si="53"/>
        <v>-26159</v>
      </c>
      <c r="AY41">
        <f t="shared" si="53"/>
        <v>-26819</v>
      </c>
      <c r="AZ41">
        <f t="shared" si="53"/>
        <v>-27479</v>
      </c>
      <c r="BA41">
        <f t="shared" si="53"/>
        <v>-28139</v>
      </c>
      <c r="BB41">
        <f t="shared" si="53"/>
        <v>-28799</v>
      </c>
      <c r="BC41">
        <f t="shared" si="53"/>
        <v>-29459</v>
      </c>
      <c r="BD41">
        <f t="shared" si="53"/>
        <v>-30119</v>
      </c>
      <c r="BE41">
        <f t="shared" si="53"/>
        <v>-30779</v>
      </c>
      <c r="BF41">
        <f t="shared" si="53"/>
        <v>-31439</v>
      </c>
      <c r="BG41">
        <f t="shared" si="53"/>
        <v>-32099</v>
      </c>
      <c r="BH41">
        <f t="shared" si="53"/>
        <v>-32759</v>
      </c>
      <c r="BI41">
        <f t="shared" si="53"/>
        <v>-33419</v>
      </c>
      <c r="BJ41">
        <f t="shared" si="53"/>
        <v>-34079</v>
      </c>
      <c r="BK41">
        <f t="shared" si="53"/>
        <v>-34739</v>
      </c>
      <c r="BL41">
        <f t="shared" si="53"/>
        <v>-35396</v>
      </c>
      <c r="BM41">
        <f t="shared" si="53"/>
        <v>-36053</v>
      </c>
      <c r="BN41">
        <f t="shared" si="53"/>
        <v>-37251</v>
      </c>
      <c r="BO41">
        <f t="shared" si="53"/>
        <v>-37251</v>
      </c>
      <c r="BP41">
        <f t="shared" ref="BP41:CC41" si="54">BP35-BP38</f>
        <v>-37251</v>
      </c>
      <c r="BQ41">
        <f t="shared" si="54"/>
        <v>-37251</v>
      </c>
      <c r="BR41">
        <f t="shared" si="54"/>
        <v>-37251</v>
      </c>
      <c r="BS41">
        <f t="shared" si="54"/>
        <v>-37911</v>
      </c>
      <c r="BT41">
        <f t="shared" si="54"/>
        <v>-38571</v>
      </c>
      <c r="BU41">
        <f t="shared" si="54"/>
        <v>-39231</v>
      </c>
      <c r="BV41">
        <f t="shared" si="54"/>
        <v>-39891</v>
      </c>
      <c r="BW41">
        <f t="shared" si="54"/>
        <v>-40551</v>
      </c>
      <c r="BX41">
        <f t="shared" si="54"/>
        <v>-41211</v>
      </c>
      <c r="BY41">
        <f t="shared" si="54"/>
        <v>-41871</v>
      </c>
      <c r="BZ41">
        <f t="shared" si="54"/>
        <v>-42531</v>
      </c>
      <c r="CA41">
        <f t="shared" si="54"/>
        <v>-43191</v>
      </c>
      <c r="CB41">
        <f t="shared" si="54"/>
        <v>-43851</v>
      </c>
      <c r="CC41">
        <f t="shared" si="54"/>
        <v>-44511</v>
      </c>
    </row>
    <row r="42" spans="1:81" x14ac:dyDescent="0.2">
      <c r="A42" s="43" t="s">
        <v>334</v>
      </c>
      <c r="B42" s="44" t="s">
        <v>208</v>
      </c>
      <c r="C42" s="9" t="s">
        <v>38</v>
      </c>
      <c r="D42" s="58">
        <f>IFERROR(VLOOKUP(A42,OS!$A:$B,2,0),0)</f>
        <v>5580</v>
      </c>
      <c r="E42" s="5">
        <f>(D42+D43-D45)</f>
        <v>6780</v>
      </c>
      <c r="F42" s="5">
        <f>(E42+E43-E45)</f>
        <v>4380</v>
      </c>
      <c r="G42" s="5">
        <f>(F42+F43-F45)</f>
        <v>4380</v>
      </c>
      <c r="H42" s="5">
        <f>(G42+G43-G45)</f>
        <v>3420</v>
      </c>
      <c r="I42" s="5">
        <f t="shared" ref="I42:AN42" si="55">(H42+H43-H45+D44)</f>
        <v>3480</v>
      </c>
      <c r="J42" s="5">
        <f t="shared" si="55"/>
        <v>4025</v>
      </c>
      <c r="K42" s="5">
        <f t="shared" si="55"/>
        <v>3065</v>
      </c>
      <c r="L42" s="5">
        <f t="shared" si="55"/>
        <v>2105</v>
      </c>
      <c r="M42" s="5">
        <f t="shared" si="55"/>
        <v>905</v>
      </c>
      <c r="N42" s="5">
        <f t="shared" si="55"/>
        <v>-295</v>
      </c>
      <c r="O42" s="5">
        <f t="shared" si="55"/>
        <v>-295</v>
      </c>
      <c r="P42" s="5">
        <f t="shared" si="55"/>
        <v>-295</v>
      </c>
      <c r="Q42" s="5">
        <f t="shared" si="55"/>
        <v>-295</v>
      </c>
      <c r="R42" s="5">
        <f t="shared" si="55"/>
        <v>-295</v>
      </c>
      <c r="S42" s="5">
        <f t="shared" si="55"/>
        <v>-1015</v>
      </c>
      <c r="T42" s="5">
        <f t="shared" si="55"/>
        <v>-1975</v>
      </c>
      <c r="U42" s="5">
        <f t="shared" si="55"/>
        <v>-2695</v>
      </c>
      <c r="V42" s="5">
        <f t="shared" si="55"/>
        <v>-3535</v>
      </c>
      <c r="W42" s="5">
        <f t="shared" si="55"/>
        <v>-4375</v>
      </c>
      <c r="X42" s="5">
        <f t="shared" si="55"/>
        <v>-5215</v>
      </c>
      <c r="Y42" s="5">
        <f t="shared" si="55"/>
        <v>-6055</v>
      </c>
      <c r="Z42" s="5">
        <f t="shared" si="55"/>
        <v>-6595</v>
      </c>
      <c r="AA42" s="5">
        <f t="shared" si="55"/>
        <v>-7135</v>
      </c>
      <c r="AB42" s="5">
        <f t="shared" si="55"/>
        <v>-7675</v>
      </c>
      <c r="AC42" s="5">
        <f t="shared" si="55"/>
        <v>-8215</v>
      </c>
      <c r="AD42" s="5">
        <f t="shared" si="55"/>
        <v>-8935</v>
      </c>
      <c r="AE42" s="5">
        <f t="shared" si="55"/>
        <v>-9655</v>
      </c>
      <c r="AF42" s="5">
        <f t="shared" si="55"/>
        <v>-10375</v>
      </c>
      <c r="AG42" s="5">
        <f t="shared" si="55"/>
        <v>-11095</v>
      </c>
      <c r="AH42" s="5">
        <f t="shared" si="55"/>
        <v>-11815</v>
      </c>
      <c r="AI42" s="5">
        <f t="shared" si="55"/>
        <v>-12775</v>
      </c>
      <c r="AJ42" s="5">
        <f t="shared" si="55"/>
        <v>-13735</v>
      </c>
      <c r="AK42" s="5">
        <f t="shared" si="55"/>
        <v>-13735</v>
      </c>
      <c r="AL42" s="5">
        <f t="shared" si="55"/>
        <v>-13735</v>
      </c>
      <c r="AM42" s="5">
        <f t="shared" si="55"/>
        <v>-13735</v>
      </c>
      <c r="AN42" s="5">
        <f t="shared" si="55"/>
        <v>-13735</v>
      </c>
      <c r="AO42" s="5">
        <f t="shared" ref="AO42:BT42" si="56">(AN42+AN43-AN45+AJ44)</f>
        <v>-14346</v>
      </c>
      <c r="AP42" s="5">
        <f t="shared" si="56"/>
        <v>-14957</v>
      </c>
      <c r="AQ42" s="5">
        <f t="shared" si="56"/>
        <v>-15568</v>
      </c>
      <c r="AR42" s="5">
        <f t="shared" si="56"/>
        <v>-16306</v>
      </c>
      <c r="AS42" s="5">
        <f t="shared" si="56"/>
        <v>-17044</v>
      </c>
      <c r="AT42" s="5">
        <f t="shared" si="56"/>
        <v>-17635</v>
      </c>
      <c r="AU42" s="5">
        <f t="shared" si="56"/>
        <v>-18373</v>
      </c>
      <c r="AV42" s="5">
        <f t="shared" si="56"/>
        <v>-19074</v>
      </c>
      <c r="AW42" s="5">
        <f t="shared" si="56"/>
        <v>-19775</v>
      </c>
      <c r="AX42" s="5">
        <f t="shared" si="56"/>
        <v>-20476</v>
      </c>
      <c r="AY42" s="5">
        <f t="shared" si="56"/>
        <v>-21177</v>
      </c>
      <c r="AZ42" s="5">
        <f t="shared" si="56"/>
        <v>-21738</v>
      </c>
      <c r="BA42" s="5">
        <f t="shared" si="56"/>
        <v>-22299</v>
      </c>
      <c r="BB42" s="5">
        <f t="shared" si="56"/>
        <v>-22860</v>
      </c>
      <c r="BC42" s="5">
        <f t="shared" si="56"/>
        <v>-23421</v>
      </c>
      <c r="BD42" s="5">
        <f t="shared" si="56"/>
        <v>-23982</v>
      </c>
      <c r="BE42" s="5">
        <f t="shared" si="56"/>
        <v>-24543</v>
      </c>
      <c r="BF42" s="5">
        <f t="shared" si="56"/>
        <v>-25104</v>
      </c>
      <c r="BG42" s="5">
        <f t="shared" si="56"/>
        <v>-25665</v>
      </c>
      <c r="BH42" s="5">
        <f t="shared" si="56"/>
        <v>-26226</v>
      </c>
      <c r="BI42" s="5">
        <f t="shared" si="56"/>
        <v>-26787</v>
      </c>
      <c r="BJ42" s="5">
        <f t="shared" si="56"/>
        <v>-27348</v>
      </c>
      <c r="BK42" s="5">
        <f t="shared" si="56"/>
        <v>-27909</v>
      </c>
      <c r="BL42" s="5">
        <f t="shared" si="56"/>
        <v>-28470</v>
      </c>
      <c r="BM42" s="5">
        <f t="shared" si="56"/>
        <v>-29028</v>
      </c>
      <c r="BN42" s="5">
        <f t="shared" si="56"/>
        <v>-29586</v>
      </c>
      <c r="BO42" s="5">
        <f t="shared" si="56"/>
        <v>-30604</v>
      </c>
      <c r="BP42" s="5">
        <f t="shared" si="56"/>
        <v>-30604</v>
      </c>
      <c r="BQ42" s="5">
        <f t="shared" si="56"/>
        <v>-30604</v>
      </c>
      <c r="BR42" s="5">
        <f t="shared" si="56"/>
        <v>-30604</v>
      </c>
      <c r="BS42" s="5">
        <f t="shared" si="56"/>
        <v>-30604</v>
      </c>
      <c r="BT42" s="5">
        <f t="shared" si="56"/>
        <v>-31165</v>
      </c>
      <c r="BU42" s="5">
        <f t="shared" ref="BU42:CC42" si="57">(BT42+BT43-BT45+BP44)</f>
        <v>-31726</v>
      </c>
      <c r="BV42" s="5">
        <f t="shared" si="57"/>
        <v>-32287</v>
      </c>
      <c r="BW42" s="5">
        <f t="shared" si="57"/>
        <v>-32848</v>
      </c>
      <c r="BX42" s="5">
        <f t="shared" si="57"/>
        <v>-33409</v>
      </c>
      <c r="BY42" s="5">
        <f t="shared" si="57"/>
        <v>-33970</v>
      </c>
      <c r="BZ42" s="5">
        <f t="shared" si="57"/>
        <v>-34531</v>
      </c>
      <c r="CA42" s="5">
        <f t="shared" si="57"/>
        <v>-35092</v>
      </c>
      <c r="CB42" s="5">
        <f t="shared" si="57"/>
        <v>-35653</v>
      </c>
      <c r="CC42" s="5">
        <f t="shared" si="57"/>
        <v>-36214</v>
      </c>
    </row>
    <row r="43" spans="1:81" x14ac:dyDescent="0.2">
      <c r="A43" s="5" t="s">
        <v>209</v>
      </c>
      <c r="B43" s="5">
        <v>1.3775500000000001</v>
      </c>
      <c r="C43" s="45" t="s">
        <v>39</v>
      </c>
      <c r="D43" s="59">
        <f>IFERROR(VLOOKUP(A42,WIP!$A:$B,2,0),0)</f>
        <v>1200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">
      <c r="A44" s="5" t="s">
        <v>210</v>
      </c>
      <c r="B44" s="5">
        <v>5.5E-2</v>
      </c>
      <c r="C44" s="9" t="s">
        <v>211</v>
      </c>
      <c r="D44" s="60">
        <f>IFERROR(VLOOKUP($A42,Plan!$A:B,D$4,0),0)</f>
        <v>1020</v>
      </c>
      <c r="E44" s="60">
        <f>IFERROR(VLOOKUP($A42,Plan!$A:C,E$4,0),0)</f>
        <v>1505</v>
      </c>
      <c r="F44" s="60">
        <f>IFERROR(VLOOKUP($A42,Plan!$A:D,F$4,0),0)</f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">
      <c r="A45" s="5" t="s">
        <v>212</v>
      </c>
      <c r="B45" s="5">
        <v>3.0000000000000001E-3</v>
      </c>
      <c r="C45" s="9" t="s">
        <v>213</v>
      </c>
      <c r="D45" s="61">
        <f>IFERROR(VLOOKUP($A42,Sales!$A:B,D$2,0),0)</f>
        <v>0</v>
      </c>
      <c r="E45" s="61">
        <f>IFERROR(VLOOKUP($A42,Sales!$A:C,E$2,0),0)</f>
        <v>2400</v>
      </c>
      <c r="F45" s="61">
        <f>IFERROR(VLOOKUP($A42,Sales!$A:D,F$2,0),0)</f>
        <v>0</v>
      </c>
      <c r="G45" s="61">
        <f>IFERROR(VLOOKUP($A42,Sales!$A:E,G$2,0),0)</f>
        <v>960</v>
      </c>
      <c r="H45" s="61">
        <f>IFERROR(VLOOKUP($A42,Sales!$A:F,H$2,0),0)</f>
        <v>960</v>
      </c>
      <c r="I45" s="61">
        <f>IFERROR(VLOOKUP($A42,Sales!$A:G,I$2,0),0)</f>
        <v>960</v>
      </c>
      <c r="J45" s="61">
        <f>IFERROR(VLOOKUP($A42,Sales!$A:H,J$2,0),0)</f>
        <v>960</v>
      </c>
      <c r="K45" s="61">
        <f>IFERROR(VLOOKUP($A42,Sales!$A:I,K$2,0),0)</f>
        <v>960</v>
      </c>
      <c r="L45" s="61">
        <f>IFERROR(VLOOKUP($A42,Sales!$A:J,L$2,0),0)</f>
        <v>1200</v>
      </c>
      <c r="M45" s="61">
        <f>IFERROR(VLOOKUP($A42,Sales!$A:K,M$2,0),0)</f>
        <v>1200</v>
      </c>
      <c r="N45" s="61">
        <f>IFERROR(VLOOKUP($A42,Sales!$A:L,N$2,0),0)</f>
        <v>0</v>
      </c>
      <c r="O45" s="61">
        <f>IFERROR(VLOOKUP($A42,Sales!$A:M,O$2,0),0)</f>
        <v>0</v>
      </c>
      <c r="P45" s="61">
        <f>IFERROR(VLOOKUP($A42,Sales!$A:N,P$2,0),0)</f>
        <v>0</v>
      </c>
      <c r="Q45" s="61">
        <f>IFERROR(VLOOKUP($A42,Sales!$A:O,Q$2,0),0)</f>
        <v>0</v>
      </c>
      <c r="R45" s="61">
        <f>IFERROR(VLOOKUP($A42,Sales!$A:P,R$2,0),0)</f>
        <v>720</v>
      </c>
      <c r="S45" s="61">
        <f>IFERROR(VLOOKUP($A42,Sales!$A:Q,S$2,0),0)</f>
        <v>960</v>
      </c>
      <c r="T45" s="61">
        <f>IFERROR(VLOOKUP($A42,Sales!$A:R,T$2,0),0)</f>
        <v>720</v>
      </c>
      <c r="U45" s="61">
        <f>IFERROR(VLOOKUP($A42,Sales!$A:S,U$2,0),0)</f>
        <v>840</v>
      </c>
      <c r="V45" s="61">
        <f>IFERROR(VLOOKUP($A42,Sales!$A:T,V$2,0),0)</f>
        <v>840</v>
      </c>
      <c r="W45" s="61">
        <f>IFERROR(VLOOKUP($A42,Sales!$A:U,W$2,0),0)</f>
        <v>840</v>
      </c>
      <c r="X45" s="61">
        <f>IFERROR(VLOOKUP($A42,Sales!$A:V,X$2,0),0)</f>
        <v>840</v>
      </c>
      <c r="Y45" s="61">
        <f>IFERROR(VLOOKUP($A42,Sales!$A:W,Y$2,0),0)</f>
        <v>540</v>
      </c>
      <c r="Z45" s="61">
        <f>IFERROR(VLOOKUP($A42,Sales!$A:X,Z$2,0),0)</f>
        <v>540</v>
      </c>
      <c r="AA45" s="61">
        <f>IFERROR(VLOOKUP($A42,Sales!$A:Y,AA$2,0),0)</f>
        <v>540</v>
      </c>
      <c r="AB45" s="61">
        <f>IFERROR(VLOOKUP($A42,Sales!$A:Z,AB$2,0),0)</f>
        <v>540</v>
      </c>
      <c r="AC45" s="61">
        <f>IFERROR(VLOOKUP($A42,Sales!$A:AA,AC$2,0),0)</f>
        <v>720</v>
      </c>
      <c r="AD45" s="61">
        <f>IFERROR(VLOOKUP($A42,Sales!$A:AB,AD$2,0),0)</f>
        <v>720</v>
      </c>
      <c r="AE45" s="61">
        <f>IFERROR(VLOOKUP($A42,Sales!$A:AC,AE$2,0),0)</f>
        <v>720</v>
      </c>
      <c r="AF45" s="61">
        <f>IFERROR(VLOOKUP($A42,Sales!$A:AD,AF$2,0),0)</f>
        <v>720</v>
      </c>
      <c r="AG45" s="61">
        <f>IFERROR(VLOOKUP($A42,Sales!$A:AE,AG$2,0),0)</f>
        <v>720</v>
      </c>
      <c r="AH45" s="61">
        <f>IFERROR(VLOOKUP($A42,Sales!$A:AF,AH$2,0),0)</f>
        <v>960</v>
      </c>
      <c r="AI45" s="61">
        <f>IFERROR(VLOOKUP($A42,Sales!$A:AG,AI$2,0),0)</f>
        <v>960</v>
      </c>
      <c r="AJ45" s="61">
        <f>IFERROR(VLOOKUP($A42,Sales!$A:AH,AJ$2,0),0)</f>
        <v>0</v>
      </c>
      <c r="AK45" s="74">
        <f t="shared" ref="AK45:CC45" si="58">CEILING(AK$5*$B41,1)</f>
        <v>0</v>
      </c>
      <c r="AL45" s="74">
        <f t="shared" si="58"/>
        <v>0</v>
      </c>
      <c r="AM45" s="74">
        <f t="shared" si="58"/>
        <v>0</v>
      </c>
      <c r="AN45" s="74">
        <f t="shared" si="58"/>
        <v>611</v>
      </c>
      <c r="AO45" s="74">
        <f t="shared" si="58"/>
        <v>611</v>
      </c>
      <c r="AP45" s="74">
        <f t="shared" si="58"/>
        <v>611</v>
      </c>
      <c r="AQ45" s="74">
        <f t="shared" si="58"/>
        <v>738</v>
      </c>
      <c r="AR45" s="74">
        <f t="shared" si="58"/>
        <v>738</v>
      </c>
      <c r="AS45" s="74">
        <f t="shared" si="58"/>
        <v>591</v>
      </c>
      <c r="AT45" s="74">
        <f t="shared" si="58"/>
        <v>738</v>
      </c>
      <c r="AU45" s="74">
        <f t="shared" si="58"/>
        <v>701</v>
      </c>
      <c r="AV45" s="74">
        <f t="shared" si="58"/>
        <v>701</v>
      </c>
      <c r="AW45" s="74">
        <f t="shared" si="58"/>
        <v>701</v>
      </c>
      <c r="AX45" s="74">
        <f t="shared" si="58"/>
        <v>701</v>
      </c>
      <c r="AY45" s="74">
        <f t="shared" si="58"/>
        <v>561</v>
      </c>
      <c r="AZ45" s="74">
        <f t="shared" si="58"/>
        <v>561</v>
      </c>
      <c r="BA45" s="74">
        <f t="shared" si="58"/>
        <v>561</v>
      </c>
      <c r="BB45" s="74">
        <f t="shared" si="58"/>
        <v>561</v>
      </c>
      <c r="BC45" s="74">
        <f t="shared" si="58"/>
        <v>561</v>
      </c>
      <c r="BD45" s="74">
        <f t="shared" si="58"/>
        <v>561</v>
      </c>
      <c r="BE45" s="74">
        <f t="shared" si="58"/>
        <v>561</v>
      </c>
      <c r="BF45" s="74">
        <f t="shared" si="58"/>
        <v>561</v>
      </c>
      <c r="BG45" s="74">
        <f t="shared" si="58"/>
        <v>561</v>
      </c>
      <c r="BH45" s="74">
        <f t="shared" si="58"/>
        <v>561</v>
      </c>
      <c r="BI45" s="74">
        <f t="shared" si="58"/>
        <v>561</v>
      </c>
      <c r="BJ45" s="74">
        <f t="shared" si="58"/>
        <v>561</v>
      </c>
      <c r="BK45" s="74">
        <f t="shared" si="58"/>
        <v>561</v>
      </c>
      <c r="BL45" s="74">
        <f t="shared" si="58"/>
        <v>558</v>
      </c>
      <c r="BM45" s="74">
        <f t="shared" si="58"/>
        <v>558</v>
      </c>
      <c r="BN45" s="74">
        <f t="shared" si="58"/>
        <v>1018</v>
      </c>
      <c r="BO45" s="74">
        <f t="shared" si="58"/>
        <v>0</v>
      </c>
      <c r="BP45" s="74">
        <f t="shared" si="58"/>
        <v>0</v>
      </c>
      <c r="BQ45" s="74">
        <f t="shared" si="58"/>
        <v>0</v>
      </c>
      <c r="BR45" s="74">
        <f t="shared" si="58"/>
        <v>0</v>
      </c>
      <c r="BS45" s="74">
        <f t="shared" si="58"/>
        <v>561</v>
      </c>
      <c r="BT45" s="74">
        <f t="shared" si="58"/>
        <v>561</v>
      </c>
      <c r="BU45" s="74">
        <f t="shared" si="58"/>
        <v>561</v>
      </c>
      <c r="BV45" s="74">
        <f t="shared" si="58"/>
        <v>561</v>
      </c>
      <c r="BW45" s="74">
        <f t="shared" si="58"/>
        <v>561</v>
      </c>
      <c r="BX45" s="74">
        <f t="shared" si="58"/>
        <v>561</v>
      </c>
      <c r="BY45" s="74">
        <f t="shared" si="58"/>
        <v>561</v>
      </c>
      <c r="BZ45" s="74">
        <f t="shared" si="58"/>
        <v>561</v>
      </c>
      <c r="CA45" s="74">
        <f t="shared" si="58"/>
        <v>561</v>
      </c>
      <c r="CB45" s="74">
        <f t="shared" si="58"/>
        <v>561</v>
      </c>
      <c r="CC45" s="74">
        <f t="shared" si="58"/>
        <v>561</v>
      </c>
    </row>
    <row r="46" spans="1:81" x14ac:dyDescent="0.2">
      <c r="A46" s="5" t="s">
        <v>214</v>
      </c>
      <c r="B46" s="5">
        <v>5.8000000000000003E-2</v>
      </c>
      <c r="C46" s="46" t="s">
        <v>215</v>
      </c>
      <c r="D46" s="11">
        <f t="shared" ref="D46:AI46" si="59">IF(D45=0,0, ROUND(D42 * 1/D45* D$13,1))</f>
        <v>0</v>
      </c>
      <c r="E46" s="11">
        <f t="shared" si="59"/>
        <v>14.1</v>
      </c>
      <c r="F46" s="11">
        <f t="shared" si="59"/>
        <v>0</v>
      </c>
      <c r="G46" s="11">
        <f t="shared" si="59"/>
        <v>22.8</v>
      </c>
      <c r="H46" s="11">
        <f t="shared" si="59"/>
        <v>17.8</v>
      </c>
      <c r="I46" s="11">
        <f t="shared" si="59"/>
        <v>18.100000000000001</v>
      </c>
      <c r="J46" s="11">
        <f t="shared" si="59"/>
        <v>21</v>
      </c>
      <c r="K46" s="11">
        <f t="shared" si="59"/>
        <v>16</v>
      </c>
      <c r="L46" s="11">
        <f t="shared" si="59"/>
        <v>8.8000000000000007</v>
      </c>
      <c r="M46" s="11">
        <f t="shared" si="59"/>
        <v>3.8</v>
      </c>
      <c r="N46" s="11">
        <f t="shared" si="59"/>
        <v>0</v>
      </c>
      <c r="O46" s="11">
        <f t="shared" si="59"/>
        <v>0</v>
      </c>
      <c r="P46" s="11">
        <f t="shared" si="59"/>
        <v>0</v>
      </c>
      <c r="Q46" s="11">
        <f t="shared" si="59"/>
        <v>0</v>
      </c>
      <c r="R46" s="11">
        <f t="shared" si="59"/>
        <v>-2</v>
      </c>
      <c r="S46" s="11">
        <f t="shared" si="59"/>
        <v>-5.3</v>
      </c>
      <c r="T46" s="11">
        <f t="shared" si="59"/>
        <v>-13.7</v>
      </c>
      <c r="U46" s="11">
        <f t="shared" si="59"/>
        <v>-16</v>
      </c>
      <c r="V46" s="11">
        <f t="shared" si="59"/>
        <v>-21</v>
      </c>
      <c r="W46" s="11">
        <f t="shared" si="59"/>
        <v>-26</v>
      </c>
      <c r="X46" s="11">
        <f t="shared" si="59"/>
        <v>-31</v>
      </c>
      <c r="Y46" s="11">
        <f t="shared" si="59"/>
        <v>-56.1</v>
      </c>
      <c r="Z46" s="11">
        <f t="shared" si="59"/>
        <v>-61.1</v>
      </c>
      <c r="AA46" s="11">
        <f t="shared" si="59"/>
        <v>-66.099999999999994</v>
      </c>
      <c r="AB46" s="11">
        <f t="shared" si="59"/>
        <v>-71.099999999999994</v>
      </c>
      <c r="AC46" s="11">
        <f t="shared" si="59"/>
        <v>-57</v>
      </c>
      <c r="AD46" s="11">
        <f t="shared" si="59"/>
        <v>-62</v>
      </c>
      <c r="AE46" s="11">
        <f t="shared" si="59"/>
        <v>-67</v>
      </c>
      <c r="AF46" s="11">
        <f t="shared" si="59"/>
        <v>-72</v>
      </c>
      <c r="AG46" s="11">
        <f t="shared" si="59"/>
        <v>-77</v>
      </c>
      <c r="AH46" s="11">
        <f t="shared" si="59"/>
        <v>-61.5</v>
      </c>
      <c r="AI46" s="11">
        <f t="shared" si="59"/>
        <v>-66.5</v>
      </c>
      <c r="AJ46" s="11">
        <f t="shared" ref="AJ46:BO46" si="60">IF(AJ45=0,0, ROUND(AJ42 * 1/AJ45* AJ$13,1))</f>
        <v>0</v>
      </c>
      <c r="AK46" s="11">
        <f t="shared" si="60"/>
        <v>0</v>
      </c>
      <c r="AL46" s="11">
        <f t="shared" si="60"/>
        <v>0</v>
      </c>
      <c r="AM46" s="11">
        <f t="shared" si="60"/>
        <v>0</v>
      </c>
      <c r="AN46" s="11">
        <f t="shared" si="60"/>
        <v>-112.4</v>
      </c>
      <c r="AO46" s="11">
        <f t="shared" si="60"/>
        <v>-117.4</v>
      </c>
      <c r="AP46" s="11">
        <f t="shared" si="60"/>
        <v>-122.4</v>
      </c>
      <c r="AQ46" s="11">
        <f t="shared" si="60"/>
        <v>-105.5</v>
      </c>
      <c r="AR46" s="11">
        <f t="shared" si="60"/>
        <v>-110.5</v>
      </c>
      <c r="AS46" s="11">
        <f t="shared" si="60"/>
        <v>-144.19999999999999</v>
      </c>
      <c r="AT46" s="11">
        <f t="shared" si="60"/>
        <v>-119.5</v>
      </c>
      <c r="AU46" s="11">
        <f t="shared" si="60"/>
        <v>-131</v>
      </c>
      <c r="AV46" s="11">
        <f t="shared" si="60"/>
        <v>-136</v>
      </c>
      <c r="AW46" s="11">
        <f t="shared" si="60"/>
        <v>-141</v>
      </c>
      <c r="AX46" s="11">
        <f t="shared" si="60"/>
        <v>-146</v>
      </c>
      <c r="AY46" s="11">
        <f t="shared" si="60"/>
        <v>-188.7</v>
      </c>
      <c r="AZ46" s="11">
        <f t="shared" si="60"/>
        <v>-193.7</v>
      </c>
      <c r="BA46" s="11">
        <f t="shared" si="60"/>
        <v>-198.7</v>
      </c>
      <c r="BB46" s="11">
        <f t="shared" si="60"/>
        <v>-203.7</v>
      </c>
      <c r="BC46" s="11">
        <f t="shared" si="60"/>
        <v>-208.7</v>
      </c>
      <c r="BD46" s="11">
        <f t="shared" si="60"/>
        <v>-213.7</v>
      </c>
      <c r="BE46" s="11">
        <f t="shared" si="60"/>
        <v>-218.7</v>
      </c>
      <c r="BF46" s="11">
        <f t="shared" si="60"/>
        <v>-223.7</v>
      </c>
      <c r="BG46" s="11">
        <f t="shared" si="60"/>
        <v>-228.7</v>
      </c>
      <c r="BH46" s="11">
        <f t="shared" si="60"/>
        <v>-233.7</v>
      </c>
      <c r="BI46" s="11">
        <f t="shared" si="60"/>
        <v>-238.7</v>
      </c>
      <c r="BJ46" s="11">
        <f t="shared" si="60"/>
        <v>-243.7</v>
      </c>
      <c r="BK46" s="11">
        <f t="shared" si="60"/>
        <v>-248.7</v>
      </c>
      <c r="BL46" s="11">
        <f t="shared" si="60"/>
        <v>-255.1</v>
      </c>
      <c r="BM46" s="11">
        <f t="shared" si="60"/>
        <v>-260.10000000000002</v>
      </c>
      <c r="BN46" s="11">
        <f t="shared" si="60"/>
        <v>-145.30000000000001</v>
      </c>
      <c r="BO46" s="11">
        <f t="shared" si="60"/>
        <v>0</v>
      </c>
      <c r="BP46" s="11">
        <f t="shared" ref="BP46:CC46" si="61">IF(BP45=0,0, ROUND(BP42 * 1/BP45* BP$13,1))</f>
        <v>0</v>
      </c>
      <c r="BQ46" s="11">
        <f t="shared" si="61"/>
        <v>0</v>
      </c>
      <c r="BR46" s="11">
        <f t="shared" si="61"/>
        <v>0</v>
      </c>
      <c r="BS46" s="11">
        <f t="shared" si="61"/>
        <v>-272.8</v>
      </c>
      <c r="BT46" s="11">
        <f t="shared" si="61"/>
        <v>-277.8</v>
      </c>
      <c r="BU46" s="11">
        <f t="shared" si="61"/>
        <v>-282.8</v>
      </c>
      <c r="BV46" s="11">
        <f t="shared" si="61"/>
        <v>-287.8</v>
      </c>
      <c r="BW46" s="11">
        <f t="shared" si="61"/>
        <v>-292.8</v>
      </c>
      <c r="BX46" s="11">
        <f t="shared" si="61"/>
        <v>-297.8</v>
      </c>
      <c r="BY46" s="11">
        <f t="shared" si="61"/>
        <v>-302.8</v>
      </c>
      <c r="BZ46" s="11">
        <f t="shared" si="61"/>
        <v>-307.8</v>
      </c>
      <c r="CA46" s="11">
        <f t="shared" si="61"/>
        <v>-312.8</v>
      </c>
      <c r="CB46" s="11">
        <f t="shared" si="61"/>
        <v>-317.8</v>
      </c>
      <c r="CC46" s="11">
        <f t="shared" si="61"/>
        <v>-322.8</v>
      </c>
    </row>
    <row r="47" spans="1:81" x14ac:dyDescent="0.2">
      <c r="A47">
        <v>5</v>
      </c>
      <c r="B47">
        <v>50</v>
      </c>
      <c r="C47" s="8">
        <v>1.0042500000000001</v>
      </c>
      <c r="D47">
        <f t="shared" ref="D47:AI47" si="62">D44/$B47</f>
        <v>20.399999999999999</v>
      </c>
      <c r="E47">
        <f t="shared" si="62"/>
        <v>30.1</v>
      </c>
      <c r="F47">
        <f t="shared" si="62"/>
        <v>0</v>
      </c>
      <c r="G47">
        <f t="shared" si="62"/>
        <v>0</v>
      </c>
      <c r="H47">
        <f t="shared" si="62"/>
        <v>0</v>
      </c>
      <c r="I47">
        <f t="shared" si="62"/>
        <v>0</v>
      </c>
      <c r="J47">
        <f t="shared" si="62"/>
        <v>0</v>
      </c>
      <c r="K47">
        <f t="shared" si="62"/>
        <v>0</v>
      </c>
      <c r="L47">
        <f t="shared" si="62"/>
        <v>0</v>
      </c>
      <c r="M47">
        <f t="shared" si="62"/>
        <v>0</v>
      </c>
      <c r="N47">
        <f t="shared" si="62"/>
        <v>0</v>
      </c>
      <c r="O47">
        <f t="shared" si="62"/>
        <v>0</v>
      </c>
      <c r="P47">
        <f t="shared" si="62"/>
        <v>0</v>
      </c>
      <c r="Q47">
        <f t="shared" si="62"/>
        <v>0</v>
      </c>
      <c r="R47">
        <f t="shared" si="62"/>
        <v>0</v>
      </c>
      <c r="S47">
        <f t="shared" si="62"/>
        <v>0</v>
      </c>
      <c r="T47">
        <f t="shared" si="62"/>
        <v>0</v>
      </c>
      <c r="U47">
        <f t="shared" si="62"/>
        <v>0</v>
      </c>
      <c r="V47">
        <f t="shared" si="62"/>
        <v>0</v>
      </c>
      <c r="W47">
        <f t="shared" si="62"/>
        <v>0</v>
      </c>
      <c r="X47">
        <f t="shared" si="62"/>
        <v>0</v>
      </c>
      <c r="Y47">
        <f t="shared" si="62"/>
        <v>0</v>
      </c>
      <c r="Z47">
        <f t="shared" si="62"/>
        <v>0</v>
      </c>
      <c r="AA47">
        <f t="shared" si="62"/>
        <v>0</v>
      </c>
      <c r="AB47">
        <f t="shared" si="62"/>
        <v>0</v>
      </c>
      <c r="AC47">
        <f t="shared" si="62"/>
        <v>0</v>
      </c>
      <c r="AD47">
        <f t="shared" si="62"/>
        <v>0</v>
      </c>
      <c r="AE47">
        <f t="shared" si="62"/>
        <v>0</v>
      </c>
      <c r="AF47">
        <f t="shared" si="62"/>
        <v>0</v>
      </c>
      <c r="AG47">
        <f t="shared" si="62"/>
        <v>0</v>
      </c>
      <c r="AH47">
        <f t="shared" si="62"/>
        <v>0</v>
      </c>
      <c r="AI47">
        <f t="shared" si="62"/>
        <v>0</v>
      </c>
      <c r="AJ47">
        <f t="shared" ref="AJ47:BO47" si="63">AJ44/$B47</f>
        <v>0</v>
      </c>
      <c r="AK47">
        <f t="shared" si="63"/>
        <v>0</v>
      </c>
      <c r="AL47">
        <f t="shared" si="63"/>
        <v>0</v>
      </c>
      <c r="AM47">
        <f t="shared" si="63"/>
        <v>0</v>
      </c>
      <c r="AN47">
        <f t="shared" si="63"/>
        <v>0</v>
      </c>
      <c r="AO47">
        <f t="shared" si="63"/>
        <v>0</v>
      </c>
      <c r="AP47">
        <f t="shared" si="63"/>
        <v>0</v>
      </c>
      <c r="AQ47">
        <f t="shared" si="63"/>
        <v>0</v>
      </c>
      <c r="AR47">
        <f t="shared" si="63"/>
        <v>0</v>
      </c>
      <c r="AS47">
        <f t="shared" si="63"/>
        <v>0</v>
      </c>
      <c r="AT47">
        <f t="shared" si="63"/>
        <v>0</v>
      </c>
      <c r="AU47">
        <f t="shared" si="63"/>
        <v>0</v>
      </c>
      <c r="AV47">
        <f t="shared" si="63"/>
        <v>0</v>
      </c>
      <c r="AW47">
        <f t="shared" si="63"/>
        <v>0</v>
      </c>
      <c r="AX47">
        <f t="shared" si="63"/>
        <v>0</v>
      </c>
      <c r="AY47">
        <f t="shared" si="63"/>
        <v>0</v>
      </c>
      <c r="AZ47">
        <f t="shared" si="63"/>
        <v>0</v>
      </c>
      <c r="BA47">
        <f t="shared" si="63"/>
        <v>0</v>
      </c>
      <c r="BB47">
        <f t="shared" si="63"/>
        <v>0</v>
      </c>
      <c r="BC47">
        <f t="shared" si="63"/>
        <v>0</v>
      </c>
      <c r="BD47">
        <f t="shared" si="63"/>
        <v>0</v>
      </c>
      <c r="BE47">
        <f t="shared" si="63"/>
        <v>0</v>
      </c>
      <c r="BF47">
        <f t="shared" si="63"/>
        <v>0</v>
      </c>
      <c r="BG47">
        <f t="shared" si="63"/>
        <v>0</v>
      </c>
      <c r="BH47">
        <f t="shared" si="63"/>
        <v>0</v>
      </c>
      <c r="BI47">
        <f t="shared" si="63"/>
        <v>0</v>
      </c>
      <c r="BJ47">
        <f t="shared" si="63"/>
        <v>0</v>
      </c>
      <c r="BK47">
        <f t="shared" si="63"/>
        <v>0</v>
      </c>
      <c r="BL47">
        <f t="shared" si="63"/>
        <v>0</v>
      </c>
      <c r="BM47">
        <f t="shared" si="63"/>
        <v>0</v>
      </c>
      <c r="BN47">
        <f t="shared" si="63"/>
        <v>0</v>
      </c>
      <c r="BO47">
        <f t="shared" si="63"/>
        <v>0</v>
      </c>
      <c r="BP47">
        <f t="shared" ref="BP47:CC47" si="64">BP44/$B47</f>
        <v>0</v>
      </c>
      <c r="BQ47">
        <f t="shared" si="64"/>
        <v>0</v>
      </c>
      <c r="BR47">
        <f t="shared" si="64"/>
        <v>0</v>
      </c>
      <c r="BS47">
        <f t="shared" si="64"/>
        <v>0</v>
      </c>
      <c r="BT47">
        <f t="shared" si="64"/>
        <v>0</v>
      </c>
      <c r="BU47">
        <f t="shared" si="64"/>
        <v>0</v>
      </c>
      <c r="BV47">
        <f t="shared" si="64"/>
        <v>0</v>
      </c>
      <c r="BW47">
        <f t="shared" si="64"/>
        <v>0</v>
      </c>
      <c r="BX47">
        <f t="shared" si="64"/>
        <v>0</v>
      </c>
      <c r="BY47">
        <f t="shared" si="64"/>
        <v>0</v>
      </c>
      <c r="BZ47">
        <f t="shared" si="64"/>
        <v>0</v>
      </c>
      <c r="CA47">
        <f t="shared" si="64"/>
        <v>0</v>
      </c>
      <c r="CB47">
        <f t="shared" si="64"/>
        <v>0</v>
      </c>
      <c r="CC47">
        <f t="shared" si="64"/>
        <v>0</v>
      </c>
    </row>
    <row r="48" spans="1:81" x14ac:dyDescent="0.2">
      <c r="B48" s="67">
        <f>SUM(D52:AJ52)/SUM($D$67:$AJ$67)</f>
        <v>0.13902968863142651</v>
      </c>
      <c r="C48" s="9" t="s">
        <v>216</v>
      </c>
      <c r="D48">
        <f t="shared" ref="D48:AI48" si="65">D42-D45</f>
        <v>5580</v>
      </c>
      <c r="E48">
        <f t="shared" si="65"/>
        <v>4380</v>
      </c>
      <c r="F48">
        <f t="shared" si="65"/>
        <v>4380</v>
      </c>
      <c r="G48">
        <f t="shared" si="65"/>
        <v>3420</v>
      </c>
      <c r="H48">
        <f t="shared" si="65"/>
        <v>2460</v>
      </c>
      <c r="I48">
        <f t="shared" si="65"/>
        <v>2520</v>
      </c>
      <c r="J48">
        <f t="shared" si="65"/>
        <v>3065</v>
      </c>
      <c r="K48">
        <f t="shared" si="65"/>
        <v>2105</v>
      </c>
      <c r="L48">
        <f t="shared" si="65"/>
        <v>905</v>
      </c>
      <c r="M48">
        <f t="shared" si="65"/>
        <v>-295</v>
      </c>
      <c r="N48">
        <f t="shared" si="65"/>
        <v>-295</v>
      </c>
      <c r="O48">
        <f t="shared" si="65"/>
        <v>-295</v>
      </c>
      <c r="P48">
        <f t="shared" si="65"/>
        <v>-295</v>
      </c>
      <c r="Q48">
        <f t="shared" si="65"/>
        <v>-295</v>
      </c>
      <c r="R48">
        <f t="shared" si="65"/>
        <v>-1015</v>
      </c>
      <c r="S48">
        <f t="shared" si="65"/>
        <v>-1975</v>
      </c>
      <c r="T48">
        <f t="shared" si="65"/>
        <v>-2695</v>
      </c>
      <c r="U48">
        <f t="shared" si="65"/>
        <v>-3535</v>
      </c>
      <c r="V48">
        <f t="shared" si="65"/>
        <v>-4375</v>
      </c>
      <c r="W48">
        <f t="shared" si="65"/>
        <v>-5215</v>
      </c>
      <c r="X48">
        <f t="shared" si="65"/>
        <v>-6055</v>
      </c>
      <c r="Y48">
        <f t="shared" si="65"/>
        <v>-6595</v>
      </c>
      <c r="Z48">
        <f t="shared" si="65"/>
        <v>-7135</v>
      </c>
      <c r="AA48">
        <f t="shared" si="65"/>
        <v>-7675</v>
      </c>
      <c r="AB48">
        <f t="shared" si="65"/>
        <v>-8215</v>
      </c>
      <c r="AC48">
        <f t="shared" si="65"/>
        <v>-8935</v>
      </c>
      <c r="AD48">
        <f t="shared" si="65"/>
        <v>-9655</v>
      </c>
      <c r="AE48">
        <f t="shared" si="65"/>
        <v>-10375</v>
      </c>
      <c r="AF48">
        <f t="shared" si="65"/>
        <v>-11095</v>
      </c>
      <c r="AG48">
        <f t="shared" si="65"/>
        <v>-11815</v>
      </c>
      <c r="AH48">
        <f t="shared" si="65"/>
        <v>-12775</v>
      </c>
      <c r="AI48">
        <f t="shared" si="65"/>
        <v>-13735</v>
      </c>
      <c r="AJ48">
        <f t="shared" ref="AJ48:BO48" si="66">AJ42-AJ45</f>
        <v>-13735</v>
      </c>
      <c r="AK48">
        <f t="shared" si="66"/>
        <v>-13735</v>
      </c>
      <c r="AL48">
        <f t="shared" si="66"/>
        <v>-13735</v>
      </c>
      <c r="AM48">
        <f t="shared" si="66"/>
        <v>-13735</v>
      </c>
      <c r="AN48">
        <f t="shared" si="66"/>
        <v>-14346</v>
      </c>
      <c r="AO48">
        <f t="shared" si="66"/>
        <v>-14957</v>
      </c>
      <c r="AP48">
        <f t="shared" si="66"/>
        <v>-15568</v>
      </c>
      <c r="AQ48">
        <f t="shared" si="66"/>
        <v>-16306</v>
      </c>
      <c r="AR48">
        <f t="shared" si="66"/>
        <v>-17044</v>
      </c>
      <c r="AS48">
        <f t="shared" si="66"/>
        <v>-17635</v>
      </c>
      <c r="AT48">
        <f t="shared" si="66"/>
        <v>-18373</v>
      </c>
      <c r="AU48">
        <f t="shared" si="66"/>
        <v>-19074</v>
      </c>
      <c r="AV48">
        <f t="shared" si="66"/>
        <v>-19775</v>
      </c>
      <c r="AW48">
        <f t="shared" si="66"/>
        <v>-20476</v>
      </c>
      <c r="AX48">
        <f t="shared" si="66"/>
        <v>-21177</v>
      </c>
      <c r="AY48">
        <f t="shared" si="66"/>
        <v>-21738</v>
      </c>
      <c r="AZ48">
        <f t="shared" si="66"/>
        <v>-22299</v>
      </c>
      <c r="BA48">
        <f t="shared" si="66"/>
        <v>-22860</v>
      </c>
      <c r="BB48">
        <f t="shared" si="66"/>
        <v>-23421</v>
      </c>
      <c r="BC48">
        <f t="shared" si="66"/>
        <v>-23982</v>
      </c>
      <c r="BD48">
        <f t="shared" si="66"/>
        <v>-24543</v>
      </c>
      <c r="BE48">
        <f t="shared" si="66"/>
        <v>-25104</v>
      </c>
      <c r="BF48">
        <f t="shared" si="66"/>
        <v>-25665</v>
      </c>
      <c r="BG48">
        <f t="shared" si="66"/>
        <v>-26226</v>
      </c>
      <c r="BH48">
        <f t="shared" si="66"/>
        <v>-26787</v>
      </c>
      <c r="BI48">
        <f t="shared" si="66"/>
        <v>-27348</v>
      </c>
      <c r="BJ48">
        <f t="shared" si="66"/>
        <v>-27909</v>
      </c>
      <c r="BK48">
        <f t="shared" si="66"/>
        <v>-28470</v>
      </c>
      <c r="BL48">
        <f t="shared" si="66"/>
        <v>-29028</v>
      </c>
      <c r="BM48">
        <f t="shared" si="66"/>
        <v>-29586</v>
      </c>
      <c r="BN48">
        <f t="shared" si="66"/>
        <v>-30604</v>
      </c>
      <c r="BO48">
        <f t="shared" si="66"/>
        <v>-30604</v>
      </c>
      <c r="BP48">
        <f t="shared" ref="BP48:CC48" si="67">BP42-BP45</f>
        <v>-30604</v>
      </c>
      <c r="BQ48">
        <f t="shared" si="67"/>
        <v>-30604</v>
      </c>
      <c r="BR48">
        <f t="shared" si="67"/>
        <v>-30604</v>
      </c>
      <c r="BS48">
        <f t="shared" si="67"/>
        <v>-31165</v>
      </c>
      <c r="BT48">
        <f t="shared" si="67"/>
        <v>-31726</v>
      </c>
      <c r="BU48">
        <f t="shared" si="67"/>
        <v>-32287</v>
      </c>
      <c r="BV48">
        <f t="shared" si="67"/>
        <v>-32848</v>
      </c>
      <c r="BW48">
        <f t="shared" si="67"/>
        <v>-33409</v>
      </c>
      <c r="BX48">
        <f t="shared" si="67"/>
        <v>-33970</v>
      </c>
      <c r="BY48">
        <f t="shared" si="67"/>
        <v>-34531</v>
      </c>
      <c r="BZ48">
        <f t="shared" si="67"/>
        <v>-35092</v>
      </c>
      <c r="CA48">
        <f t="shared" si="67"/>
        <v>-35653</v>
      </c>
      <c r="CB48">
        <f t="shared" si="67"/>
        <v>-36214</v>
      </c>
      <c r="CC48">
        <f t="shared" si="67"/>
        <v>-36775</v>
      </c>
    </row>
    <row r="49" spans="1:81" x14ac:dyDescent="0.2">
      <c r="A49" s="43" t="s">
        <v>335</v>
      </c>
      <c r="B49" s="44" t="s">
        <v>208</v>
      </c>
      <c r="C49" s="9" t="s">
        <v>38</v>
      </c>
      <c r="D49" s="58">
        <f>IFERROR(VLOOKUP(A49,OS!$A:$B,2,0),0)</f>
        <v>4860</v>
      </c>
      <c r="E49" s="5">
        <f>(D49+D50-D52)</f>
        <v>6480</v>
      </c>
      <c r="F49" s="5">
        <f>(E49+E50-E52)</f>
        <v>5280</v>
      </c>
      <c r="G49" s="5">
        <f>(F49+F50-F52)</f>
        <v>4320</v>
      </c>
      <c r="H49" s="5">
        <f>(G49+G50-G52)</f>
        <v>3120</v>
      </c>
      <c r="I49" s="5">
        <f t="shared" ref="I49:AN49" si="68">(H49+H50-H52+D51)</f>
        <v>3360</v>
      </c>
      <c r="J49" s="5">
        <f t="shared" si="68"/>
        <v>4145</v>
      </c>
      <c r="K49" s="5">
        <f t="shared" si="68"/>
        <v>3185</v>
      </c>
      <c r="L49" s="5">
        <f t="shared" si="68"/>
        <v>1985</v>
      </c>
      <c r="M49" s="5">
        <f t="shared" si="68"/>
        <v>785</v>
      </c>
      <c r="N49" s="5">
        <f t="shared" si="68"/>
        <v>-415</v>
      </c>
      <c r="O49" s="5">
        <f t="shared" si="68"/>
        <v>-415</v>
      </c>
      <c r="P49" s="5">
        <f t="shared" si="68"/>
        <v>-415</v>
      </c>
      <c r="Q49" s="5">
        <f t="shared" si="68"/>
        <v>-415</v>
      </c>
      <c r="R49" s="5">
        <f t="shared" si="68"/>
        <v>-415</v>
      </c>
      <c r="S49" s="5">
        <f t="shared" si="68"/>
        <v>-1135</v>
      </c>
      <c r="T49" s="5">
        <f t="shared" si="68"/>
        <v>-1855</v>
      </c>
      <c r="U49" s="5">
        <f t="shared" si="68"/>
        <v>-2815</v>
      </c>
      <c r="V49" s="5">
        <f t="shared" si="68"/>
        <v>-3595</v>
      </c>
      <c r="W49" s="5">
        <f t="shared" si="68"/>
        <v>-4375</v>
      </c>
      <c r="X49" s="5">
        <f t="shared" si="68"/>
        <v>-5155</v>
      </c>
      <c r="Y49" s="5">
        <f t="shared" si="68"/>
        <v>-5935</v>
      </c>
      <c r="Z49" s="5">
        <f t="shared" si="68"/>
        <v>-6535</v>
      </c>
      <c r="AA49" s="5">
        <f t="shared" si="68"/>
        <v>-7135</v>
      </c>
      <c r="AB49" s="5">
        <f t="shared" si="68"/>
        <v>-7735</v>
      </c>
      <c r="AC49" s="5">
        <f t="shared" si="68"/>
        <v>-8335</v>
      </c>
      <c r="AD49" s="5">
        <f t="shared" si="68"/>
        <v>-9055</v>
      </c>
      <c r="AE49" s="5">
        <f t="shared" si="68"/>
        <v>-9775</v>
      </c>
      <c r="AF49" s="5">
        <f t="shared" si="68"/>
        <v>-10495</v>
      </c>
      <c r="AG49" s="5">
        <f t="shared" si="68"/>
        <v>-11215</v>
      </c>
      <c r="AH49" s="5">
        <f t="shared" si="68"/>
        <v>-11935</v>
      </c>
      <c r="AI49" s="5">
        <f t="shared" si="68"/>
        <v>-12895</v>
      </c>
      <c r="AJ49" s="5">
        <f t="shared" si="68"/>
        <v>-13855</v>
      </c>
      <c r="AK49" s="5">
        <f t="shared" si="68"/>
        <v>-13855</v>
      </c>
      <c r="AL49" s="5">
        <f t="shared" si="68"/>
        <v>-13855</v>
      </c>
      <c r="AM49" s="5">
        <f t="shared" si="68"/>
        <v>-13855</v>
      </c>
      <c r="AN49" s="5">
        <f t="shared" si="68"/>
        <v>-13855</v>
      </c>
      <c r="AO49" s="5">
        <f t="shared" ref="AO49:BT49" si="69">(AN49+AN50-AN52+AJ51)</f>
        <v>-14466</v>
      </c>
      <c r="AP49" s="5">
        <f t="shared" si="69"/>
        <v>-15077</v>
      </c>
      <c r="AQ49" s="5">
        <f t="shared" si="69"/>
        <v>-15688</v>
      </c>
      <c r="AR49" s="5">
        <f t="shared" si="69"/>
        <v>-16426</v>
      </c>
      <c r="AS49" s="5">
        <f t="shared" si="69"/>
        <v>-17164</v>
      </c>
      <c r="AT49" s="5">
        <f t="shared" si="69"/>
        <v>-17755</v>
      </c>
      <c r="AU49" s="5">
        <f t="shared" si="69"/>
        <v>-18493</v>
      </c>
      <c r="AV49" s="5">
        <f t="shared" si="69"/>
        <v>-19194</v>
      </c>
      <c r="AW49" s="5">
        <f t="shared" si="69"/>
        <v>-19895</v>
      </c>
      <c r="AX49" s="5">
        <f t="shared" si="69"/>
        <v>-20596</v>
      </c>
      <c r="AY49" s="5">
        <f t="shared" si="69"/>
        <v>-21297</v>
      </c>
      <c r="AZ49" s="5">
        <f t="shared" si="69"/>
        <v>-21858</v>
      </c>
      <c r="BA49" s="5">
        <f t="shared" si="69"/>
        <v>-22419</v>
      </c>
      <c r="BB49" s="5">
        <f t="shared" si="69"/>
        <v>-22980</v>
      </c>
      <c r="BC49" s="5">
        <f t="shared" si="69"/>
        <v>-23541</v>
      </c>
      <c r="BD49" s="5">
        <f t="shared" si="69"/>
        <v>-24102</v>
      </c>
      <c r="BE49" s="5">
        <f t="shared" si="69"/>
        <v>-24663</v>
      </c>
      <c r="BF49" s="5">
        <f t="shared" si="69"/>
        <v>-25224</v>
      </c>
      <c r="BG49" s="5">
        <f t="shared" si="69"/>
        <v>-25785</v>
      </c>
      <c r="BH49" s="5">
        <f t="shared" si="69"/>
        <v>-26346</v>
      </c>
      <c r="BI49" s="5">
        <f t="shared" si="69"/>
        <v>-26907</v>
      </c>
      <c r="BJ49" s="5">
        <f t="shared" si="69"/>
        <v>-27468</v>
      </c>
      <c r="BK49" s="5">
        <f t="shared" si="69"/>
        <v>-28029</v>
      </c>
      <c r="BL49" s="5">
        <f t="shared" si="69"/>
        <v>-28590</v>
      </c>
      <c r="BM49" s="5">
        <f t="shared" si="69"/>
        <v>-29148</v>
      </c>
      <c r="BN49" s="5">
        <f t="shared" si="69"/>
        <v>-29706</v>
      </c>
      <c r="BO49" s="5">
        <f t="shared" si="69"/>
        <v>-30724</v>
      </c>
      <c r="BP49" s="5">
        <f t="shared" si="69"/>
        <v>-30724</v>
      </c>
      <c r="BQ49" s="5">
        <f t="shared" si="69"/>
        <v>-30724</v>
      </c>
      <c r="BR49" s="5">
        <f t="shared" si="69"/>
        <v>-30724</v>
      </c>
      <c r="BS49" s="5">
        <f t="shared" si="69"/>
        <v>-30724</v>
      </c>
      <c r="BT49" s="5">
        <f t="shared" si="69"/>
        <v>-31285</v>
      </c>
      <c r="BU49" s="5">
        <f t="shared" ref="BU49:CC49" si="70">(BT49+BT50-BT52+BP51)</f>
        <v>-31846</v>
      </c>
      <c r="BV49" s="5">
        <f t="shared" si="70"/>
        <v>-32407</v>
      </c>
      <c r="BW49" s="5">
        <f t="shared" si="70"/>
        <v>-32968</v>
      </c>
      <c r="BX49" s="5">
        <f t="shared" si="70"/>
        <v>-33529</v>
      </c>
      <c r="BY49" s="5">
        <f t="shared" si="70"/>
        <v>-34090</v>
      </c>
      <c r="BZ49" s="5">
        <f t="shared" si="70"/>
        <v>-34651</v>
      </c>
      <c r="CA49" s="5">
        <f t="shared" si="70"/>
        <v>-35212</v>
      </c>
      <c r="CB49" s="5">
        <f t="shared" si="70"/>
        <v>-35773</v>
      </c>
      <c r="CC49" s="5">
        <f t="shared" si="70"/>
        <v>-36334</v>
      </c>
    </row>
    <row r="50" spans="1:81" x14ac:dyDescent="0.2">
      <c r="A50" s="5" t="s">
        <v>209</v>
      </c>
      <c r="B50" s="5">
        <v>1.3775500000000001</v>
      </c>
      <c r="C50" s="45" t="s">
        <v>39</v>
      </c>
      <c r="D50" s="59">
        <f>IFERROR(VLOOKUP(A49,WIP!$A:$B,2,0),0)</f>
        <v>1620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x14ac:dyDescent="0.2">
      <c r="A51" s="5" t="s">
        <v>210</v>
      </c>
      <c r="B51" s="5">
        <v>5.5E-2</v>
      </c>
      <c r="C51" s="9" t="s">
        <v>211</v>
      </c>
      <c r="D51" s="60">
        <f>IFERROR(VLOOKUP($A49,Plan!$A:B,D$4,0),0)</f>
        <v>1200</v>
      </c>
      <c r="E51" s="60">
        <f>IFERROR(VLOOKUP($A49,Plan!$A:C,E$4,0),0)</f>
        <v>1505</v>
      </c>
      <c r="F51" s="60">
        <f>IFERROR(VLOOKUP($A49,Plan!$A:D,F$4,0),0)</f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x14ac:dyDescent="0.2">
      <c r="A52" s="5" t="s">
        <v>212</v>
      </c>
      <c r="B52" s="5">
        <v>3.0000000000000001E-3</v>
      </c>
      <c r="C52" s="9" t="s">
        <v>213</v>
      </c>
      <c r="D52" s="61">
        <f>IFERROR(VLOOKUP($A49,Sales!$A:B,D$2,0),0)</f>
        <v>0</v>
      </c>
      <c r="E52" s="61">
        <f>IFERROR(VLOOKUP($A49,Sales!$A:C,E$2,0),0)</f>
        <v>1200</v>
      </c>
      <c r="F52" s="61">
        <f>IFERROR(VLOOKUP($A49,Sales!$A:D,F$2,0),0)</f>
        <v>960</v>
      </c>
      <c r="G52" s="61">
        <f>IFERROR(VLOOKUP($A49,Sales!$A:E,G$2,0),0)</f>
        <v>1200</v>
      </c>
      <c r="H52" s="61">
        <f>IFERROR(VLOOKUP($A49,Sales!$A:F,H$2,0),0)</f>
        <v>960</v>
      </c>
      <c r="I52" s="61">
        <f>IFERROR(VLOOKUP($A49,Sales!$A:G,I$2,0),0)</f>
        <v>720</v>
      </c>
      <c r="J52" s="61">
        <f>IFERROR(VLOOKUP($A49,Sales!$A:H,J$2,0),0)</f>
        <v>960</v>
      </c>
      <c r="K52" s="61">
        <f>IFERROR(VLOOKUP($A49,Sales!$A:I,K$2,0),0)</f>
        <v>1200</v>
      </c>
      <c r="L52" s="61">
        <f>IFERROR(VLOOKUP($A49,Sales!$A:J,L$2,0),0)</f>
        <v>1200</v>
      </c>
      <c r="M52" s="61">
        <f>IFERROR(VLOOKUP($A49,Sales!$A:K,M$2,0),0)</f>
        <v>1200</v>
      </c>
      <c r="N52" s="61">
        <f>IFERROR(VLOOKUP($A49,Sales!$A:L,N$2,0),0)</f>
        <v>0</v>
      </c>
      <c r="O52" s="61">
        <f>IFERROR(VLOOKUP($A49,Sales!$A:M,O$2,0),0)</f>
        <v>0</v>
      </c>
      <c r="P52" s="61">
        <f>IFERROR(VLOOKUP($A49,Sales!$A:N,P$2,0),0)</f>
        <v>0</v>
      </c>
      <c r="Q52" s="61">
        <f>IFERROR(VLOOKUP($A49,Sales!$A:O,Q$2,0),0)</f>
        <v>0</v>
      </c>
      <c r="R52" s="61">
        <f>IFERROR(VLOOKUP($A49,Sales!$A:P,R$2,0),0)</f>
        <v>720</v>
      </c>
      <c r="S52" s="61">
        <f>IFERROR(VLOOKUP($A49,Sales!$A:Q,S$2,0),0)</f>
        <v>720</v>
      </c>
      <c r="T52" s="61">
        <f>IFERROR(VLOOKUP($A49,Sales!$A:R,T$2,0),0)</f>
        <v>960</v>
      </c>
      <c r="U52" s="61">
        <f>IFERROR(VLOOKUP($A49,Sales!$A:S,U$2,0),0)</f>
        <v>780</v>
      </c>
      <c r="V52" s="61">
        <f>IFERROR(VLOOKUP($A49,Sales!$A:T,V$2,0),0)</f>
        <v>780</v>
      </c>
      <c r="W52" s="61">
        <f>IFERROR(VLOOKUP($A49,Sales!$A:U,W$2,0),0)</f>
        <v>780</v>
      </c>
      <c r="X52" s="61">
        <f>IFERROR(VLOOKUP($A49,Sales!$A:V,X$2,0),0)</f>
        <v>780</v>
      </c>
      <c r="Y52" s="61">
        <f>IFERROR(VLOOKUP($A49,Sales!$A:W,Y$2,0),0)</f>
        <v>600</v>
      </c>
      <c r="Z52" s="61">
        <f>IFERROR(VLOOKUP($A49,Sales!$A:X,Z$2,0),0)</f>
        <v>600</v>
      </c>
      <c r="AA52" s="61">
        <f>IFERROR(VLOOKUP($A49,Sales!$A:Y,AA$2,0),0)</f>
        <v>600</v>
      </c>
      <c r="AB52" s="61">
        <f>IFERROR(VLOOKUP($A49,Sales!$A:Z,AB$2,0),0)</f>
        <v>600</v>
      </c>
      <c r="AC52" s="61">
        <f>IFERROR(VLOOKUP($A49,Sales!$A:AA,AC$2,0),0)</f>
        <v>720</v>
      </c>
      <c r="AD52" s="61">
        <f>IFERROR(VLOOKUP($A49,Sales!$A:AB,AD$2,0),0)</f>
        <v>720</v>
      </c>
      <c r="AE52" s="61">
        <f>IFERROR(VLOOKUP($A49,Sales!$A:AC,AE$2,0),0)</f>
        <v>720</v>
      </c>
      <c r="AF52" s="61">
        <f>IFERROR(VLOOKUP($A49,Sales!$A:AD,AF$2,0),0)</f>
        <v>720</v>
      </c>
      <c r="AG52" s="61">
        <f>IFERROR(VLOOKUP($A49,Sales!$A:AE,AG$2,0),0)</f>
        <v>720</v>
      </c>
      <c r="AH52" s="61">
        <f>IFERROR(VLOOKUP($A49,Sales!$A:AF,AH$2,0),0)</f>
        <v>960</v>
      </c>
      <c r="AI52" s="61">
        <f>IFERROR(VLOOKUP($A49,Sales!$A:AG,AI$2,0),0)</f>
        <v>960</v>
      </c>
      <c r="AJ52" s="61">
        <f>IFERROR(VLOOKUP($A49,Sales!$A:AH,AJ$2,0),0)</f>
        <v>0</v>
      </c>
      <c r="AK52" s="74">
        <f t="shared" ref="AK52:CC52" si="71">CEILING(AK$5*$B48,1)</f>
        <v>0</v>
      </c>
      <c r="AL52" s="74">
        <f t="shared" si="71"/>
        <v>0</v>
      </c>
      <c r="AM52" s="74">
        <f t="shared" si="71"/>
        <v>0</v>
      </c>
      <c r="AN52" s="74">
        <f t="shared" si="71"/>
        <v>611</v>
      </c>
      <c r="AO52" s="74">
        <f t="shared" si="71"/>
        <v>611</v>
      </c>
      <c r="AP52" s="74">
        <f t="shared" si="71"/>
        <v>611</v>
      </c>
      <c r="AQ52" s="74">
        <f t="shared" si="71"/>
        <v>738</v>
      </c>
      <c r="AR52" s="74">
        <f t="shared" si="71"/>
        <v>738</v>
      </c>
      <c r="AS52" s="74">
        <f t="shared" si="71"/>
        <v>591</v>
      </c>
      <c r="AT52" s="74">
        <f t="shared" si="71"/>
        <v>738</v>
      </c>
      <c r="AU52" s="74">
        <f t="shared" si="71"/>
        <v>701</v>
      </c>
      <c r="AV52" s="74">
        <f t="shared" si="71"/>
        <v>701</v>
      </c>
      <c r="AW52" s="74">
        <f t="shared" si="71"/>
        <v>701</v>
      </c>
      <c r="AX52" s="74">
        <f t="shared" si="71"/>
        <v>701</v>
      </c>
      <c r="AY52" s="74">
        <f t="shared" si="71"/>
        <v>561</v>
      </c>
      <c r="AZ52" s="74">
        <f t="shared" si="71"/>
        <v>561</v>
      </c>
      <c r="BA52" s="74">
        <f t="shared" si="71"/>
        <v>561</v>
      </c>
      <c r="BB52" s="74">
        <f t="shared" si="71"/>
        <v>561</v>
      </c>
      <c r="BC52" s="74">
        <f t="shared" si="71"/>
        <v>561</v>
      </c>
      <c r="BD52" s="74">
        <f t="shared" si="71"/>
        <v>561</v>
      </c>
      <c r="BE52" s="74">
        <f t="shared" si="71"/>
        <v>561</v>
      </c>
      <c r="BF52" s="74">
        <f t="shared" si="71"/>
        <v>561</v>
      </c>
      <c r="BG52" s="74">
        <f t="shared" si="71"/>
        <v>561</v>
      </c>
      <c r="BH52" s="74">
        <f t="shared" si="71"/>
        <v>561</v>
      </c>
      <c r="BI52" s="74">
        <f t="shared" si="71"/>
        <v>561</v>
      </c>
      <c r="BJ52" s="74">
        <f t="shared" si="71"/>
        <v>561</v>
      </c>
      <c r="BK52" s="74">
        <f t="shared" si="71"/>
        <v>561</v>
      </c>
      <c r="BL52" s="74">
        <f t="shared" si="71"/>
        <v>558</v>
      </c>
      <c r="BM52" s="74">
        <f t="shared" si="71"/>
        <v>558</v>
      </c>
      <c r="BN52" s="74">
        <f t="shared" si="71"/>
        <v>1018</v>
      </c>
      <c r="BO52" s="74">
        <f t="shared" si="71"/>
        <v>0</v>
      </c>
      <c r="BP52" s="74">
        <f t="shared" si="71"/>
        <v>0</v>
      </c>
      <c r="BQ52" s="74">
        <f t="shared" si="71"/>
        <v>0</v>
      </c>
      <c r="BR52" s="74">
        <f t="shared" si="71"/>
        <v>0</v>
      </c>
      <c r="BS52" s="74">
        <f t="shared" si="71"/>
        <v>561</v>
      </c>
      <c r="BT52" s="74">
        <f t="shared" si="71"/>
        <v>561</v>
      </c>
      <c r="BU52" s="74">
        <f t="shared" si="71"/>
        <v>561</v>
      </c>
      <c r="BV52" s="74">
        <f t="shared" si="71"/>
        <v>561</v>
      </c>
      <c r="BW52" s="74">
        <f t="shared" si="71"/>
        <v>561</v>
      </c>
      <c r="BX52" s="74">
        <f t="shared" si="71"/>
        <v>561</v>
      </c>
      <c r="BY52" s="74">
        <f t="shared" si="71"/>
        <v>561</v>
      </c>
      <c r="BZ52" s="74">
        <f t="shared" si="71"/>
        <v>561</v>
      </c>
      <c r="CA52" s="74">
        <f t="shared" si="71"/>
        <v>561</v>
      </c>
      <c r="CB52" s="74">
        <f t="shared" si="71"/>
        <v>561</v>
      </c>
      <c r="CC52" s="74">
        <f t="shared" si="71"/>
        <v>561</v>
      </c>
    </row>
    <row r="53" spans="1:81" x14ac:dyDescent="0.2">
      <c r="A53" s="5" t="s">
        <v>214</v>
      </c>
      <c r="B53" s="5">
        <v>5.8000000000000003E-2</v>
      </c>
      <c r="C53" s="46" t="s">
        <v>215</v>
      </c>
      <c r="D53" s="11">
        <f t="shared" ref="D53:AI53" si="72">IF(D52=0,0, ROUND(D49 * 1/D52* D$13,1))</f>
        <v>0</v>
      </c>
      <c r="E53" s="11">
        <f t="shared" si="72"/>
        <v>27</v>
      </c>
      <c r="F53" s="11">
        <f t="shared" si="72"/>
        <v>27.5</v>
      </c>
      <c r="G53" s="11">
        <f t="shared" si="72"/>
        <v>18</v>
      </c>
      <c r="H53" s="11">
        <f t="shared" si="72"/>
        <v>16.3</v>
      </c>
      <c r="I53" s="11">
        <f t="shared" si="72"/>
        <v>23.3</v>
      </c>
      <c r="J53" s="11">
        <f t="shared" si="72"/>
        <v>21.6</v>
      </c>
      <c r="K53" s="11">
        <f t="shared" si="72"/>
        <v>13.3</v>
      </c>
      <c r="L53" s="11">
        <f t="shared" si="72"/>
        <v>8.3000000000000007</v>
      </c>
      <c r="M53" s="11">
        <f t="shared" si="72"/>
        <v>3.3</v>
      </c>
      <c r="N53" s="11">
        <f t="shared" si="72"/>
        <v>0</v>
      </c>
      <c r="O53" s="11">
        <f t="shared" si="72"/>
        <v>0</v>
      </c>
      <c r="P53" s="11">
        <f t="shared" si="72"/>
        <v>0</v>
      </c>
      <c r="Q53" s="11">
        <f t="shared" si="72"/>
        <v>0</v>
      </c>
      <c r="R53" s="11">
        <f t="shared" si="72"/>
        <v>-2.9</v>
      </c>
      <c r="S53" s="11">
        <f t="shared" si="72"/>
        <v>-7.9</v>
      </c>
      <c r="T53" s="11">
        <f t="shared" si="72"/>
        <v>-9.6999999999999993</v>
      </c>
      <c r="U53" s="11">
        <f t="shared" si="72"/>
        <v>-18</v>
      </c>
      <c r="V53" s="11">
        <f t="shared" si="72"/>
        <v>-23</v>
      </c>
      <c r="W53" s="11">
        <f t="shared" si="72"/>
        <v>-28</v>
      </c>
      <c r="X53" s="11">
        <f t="shared" si="72"/>
        <v>-33</v>
      </c>
      <c r="Y53" s="11">
        <f t="shared" si="72"/>
        <v>-49.5</v>
      </c>
      <c r="Z53" s="11">
        <f t="shared" si="72"/>
        <v>-54.5</v>
      </c>
      <c r="AA53" s="11">
        <f t="shared" si="72"/>
        <v>-59.5</v>
      </c>
      <c r="AB53" s="11">
        <f t="shared" si="72"/>
        <v>-64.5</v>
      </c>
      <c r="AC53" s="11">
        <f t="shared" si="72"/>
        <v>-57.9</v>
      </c>
      <c r="AD53" s="11">
        <f t="shared" si="72"/>
        <v>-62.9</v>
      </c>
      <c r="AE53" s="11">
        <f t="shared" si="72"/>
        <v>-67.900000000000006</v>
      </c>
      <c r="AF53" s="11">
        <f t="shared" si="72"/>
        <v>-72.900000000000006</v>
      </c>
      <c r="AG53" s="11">
        <f t="shared" si="72"/>
        <v>-77.900000000000006</v>
      </c>
      <c r="AH53" s="11">
        <f t="shared" si="72"/>
        <v>-62.2</v>
      </c>
      <c r="AI53" s="11">
        <f t="shared" si="72"/>
        <v>-67.2</v>
      </c>
      <c r="AJ53" s="11">
        <f t="shared" ref="AJ53:BO53" si="73">IF(AJ52=0,0, ROUND(AJ49 * 1/AJ52* AJ$13,1))</f>
        <v>0</v>
      </c>
      <c r="AK53" s="11">
        <f t="shared" si="73"/>
        <v>0</v>
      </c>
      <c r="AL53" s="11">
        <f t="shared" si="73"/>
        <v>0</v>
      </c>
      <c r="AM53" s="11">
        <f t="shared" si="73"/>
        <v>0</v>
      </c>
      <c r="AN53" s="11">
        <f t="shared" si="73"/>
        <v>-113.4</v>
      </c>
      <c r="AO53" s="11">
        <f t="shared" si="73"/>
        <v>-118.4</v>
      </c>
      <c r="AP53" s="11">
        <f t="shared" si="73"/>
        <v>-123.4</v>
      </c>
      <c r="AQ53" s="11">
        <f t="shared" si="73"/>
        <v>-106.3</v>
      </c>
      <c r="AR53" s="11">
        <f t="shared" si="73"/>
        <v>-111.3</v>
      </c>
      <c r="AS53" s="11">
        <f t="shared" si="73"/>
        <v>-145.19999999999999</v>
      </c>
      <c r="AT53" s="11">
        <f t="shared" si="73"/>
        <v>-120.3</v>
      </c>
      <c r="AU53" s="11">
        <f t="shared" si="73"/>
        <v>-131.9</v>
      </c>
      <c r="AV53" s="11">
        <f t="shared" si="73"/>
        <v>-136.9</v>
      </c>
      <c r="AW53" s="11">
        <f t="shared" si="73"/>
        <v>-141.9</v>
      </c>
      <c r="AX53" s="11">
        <f t="shared" si="73"/>
        <v>-146.9</v>
      </c>
      <c r="AY53" s="11">
        <f t="shared" si="73"/>
        <v>-189.8</v>
      </c>
      <c r="AZ53" s="11">
        <f t="shared" si="73"/>
        <v>-194.8</v>
      </c>
      <c r="BA53" s="11">
        <f t="shared" si="73"/>
        <v>-199.8</v>
      </c>
      <c r="BB53" s="11">
        <f t="shared" si="73"/>
        <v>-204.8</v>
      </c>
      <c r="BC53" s="11">
        <f t="shared" si="73"/>
        <v>-209.8</v>
      </c>
      <c r="BD53" s="11">
        <f t="shared" si="73"/>
        <v>-214.8</v>
      </c>
      <c r="BE53" s="11">
        <f t="shared" si="73"/>
        <v>-219.8</v>
      </c>
      <c r="BF53" s="11">
        <f t="shared" si="73"/>
        <v>-224.8</v>
      </c>
      <c r="BG53" s="11">
        <f t="shared" si="73"/>
        <v>-229.8</v>
      </c>
      <c r="BH53" s="11">
        <f t="shared" si="73"/>
        <v>-234.8</v>
      </c>
      <c r="BI53" s="11">
        <f t="shared" si="73"/>
        <v>-239.8</v>
      </c>
      <c r="BJ53" s="11">
        <f t="shared" si="73"/>
        <v>-244.8</v>
      </c>
      <c r="BK53" s="11">
        <f t="shared" si="73"/>
        <v>-249.8</v>
      </c>
      <c r="BL53" s="11">
        <f t="shared" si="73"/>
        <v>-256.2</v>
      </c>
      <c r="BM53" s="11">
        <f t="shared" si="73"/>
        <v>-261.2</v>
      </c>
      <c r="BN53" s="11">
        <f t="shared" si="73"/>
        <v>-145.9</v>
      </c>
      <c r="BO53" s="11">
        <f t="shared" si="73"/>
        <v>0</v>
      </c>
      <c r="BP53" s="11">
        <f t="shared" ref="BP53:CC53" si="74">IF(BP52=0,0, ROUND(BP49 * 1/BP52* BP$13,1))</f>
        <v>0</v>
      </c>
      <c r="BQ53" s="11">
        <f t="shared" si="74"/>
        <v>0</v>
      </c>
      <c r="BR53" s="11">
        <f t="shared" si="74"/>
        <v>0</v>
      </c>
      <c r="BS53" s="11">
        <f t="shared" si="74"/>
        <v>-273.8</v>
      </c>
      <c r="BT53" s="11">
        <f t="shared" si="74"/>
        <v>-278.8</v>
      </c>
      <c r="BU53" s="11">
        <f t="shared" si="74"/>
        <v>-283.8</v>
      </c>
      <c r="BV53" s="11">
        <f t="shared" si="74"/>
        <v>-288.8</v>
      </c>
      <c r="BW53" s="11">
        <f t="shared" si="74"/>
        <v>-293.8</v>
      </c>
      <c r="BX53" s="11">
        <f t="shared" si="74"/>
        <v>-298.8</v>
      </c>
      <c r="BY53" s="11">
        <f t="shared" si="74"/>
        <v>-303.8</v>
      </c>
      <c r="BZ53" s="11">
        <f t="shared" si="74"/>
        <v>-308.8</v>
      </c>
      <c r="CA53" s="11">
        <f t="shared" si="74"/>
        <v>-313.8</v>
      </c>
      <c r="CB53" s="11">
        <f t="shared" si="74"/>
        <v>-318.8</v>
      </c>
      <c r="CC53" s="11">
        <f t="shared" si="74"/>
        <v>-323.8</v>
      </c>
    </row>
    <row r="54" spans="1:81" x14ac:dyDescent="0.2">
      <c r="A54">
        <v>5</v>
      </c>
      <c r="B54">
        <v>50</v>
      </c>
      <c r="C54" s="8">
        <v>1.0042500000000001</v>
      </c>
      <c r="D54">
        <f t="shared" ref="D54:AI54" si="75">D51/$B54</f>
        <v>24</v>
      </c>
      <c r="E54">
        <f t="shared" si="75"/>
        <v>30.1</v>
      </c>
      <c r="F54">
        <f t="shared" si="75"/>
        <v>0</v>
      </c>
      <c r="G54">
        <f t="shared" si="75"/>
        <v>0</v>
      </c>
      <c r="H54">
        <f t="shared" si="75"/>
        <v>0</v>
      </c>
      <c r="I54">
        <f t="shared" si="75"/>
        <v>0</v>
      </c>
      <c r="J54">
        <f t="shared" si="75"/>
        <v>0</v>
      </c>
      <c r="K54">
        <f t="shared" si="75"/>
        <v>0</v>
      </c>
      <c r="L54">
        <f t="shared" si="75"/>
        <v>0</v>
      </c>
      <c r="M54">
        <f t="shared" si="75"/>
        <v>0</v>
      </c>
      <c r="N54">
        <f t="shared" si="75"/>
        <v>0</v>
      </c>
      <c r="O54">
        <f t="shared" si="75"/>
        <v>0</v>
      </c>
      <c r="P54">
        <f t="shared" si="75"/>
        <v>0</v>
      </c>
      <c r="Q54">
        <f t="shared" si="75"/>
        <v>0</v>
      </c>
      <c r="R54">
        <f t="shared" si="75"/>
        <v>0</v>
      </c>
      <c r="S54">
        <f t="shared" si="75"/>
        <v>0</v>
      </c>
      <c r="T54">
        <f t="shared" si="75"/>
        <v>0</v>
      </c>
      <c r="U54">
        <f t="shared" si="75"/>
        <v>0</v>
      </c>
      <c r="V54">
        <f t="shared" si="75"/>
        <v>0</v>
      </c>
      <c r="W54">
        <f t="shared" si="75"/>
        <v>0</v>
      </c>
      <c r="X54">
        <f t="shared" si="75"/>
        <v>0</v>
      </c>
      <c r="Y54">
        <f t="shared" si="75"/>
        <v>0</v>
      </c>
      <c r="Z54">
        <f t="shared" si="75"/>
        <v>0</v>
      </c>
      <c r="AA54">
        <f t="shared" si="75"/>
        <v>0</v>
      </c>
      <c r="AB54">
        <f t="shared" si="75"/>
        <v>0</v>
      </c>
      <c r="AC54">
        <f t="shared" si="75"/>
        <v>0</v>
      </c>
      <c r="AD54">
        <f t="shared" si="75"/>
        <v>0</v>
      </c>
      <c r="AE54">
        <f t="shared" si="75"/>
        <v>0</v>
      </c>
      <c r="AF54">
        <f t="shared" si="75"/>
        <v>0</v>
      </c>
      <c r="AG54">
        <f t="shared" si="75"/>
        <v>0</v>
      </c>
      <c r="AH54">
        <f t="shared" si="75"/>
        <v>0</v>
      </c>
      <c r="AI54">
        <f t="shared" si="75"/>
        <v>0</v>
      </c>
      <c r="AJ54">
        <f t="shared" ref="AJ54:BO54" si="76">AJ51/$B54</f>
        <v>0</v>
      </c>
      <c r="AK54">
        <f t="shared" si="76"/>
        <v>0</v>
      </c>
      <c r="AL54">
        <f t="shared" si="76"/>
        <v>0</v>
      </c>
      <c r="AM54">
        <f t="shared" si="76"/>
        <v>0</v>
      </c>
      <c r="AN54">
        <f t="shared" si="76"/>
        <v>0</v>
      </c>
      <c r="AO54">
        <f t="shared" si="76"/>
        <v>0</v>
      </c>
      <c r="AP54">
        <f t="shared" si="76"/>
        <v>0</v>
      </c>
      <c r="AQ54">
        <f t="shared" si="76"/>
        <v>0</v>
      </c>
      <c r="AR54">
        <f t="shared" si="76"/>
        <v>0</v>
      </c>
      <c r="AS54">
        <f t="shared" si="76"/>
        <v>0</v>
      </c>
      <c r="AT54">
        <f t="shared" si="76"/>
        <v>0</v>
      </c>
      <c r="AU54">
        <f t="shared" si="76"/>
        <v>0</v>
      </c>
      <c r="AV54">
        <f t="shared" si="76"/>
        <v>0</v>
      </c>
      <c r="AW54">
        <f t="shared" si="76"/>
        <v>0</v>
      </c>
      <c r="AX54">
        <f t="shared" si="76"/>
        <v>0</v>
      </c>
      <c r="AY54">
        <f t="shared" si="76"/>
        <v>0</v>
      </c>
      <c r="AZ54">
        <f t="shared" si="76"/>
        <v>0</v>
      </c>
      <c r="BA54">
        <f t="shared" si="76"/>
        <v>0</v>
      </c>
      <c r="BB54">
        <f t="shared" si="76"/>
        <v>0</v>
      </c>
      <c r="BC54">
        <f t="shared" si="76"/>
        <v>0</v>
      </c>
      <c r="BD54">
        <f t="shared" si="76"/>
        <v>0</v>
      </c>
      <c r="BE54">
        <f t="shared" si="76"/>
        <v>0</v>
      </c>
      <c r="BF54">
        <f t="shared" si="76"/>
        <v>0</v>
      </c>
      <c r="BG54">
        <f t="shared" si="76"/>
        <v>0</v>
      </c>
      <c r="BH54">
        <f t="shared" si="76"/>
        <v>0</v>
      </c>
      <c r="BI54">
        <f t="shared" si="76"/>
        <v>0</v>
      </c>
      <c r="BJ54">
        <f t="shared" si="76"/>
        <v>0</v>
      </c>
      <c r="BK54">
        <f t="shared" si="76"/>
        <v>0</v>
      </c>
      <c r="BL54">
        <f t="shared" si="76"/>
        <v>0</v>
      </c>
      <c r="BM54">
        <f t="shared" si="76"/>
        <v>0</v>
      </c>
      <c r="BN54">
        <f t="shared" si="76"/>
        <v>0</v>
      </c>
      <c r="BO54">
        <f t="shared" si="76"/>
        <v>0</v>
      </c>
      <c r="BP54">
        <f t="shared" ref="BP54:CC54" si="77">BP51/$B54</f>
        <v>0</v>
      </c>
      <c r="BQ54">
        <f t="shared" si="77"/>
        <v>0</v>
      </c>
      <c r="BR54">
        <f t="shared" si="77"/>
        <v>0</v>
      </c>
      <c r="BS54">
        <f t="shared" si="77"/>
        <v>0</v>
      </c>
      <c r="BT54">
        <f t="shared" si="77"/>
        <v>0</v>
      </c>
      <c r="BU54">
        <f t="shared" si="77"/>
        <v>0</v>
      </c>
      <c r="BV54">
        <f t="shared" si="77"/>
        <v>0</v>
      </c>
      <c r="BW54">
        <f t="shared" si="77"/>
        <v>0</v>
      </c>
      <c r="BX54">
        <f t="shared" si="77"/>
        <v>0</v>
      </c>
      <c r="BY54">
        <f t="shared" si="77"/>
        <v>0</v>
      </c>
      <c r="BZ54">
        <f t="shared" si="77"/>
        <v>0</v>
      </c>
      <c r="CA54">
        <f t="shared" si="77"/>
        <v>0</v>
      </c>
      <c r="CB54">
        <f t="shared" si="77"/>
        <v>0</v>
      </c>
      <c r="CC54">
        <f t="shared" si="77"/>
        <v>0</v>
      </c>
    </row>
    <row r="55" spans="1:81" x14ac:dyDescent="0.2">
      <c r="B55" s="67">
        <f>SUM(D59:AJ59)/SUM($D$67:$AJ$67)</f>
        <v>0</v>
      </c>
      <c r="C55" s="9" t="s">
        <v>216</v>
      </c>
      <c r="D55">
        <f t="shared" ref="D55:AI55" si="78">D49-D52</f>
        <v>4860</v>
      </c>
      <c r="E55">
        <f t="shared" si="78"/>
        <v>5280</v>
      </c>
      <c r="F55">
        <f t="shared" si="78"/>
        <v>4320</v>
      </c>
      <c r="G55">
        <f t="shared" si="78"/>
        <v>3120</v>
      </c>
      <c r="H55">
        <f t="shared" si="78"/>
        <v>2160</v>
      </c>
      <c r="I55">
        <f t="shared" si="78"/>
        <v>2640</v>
      </c>
      <c r="J55">
        <f t="shared" si="78"/>
        <v>3185</v>
      </c>
      <c r="K55">
        <f t="shared" si="78"/>
        <v>1985</v>
      </c>
      <c r="L55">
        <f t="shared" si="78"/>
        <v>785</v>
      </c>
      <c r="M55">
        <f t="shared" si="78"/>
        <v>-415</v>
      </c>
      <c r="N55">
        <f t="shared" si="78"/>
        <v>-415</v>
      </c>
      <c r="O55">
        <f t="shared" si="78"/>
        <v>-415</v>
      </c>
      <c r="P55">
        <f t="shared" si="78"/>
        <v>-415</v>
      </c>
      <c r="Q55">
        <f t="shared" si="78"/>
        <v>-415</v>
      </c>
      <c r="R55">
        <f t="shared" si="78"/>
        <v>-1135</v>
      </c>
      <c r="S55">
        <f t="shared" si="78"/>
        <v>-1855</v>
      </c>
      <c r="T55">
        <f t="shared" si="78"/>
        <v>-2815</v>
      </c>
      <c r="U55">
        <f t="shared" si="78"/>
        <v>-3595</v>
      </c>
      <c r="V55">
        <f t="shared" si="78"/>
        <v>-4375</v>
      </c>
      <c r="W55">
        <f t="shared" si="78"/>
        <v>-5155</v>
      </c>
      <c r="X55">
        <f t="shared" si="78"/>
        <v>-5935</v>
      </c>
      <c r="Y55">
        <f t="shared" si="78"/>
        <v>-6535</v>
      </c>
      <c r="Z55">
        <f t="shared" si="78"/>
        <v>-7135</v>
      </c>
      <c r="AA55">
        <f t="shared" si="78"/>
        <v>-7735</v>
      </c>
      <c r="AB55">
        <f t="shared" si="78"/>
        <v>-8335</v>
      </c>
      <c r="AC55">
        <f t="shared" si="78"/>
        <v>-9055</v>
      </c>
      <c r="AD55">
        <f t="shared" si="78"/>
        <v>-9775</v>
      </c>
      <c r="AE55">
        <f t="shared" si="78"/>
        <v>-10495</v>
      </c>
      <c r="AF55">
        <f t="shared" si="78"/>
        <v>-11215</v>
      </c>
      <c r="AG55">
        <f t="shared" si="78"/>
        <v>-11935</v>
      </c>
      <c r="AH55">
        <f t="shared" si="78"/>
        <v>-12895</v>
      </c>
      <c r="AI55">
        <f t="shared" si="78"/>
        <v>-13855</v>
      </c>
      <c r="AJ55">
        <f t="shared" ref="AJ55:BO55" si="79">AJ49-AJ52</f>
        <v>-13855</v>
      </c>
      <c r="AK55">
        <f t="shared" si="79"/>
        <v>-13855</v>
      </c>
      <c r="AL55">
        <f t="shared" si="79"/>
        <v>-13855</v>
      </c>
      <c r="AM55">
        <f t="shared" si="79"/>
        <v>-13855</v>
      </c>
      <c r="AN55">
        <f t="shared" si="79"/>
        <v>-14466</v>
      </c>
      <c r="AO55">
        <f t="shared" si="79"/>
        <v>-15077</v>
      </c>
      <c r="AP55">
        <f t="shared" si="79"/>
        <v>-15688</v>
      </c>
      <c r="AQ55">
        <f t="shared" si="79"/>
        <v>-16426</v>
      </c>
      <c r="AR55">
        <f t="shared" si="79"/>
        <v>-17164</v>
      </c>
      <c r="AS55">
        <f t="shared" si="79"/>
        <v>-17755</v>
      </c>
      <c r="AT55">
        <f t="shared" si="79"/>
        <v>-18493</v>
      </c>
      <c r="AU55">
        <f t="shared" si="79"/>
        <v>-19194</v>
      </c>
      <c r="AV55">
        <f t="shared" si="79"/>
        <v>-19895</v>
      </c>
      <c r="AW55">
        <f t="shared" si="79"/>
        <v>-20596</v>
      </c>
      <c r="AX55">
        <f t="shared" si="79"/>
        <v>-21297</v>
      </c>
      <c r="AY55">
        <f t="shared" si="79"/>
        <v>-21858</v>
      </c>
      <c r="AZ55">
        <f t="shared" si="79"/>
        <v>-22419</v>
      </c>
      <c r="BA55">
        <f t="shared" si="79"/>
        <v>-22980</v>
      </c>
      <c r="BB55">
        <f t="shared" si="79"/>
        <v>-23541</v>
      </c>
      <c r="BC55">
        <f t="shared" si="79"/>
        <v>-24102</v>
      </c>
      <c r="BD55">
        <f t="shared" si="79"/>
        <v>-24663</v>
      </c>
      <c r="BE55">
        <f t="shared" si="79"/>
        <v>-25224</v>
      </c>
      <c r="BF55">
        <f t="shared" si="79"/>
        <v>-25785</v>
      </c>
      <c r="BG55">
        <f t="shared" si="79"/>
        <v>-26346</v>
      </c>
      <c r="BH55">
        <f t="shared" si="79"/>
        <v>-26907</v>
      </c>
      <c r="BI55">
        <f t="shared" si="79"/>
        <v>-27468</v>
      </c>
      <c r="BJ55">
        <f t="shared" si="79"/>
        <v>-28029</v>
      </c>
      <c r="BK55">
        <f t="shared" si="79"/>
        <v>-28590</v>
      </c>
      <c r="BL55">
        <f t="shared" si="79"/>
        <v>-29148</v>
      </c>
      <c r="BM55">
        <f t="shared" si="79"/>
        <v>-29706</v>
      </c>
      <c r="BN55">
        <f t="shared" si="79"/>
        <v>-30724</v>
      </c>
      <c r="BO55">
        <f t="shared" si="79"/>
        <v>-30724</v>
      </c>
      <c r="BP55">
        <f t="shared" ref="BP55:CC55" si="80">BP49-BP52</f>
        <v>-30724</v>
      </c>
      <c r="BQ55">
        <f t="shared" si="80"/>
        <v>-30724</v>
      </c>
      <c r="BR55">
        <f t="shared" si="80"/>
        <v>-30724</v>
      </c>
      <c r="BS55">
        <f t="shared" si="80"/>
        <v>-31285</v>
      </c>
      <c r="BT55">
        <f t="shared" si="80"/>
        <v>-31846</v>
      </c>
      <c r="BU55">
        <f t="shared" si="80"/>
        <v>-32407</v>
      </c>
      <c r="BV55">
        <f t="shared" si="80"/>
        <v>-32968</v>
      </c>
      <c r="BW55">
        <f t="shared" si="80"/>
        <v>-33529</v>
      </c>
      <c r="BX55">
        <f t="shared" si="80"/>
        <v>-34090</v>
      </c>
      <c r="BY55">
        <f t="shared" si="80"/>
        <v>-34651</v>
      </c>
      <c r="BZ55">
        <f t="shared" si="80"/>
        <v>-35212</v>
      </c>
      <c r="CA55">
        <f t="shared" si="80"/>
        <v>-35773</v>
      </c>
      <c r="CB55">
        <f t="shared" si="80"/>
        <v>-36334</v>
      </c>
      <c r="CC55">
        <f t="shared" si="80"/>
        <v>-36895</v>
      </c>
    </row>
    <row r="56" spans="1:81" x14ac:dyDescent="0.2">
      <c r="A56" s="43"/>
      <c r="B56" s="44" t="s">
        <v>208</v>
      </c>
      <c r="C56" s="9" t="s">
        <v>38</v>
      </c>
      <c r="D56" s="58">
        <f>IFERROR(VLOOKUP(A56,OS!$A:$B,2,0),0)</f>
        <v>0</v>
      </c>
      <c r="E56" s="5">
        <f>(D56+D57-D59)</f>
        <v>0</v>
      </c>
      <c r="F56" s="5">
        <f>(E56+E57-E59)</f>
        <v>0</v>
      </c>
      <c r="G56" s="5">
        <f>(F56+F57-F59)</f>
        <v>0</v>
      </c>
      <c r="H56" s="5">
        <f>(G56+G57-G59)</f>
        <v>0</v>
      </c>
      <c r="I56" s="5">
        <f t="shared" ref="I56:AN56" si="81">(H56+H57-H59+D58)</f>
        <v>0</v>
      </c>
      <c r="J56" s="5">
        <f t="shared" si="81"/>
        <v>0</v>
      </c>
      <c r="K56" s="5">
        <f t="shared" si="81"/>
        <v>0</v>
      </c>
      <c r="L56" s="5">
        <f t="shared" si="81"/>
        <v>0</v>
      </c>
      <c r="M56" s="5">
        <f t="shared" si="81"/>
        <v>0</v>
      </c>
      <c r="N56" s="5">
        <f t="shared" si="81"/>
        <v>0</v>
      </c>
      <c r="O56" s="5">
        <f t="shared" si="81"/>
        <v>0</v>
      </c>
      <c r="P56" s="5">
        <f t="shared" si="81"/>
        <v>0</v>
      </c>
      <c r="Q56" s="5">
        <f t="shared" si="81"/>
        <v>0</v>
      </c>
      <c r="R56" s="5">
        <f t="shared" si="81"/>
        <v>0</v>
      </c>
      <c r="S56" s="5">
        <f t="shared" si="81"/>
        <v>0</v>
      </c>
      <c r="T56" s="5">
        <f t="shared" si="81"/>
        <v>0</v>
      </c>
      <c r="U56" s="5">
        <f t="shared" si="81"/>
        <v>0</v>
      </c>
      <c r="V56" s="5">
        <f t="shared" si="81"/>
        <v>0</v>
      </c>
      <c r="W56" s="5">
        <f t="shared" si="81"/>
        <v>0</v>
      </c>
      <c r="X56" s="5">
        <f t="shared" si="81"/>
        <v>0</v>
      </c>
      <c r="Y56" s="5">
        <f t="shared" si="81"/>
        <v>0</v>
      </c>
      <c r="Z56" s="5">
        <f t="shared" si="81"/>
        <v>0</v>
      </c>
      <c r="AA56" s="5">
        <f t="shared" si="81"/>
        <v>0</v>
      </c>
      <c r="AB56" s="5">
        <f t="shared" si="81"/>
        <v>0</v>
      </c>
      <c r="AC56" s="5">
        <f t="shared" si="81"/>
        <v>0</v>
      </c>
      <c r="AD56" s="5">
        <f t="shared" si="81"/>
        <v>0</v>
      </c>
      <c r="AE56" s="5">
        <f t="shared" si="81"/>
        <v>0</v>
      </c>
      <c r="AF56" s="5">
        <f t="shared" si="81"/>
        <v>0</v>
      </c>
      <c r="AG56" s="5">
        <f t="shared" si="81"/>
        <v>0</v>
      </c>
      <c r="AH56" s="5">
        <f t="shared" si="81"/>
        <v>0</v>
      </c>
      <c r="AI56" s="5">
        <f t="shared" si="81"/>
        <v>0</v>
      </c>
      <c r="AJ56" s="5">
        <f t="shared" si="81"/>
        <v>0</v>
      </c>
      <c r="AK56" s="5">
        <f t="shared" si="81"/>
        <v>0</v>
      </c>
      <c r="AL56" s="5">
        <f t="shared" si="81"/>
        <v>0</v>
      </c>
      <c r="AM56" s="5">
        <f t="shared" si="81"/>
        <v>0</v>
      </c>
      <c r="AN56" s="5">
        <f t="shared" si="81"/>
        <v>0</v>
      </c>
      <c r="AO56" s="5">
        <f t="shared" ref="AO56:BT56" si="82">(AN56+AN57-AN59+AJ58)</f>
        <v>0</v>
      </c>
      <c r="AP56" s="5">
        <f t="shared" si="82"/>
        <v>0</v>
      </c>
      <c r="AQ56" s="5">
        <f t="shared" si="82"/>
        <v>0</v>
      </c>
      <c r="AR56" s="5">
        <f t="shared" si="82"/>
        <v>0</v>
      </c>
      <c r="AS56" s="5">
        <f t="shared" si="82"/>
        <v>0</v>
      </c>
      <c r="AT56" s="5">
        <f t="shared" si="82"/>
        <v>0</v>
      </c>
      <c r="AU56" s="5">
        <f t="shared" si="82"/>
        <v>0</v>
      </c>
      <c r="AV56" s="5">
        <f t="shared" si="82"/>
        <v>0</v>
      </c>
      <c r="AW56" s="5">
        <f t="shared" si="82"/>
        <v>0</v>
      </c>
      <c r="AX56" s="5">
        <f t="shared" si="82"/>
        <v>0</v>
      </c>
      <c r="AY56" s="5">
        <f t="shared" si="82"/>
        <v>0</v>
      </c>
      <c r="AZ56" s="5">
        <f t="shared" si="82"/>
        <v>0</v>
      </c>
      <c r="BA56" s="5">
        <f t="shared" si="82"/>
        <v>0</v>
      </c>
      <c r="BB56" s="5">
        <f t="shared" si="82"/>
        <v>0</v>
      </c>
      <c r="BC56" s="5">
        <f t="shared" si="82"/>
        <v>0</v>
      </c>
      <c r="BD56" s="5">
        <f t="shared" si="82"/>
        <v>0</v>
      </c>
      <c r="BE56" s="5">
        <f t="shared" si="82"/>
        <v>0</v>
      </c>
      <c r="BF56" s="5">
        <f t="shared" si="82"/>
        <v>0</v>
      </c>
      <c r="BG56" s="5">
        <f t="shared" si="82"/>
        <v>0</v>
      </c>
      <c r="BH56" s="5">
        <f t="shared" si="82"/>
        <v>0</v>
      </c>
      <c r="BI56" s="5">
        <f t="shared" si="82"/>
        <v>0</v>
      </c>
      <c r="BJ56" s="5">
        <f t="shared" si="82"/>
        <v>0</v>
      </c>
      <c r="BK56" s="5">
        <f t="shared" si="82"/>
        <v>0</v>
      </c>
      <c r="BL56" s="5">
        <f t="shared" si="82"/>
        <v>0</v>
      </c>
      <c r="BM56" s="5">
        <f t="shared" si="82"/>
        <v>0</v>
      </c>
      <c r="BN56" s="5">
        <f t="shared" si="82"/>
        <v>0</v>
      </c>
      <c r="BO56" s="5">
        <f t="shared" si="82"/>
        <v>0</v>
      </c>
      <c r="BP56" s="5">
        <f t="shared" si="82"/>
        <v>0</v>
      </c>
      <c r="BQ56" s="5">
        <f t="shared" si="82"/>
        <v>0</v>
      </c>
      <c r="BR56" s="5">
        <f t="shared" si="82"/>
        <v>0</v>
      </c>
      <c r="BS56" s="5">
        <f t="shared" si="82"/>
        <v>0</v>
      </c>
      <c r="BT56" s="5">
        <f t="shared" si="82"/>
        <v>0</v>
      </c>
      <c r="BU56" s="5">
        <f t="shared" ref="BU56:CC56" si="83">(BT56+BT57-BT59+BP58)</f>
        <v>0</v>
      </c>
      <c r="BV56" s="5">
        <f t="shared" si="83"/>
        <v>0</v>
      </c>
      <c r="BW56" s="5">
        <f t="shared" si="83"/>
        <v>0</v>
      </c>
      <c r="BX56" s="5">
        <f t="shared" si="83"/>
        <v>0</v>
      </c>
      <c r="BY56" s="5">
        <f t="shared" si="83"/>
        <v>0</v>
      </c>
      <c r="BZ56" s="5">
        <f t="shared" si="83"/>
        <v>0</v>
      </c>
      <c r="CA56" s="5">
        <f t="shared" si="83"/>
        <v>0</v>
      </c>
      <c r="CB56" s="5">
        <f t="shared" si="83"/>
        <v>0</v>
      </c>
      <c r="CC56" s="5">
        <f t="shared" si="83"/>
        <v>0</v>
      </c>
    </row>
    <row r="57" spans="1:81" x14ac:dyDescent="0.2">
      <c r="A57" s="5" t="s">
        <v>209</v>
      </c>
      <c r="B57" s="5">
        <v>1.23655</v>
      </c>
      <c r="C57" s="45" t="s">
        <v>39</v>
      </c>
      <c r="D57" s="59">
        <f>IFERROR(VLOOKUP(A56,WIP!$A:$B,2,0),0)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2">
      <c r="A58" s="5" t="s">
        <v>210</v>
      </c>
      <c r="B58" s="5">
        <v>0.04</v>
      </c>
      <c r="C58" s="9" t="s">
        <v>211</v>
      </c>
      <c r="D58" s="60">
        <f>IFERROR(VLOOKUP($A56,Plan!$A:B,D$4,0),0)</f>
        <v>0</v>
      </c>
      <c r="E58" s="60">
        <f>IFERROR(VLOOKUP($A56,Plan!$A:C,E$4,0),0)</f>
        <v>0</v>
      </c>
      <c r="F58" s="60">
        <f>IFERROR(VLOOKUP($A56,Plan!$A:D,F$4,0),0)</f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 x14ac:dyDescent="0.2">
      <c r="A59" s="5" t="s">
        <v>212</v>
      </c>
      <c r="B59" s="5">
        <v>5.0000000000000001E-3</v>
      </c>
      <c r="C59" s="9" t="s">
        <v>213</v>
      </c>
      <c r="D59" s="61">
        <f>IFERROR(VLOOKUP($A56,Sales!$A:B,D$2,0),0)</f>
        <v>0</v>
      </c>
      <c r="E59" s="61">
        <f>IFERROR(VLOOKUP($A56,Sales!$A:C,E$2,0),0)</f>
        <v>0</v>
      </c>
      <c r="F59" s="61">
        <f>IFERROR(VLOOKUP($A56,Sales!$A:D,F$2,0),0)</f>
        <v>0</v>
      </c>
      <c r="G59" s="61">
        <f>IFERROR(VLOOKUP($A56,Sales!$A:E,G$2,0),0)</f>
        <v>0</v>
      </c>
      <c r="H59" s="61">
        <f>IFERROR(VLOOKUP($A56,Sales!$A:F,H$2,0),0)</f>
        <v>0</v>
      </c>
      <c r="I59" s="61">
        <f>IFERROR(VLOOKUP($A56,Sales!$A:G,I$2,0),0)</f>
        <v>0</v>
      </c>
      <c r="J59" s="61">
        <f>IFERROR(VLOOKUP($A56,Sales!$A:H,J$2,0),0)</f>
        <v>0</v>
      </c>
      <c r="K59" s="61">
        <f>IFERROR(VLOOKUP($A56,Sales!$A:I,K$2,0),0)</f>
        <v>0</v>
      </c>
      <c r="L59" s="61">
        <f>IFERROR(VLOOKUP($A56,Sales!$A:J,L$2,0),0)</f>
        <v>0</v>
      </c>
      <c r="M59" s="61">
        <f>IFERROR(VLOOKUP($A56,Sales!$A:K,M$2,0),0)</f>
        <v>0</v>
      </c>
      <c r="N59" s="61">
        <f>IFERROR(VLOOKUP($A56,Sales!$A:L,N$2,0),0)</f>
        <v>0</v>
      </c>
      <c r="O59" s="61">
        <f>IFERROR(VLOOKUP($A56,Sales!$A:M,O$2,0),0)</f>
        <v>0</v>
      </c>
      <c r="P59" s="61">
        <f>IFERROR(VLOOKUP($A56,Sales!$A:N,P$2,0),0)</f>
        <v>0</v>
      </c>
      <c r="Q59" s="61">
        <f>IFERROR(VLOOKUP($A56,Sales!$A:O,Q$2,0),0)</f>
        <v>0</v>
      </c>
      <c r="R59" s="61">
        <f>IFERROR(VLOOKUP($A56,Sales!$A:P,R$2,0),0)</f>
        <v>0</v>
      </c>
      <c r="S59" s="61">
        <f>IFERROR(VLOOKUP($A56,Sales!$A:Q,S$2,0),0)</f>
        <v>0</v>
      </c>
      <c r="T59" s="61">
        <f>IFERROR(VLOOKUP($A56,Sales!$A:R,T$2,0),0)</f>
        <v>0</v>
      </c>
      <c r="U59" s="61">
        <f>IFERROR(VLOOKUP($A56,Sales!$A:S,U$2,0),0)</f>
        <v>0</v>
      </c>
      <c r="V59" s="61">
        <f>IFERROR(VLOOKUP($A56,Sales!$A:T,V$2,0),0)</f>
        <v>0</v>
      </c>
      <c r="W59" s="61">
        <f>IFERROR(VLOOKUP($A56,Sales!$A:U,W$2,0),0)</f>
        <v>0</v>
      </c>
      <c r="X59" s="61">
        <f>IFERROR(VLOOKUP($A56,Sales!$A:V,X$2,0),0)</f>
        <v>0</v>
      </c>
      <c r="Y59" s="61">
        <f>IFERROR(VLOOKUP($A56,Sales!$A:W,Y$2,0),0)</f>
        <v>0</v>
      </c>
      <c r="Z59" s="61">
        <f>IFERROR(VLOOKUP($A56,Sales!$A:X,Z$2,0),0)</f>
        <v>0</v>
      </c>
      <c r="AA59" s="61">
        <f>IFERROR(VLOOKUP($A56,Sales!$A:Y,AA$2,0),0)</f>
        <v>0</v>
      </c>
      <c r="AB59" s="61">
        <f>IFERROR(VLOOKUP($A56,Sales!$A:Z,AB$2,0),0)</f>
        <v>0</v>
      </c>
      <c r="AC59" s="61">
        <f>IFERROR(VLOOKUP($A56,Sales!$A:AA,AC$2,0),0)</f>
        <v>0</v>
      </c>
      <c r="AD59" s="61">
        <f>IFERROR(VLOOKUP($A56,Sales!$A:AB,AD$2,0),0)</f>
        <v>0</v>
      </c>
      <c r="AE59" s="61">
        <f>IFERROR(VLOOKUP($A56,Sales!$A:AC,AE$2,0),0)</f>
        <v>0</v>
      </c>
      <c r="AF59" s="61">
        <f>IFERROR(VLOOKUP($A56,Sales!$A:AD,AF$2,0),0)</f>
        <v>0</v>
      </c>
      <c r="AG59" s="61">
        <f>IFERROR(VLOOKUP($A56,Sales!$A:AE,AG$2,0),0)</f>
        <v>0</v>
      </c>
      <c r="AH59" s="61">
        <f>IFERROR(VLOOKUP($A56,Sales!$A:AF,AH$2,0),0)</f>
        <v>0</v>
      </c>
      <c r="AI59" s="61">
        <f>IFERROR(VLOOKUP($A56,Sales!$A:AG,AI$2,0),0)</f>
        <v>0</v>
      </c>
      <c r="AJ59" s="61">
        <f>IFERROR(VLOOKUP($A56,Sales!$A:AH,AJ$2,0),0)</f>
        <v>0</v>
      </c>
      <c r="AK59" s="74">
        <f t="shared" ref="AK59:CC59" si="84">CEILING(AK$5*$B55,1)</f>
        <v>0</v>
      </c>
      <c r="AL59" s="74">
        <f t="shared" si="84"/>
        <v>0</v>
      </c>
      <c r="AM59" s="74">
        <f t="shared" si="84"/>
        <v>0</v>
      </c>
      <c r="AN59" s="74">
        <f t="shared" si="84"/>
        <v>0</v>
      </c>
      <c r="AO59" s="74">
        <f t="shared" si="84"/>
        <v>0</v>
      </c>
      <c r="AP59" s="74">
        <f t="shared" si="84"/>
        <v>0</v>
      </c>
      <c r="AQ59" s="74">
        <f t="shared" si="84"/>
        <v>0</v>
      </c>
      <c r="AR59" s="74">
        <f t="shared" si="84"/>
        <v>0</v>
      </c>
      <c r="AS59" s="74">
        <f t="shared" si="84"/>
        <v>0</v>
      </c>
      <c r="AT59" s="74">
        <f t="shared" si="84"/>
        <v>0</v>
      </c>
      <c r="AU59" s="74">
        <f t="shared" si="84"/>
        <v>0</v>
      </c>
      <c r="AV59" s="74">
        <f t="shared" si="84"/>
        <v>0</v>
      </c>
      <c r="AW59" s="74">
        <f t="shared" si="84"/>
        <v>0</v>
      </c>
      <c r="AX59" s="74">
        <f t="shared" si="84"/>
        <v>0</v>
      </c>
      <c r="AY59" s="74">
        <f t="shared" si="84"/>
        <v>0</v>
      </c>
      <c r="AZ59" s="74">
        <f t="shared" si="84"/>
        <v>0</v>
      </c>
      <c r="BA59" s="74">
        <f t="shared" si="84"/>
        <v>0</v>
      </c>
      <c r="BB59" s="74">
        <f t="shared" si="84"/>
        <v>0</v>
      </c>
      <c r="BC59" s="74">
        <f t="shared" si="84"/>
        <v>0</v>
      </c>
      <c r="BD59" s="74">
        <f t="shared" si="84"/>
        <v>0</v>
      </c>
      <c r="BE59" s="74">
        <f t="shared" si="84"/>
        <v>0</v>
      </c>
      <c r="BF59" s="74">
        <f t="shared" si="84"/>
        <v>0</v>
      </c>
      <c r="BG59" s="74">
        <f t="shared" si="84"/>
        <v>0</v>
      </c>
      <c r="BH59" s="74">
        <f t="shared" si="84"/>
        <v>0</v>
      </c>
      <c r="BI59" s="74">
        <f t="shared" si="84"/>
        <v>0</v>
      </c>
      <c r="BJ59" s="74">
        <f t="shared" si="84"/>
        <v>0</v>
      </c>
      <c r="BK59" s="74">
        <f t="shared" si="84"/>
        <v>0</v>
      </c>
      <c r="BL59" s="74">
        <f t="shared" si="84"/>
        <v>0</v>
      </c>
      <c r="BM59" s="74">
        <f t="shared" si="84"/>
        <v>0</v>
      </c>
      <c r="BN59" s="74">
        <f t="shared" si="84"/>
        <v>0</v>
      </c>
      <c r="BO59" s="74">
        <f t="shared" si="84"/>
        <v>0</v>
      </c>
      <c r="BP59" s="74">
        <f t="shared" si="84"/>
        <v>0</v>
      </c>
      <c r="BQ59" s="74">
        <f t="shared" si="84"/>
        <v>0</v>
      </c>
      <c r="BR59" s="74">
        <f t="shared" si="84"/>
        <v>0</v>
      </c>
      <c r="BS59" s="74">
        <f t="shared" si="84"/>
        <v>0</v>
      </c>
      <c r="BT59" s="74">
        <f t="shared" si="84"/>
        <v>0</v>
      </c>
      <c r="BU59" s="74">
        <f t="shared" si="84"/>
        <v>0</v>
      </c>
      <c r="BV59" s="74">
        <f t="shared" si="84"/>
        <v>0</v>
      </c>
      <c r="BW59" s="74">
        <f t="shared" si="84"/>
        <v>0</v>
      </c>
      <c r="BX59" s="74">
        <f t="shared" si="84"/>
        <v>0</v>
      </c>
      <c r="BY59" s="74">
        <f t="shared" si="84"/>
        <v>0</v>
      </c>
      <c r="BZ59" s="74">
        <f t="shared" si="84"/>
        <v>0</v>
      </c>
      <c r="CA59" s="74">
        <f t="shared" si="84"/>
        <v>0</v>
      </c>
      <c r="CB59" s="74">
        <f t="shared" si="84"/>
        <v>0</v>
      </c>
      <c r="CC59" s="74">
        <f t="shared" si="84"/>
        <v>0</v>
      </c>
    </row>
    <row r="60" spans="1:81" x14ac:dyDescent="0.2">
      <c r="A60" s="5" t="s">
        <v>214</v>
      </c>
      <c r="B60" s="5">
        <v>4.4999999999999998E-2</v>
      </c>
      <c r="C60" s="46" t="s">
        <v>215</v>
      </c>
      <c r="D60" s="11">
        <f t="shared" ref="D60:AI60" si="85">IF(D59=0,0, ROUND(D56 * 1/D59* D$13,1))</f>
        <v>0</v>
      </c>
      <c r="E60" s="11">
        <f t="shared" si="85"/>
        <v>0</v>
      </c>
      <c r="F60" s="11">
        <f t="shared" si="85"/>
        <v>0</v>
      </c>
      <c r="G60" s="11">
        <f t="shared" si="85"/>
        <v>0</v>
      </c>
      <c r="H60" s="11">
        <f t="shared" si="85"/>
        <v>0</v>
      </c>
      <c r="I60" s="11">
        <f t="shared" si="85"/>
        <v>0</v>
      </c>
      <c r="J60" s="11">
        <f t="shared" si="85"/>
        <v>0</v>
      </c>
      <c r="K60" s="11">
        <f t="shared" si="85"/>
        <v>0</v>
      </c>
      <c r="L60" s="11">
        <f t="shared" si="85"/>
        <v>0</v>
      </c>
      <c r="M60" s="11">
        <f t="shared" si="85"/>
        <v>0</v>
      </c>
      <c r="N60" s="11">
        <f t="shared" si="85"/>
        <v>0</v>
      </c>
      <c r="O60" s="11">
        <f t="shared" si="85"/>
        <v>0</v>
      </c>
      <c r="P60" s="11">
        <f t="shared" si="85"/>
        <v>0</v>
      </c>
      <c r="Q60" s="11">
        <f t="shared" si="85"/>
        <v>0</v>
      </c>
      <c r="R60" s="11">
        <f t="shared" si="85"/>
        <v>0</v>
      </c>
      <c r="S60" s="11">
        <f t="shared" si="85"/>
        <v>0</v>
      </c>
      <c r="T60" s="11">
        <f t="shared" si="85"/>
        <v>0</v>
      </c>
      <c r="U60" s="11">
        <f t="shared" si="85"/>
        <v>0</v>
      </c>
      <c r="V60" s="11">
        <f t="shared" si="85"/>
        <v>0</v>
      </c>
      <c r="W60" s="11">
        <f t="shared" si="85"/>
        <v>0</v>
      </c>
      <c r="X60" s="11">
        <f t="shared" si="85"/>
        <v>0</v>
      </c>
      <c r="Y60" s="11">
        <f t="shared" si="85"/>
        <v>0</v>
      </c>
      <c r="Z60" s="11">
        <f t="shared" si="85"/>
        <v>0</v>
      </c>
      <c r="AA60" s="11">
        <f t="shared" si="85"/>
        <v>0</v>
      </c>
      <c r="AB60" s="11">
        <f t="shared" si="85"/>
        <v>0</v>
      </c>
      <c r="AC60" s="11">
        <f t="shared" si="85"/>
        <v>0</v>
      </c>
      <c r="AD60" s="11">
        <f t="shared" si="85"/>
        <v>0</v>
      </c>
      <c r="AE60" s="11">
        <f t="shared" si="85"/>
        <v>0</v>
      </c>
      <c r="AF60" s="11">
        <f t="shared" si="85"/>
        <v>0</v>
      </c>
      <c r="AG60" s="11">
        <f t="shared" si="85"/>
        <v>0</v>
      </c>
      <c r="AH60" s="11">
        <f t="shared" si="85"/>
        <v>0</v>
      </c>
      <c r="AI60" s="11">
        <f t="shared" si="85"/>
        <v>0</v>
      </c>
      <c r="AJ60" s="11">
        <f t="shared" ref="AJ60:BO60" si="86">IF(AJ59=0,0, ROUND(AJ56 * 1/AJ59* AJ$13,1))</f>
        <v>0</v>
      </c>
      <c r="AK60" s="11">
        <f t="shared" si="86"/>
        <v>0</v>
      </c>
      <c r="AL60" s="11">
        <f t="shared" si="86"/>
        <v>0</v>
      </c>
      <c r="AM60" s="11">
        <f t="shared" si="86"/>
        <v>0</v>
      </c>
      <c r="AN60" s="11">
        <f t="shared" si="86"/>
        <v>0</v>
      </c>
      <c r="AO60" s="11">
        <f t="shared" si="86"/>
        <v>0</v>
      </c>
      <c r="AP60" s="11">
        <f t="shared" si="86"/>
        <v>0</v>
      </c>
      <c r="AQ60" s="11">
        <f t="shared" si="86"/>
        <v>0</v>
      </c>
      <c r="AR60" s="11">
        <f t="shared" si="86"/>
        <v>0</v>
      </c>
      <c r="AS60" s="11">
        <f t="shared" si="86"/>
        <v>0</v>
      </c>
      <c r="AT60" s="11">
        <f t="shared" si="86"/>
        <v>0</v>
      </c>
      <c r="AU60" s="11">
        <f t="shared" si="86"/>
        <v>0</v>
      </c>
      <c r="AV60" s="11">
        <f t="shared" si="86"/>
        <v>0</v>
      </c>
      <c r="AW60" s="11">
        <f t="shared" si="86"/>
        <v>0</v>
      </c>
      <c r="AX60" s="11">
        <f t="shared" si="86"/>
        <v>0</v>
      </c>
      <c r="AY60" s="11">
        <f t="shared" si="86"/>
        <v>0</v>
      </c>
      <c r="AZ60" s="11">
        <f t="shared" si="86"/>
        <v>0</v>
      </c>
      <c r="BA60" s="11">
        <f t="shared" si="86"/>
        <v>0</v>
      </c>
      <c r="BB60" s="11">
        <f t="shared" si="86"/>
        <v>0</v>
      </c>
      <c r="BC60" s="11">
        <f t="shared" si="86"/>
        <v>0</v>
      </c>
      <c r="BD60" s="11">
        <f t="shared" si="86"/>
        <v>0</v>
      </c>
      <c r="BE60" s="11">
        <f t="shared" si="86"/>
        <v>0</v>
      </c>
      <c r="BF60" s="11">
        <f t="shared" si="86"/>
        <v>0</v>
      </c>
      <c r="BG60" s="11">
        <f t="shared" si="86"/>
        <v>0</v>
      </c>
      <c r="BH60" s="11">
        <f t="shared" si="86"/>
        <v>0</v>
      </c>
      <c r="BI60" s="11">
        <f t="shared" si="86"/>
        <v>0</v>
      </c>
      <c r="BJ60" s="11">
        <f t="shared" si="86"/>
        <v>0</v>
      </c>
      <c r="BK60" s="11">
        <f t="shared" si="86"/>
        <v>0</v>
      </c>
      <c r="BL60" s="11">
        <f t="shared" si="86"/>
        <v>0</v>
      </c>
      <c r="BM60" s="11">
        <f t="shared" si="86"/>
        <v>0</v>
      </c>
      <c r="BN60" s="11">
        <f t="shared" si="86"/>
        <v>0</v>
      </c>
      <c r="BO60" s="11">
        <f t="shared" si="86"/>
        <v>0</v>
      </c>
      <c r="BP60" s="11">
        <f t="shared" ref="BP60:CC60" si="87">IF(BP59=0,0, ROUND(BP56 * 1/BP59* BP$13,1))</f>
        <v>0</v>
      </c>
      <c r="BQ60" s="11">
        <f t="shared" si="87"/>
        <v>0</v>
      </c>
      <c r="BR60" s="11">
        <f t="shared" si="87"/>
        <v>0</v>
      </c>
      <c r="BS60" s="11">
        <f t="shared" si="87"/>
        <v>0</v>
      </c>
      <c r="BT60" s="11">
        <f t="shared" si="87"/>
        <v>0</v>
      </c>
      <c r="BU60" s="11">
        <f t="shared" si="87"/>
        <v>0</v>
      </c>
      <c r="BV60" s="11">
        <f t="shared" si="87"/>
        <v>0</v>
      </c>
      <c r="BW60" s="11">
        <f t="shared" si="87"/>
        <v>0</v>
      </c>
      <c r="BX60" s="11">
        <f t="shared" si="87"/>
        <v>0</v>
      </c>
      <c r="BY60" s="11">
        <f t="shared" si="87"/>
        <v>0</v>
      </c>
      <c r="BZ60" s="11">
        <f t="shared" si="87"/>
        <v>0</v>
      </c>
      <c r="CA60" s="11">
        <f t="shared" si="87"/>
        <v>0</v>
      </c>
      <c r="CB60" s="11">
        <f t="shared" si="87"/>
        <v>0</v>
      </c>
      <c r="CC60" s="11">
        <f t="shared" si="87"/>
        <v>0</v>
      </c>
    </row>
    <row r="61" spans="1:81" x14ac:dyDescent="0.2">
      <c r="A61">
        <v>4</v>
      </c>
      <c r="B61">
        <v>50</v>
      </c>
      <c r="C61" s="8">
        <v>0.93469000000000002</v>
      </c>
      <c r="D61">
        <f t="shared" ref="D61:AI61" si="88">D58/$B61</f>
        <v>0</v>
      </c>
      <c r="E61">
        <f t="shared" si="88"/>
        <v>0</v>
      </c>
      <c r="F61">
        <f t="shared" si="88"/>
        <v>0</v>
      </c>
      <c r="G61">
        <f t="shared" si="88"/>
        <v>0</v>
      </c>
      <c r="H61">
        <f t="shared" si="88"/>
        <v>0</v>
      </c>
      <c r="I61">
        <f t="shared" si="88"/>
        <v>0</v>
      </c>
      <c r="J61">
        <f t="shared" si="88"/>
        <v>0</v>
      </c>
      <c r="K61">
        <f t="shared" si="88"/>
        <v>0</v>
      </c>
      <c r="L61">
        <f t="shared" si="88"/>
        <v>0</v>
      </c>
      <c r="M61">
        <f t="shared" si="88"/>
        <v>0</v>
      </c>
      <c r="N61">
        <f t="shared" si="88"/>
        <v>0</v>
      </c>
      <c r="O61">
        <f t="shared" si="88"/>
        <v>0</v>
      </c>
      <c r="P61">
        <f t="shared" si="88"/>
        <v>0</v>
      </c>
      <c r="Q61">
        <f t="shared" si="88"/>
        <v>0</v>
      </c>
      <c r="R61">
        <f t="shared" si="88"/>
        <v>0</v>
      </c>
      <c r="S61">
        <f t="shared" si="88"/>
        <v>0</v>
      </c>
      <c r="T61">
        <f t="shared" si="88"/>
        <v>0</v>
      </c>
      <c r="U61">
        <f t="shared" si="88"/>
        <v>0</v>
      </c>
      <c r="V61">
        <f t="shared" si="88"/>
        <v>0</v>
      </c>
      <c r="W61">
        <f t="shared" si="88"/>
        <v>0</v>
      </c>
      <c r="X61">
        <f t="shared" si="88"/>
        <v>0</v>
      </c>
      <c r="Y61">
        <f t="shared" si="88"/>
        <v>0</v>
      </c>
      <c r="Z61">
        <f t="shared" si="88"/>
        <v>0</v>
      </c>
      <c r="AA61">
        <f t="shared" si="88"/>
        <v>0</v>
      </c>
      <c r="AB61">
        <f t="shared" si="88"/>
        <v>0</v>
      </c>
      <c r="AC61">
        <f t="shared" si="88"/>
        <v>0</v>
      </c>
      <c r="AD61">
        <f t="shared" si="88"/>
        <v>0</v>
      </c>
      <c r="AE61">
        <f t="shared" si="88"/>
        <v>0</v>
      </c>
      <c r="AF61">
        <f t="shared" si="88"/>
        <v>0</v>
      </c>
      <c r="AG61">
        <f t="shared" si="88"/>
        <v>0</v>
      </c>
      <c r="AH61">
        <f t="shared" si="88"/>
        <v>0</v>
      </c>
      <c r="AI61">
        <f t="shared" si="88"/>
        <v>0</v>
      </c>
      <c r="AJ61">
        <f t="shared" ref="AJ61:BO61" si="89">AJ58/$B61</f>
        <v>0</v>
      </c>
      <c r="AK61">
        <f t="shared" si="89"/>
        <v>0</v>
      </c>
      <c r="AL61">
        <f t="shared" si="89"/>
        <v>0</v>
      </c>
      <c r="AM61">
        <f t="shared" si="89"/>
        <v>0</v>
      </c>
      <c r="AN61">
        <f t="shared" si="89"/>
        <v>0</v>
      </c>
      <c r="AO61">
        <f t="shared" si="89"/>
        <v>0</v>
      </c>
      <c r="AP61">
        <f t="shared" si="89"/>
        <v>0</v>
      </c>
      <c r="AQ61">
        <f t="shared" si="89"/>
        <v>0</v>
      </c>
      <c r="AR61">
        <f t="shared" si="89"/>
        <v>0</v>
      </c>
      <c r="AS61">
        <f t="shared" si="89"/>
        <v>0</v>
      </c>
      <c r="AT61">
        <f t="shared" si="89"/>
        <v>0</v>
      </c>
      <c r="AU61">
        <f t="shared" si="89"/>
        <v>0</v>
      </c>
      <c r="AV61">
        <f t="shared" si="89"/>
        <v>0</v>
      </c>
      <c r="AW61">
        <f t="shared" si="89"/>
        <v>0</v>
      </c>
      <c r="AX61">
        <f t="shared" si="89"/>
        <v>0</v>
      </c>
      <c r="AY61">
        <f t="shared" si="89"/>
        <v>0</v>
      </c>
      <c r="AZ61">
        <f t="shared" si="89"/>
        <v>0</v>
      </c>
      <c r="BA61">
        <f t="shared" si="89"/>
        <v>0</v>
      </c>
      <c r="BB61">
        <f t="shared" si="89"/>
        <v>0</v>
      </c>
      <c r="BC61">
        <f t="shared" si="89"/>
        <v>0</v>
      </c>
      <c r="BD61">
        <f t="shared" si="89"/>
        <v>0</v>
      </c>
      <c r="BE61">
        <f t="shared" si="89"/>
        <v>0</v>
      </c>
      <c r="BF61">
        <f t="shared" si="89"/>
        <v>0</v>
      </c>
      <c r="BG61">
        <f t="shared" si="89"/>
        <v>0</v>
      </c>
      <c r="BH61">
        <f t="shared" si="89"/>
        <v>0</v>
      </c>
      <c r="BI61">
        <f t="shared" si="89"/>
        <v>0</v>
      </c>
      <c r="BJ61">
        <f t="shared" si="89"/>
        <v>0</v>
      </c>
      <c r="BK61">
        <f t="shared" si="89"/>
        <v>0</v>
      </c>
      <c r="BL61">
        <f t="shared" si="89"/>
        <v>0</v>
      </c>
      <c r="BM61">
        <f t="shared" si="89"/>
        <v>0</v>
      </c>
      <c r="BN61">
        <f t="shared" si="89"/>
        <v>0</v>
      </c>
      <c r="BO61">
        <f t="shared" si="89"/>
        <v>0</v>
      </c>
      <c r="BP61">
        <f t="shared" ref="BP61:CC61" si="90">BP58/$B61</f>
        <v>0</v>
      </c>
      <c r="BQ61">
        <f t="shared" si="90"/>
        <v>0</v>
      </c>
      <c r="BR61">
        <f t="shared" si="90"/>
        <v>0</v>
      </c>
      <c r="BS61">
        <f t="shared" si="90"/>
        <v>0</v>
      </c>
      <c r="BT61">
        <f t="shared" si="90"/>
        <v>0</v>
      </c>
      <c r="BU61">
        <f t="shared" si="90"/>
        <v>0</v>
      </c>
      <c r="BV61">
        <f t="shared" si="90"/>
        <v>0</v>
      </c>
      <c r="BW61">
        <f t="shared" si="90"/>
        <v>0</v>
      </c>
      <c r="BX61">
        <f t="shared" si="90"/>
        <v>0</v>
      </c>
      <c r="BY61">
        <f t="shared" si="90"/>
        <v>0</v>
      </c>
      <c r="BZ61">
        <f t="shared" si="90"/>
        <v>0</v>
      </c>
      <c r="CA61">
        <f t="shared" si="90"/>
        <v>0</v>
      </c>
      <c r="CB61">
        <f t="shared" si="90"/>
        <v>0</v>
      </c>
      <c r="CC61">
        <f t="shared" si="90"/>
        <v>0</v>
      </c>
    </row>
    <row r="62" spans="1:81" x14ac:dyDescent="0.2">
      <c r="C62" s="9" t="s">
        <v>216</v>
      </c>
      <c r="D62">
        <f t="shared" ref="D62:AI62" si="91">D56-D59</f>
        <v>0</v>
      </c>
      <c r="E62">
        <f t="shared" si="91"/>
        <v>0</v>
      </c>
      <c r="F62">
        <f t="shared" si="91"/>
        <v>0</v>
      </c>
      <c r="G62">
        <f t="shared" si="91"/>
        <v>0</v>
      </c>
      <c r="H62">
        <f t="shared" si="91"/>
        <v>0</v>
      </c>
      <c r="I62">
        <f t="shared" si="91"/>
        <v>0</v>
      </c>
      <c r="J62">
        <f t="shared" si="91"/>
        <v>0</v>
      </c>
      <c r="K62">
        <f t="shared" si="91"/>
        <v>0</v>
      </c>
      <c r="L62">
        <f t="shared" si="91"/>
        <v>0</v>
      </c>
      <c r="M62">
        <f t="shared" si="91"/>
        <v>0</v>
      </c>
      <c r="N62">
        <f t="shared" si="91"/>
        <v>0</v>
      </c>
      <c r="O62">
        <f t="shared" si="91"/>
        <v>0</v>
      </c>
      <c r="P62">
        <f t="shared" si="91"/>
        <v>0</v>
      </c>
      <c r="Q62">
        <f t="shared" si="91"/>
        <v>0</v>
      </c>
      <c r="R62">
        <f t="shared" si="91"/>
        <v>0</v>
      </c>
      <c r="S62">
        <f t="shared" si="91"/>
        <v>0</v>
      </c>
      <c r="T62">
        <f t="shared" si="91"/>
        <v>0</v>
      </c>
      <c r="U62">
        <f t="shared" si="91"/>
        <v>0</v>
      </c>
      <c r="V62">
        <f t="shared" si="91"/>
        <v>0</v>
      </c>
      <c r="W62">
        <f t="shared" si="91"/>
        <v>0</v>
      </c>
      <c r="X62">
        <f t="shared" si="91"/>
        <v>0</v>
      </c>
      <c r="Y62">
        <f t="shared" si="91"/>
        <v>0</v>
      </c>
      <c r="Z62">
        <f t="shared" si="91"/>
        <v>0</v>
      </c>
      <c r="AA62">
        <f t="shared" si="91"/>
        <v>0</v>
      </c>
      <c r="AB62">
        <f t="shared" si="91"/>
        <v>0</v>
      </c>
      <c r="AC62">
        <f t="shared" si="91"/>
        <v>0</v>
      </c>
      <c r="AD62">
        <f t="shared" si="91"/>
        <v>0</v>
      </c>
      <c r="AE62">
        <f t="shared" si="91"/>
        <v>0</v>
      </c>
      <c r="AF62">
        <f t="shared" si="91"/>
        <v>0</v>
      </c>
      <c r="AG62">
        <f t="shared" si="91"/>
        <v>0</v>
      </c>
      <c r="AH62">
        <f t="shared" si="91"/>
        <v>0</v>
      </c>
      <c r="AI62">
        <f t="shared" si="91"/>
        <v>0</v>
      </c>
      <c r="AJ62">
        <f t="shared" ref="AJ62:BO62" si="92">AJ56-AJ59</f>
        <v>0</v>
      </c>
      <c r="AK62">
        <f t="shared" si="92"/>
        <v>0</v>
      </c>
      <c r="AL62">
        <f t="shared" si="92"/>
        <v>0</v>
      </c>
      <c r="AM62">
        <f t="shared" si="92"/>
        <v>0</v>
      </c>
      <c r="AN62">
        <f t="shared" si="92"/>
        <v>0</v>
      </c>
      <c r="AO62">
        <f t="shared" si="92"/>
        <v>0</v>
      </c>
      <c r="AP62">
        <f t="shared" si="92"/>
        <v>0</v>
      </c>
      <c r="AQ62">
        <f t="shared" si="92"/>
        <v>0</v>
      </c>
      <c r="AR62">
        <f t="shared" si="92"/>
        <v>0</v>
      </c>
      <c r="AS62">
        <f t="shared" si="92"/>
        <v>0</v>
      </c>
      <c r="AT62">
        <f t="shared" si="92"/>
        <v>0</v>
      </c>
      <c r="AU62">
        <f t="shared" si="92"/>
        <v>0</v>
      </c>
      <c r="AV62">
        <f t="shared" si="92"/>
        <v>0</v>
      </c>
      <c r="AW62">
        <f t="shared" si="92"/>
        <v>0</v>
      </c>
      <c r="AX62">
        <f t="shared" si="92"/>
        <v>0</v>
      </c>
      <c r="AY62">
        <f t="shared" si="92"/>
        <v>0</v>
      </c>
      <c r="AZ62">
        <f t="shared" si="92"/>
        <v>0</v>
      </c>
      <c r="BA62">
        <f t="shared" si="92"/>
        <v>0</v>
      </c>
      <c r="BB62">
        <f t="shared" si="92"/>
        <v>0</v>
      </c>
      <c r="BC62">
        <f t="shared" si="92"/>
        <v>0</v>
      </c>
      <c r="BD62">
        <f t="shared" si="92"/>
        <v>0</v>
      </c>
      <c r="BE62">
        <f t="shared" si="92"/>
        <v>0</v>
      </c>
      <c r="BF62">
        <f t="shared" si="92"/>
        <v>0</v>
      </c>
      <c r="BG62">
        <f t="shared" si="92"/>
        <v>0</v>
      </c>
      <c r="BH62">
        <f t="shared" si="92"/>
        <v>0</v>
      </c>
      <c r="BI62">
        <f t="shared" si="92"/>
        <v>0</v>
      </c>
      <c r="BJ62">
        <f t="shared" si="92"/>
        <v>0</v>
      </c>
      <c r="BK62">
        <f t="shared" si="92"/>
        <v>0</v>
      </c>
      <c r="BL62">
        <f t="shared" si="92"/>
        <v>0</v>
      </c>
      <c r="BM62">
        <f t="shared" si="92"/>
        <v>0</v>
      </c>
      <c r="BN62">
        <f t="shared" si="92"/>
        <v>0</v>
      </c>
      <c r="BO62">
        <f t="shared" si="92"/>
        <v>0</v>
      </c>
      <c r="BP62">
        <f t="shared" ref="BP62:CC62" si="93">BP56-BP59</f>
        <v>0</v>
      </c>
      <c r="BQ62">
        <f t="shared" si="93"/>
        <v>0</v>
      </c>
      <c r="BR62">
        <f t="shared" si="93"/>
        <v>0</v>
      </c>
      <c r="BS62">
        <f t="shared" si="93"/>
        <v>0</v>
      </c>
      <c r="BT62">
        <f t="shared" si="93"/>
        <v>0</v>
      </c>
      <c r="BU62">
        <f t="shared" si="93"/>
        <v>0</v>
      </c>
      <c r="BV62">
        <f t="shared" si="93"/>
        <v>0</v>
      </c>
      <c r="BW62">
        <f t="shared" si="93"/>
        <v>0</v>
      </c>
      <c r="BX62">
        <f t="shared" si="93"/>
        <v>0</v>
      </c>
      <c r="BY62">
        <f t="shared" si="93"/>
        <v>0</v>
      </c>
      <c r="BZ62">
        <f t="shared" si="93"/>
        <v>0</v>
      </c>
      <c r="CA62">
        <f t="shared" si="93"/>
        <v>0</v>
      </c>
      <c r="CB62">
        <f t="shared" si="93"/>
        <v>0</v>
      </c>
      <c r="CC62">
        <f t="shared" si="93"/>
        <v>0</v>
      </c>
    </row>
    <row r="63" spans="1:81" x14ac:dyDescent="0.2">
      <c r="C63" s="9"/>
    </row>
    <row r="64" spans="1:81" x14ac:dyDescent="0.2">
      <c r="A64" t="s">
        <v>251</v>
      </c>
      <c r="C64" s="47" t="s">
        <v>38</v>
      </c>
      <c r="D64" s="47">
        <f t="shared" ref="D64:AI64" si="94">D14+D21+D28+D35+D42+D49+D56</f>
        <v>38350</v>
      </c>
      <c r="E64" s="47">
        <f t="shared" si="94"/>
        <v>44970</v>
      </c>
      <c r="F64" s="47">
        <f t="shared" si="94"/>
        <v>35130</v>
      </c>
      <c r="G64" s="47">
        <f t="shared" si="94"/>
        <v>30570</v>
      </c>
      <c r="H64" s="47">
        <f t="shared" si="94"/>
        <v>24250</v>
      </c>
      <c r="I64" s="47">
        <f t="shared" si="94"/>
        <v>22750</v>
      </c>
      <c r="J64" s="47">
        <f t="shared" si="94"/>
        <v>23860</v>
      </c>
      <c r="K64" s="47">
        <f t="shared" si="94"/>
        <v>20500</v>
      </c>
      <c r="L64" s="47">
        <f t="shared" si="94"/>
        <v>14100</v>
      </c>
      <c r="M64" s="47">
        <f t="shared" si="94"/>
        <v>5700</v>
      </c>
      <c r="N64" s="47">
        <f t="shared" si="94"/>
        <v>-4940</v>
      </c>
      <c r="O64" s="47">
        <f t="shared" si="94"/>
        <v>-4940</v>
      </c>
      <c r="P64" s="47">
        <f t="shared" si="94"/>
        <v>-4940</v>
      </c>
      <c r="Q64" s="47">
        <f t="shared" si="94"/>
        <v>-4940</v>
      </c>
      <c r="R64" s="47">
        <f t="shared" si="94"/>
        <v>-4940</v>
      </c>
      <c r="S64" s="47">
        <f t="shared" si="94"/>
        <v>-10220</v>
      </c>
      <c r="T64" s="47">
        <f t="shared" si="94"/>
        <v>-16220</v>
      </c>
      <c r="U64" s="47">
        <f t="shared" si="94"/>
        <v>-22420</v>
      </c>
      <c r="V64" s="47">
        <f t="shared" si="94"/>
        <v>-28290</v>
      </c>
      <c r="W64" s="47">
        <f t="shared" si="94"/>
        <v>-34160</v>
      </c>
      <c r="X64" s="47">
        <f t="shared" si="94"/>
        <v>-40030</v>
      </c>
      <c r="Y64" s="47">
        <f t="shared" si="94"/>
        <v>-45900</v>
      </c>
      <c r="Z64" s="47">
        <f t="shared" si="94"/>
        <v>-50080</v>
      </c>
      <c r="AA64" s="47">
        <f t="shared" si="94"/>
        <v>-54260</v>
      </c>
      <c r="AB64" s="47">
        <f t="shared" si="94"/>
        <v>-58440</v>
      </c>
      <c r="AC64" s="47">
        <f t="shared" si="94"/>
        <v>-62620</v>
      </c>
      <c r="AD64" s="47">
        <f t="shared" si="94"/>
        <v>-68680</v>
      </c>
      <c r="AE64" s="47">
        <f t="shared" si="94"/>
        <v>-74740</v>
      </c>
      <c r="AF64" s="47">
        <f t="shared" si="94"/>
        <v>-80800</v>
      </c>
      <c r="AG64" s="47">
        <f t="shared" si="94"/>
        <v>-86860</v>
      </c>
      <c r="AH64" s="47">
        <f t="shared" si="94"/>
        <v>-92860</v>
      </c>
      <c r="AI64" s="47">
        <f t="shared" si="94"/>
        <v>-98960</v>
      </c>
      <c r="AJ64" s="47">
        <f t="shared" ref="AJ64:BO64" si="95">AJ14+AJ21+AJ28+AJ35+AJ42+AJ49+AJ56</f>
        <v>-105060</v>
      </c>
      <c r="AK64" s="47">
        <f t="shared" si="95"/>
        <v>-105060</v>
      </c>
      <c r="AL64" s="47">
        <f t="shared" si="95"/>
        <v>-105060</v>
      </c>
      <c r="AM64" s="47">
        <f t="shared" si="95"/>
        <v>-105060</v>
      </c>
      <c r="AN64" s="47">
        <f t="shared" si="95"/>
        <v>-105060</v>
      </c>
      <c r="AO64" s="47">
        <f t="shared" si="95"/>
        <v>-109454</v>
      </c>
      <c r="AP64" s="47">
        <f t="shared" si="95"/>
        <v>-113848</v>
      </c>
      <c r="AQ64" s="47">
        <f t="shared" si="95"/>
        <v>-118242</v>
      </c>
      <c r="AR64" s="47">
        <f t="shared" si="95"/>
        <v>-123551</v>
      </c>
      <c r="AS64" s="47">
        <f t="shared" si="95"/>
        <v>-128860</v>
      </c>
      <c r="AT64" s="47">
        <f t="shared" si="95"/>
        <v>-133107</v>
      </c>
      <c r="AU64" s="47">
        <f t="shared" si="95"/>
        <v>-138416</v>
      </c>
      <c r="AV64" s="47">
        <f t="shared" si="95"/>
        <v>-143458</v>
      </c>
      <c r="AW64" s="47">
        <f t="shared" si="95"/>
        <v>-148500</v>
      </c>
      <c r="AX64" s="47">
        <f t="shared" si="95"/>
        <v>-153542</v>
      </c>
      <c r="AY64" s="47">
        <f t="shared" si="95"/>
        <v>-158584</v>
      </c>
      <c r="AZ64" s="47">
        <f t="shared" si="95"/>
        <v>-162619</v>
      </c>
      <c r="BA64" s="47">
        <f t="shared" si="95"/>
        <v>-166654</v>
      </c>
      <c r="BB64" s="47">
        <f t="shared" si="95"/>
        <v>-170689</v>
      </c>
      <c r="BC64" s="47">
        <f t="shared" si="95"/>
        <v>-174724</v>
      </c>
      <c r="BD64" s="47">
        <f t="shared" si="95"/>
        <v>-178759</v>
      </c>
      <c r="BE64" s="47">
        <f t="shared" si="95"/>
        <v>-182794</v>
      </c>
      <c r="BF64" s="47">
        <f t="shared" si="95"/>
        <v>-186829</v>
      </c>
      <c r="BG64" s="47">
        <f t="shared" si="95"/>
        <v>-190864</v>
      </c>
      <c r="BH64" s="47">
        <f t="shared" si="95"/>
        <v>-194899</v>
      </c>
      <c r="BI64" s="47">
        <f t="shared" si="95"/>
        <v>-198934</v>
      </c>
      <c r="BJ64" s="47">
        <f t="shared" si="95"/>
        <v>-202969</v>
      </c>
      <c r="BK64" s="47">
        <f t="shared" si="95"/>
        <v>-207004</v>
      </c>
      <c r="BL64" s="47">
        <f t="shared" si="95"/>
        <v>-211039</v>
      </c>
      <c r="BM64" s="47">
        <f t="shared" si="95"/>
        <v>-215052</v>
      </c>
      <c r="BN64" s="47">
        <f t="shared" si="95"/>
        <v>-219065</v>
      </c>
      <c r="BO64" s="47">
        <f t="shared" si="95"/>
        <v>-226386</v>
      </c>
      <c r="BP64" s="47">
        <f t="shared" ref="BP64:CC64" si="96">BP14+BP21+BP28+BP35+BP42+BP49+BP56</f>
        <v>-226386</v>
      </c>
      <c r="BQ64" s="47">
        <f t="shared" si="96"/>
        <v>-226386</v>
      </c>
      <c r="BR64" s="47">
        <f t="shared" si="96"/>
        <v>-226386</v>
      </c>
      <c r="BS64" s="47">
        <f t="shared" si="96"/>
        <v>-226386</v>
      </c>
      <c r="BT64" s="47">
        <f t="shared" si="96"/>
        <v>-230421</v>
      </c>
      <c r="BU64" s="47">
        <f t="shared" si="96"/>
        <v>-234456</v>
      </c>
      <c r="BV64" s="47">
        <f t="shared" si="96"/>
        <v>-238491</v>
      </c>
      <c r="BW64" s="47">
        <f t="shared" si="96"/>
        <v>-242526</v>
      </c>
      <c r="BX64" s="47">
        <f t="shared" si="96"/>
        <v>-246561</v>
      </c>
      <c r="BY64" s="47">
        <f t="shared" si="96"/>
        <v>-250596</v>
      </c>
      <c r="BZ64" s="47">
        <f t="shared" si="96"/>
        <v>-254631</v>
      </c>
      <c r="CA64" s="47">
        <f t="shared" si="96"/>
        <v>-258666</v>
      </c>
      <c r="CB64" s="47">
        <f t="shared" si="96"/>
        <v>-262701</v>
      </c>
      <c r="CC64" s="47">
        <f t="shared" si="96"/>
        <v>-266736</v>
      </c>
    </row>
    <row r="65" spans="1:81" x14ac:dyDescent="0.2">
      <c r="C65" s="47" t="s">
        <v>39</v>
      </c>
      <c r="D65" s="47">
        <f t="shared" ref="D65:AI65" si="97">D15+D22+D29+D36+D43+D50+D57</f>
        <v>7100</v>
      </c>
      <c r="E65" s="47">
        <f t="shared" si="97"/>
        <v>0</v>
      </c>
      <c r="F65" s="47">
        <f t="shared" si="97"/>
        <v>0</v>
      </c>
      <c r="G65" s="47">
        <f t="shared" si="97"/>
        <v>0</v>
      </c>
      <c r="H65" s="47">
        <f t="shared" si="97"/>
        <v>0</v>
      </c>
      <c r="I65" s="47">
        <f t="shared" si="97"/>
        <v>0</v>
      </c>
      <c r="J65" s="47">
        <f t="shared" si="97"/>
        <v>0</v>
      </c>
      <c r="K65" s="47">
        <f t="shared" si="97"/>
        <v>0</v>
      </c>
      <c r="L65" s="47">
        <f t="shared" si="97"/>
        <v>0</v>
      </c>
      <c r="M65" s="47">
        <f t="shared" si="97"/>
        <v>0</v>
      </c>
      <c r="N65" s="47">
        <f t="shared" si="97"/>
        <v>0</v>
      </c>
      <c r="O65" s="47">
        <f t="shared" si="97"/>
        <v>0</v>
      </c>
      <c r="P65" s="47">
        <f t="shared" si="97"/>
        <v>0</v>
      </c>
      <c r="Q65" s="47">
        <f t="shared" si="97"/>
        <v>0</v>
      </c>
      <c r="R65" s="47">
        <f t="shared" si="97"/>
        <v>0</v>
      </c>
      <c r="S65" s="47">
        <f t="shared" si="97"/>
        <v>0</v>
      </c>
      <c r="T65" s="47">
        <f t="shared" si="97"/>
        <v>0</v>
      </c>
      <c r="U65" s="47">
        <f t="shared" si="97"/>
        <v>0</v>
      </c>
      <c r="V65" s="47">
        <f t="shared" si="97"/>
        <v>0</v>
      </c>
      <c r="W65" s="47">
        <f t="shared" si="97"/>
        <v>0</v>
      </c>
      <c r="X65" s="47">
        <f t="shared" si="97"/>
        <v>0</v>
      </c>
      <c r="Y65" s="47">
        <f t="shared" si="97"/>
        <v>0</v>
      </c>
      <c r="Z65" s="47">
        <f t="shared" si="97"/>
        <v>0</v>
      </c>
      <c r="AA65" s="47">
        <f t="shared" si="97"/>
        <v>0</v>
      </c>
      <c r="AB65" s="47">
        <f t="shared" si="97"/>
        <v>0</v>
      </c>
      <c r="AC65" s="47">
        <f t="shared" si="97"/>
        <v>0</v>
      </c>
      <c r="AD65" s="47">
        <f t="shared" si="97"/>
        <v>0</v>
      </c>
      <c r="AE65" s="47">
        <f t="shared" si="97"/>
        <v>0</v>
      </c>
      <c r="AF65" s="47">
        <f t="shared" si="97"/>
        <v>0</v>
      </c>
      <c r="AG65" s="47">
        <f t="shared" si="97"/>
        <v>0</v>
      </c>
      <c r="AH65" s="47">
        <f t="shared" si="97"/>
        <v>0</v>
      </c>
      <c r="AI65" s="47">
        <f t="shared" si="97"/>
        <v>0</v>
      </c>
      <c r="AJ65" s="47">
        <f t="shared" ref="AJ65:BO65" si="98">AJ15+AJ22+AJ29+AJ36+AJ43+AJ50+AJ57</f>
        <v>0</v>
      </c>
      <c r="AK65" s="47">
        <f t="shared" si="98"/>
        <v>0</v>
      </c>
      <c r="AL65" s="47">
        <f t="shared" si="98"/>
        <v>0</v>
      </c>
      <c r="AM65" s="47">
        <f t="shared" si="98"/>
        <v>0</v>
      </c>
      <c r="AN65" s="47">
        <f t="shared" si="98"/>
        <v>0</v>
      </c>
      <c r="AO65" s="47">
        <f t="shared" si="98"/>
        <v>0</v>
      </c>
      <c r="AP65" s="47">
        <f t="shared" si="98"/>
        <v>0</v>
      </c>
      <c r="AQ65" s="47">
        <f t="shared" si="98"/>
        <v>0</v>
      </c>
      <c r="AR65" s="47">
        <f t="shared" si="98"/>
        <v>0</v>
      </c>
      <c r="AS65" s="47">
        <f t="shared" si="98"/>
        <v>0</v>
      </c>
      <c r="AT65" s="47">
        <f t="shared" si="98"/>
        <v>0</v>
      </c>
      <c r="AU65" s="47">
        <f t="shared" si="98"/>
        <v>0</v>
      </c>
      <c r="AV65" s="47">
        <f t="shared" si="98"/>
        <v>0</v>
      </c>
      <c r="AW65" s="47">
        <f t="shared" si="98"/>
        <v>0</v>
      </c>
      <c r="AX65" s="47">
        <f t="shared" si="98"/>
        <v>0</v>
      </c>
      <c r="AY65" s="47">
        <f t="shared" si="98"/>
        <v>0</v>
      </c>
      <c r="AZ65" s="47">
        <f t="shared" si="98"/>
        <v>0</v>
      </c>
      <c r="BA65" s="47">
        <f t="shared" si="98"/>
        <v>0</v>
      </c>
      <c r="BB65" s="47">
        <f t="shared" si="98"/>
        <v>0</v>
      </c>
      <c r="BC65" s="47">
        <f t="shared" si="98"/>
        <v>0</v>
      </c>
      <c r="BD65" s="47">
        <f t="shared" si="98"/>
        <v>0</v>
      </c>
      <c r="BE65" s="47">
        <f t="shared" si="98"/>
        <v>0</v>
      </c>
      <c r="BF65" s="47">
        <f t="shared" si="98"/>
        <v>0</v>
      </c>
      <c r="BG65" s="47">
        <f t="shared" si="98"/>
        <v>0</v>
      </c>
      <c r="BH65" s="47">
        <f t="shared" si="98"/>
        <v>0</v>
      </c>
      <c r="BI65" s="47">
        <f t="shared" si="98"/>
        <v>0</v>
      </c>
      <c r="BJ65" s="47">
        <f t="shared" si="98"/>
        <v>0</v>
      </c>
      <c r="BK65" s="47">
        <f t="shared" si="98"/>
        <v>0</v>
      </c>
      <c r="BL65" s="47">
        <f t="shared" si="98"/>
        <v>0</v>
      </c>
      <c r="BM65" s="47">
        <f t="shared" si="98"/>
        <v>0</v>
      </c>
      <c r="BN65" s="47">
        <f t="shared" si="98"/>
        <v>0</v>
      </c>
      <c r="BO65" s="47">
        <f t="shared" si="98"/>
        <v>0</v>
      </c>
      <c r="BP65" s="47">
        <f t="shared" ref="BP65:CC65" si="99">BP15+BP22+BP29+BP36+BP43+BP50+BP57</f>
        <v>0</v>
      </c>
      <c r="BQ65" s="47">
        <f t="shared" si="99"/>
        <v>0</v>
      </c>
      <c r="BR65" s="47">
        <f t="shared" si="99"/>
        <v>0</v>
      </c>
      <c r="BS65" s="47">
        <f t="shared" si="99"/>
        <v>0</v>
      </c>
      <c r="BT65" s="47">
        <f t="shared" si="99"/>
        <v>0</v>
      </c>
      <c r="BU65" s="47">
        <f t="shared" si="99"/>
        <v>0</v>
      </c>
      <c r="BV65" s="47">
        <f t="shared" si="99"/>
        <v>0</v>
      </c>
      <c r="BW65" s="47">
        <f t="shared" si="99"/>
        <v>0</v>
      </c>
      <c r="BX65" s="47">
        <f t="shared" si="99"/>
        <v>0</v>
      </c>
      <c r="BY65" s="47">
        <f t="shared" si="99"/>
        <v>0</v>
      </c>
      <c r="BZ65" s="47">
        <f t="shared" si="99"/>
        <v>0</v>
      </c>
      <c r="CA65" s="47">
        <f t="shared" si="99"/>
        <v>0</v>
      </c>
      <c r="CB65" s="47">
        <f t="shared" si="99"/>
        <v>0</v>
      </c>
      <c r="CC65" s="47">
        <f t="shared" si="99"/>
        <v>0</v>
      </c>
    </row>
    <row r="66" spans="1:81" x14ac:dyDescent="0.2">
      <c r="C66" s="47" t="s">
        <v>211</v>
      </c>
      <c r="D66" s="47">
        <f t="shared" ref="D66:AI66" si="100">D16+D23+D30+D37+D44+D51+D58</f>
        <v>5220</v>
      </c>
      <c r="E66" s="47">
        <f t="shared" si="100"/>
        <v>7110</v>
      </c>
      <c r="F66" s="47">
        <f t="shared" si="100"/>
        <v>2880</v>
      </c>
      <c r="G66" s="47">
        <f t="shared" si="100"/>
        <v>0</v>
      </c>
      <c r="H66" s="47">
        <f t="shared" si="100"/>
        <v>0</v>
      </c>
      <c r="I66" s="47">
        <f t="shared" si="100"/>
        <v>0</v>
      </c>
      <c r="J66" s="47">
        <f t="shared" si="100"/>
        <v>0</v>
      </c>
      <c r="K66" s="47">
        <f t="shared" si="100"/>
        <v>0</v>
      </c>
      <c r="L66" s="47">
        <f t="shared" si="100"/>
        <v>0</v>
      </c>
      <c r="M66" s="47">
        <f t="shared" si="100"/>
        <v>0</v>
      </c>
      <c r="N66" s="47">
        <f t="shared" si="100"/>
        <v>0</v>
      </c>
      <c r="O66" s="47">
        <f t="shared" si="100"/>
        <v>0</v>
      </c>
      <c r="P66" s="47">
        <f t="shared" si="100"/>
        <v>0</v>
      </c>
      <c r="Q66" s="47">
        <f t="shared" si="100"/>
        <v>0</v>
      </c>
      <c r="R66" s="47">
        <f t="shared" si="100"/>
        <v>0</v>
      </c>
      <c r="S66" s="47">
        <f t="shared" si="100"/>
        <v>0</v>
      </c>
      <c r="T66" s="47">
        <f t="shared" si="100"/>
        <v>0</v>
      </c>
      <c r="U66" s="47">
        <f t="shared" si="100"/>
        <v>0</v>
      </c>
      <c r="V66" s="47">
        <f t="shared" si="100"/>
        <v>0</v>
      </c>
      <c r="W66" s="47">
        <f t="shared" si="100"/>
        <v>0</v>
      </c>
      <c r="X66" s="47">
        <f t="shared" si="100"/>
        <v>0</v>
      </c>
      <c r="Y66" s="47">
        <f t="shared" si="100"/>
        <v>0</v>
      </c>
      <c r="Z66" s="47">
        <f t="shared" si="100"/>
        <v>0</v>
      </c>
      <c r="AA66" s="47">
        <f t="shared" si="100"/>
        <v>0</v>
      </c>
      <c r="AB66" s="47">
        <f t="shared" si="100"/>
        <v>0</v>
      </c>
      <c r="AC66" s="47">
        <f t="shared" si="100"/>
        <v>0</v>
      </c>
      <c r="AD66" s="47">
        <f t="shared" si="100"/>
        <v>0</v>
      </c>
      <c r="AE66" s="47">
        <f t="shared" si="100"/>
        <v>0</v>
      </c>
      <c r="AF66" s="47">
        <f t="shared" si="100"/>
        <v>0</v>
      </c>
      <c r="AG66" s="47">
        <f t="shared" si="100"/>
        <v>0</v>
      </c>
      <c r="AH66" s="47">
        <f t="shared" si="100"/>
        <v>0</v>
      </c>
      <c r="AI66" s="47">
        <f t="shared" si="100"/>
        <v>0</v>
      </c>
      <c r="AJ66" s="47">
        <f t="shared" ref="AJ66:BO66" si="101">AJ16+AJ23+AJ30+AJ37+AJ44+AJ51+AJ58</f>
        <v>0</v>
      </c>
      <c r="AK66" s="47">
        <f t="shared" si="101"/>
        <v>0</v>
      </c>
      <c r="AL66" s="47">
        <f t="shared" si="101"/>
        <v>0</v>
      </c>
      <c r="AM66" s="47">
        <f t="shared" si="101"/>
        <v>0</v>
      </c>
      <c r="AN66" s="47">
        <f t="shared" si="101"/>
        <v>0</v>
      </c>
      <c r="AO66" s="47">
        <f t="shared" si="101"/>
        <v>0</v>
      </c>
      <c r="AP66" s="47">
        <f t="shared" si="101"/>
        <v>0</v>
      </c>
      <c r="AQ66" s="47">
        <f t="shared" si="101"/>
        <v>0</v>
      </c>
      <c r="AR66" s="47">
        <f t="shared" si="101"/>
        <v>0</v>
      </c>
      <c r="AS66" s="47">
        <f t="shared" si="101"/>
        <v>0</v>
      </c>
      <c r="AT66" s="47">
        <f t="shared" si="101"/>
        <v>0</v>
      </c>
      <c r="AU66" s="47">
        <f t="shared" si="101"/>
        <v>0</v>
      </c>
      <c r="AV66" s="47">
        <f t="shared" si="101"/>
        <v>0</v>
      </c>
      <c r="AW66" s="47">
        <f t="shared" si="101"/>
        <v>0</v>
      </c>
      <c r="AX66" s="47">
        <f t="shared" si="101"/>
        <v>0</v>
      </c>
      <c r="AY66" s="47">
        <f t="shared" si="101"/>
        <v>0</v>
      </c>
      <c r="AZ66" s="47">
        <f t="shared" si="101"/>
        <v>0</v>
      </c>
      <c r="BA66" s="47">
        <f t="shared" si="101"/>
        <v>0</v>
      </c>
      <c r="BB66" s="47">
        <f t="shared" si="101"/>
        <v>0</v>
      </c>
      <c r="BC66" s="47">
        <f t="shared" si="101"/>
        <v>0</v>
      </c>
      <c r="BD66" s="47">
        <f t="shared" si="101"/>
        <v>0</v>
      </c>
      <c r="BE66" s="47">
        <f t="shared" si="101"/>
        <v>0</v>
      </c>
      <c r="BF66" s="47">
        <f t="shared" si="101"/>
        <v>0</v>
      </c>
      <c r="BG66" s="47">
        <f t="shared" si="101"/>
        <v>0</v>
      </c>
      <c r="BH66" s="47">
        <f t="shared" si="101"/>
        <v>0</v>
      </c>
      <c r="BI66" s="47">
        <f t="shared" si="101"/>
        <v>0</v>
      </c>
      <c r="BJ66" s="47">
        <f t="shared" si="101"/>
        <v>0</v>
      </c>
      <c r="BK66" s="47">
        <f t="shared" si="101"/>
        <v>0</v>
      </c>
      <c r="BL66" s="47">
        <f t="shared" si="101"/>
        <v>0</v>
      </c>
      <c r="BM66" s="47">
        <f t="shared" si="101"/>
        <v>0</v>
      </c>
      <c r="BN66" s="47">
        <f t="shared" si="101"/>
        <v>0</v>
      </c>
      <c r="BO66" s="47">
        <f t="shared" si="101"/>
        <v>0</v>
      </c>
      <c r="BP66" s="47">
        <f t="shared" ref="BP66:CC66" si="102">BP16+BP23+BP30+BP37+BP44+BP51+BP58</f>
        <v>0</v>
      </c>
      <c r="BQ66" s="47">
        <f t="shared" si="102"/>
        <v>0</v>
      </c>
      <c r="BR66" s="47">
        <f t="shared" si="102"/>
        <v>0</v>
      </c>
      <c r="BS66" s="47">
        <f t="shared" si="102"/>
        <v>0</v>
      </c>
      <c r="BT66" s="47">
        <f t="shared" si="102"/>
        <v>0</v>
      </c>
      <c r="BU66" s="47">
        <f t="shared" si="102"/>
        <v>0</v>
      </c>
      <c r="BV66" s="47">
        <f t="shared" si="102"/>
        <v>0</v>
      </c>
      <c r="BW66" s="47">
        <f t="shared" si="102"/>
        <v>0</v>
      </c>
      <c r="BX66" s="47">
        <f t="shared" si="102"/>
        <v>0</v>
      </c>
      <c r="BY66" s="47">
        <f t="shared" si="102"/>
        <v>0</v>
      </c>
      <c r="BZ66" s="47">
        <f t="shared" si="102"/>
        <v>0</v>
      </c>
      <c r="CA66" s="47">
        <f t="shared" si="102"/>
        <v>0</v>
      </c>
      <c r="CB66" s="47">
        <f t="shared" si="102"/>
        <v>0</v>
      </c>
      <c r="CC66" s="47">
        <f t="shared" si="102"/>
        <v>0</v>
      </c>
    </row>
    <row r="67" spans="1:81" x14ac:dyDescent="0.2">
      <c r="C67" s="47" t="s">
        <v>213</v>
      </c>
      <c r="D67" s="47">
        <f t="shared" ref="D67:AI67" si="103">D17+D24+D31+D38+D45+D52+D59</f>
        <v>480</v>
      </c>
      <c r="E67" s="47">
        <f t="shared" si="103"/>
        <v>9840</v>
      </c>
      <c r="F67" s="47">
        <f t="shared" si="103"/>
        <v>4560</v>
      </c>
      <c r="G67" s="47">
        <f t="shared" si="103"/>
        <v>6320</v>
      </c>
      <c r="H67" s="47">
        <f t="shared" si="103"/>
        <v>6720</v>
      </c>
      <c r="I67" s="47">
        <f t="shared" si="103"/>
        <v>6000</v>
      </c>
      <c r="J67" s="47">
        <f t="shared" si="103"/>
        <v>6240</v>
      </c>
      <c r="K67" s="47">
        <f t="shared" si="103"/>
        <v>6400</v>
      </c>
      <c r="L67" s="47">
        <f t="shared" si="103"/>
        <v>8400</v>
      </c>
      <c r="M67" s="47">
        <f t="shared" si="103"/>
        <v>10640</v>
      </c>
      <c r="N67" s="47">
        <f t="shared" si="103"/>
        <v>0</v>
      </c>
      <c r="O67" s="47">
        <f t="shared" si="103"/>
        <v>0</v>
      </c>
      <c r="P67" s="47">
        <f t="shared" si="103"/>
        <v>0</v>
      </c>
      <c r="Q67" s="47">
        <f t="shared" si="103"/>
        <v>0</v>
      </c>
      <c r="R67" s="47">
        <f t="shared" si="103"/>
        <v>5280</v>
      </c>
      <c r="S67" s="47">
        <f t="shared" si="103"/>
        <v>6000</v>
      </c>
      <c r="T67" s="47">
        <f t="shared" si="103"/>
        <v>6200</v>
      </c>
      <c r="U67" s="47">
        <f t="shared" si="103"/>
        <v>5870</v>
      </c>
      <c r="V67" s="47">
        <f t="shared" si="103"/>
        <v>5870</v>
      </c>
      <c r="W67" s="47">
        <f t="shared" si="103"/>
        <v>5870</v>
      </c>
      <c r="X67" s="47">
        <f t="shared" si="103"/>
        <v>5870</v>
      </c>
      <c r="Y67" s="47">
        <f t="shared" si="103"/>
        <v>4180</v>
      </c>
      <c r="Z67" s="47">
        <f t="shared" si="103"/>
        <v>4180</v>
      </c>
      <c r="AA67" s="47">
        <f t="shared" si="103"/>
        <v>4180</v>
      </c>
      <c r="AB67" s="47">
        <f t="shared" si="103"/>
        <v>4180</v>
      </c>
      <c r="AC67" s="47">
        <f t="shared" si="103"/>
        <v>6060</v>
      </c>
      <c r="AD67" s="47">
        <f t="shared" si="103"/>
        <v>6060</v>
      </c>
      <c r="AE67" s="47">
        <f t="shared" si="103"/>
        <v>6060</v>
      </c>
      <c r="AF67" s="47">
        <f t="shared" si="103"/>
        <v>6060</v>
      </c>
      <c r="AG67" s="47">
        <f t="shared" si="103"/>
        <v>6000</v>
      </c>
      <c r="AH67" s="47">
        <f t="shared" si="103"/>
        <v>6100</v>
      </c>
      <c r="AI67" s="47">
        <f t="shared" si="103"/>
        <v>6100</v>
      </c>
      <c r="AJ67" s="47">
        <f t="shared" ref="AJ67:BO67" si="104">AJ17+AJ24+AJ31+AJ38+AJ45+AJ52+AJ59</f>
        <v>0</v>
      </c>
      <c r="AK67" s="47">
        <f t="shared" si="104"/>
        <v>0</v>
      </c>
      <c r="AL67" s="47">
        <f t="shared" si="104"/>
        <v>0</v>
      </c>
      <c r="AM67" s="47">
        <f t="shared" si="104"/>
        <v>0</v>
      </c>
      <c r="AN67" s="47">
        <f t="shared" si="104"/>
        <v>4394</v>
      </c>
      <c r="AO67" s="47">
        <f t="shared" si="104"/>
        <v>4394</v>
      </c>
      <c r="AP67" s="47">
        <f t="shared" si="104"/>
        <v>4394</v>
      </c>
      <c r="AQ67" s="47">
        <f t="shared" si="104"/>
        <v>5309</v>
      </c>
      <c r="AR67" s="47">
        <f t="shared" si="104"/>
        <v>5309</v>
      </c>
      <c r="AS67" s="47">
        <f t="shared" si="104"/>
        <v>4247</v>
      </c>
      <c r="AT67" s="47">
        <f t="shared" si="104"/>
        <v>5309</v>
      </c>
      <c r="AU67" s="47">
        <f t="shared" si="104"/>
        <v>5042</v>
      </c>
      <c r="AV67" s="47">
        <f t="shared" si="104"/>
        <v>5042</v>
      </c>
      <c r="AW67" s="47">
        <f t="shared" si="104"/>
        <v>5042</v>
      </c>
      <c r="AX67" s="47">
        <f t="shared" si="104"/>
        <v>5042</v>
      </c>
      <c r="AY67" s="47">
        <f t="shared" si="104"/>
        <v>4035</v>
      </c>
      <c r="AZ67" s="47">
        <f t="shared" si="104"/>
        <v>4035</v>
      </c>
      <c r="BA67" s="47">
        <f t="shared" si="104"/>
        <v>4035</v>
      </c>
      <c r="BB67" s="47">
        <f t="shared" si="104"/>
        <v>4035</v>
      </c>
      <c r="BC67" s="47">
        <f t="shared" si="104"/>
        <v>4035</v>
      </c>
      <c r="BD67" s="47">
        <f t="shared" si="104"/>
        <v>4035</v>
      </c>
      <c r="BE67" s="47">
        <f t="shared" si="104"/>
        <v>4035</v>
      </c>
      <c r="BF67" s="47">
        <f t="shared" si="104"/>
        <v>4035</v>
      </c>
      <c r="BG67" s="47">
        <f t="shared" si="104"/>
        <v>4035</v>
      </c>
      <c r="BH67" s="47">
        <f t="shared" si="104"/>
        <v>4035</v>
      </c>
      <c r="BI67" s="47">
        <f t="shared" si="104"/>
        <v>4035</v>
      </c>
      <c r="BJ67" s="47">
        <f t="shared" si="104"/>
        <v>4035</v>
      </c>
      <c r="BK67" s="47">
        <f t="shared" si="104"/>
        <v>4035</v>
      </c>
      <c r="BL67" s="47">
        <f t="shared" si="104"/>
        <v>4013</v>
      </c>
      <c r="BM67" s="47">
        <f t="shared" si="104"/>
        <v>4013</v>
      </c>
      <c r="BN67" s="47">
        <f t="shared" si="104"/>
        <v>7321</v>
      </c>
      <c r="BO67" s="47">
        <f t="shared" si="104"/>
        <v>0</v>
      </c>
      <c r="BP67" s="47">
        <f t="shared" ref="BP67:CC67" si="105">BP17+BP24+BP31+BP38+BP45+BP52+BP59</f>
        <v>0</v>
      </c>
      <c r="BQ67" s="47">
        <f t="shared" si="105"/>
        <v>0</v>
      </c>
      <c r="BR67" s="47">
        <f t="shared" si="105"/>
        <v>0</v>
      </c>
      <c r="BS67" s="47">
        <f t="shared" si="105"/>
        <v>4035</v>
      </c>
      <c r="BT67" s="47">
        <f t="shared" si="105"/>
        <v>4035</v>
      </c>
      <c r="BU67" s="47">
        <f t="shared" si="105"/>
        <v>4035</v>
      </c>
      <c r="BV67" s="47">
        <f t="shared" si="105"/>
        <v>4035</v>
      </c>
      <c r="BW67" s="47">
        <f t="shared" si="105"/>
        <v>4035</v>
      </c>
      <c r="BX67" s="47">
        <f t="shared" si="105"/>
        <v>4035</v>
      </c>
      <c r="BY67" s="47">
        <f t="shared" si="105"/>
        <v>4035</v>
      </c>
      <c r="BZ67" s="47">
        <f t="shared" si="105"/>
        <v>4035</v>
      </c>
      <c r="CA67" s="47">
        <f t="shared" si="105"/>
        <v>4035</v>
      </c>
      <c r="CB67" s="47">
        <f t="shared" si="105"/>
        <v>4035</v>
      </c>
      <c r="CC67" s="47">
        <f t="shared" si="105"/>
        <v>4035</v>
      </c>
    </row>
    <row r="68" spans="1:81" x14ac:dyDescent="0.2">
      <c r="C68" s="47" t="s">
        <v>252</v>
      </c>
      <c r="D68" s="47">
        <f t="shared" ref="D68:AI68" si="106">D16*$A19+D23*$A26+D30*$A33+D37*$A40+D44*$A47+D51*$A54+D58*$A61</f>
        <v>31500</v>
      </c>
      <c r="E68" s="47">
        <f t="shared" si="106"/>
        <v>39950</v>
      </c>
      <c r="F68" s="47">
        <f t="shared" si="106"/>
        <v>20520</v>
      </c>
      <c r="G68" s="47">
        <f t="shared" si="106"/>
        <v>0</v>
      </c>
      <c r="H68" s="47">
        <f t="shared" si="106"/>
        <v>0</v>
      </c>
      <c r="I68" s="47">
        <f t="shared" si="106"/>
        <v>0</v>
      </c>
      <c r="J68" s="47">
        <f t="shared" si="106"/>
        <v>0</v>
      </c>
      <c r="K68" s="47">
        <f t="shared" si="106"/>
        <v>0</v>
      </c>
      <c r="L68" s="47">
        <f t="shared" si="106"/>
        <v>0</v>
      </c>
      <c r="M68" s="47">
        <f t="shared" si="106"/>
        <v>0</v>
      </c>
      <c r="N68" s="47">
        <f t="shared" si="106"/>
        <v>0</v>
      </c>
      <c r="O68" s="47">
        <f t="shared" si="106"/>
        <v>0</v>
      </c>
      <c r="P68" s="47">
        <f t="shared" si="106"/>
        <v>0</v>
      </c>
      <c r="Q68" s="47">
        <f t="shared" si="106"/>
        <v>0</v>
      </c>
      <c r="R68" s="47">
        <f t="shared" si="106"/>
        <v>0</v>
      </c>
      <c r="S68" s="47">
        <f t="shared" si="106"/>
        <v>0</v>
      </c>
      <c r="T68" s="47">
        <f t="shared" si="106"/>
        <v>0</v>
      </c>
      <c r="U68" s="47">
        <f t="shared" si="106"/>
        <v>0</v>
      </c>
      <c r="V68" s="47">
        <f t="shared" si="106"/>
        <v>0</v>
      </c>
      <c r="W68" s="47">
        <f t="shared" si="106"/>
        <v>0</v>
      </c>
      <c r="X68" s="47">
        <f t="shared" si="106"/>
        <v>0</v>
      </c>
      <c r="Y68" s="47">
        <f t="shared" si="106"/>
        <v>0</v>
      </c>
      <c r="Z68" s="47">
        <f t="shared" si="106"/>
        <v>0</v>
      </c>
      <c r="AA68" s="47">
        <f t="shared" si="106"/>
        <v>0</v>
      </c>
      <c r="AB68" s="47">
        <f t="shared" si="106"/>
        <v>0</v>
      </c>
      <c r="AC68" s="47">
        <f t="shared" si="106"/>
        <v>0</v>
      </c>
      <c r="AD68" s="47">
        <f t="shared" si="106"/>
        <v>0</v>
      </c>
      <c r="AE68" s="47">
        <f t="shared" si="106"/>
        <v>0</v>
      </c>
      <c r="AF68" s="47">
        <f t="shared" si="106"/>
        <v>0</v>
      </c>
      <c r="AG68" s="47">
        <f t="shared" si="106"/>
        <v>0</v>
      </c>
      <c r="AH68" s="47">
        <f t="shared" si="106"/>
        <v>0</v>
      </c>
      <c r="AI68" s="47">
        <f t="shared" si="106"/>
        <v>0</v>
      </c>
      <c r="AJ68" s="47">
        <f t="shared" ref="AJ68:BO68" si="107">AJ16*$A19+AJ23*$A26+AJ30*$A33+AJ37*$A40+AJ44*$A47+AJ51*$A54+AJ58*$A61</f>
        <v>0</v>
      </c>
      <c r="AK68" s="47">
        <f t="shared" si="107"/>
        <v>0</v>
      </c>
      <c r="AL68" s="47">
        <f t="shared" si="107"/>
        <v>0</v>
      </c>
      <c r="AM68" s="47">
        <f t="shared" si="107"/>
        <v>0</v>
      </c>
      <c r="AN68" s="47">
        <f t="shared" si="107"/>
        <v>0</v>
      </c>
      <c r="AO68" s="47">
        <f t="shared" si="107"/>
        <v>0</v>
      </c>
      <c r="AP68" s="47">
        <f t="shared" si="107"/>
        <v>0</v>
      </c>
      <c r="AQ68" s="47">
        <f t="shared" si="107"/>
        <v>0</v>
      </c>
      <c r="AR68" s="47">
        <f t="shared" si="107"/>
        <v>0</v>
      </c>
      <c r="AS68" s="47">
        <f t="shared" si="107"/>
        <v>0</v>
      </c>
      <c r="AT68" s="47">
        <f t="shared" si="107"/>
        <v>0</v>
      </c>
      <c r="AU68" s="47">
        <f t="shared" si="107"/>
        <v>0</v>
      </c>
      <c r="AV68" s="47">
        <f t="shared" si="107"/>
        <v>0</v>
      </c>
      <c r="AW68" s="47">
        <f t="shared" si="107"/>
        <v>0</v>
      </c>
      <c r="AX68" s="47">
        <f t="shared" si="107"/>
        <v>0</v>
      </c>
      <c r="AY68" s="47">
        <f t="shared" si="107"/>
        <v>0</v>
      </c>
      <c r="AZ68" s="47">
        <f t="shared" si="107"/>
        <v>0</v>
      </c>
      <c r="BA68" s="47">
        <f t="shared" si="107"/>
        <v>0</v>
      </c>
      <c r="BB68" s="47">
        <f t="shared" si="107"/>
        <v>0</v>
      </c>
      <c r="BC68" s="47">
        <f t="shared" si="107"/>
        <v>0</v>
      </c>
      <c r="BD68" s="47">
        <f t="shared" si="107"/>
        <v>0</v>
      </c>
      <c r="BE68" s="47">
        <f t="shared" si="107"/>
        <v>0</v>
      </c>
      <c r="BF68" s="47">
        <f t="shared" si="107"/>
        <v>0</v>
      </c>
      <c r="BG68" s="47">
        <f t="shared" si="107"/>
        <v>0</v>
      </c>
      <c r="BH68" s="47">
        <f t="shared" si="107"/>
        <v>0</v>
      </c>
      <c r="BI68" s="47">
        <f t="shared" si="107"/>
        <v>0</v>
      </c>
      <c r="BJ68" s="47">
        <f t="shared" si="107"/>
        <v>0</v>
      </c>
      <c r="BK68" s="47">
        <f t="shared" si="107"/>
        <v>0</v>
      </c>
      <c r="BL68" s="47">
        <f t="shared" si="107"/>
        <v>0</v>
      </c>
      <c r="BM68" s="47">
        <f t="shared" si="107"/>
        <v>0</v>
      </c>
      <c r="BN68" s="47">
        <f t="shared" si="107"/>
        <v>0</v>
      </c>
      <c r="BO68" s="47">
        <f t="shared" si="107"/>
        <v>0</v>
      </c>
      <c r="BP68" s="47">
        <f t="shared" ref="BP68:CC68" si="108">BP16*$A19+BP23*$A26+BP30*$A33+BP37*$A40+BP44*$A47+BP51*$A54+BP58*$A61</f>
        <v>0</v>
      </c>
      <c r="BQ68" s="47">
        <f t="shared" si="108"/>
        <v>0</v>
      </c>
      <c r="BR68" s="47">
        <f t="shared" si="108"/>
        <v>0</v>
      </c>
      <c r="BS68" s="47">
        <f t="shared" si="108"/>
        <v>0</v>
      </c>
      <c r="BT68" s="47">
        <f t="shared" si="108"/>
        <v>0</v>
      </c>
      <c r="BU68" s="47">
        <f t="shared" si="108"/>
        <v>0</v>
      </c>
      <c r="BV68" s="47">
        <f t="shared" si="108"/>
        <v>0</v>
      </c>
      <c r="BW68" s="47">
        <f t="shared" si="108"/>
        <v>0</v>
      </c>
      <c r="BX68" s="47">
        <f t="shared" si="108"/>
        <v>0</v>
      </c>
      <c r="BY68" s="47">
        <f t="shared" si="108"/>
        <v>0</v>
      </c>
      <c r="BZ68" s="47">
        <f t="shared" si="108"/>
        <v>0</v>
      </c>
      <c r="CA68" s="47">
        <f t="shared" si="108"/>
        <v>0</v>
      </c>
      <c r="CB68" s="47">
        <f t="shared" si="108"/>
        <v>0</v>
      </c>
      <c r="CC68" s="47">
        <f t="shared" si="108"/>
        <v>0</v>
      </c>
    </row>
    <row r="69" spans="1:81" x14ac:dyDescent="0.2">
      <c r="C69" s="47" t="s">
        <v>253</v>
      </c>
      <c r="D69" s="48">
        <f t="shared" ref="D69:AI69" si="109">ROUND(IF(D95=0,0,D81/D95*100),1)/100</f>
        <v>1.008</v>
      </c>
      <c r="E69" s="48">
        <f t="shared" si="109"/>
        <v>1.004</v>
      </c>
      <c r="F69" s="48">
        <f t="shared" si="109"/>
        <v>1.004</v>
      </c>
      <c r="G69" s="48">
        <f t="shared" si="109"/>
        <v>0</v>
      </c>
      <c r="H69" s="48">
        <f t="shared" si="109"/>
        <v>0</v>
      </c>
      <c r="I69" s="48">
        <f t="shared" si="109"/>
        <v>0</v>
      </c>
      <c r="J69" s="48">
        <f t="shared" si="109"/>
        <v>0</v>
      </c>
      <c r="K69" s="48">
        <f t="shared" si="109"/>
        <v>0</v>
      </c>
      <c r="L69" s="48">
        <f t="shared" si="109"/>
        <v>0</v>
      </c>
      <c r="M69" s="48">
        <f t="shared" si="109"/>
        <v>0</v>
      </c>
      <c r="N69" s="48">
        <f t="shared" si="109"/>
        <v>0</v>
      </c>
      <c r="O69" s="48">
        <f t="shared" si="109"/>
        <v>0</v>
      </c>
      <c r="P69" s="48">
        <f t="shared" si="109"/>
        <v>0</v>
      </c>
      <c r="Q69" s="48">
        <f t="shared" si="109"/>
        <v>0</v>
      </c>
      <c r="R69" s="48">
        <f t="shared" si="109"/>
        <v>0</v>
      </c>
      <c r="S69" s="48">
        <f t="shared" si="109"/>
        <v>0</v>
      </c>
      <c r="T69" s="48">
        <f t="shared" si="109"/>
        <v>0</v>
      </c>
      <c r="U69" s="48">
        <f t="shared" si="109"/>
        <v>0</v>
      </c>
      <c r="V69" s="48">
        <f t="shared" si="109"/>
        <v>0</v>
      </c>
      <c r="W69" s="48">
        <f t="shared" si="109"/>
        <v>0</v>
      </c>
      <c r="X69" s="48">
        <f t="shared" si="109"/>
        <v>0</v>
      </c>
      <c r="Y69" s="48">
        <f t="shared" si="109"/>
        <v>0</v>
      </c>
      <c r="Z69" s="48">
        <f t="shared" si="109"/>
        <v>0</v>
      </c>
      <c r="AA69" s="48">
        <f t="shared" si="109"/>
        <v>0</v>
      </c>
      <c r="AB69" s="48">
        <f t="shared" si="109"/>
        <v>0</v>
      </c>
      <c r="AC69" s="48">
        <f t="shared" si="109"/>
        <v>0</v>
      </c>
      <c r="AD69" s="48">
        <f t="shared" si="109"/>
        <v>0</v>
      </c>
      <c r="AE69" s="48">
        <f t="shared" si="109"/>
        <v>0</v>
      </c>
      <c r="AF69" s="48">
        <f t="shared" si="109"/>
        <v>0</v>
      </c>
      <c r="AG69" s="48">
        <f t="shared" si="109"/>
        <v>0</v>
      </c>
      <c r="AH69" s="48">
        <f t="shared" si="109"/>
        <v>0</v>
      </c>
      <c r="AI69" s="48">
        <f t="shared" si="109"/>
        <v>0</v>
      </c>
      <c r="AJ69" s="48">
        <f t="shared" ref="AJ69:BO69" si="110">ROUND(IF(AJ95=0,0,AJ81/AJ95*100),1)/100</f>
        <v>0</v>
      </c>
      <c r="AK69" s="48">
        <f t="shared" si="110"/>
        <v>0</v>
      </c>
      <c r="AL69" s="48">
        <f t="shared" si="110"/>
        <v>0</v>
      </c>
      <c r="AM69" s="48">
        <f t="shared" si="110"/>
        <v>0</v>
      </c>
      <c r="AN69" s="48">
        <f t="shared" si="110"/>
        <v>0</v>
      </c>
      <c r="AO69" s="48">
        <f t="shared" si="110"/>
        <v>0</v>
      </c>
      <c r="AP69" s="48">
        <f t="shared" si="110"/>
        <v>0</v>
      </c>
      <c r="AQ69" s="48">
        <f t="shared" si="110"/>
        <v>0</v>
      </c>
      <c r="AR69" s="48">
        <f t="shared" si="110"/>
        <v>0</v>
      </c>
      <c r="AS69" s="48">
        <f t="shared" si="110"/>
        <v>0</v>
      </c>
      <c r="AT69" s="48">
        <f t="shared" si="110"/>
        <v>0</v>
      </c>
      <c r="AU69" s="48">
        <f t="shared" si="110"/>
        <v>0</v>
      </c>
      <c r="AV69" s="48">
        <f t="shared" si="110"/>
        <v>0</v>
      </c>
      <c r="AW69" s="48">
        <f t="shared" si="110"/>
        <v>0</v>
      </c>
      <c r="AX69" s="48">
        <f t="shared" si="110"/>
        <v>0</v>
      </c>
      <c r="AY69" s="48">
        <f t="shared" si="110"/>
        <v>0</v>
      </c>
      <c r="AZ69" s="48">
        <f t="shared" si="110"/>
        <v>0</v>
      </c>
      <c r="BA69" s="48">
        <f t="shared" si="110"/>
        <v>0</v>
      </c>
      <c r="BB69" s="48">
        <f t="shared" si="110"/>
        <v>0</v>
      </c>
      <c r="BC69" s="48">
        <f t="shared" si="110"/>
        <v>0</v>
      </c>
      <c r="BD69" s="48">
        <f t="shared" si="110"/>
        <v>0</v>
      </c>
      <c r="BE69" s="48">
        <f t="shared" si="110"/>
        <v>0</v>
      </c>
      <c r="BF69" s="48">
        <f t="shared" si="110"/>
        <v>0</v>
      </c>
      <c r="BG69" s="48">
        <f t="shared" si="110"/>
        <v>0</v>
      </c>
      <c r="BH69" s="48">
        <f t="shared" si="110"/>
        <v>0</v>
      </c>
      <c r="BI69" s="48">
        <f t="shared" si="110"/>
        <v>0</v>
      </c>
      <c r="BJ69" s="48">
        <f t="shared" si="110"/>
        <v>0</v>
      </c>
      <c r="BK69" s="48">
        <f t="shared" si="110"/>
        <v>0</v>
      </c>
      <c r="BL69" s="48">
        <f t="shared" si="110"/>
        <v>0</v>
      </c>
      <c r="BM69" s="48">
        <f t="shared" si="110"/>
        <v>0</v>
      </c>
      <c r="BN69" s="48">
        <f t="shared" si="110"/>
        <v>0</v>
      </c>
      <c r="BO69" s="48">
        <f t="shared" si="110"/>
        <v>0</v>
      </c>
      <c r="BP69" s="48">
        <f t="shared" ref="BP69:CC69" si="111">ROUND(IF(BP95=0,0,BP81/BP95*100),1)/100</f>
        <v>0</v>
      </c>
      <c r="BQ69" s="48">
        <f t="shared" si="111"/>
        <v>0</v>
      </c>
      <c r="BR69" s="48">
        <f t="shared" si="111"/>
        <v>0</v>
      </c>
      <c r="BS69" s="48">
        <f t="shared" si="111"/>
        <v>0</v>
      </c>
      <c r="BT69" s="48">
        <f t="shared" si="111"/>
        <v>0</v>
      </c>
      <c r="BU69" s="48">
        <f t="shared" si="111"/>
        <v>0</v>
      </c>
      <c r="BV69" s="48">
        <f t="shared" si="111"/>
        <v>0</v>
      </c>
      <c r="BW69" s="48">
        <f t="shared" si="111"/>
        <v>0</v>
      </c>
      <c r="BX69" s="48">
        <f t="shared" si="111"/>
        <v>0</v>
      </c>
      <c r="BY69" s="48">
        <f t="shared" si="111"/>
        <v>0</v>
      </c>
      <c r="BZ69" s="48">
        <f t="shared" si="111"/>
        <v>0</v>
      </c>
      <c r="CA69" s="48">
        <f t="shared" si="111"/>
        <v>0</v>
      </c>
      <c r="CB69" s="48">
        <f t="shared" si="111"/>
        <v>0</v>
      </c>
      <c r="CC69" s="48">
        <f t="shared" si="111"/>
        <v>0</v>
      </c>
    </row>
    <row r="70" spans="1:81" x14ac:dyDescent="0.2">
      <c r="C70" s="49" t="s">
        <v>215</v>
      </c>
      <c r="D70" s="49">
        <f t="shared" ref="D70:AI70" si="112">IF(D67=0,0, ROUND(D64 * 1/D67*D$13,1))</f>
        <v>399.5</v>
      </c>
      <c r="E70" s="49">
        <f t="shared" si="112"/>
        <v>22.9</v>
      </c>
      <c r="F70" s="49">
        <f t="shared" si="112"/>
        <v>38.5</v>
      </c>
      <c r="G70" s="49">
        <f t="shared" si="112"/>
        <v>24.2</v>
      </c>
      <c r="H70" s="49">
        <f t="shared" si="112"/>
        <v>18</v>
      </c>
      <c r="I70" s="49">
        <f t="shared" si="112"/>
        <v>19</v>
      </c>
      <c r="J70" s="49">
        <f t="shared" si="112"/>
        <v>19.100000000000001</v>
      </c>
      <c r="K70" s="49">
        <f t="shared" si="112"/>
        <v>16</v>
      </c>
      <c r="L70" s="49">
        <f t="shared" si="112"/>
        <v>8.4</v>
      </c>
      <c r="M70" s="49">
        <f t="shared" si="112"/>
        <v>2.7</v>
      </c>
      <c r="N70" s="49">
        <f t="shared" si="112"/>
        <v>0</v>
      </c>
      <c r="O70" s="49">
        <f t="shared" si="112"/>
        <v>0</v>
      </c>
      <c r="P70" s="49">
        <f t="shared" si="112"/>
        <v>0</v>
      </c>
      <c r="Q70" s="49">
        <f t="shared" si="112"/>
        <v>0</v>
      </c>
      <c r="R70" s="49">
        <f t="shared" si="112"/>
        <v>-4.7</v>
      </c>
      <c r="S70" s="49">
        <f t="shared" si="112"/>
        <v>-8.5</v>
      </c>
      <c r="T70" s="49">
        <f t="shared" si="112"/>
        <v>-13.1</v>
      </c>
      <c r="U70" s="49">
        <f t="shared" si="112"/>
        <v>-19.100000000000001</v>
      </c>
      <c r="V70" s="49">
        <f t="shared" si="112"/>
        <v>-24.1</v>
      </c>
      <c r="W70" s="49">
        <f t="shared" si="112"/>
        <v>-29.1</v>
      </c>
      <c r="X70" s="49">
        <f t="shared" si="112"/>
        <v>-34.1</v>
      </c>
      <c r="Y70" s="49">
        <f t="shared" si="112"/>
        <v>-54.9</v>
      </c>
      <c r="Z70" s="49">
        <f t="shared" si="112"/>
        <v>-59.9</v>
      </c>
      <c r="AA70" s="49">
        <f t="shared" si="112"/>
        <v>-64.900000000000006</v>
      </c>
      <c r="AB70" s="49">
        <f t="shared" si="112"/>
        <v>-69.900000000000006</v>
      </c>
      <c r="AC70" s="49">
        <f t="shared" si="112"/>
        <v>-51.7</v>
      </c>
      <c r="AD70" s="49">
        <f t="shared" si="112"/>
        <v>-56.7</v>
      </c>
      <c r="AE70" s="49">
        <f t="shared" si="112"/>
        <v>-61.7</v>
      </c>
      <c r="AF70" s="49">
        <f t="shared" si="112"/>
        <v>-66.7</v>
      </c>
      <c r="AG70" s="49">
        <f t="shared" si="112"/>
        <v>-72.400000000000006</v>
      </c>
      <c r="AH70" s="49">
        <f t="shared" si="112"/>
        <v>-76.099999999999994</v>
      </c>
      <c r="AI70" s="49">
        <f t="shared" si="112"/>
        <v>-81.099999999999994</v>
      </c>
      <c r="AJ70" s="49">
        <f t="shared" ref="AJ70:BO70" si="113">IF(AJ67=0,0, ROUND(AJ64 * 1/AJ67*AJ$13,1))</f>
        <v>0</v>
      </c>
      <c r="AK70" s="49">
        <f t="shared" si="113"/>
        <v>0</v>
      </c>
      <c r="AL70" s="49">
        <f t="shared" si="113"/>
        <v>0</v>
      </c>
      <c r="AM70" s="49">
        <f t="shared" si="113"/>
        <v>0</v>
      </c>
      <c r="AN70" s="49">
        <f t="shared" si="113"/>
        <v>-119.5</v>
      </c>
      <c r="AO70" s="49">
        <f t="shared" si="113"/>
        <v>-124.5</v>
      </c>
      <c r="AP70" s="49">
        <f t="shared" si="113"/>
        <v>-129.5</v>
      </c>
      <c r="AQ70" s="49">
        <f t="shared" si="113"/>
        <v>-111.4</v>
      </c>
      <c r="AR70" s="49">
        <f t="shared" si="113"/>
        <v>-116.4</v>
      </c>
      <c r="AS70" s="49">
        <f t="shared" si="113"/>
        <v>-151.69999999999999</v>
      </c>
      <c r="AT70" s="49">
        <f t="shared" si="113"/>
        <v>-125.4</v>
      </c>
      <c r="AU70" s="49">
        <f t="shared" si="113"/>
        <v>-137.30000000000001</v>
      </c>
      <c r="AV70" s="49">
        <f t="shared" si="113"/>
        <v>-142.30000000000001</v>
      </c>
      <c r="AW70" s="49">
        <f t="shared" si="113"/>
        <v>-147.30000000000001</v>
      </c>
      <c r="AX70" s="49">
        <f t="shared" si="113"/>
        <v>-152.30000000000001</v>
      </c>
      <c r="AY70" s="49">
        <f t="shared" si="113"/>
        <v>-196.5</v>
      </c>
      <c r="AZ70" s="49">
        <f t="shared" si="113"/>
        <v>-201.5</v>
      </c>
      <c r="BA70" s="49">
        <f t="shared" si="113"/>
        <v>-206.5</v>
      </c>
      <c r="BB70" s="49">
        <f t="shared" si="113"/>
        <v>-211.5</v>
      </c>
      <c r="BC70" s="49">
        <f t="shared" si="113"/>
        <v>-216.5</v>
      </c>
      <c r="BD70" s="49">
        <f t="shared" si="113"/>
        <v>-221.5</v>
      </c>
      <c r="BE70" s="49">
        <f t="shared" si="113"/>
        <v>-226.5</v>
      </c>
      <c r="BF70" s="49">
        <f t="shared" si="113"/>
        <v>-231.5</v>
      </c>
      <c r="BG70" s="49">
        <f t="shared" si="113"/>
        <v>-236.5</v>
      </c>
      <c r="BH70" s="49">
        <f t="shared" si="113"/>
        <v>-241.5</v>
      </c>
      <c r="BI70" s="49">
        <f t="shared" si="113"/>
        <v>-246.5</v>
      </c>
      <c r="BJ70" s="49">
        <f t="shared" si="113"/>
        <v>-251.5</v>
      </c>
      <c r="BK70" s="49">
        <f t="shared" si="113"/>
        <v>-256.5</v>
      </c>
      <c r="BL70" s="49">
        <f t="shared" si="113"/>
        <v>-262.89999999999998</v>
      </c>
      <c r="BM70" s="49">
        <f t="shared" si="113"/>
        <v>-267.89999999999998</v>
      </c>
      <c r="BN70" s="49">
        <f t="shared" si="113"/>
        <v>-149.6</v>
      </c>
      <c r="BO70" s="49">
        <f t="shared" si="113"/>
        <v>0</v>
      </c>
      <c r="BP70" s="49">
        <f t="shared" ref="BP70:CC70" si="114">IF(BP67=0,0, ROUND(BP64 * 1/BP67*BP$13,1))</f>
        <v>0</v>
      </c>
      <c r="BQ70" s="49">
        <f t="shared" si="114"/>
        <v>0</v>
      </c>
      <c r="BR70" s="49">
        <f t="shared" si="114"/>
        <v>0</v>
      </c>
      <c r="BS70" s="49">
        <f t="shared" si="114"/>
        <v>-280.5</v>
      </c>
      <c r="BT70" s="49">
        <f t="shared" si="114"/>
        <v>-285.5</v>
      </c>
      <c r="BU70" s="49">
        <f t="shared" si="114"/>
        <v>-290.5</v>
      </c>
      <c r="BV70" s="49">
        <f t="shared" si="114"/>
        <v>-295.5</v>
      </c>
      <c r="BW70" s="49">
        <f t="shared" si="114"/>
        <v>-300.5</v>
      </c>
      <c r="BX70" s="49">
        <f t="shared" si="114"/>
        <v>-305.5</v>
      </c>
      <c r="BY70" s="49">
        <f t="shared" si="114"/>
        <v>-310.5</v>
      </c>
      <c r="BZ70" s="49">
        <f t="shared" si="114"/>
        <v>-315.5</v>
      </c>
      <c r="CA70" s="49">
        <f t="shared" si="114"/>
        <v>-320.5</v>
      </c>
      <c r="CB70" s="49">
        <f t="shared" si="114"/>
        <v>-325.5</v>
      </c>
      <c r="CC70" s="49">
        <f t="shared" si="114"/>
        <v>-330.5</v>
      </c>
    </row>
    <row r="71" spans="1:81" x14ac:dyDescent="0.2">
      <c r="C71" s="39" t="s">
        <v>254</v>
      </c>
      <c r="D71" s="39">
        <v>6</v>
      </c>
      <c r="E71" s="39">
        <v>6</v>
      </c>
      <c r="F71" s="39">
        <v>0</v>
      </c>
      <c r="G71" s="39">
        <v>6</v>
      </c>
      <c r="H71" s="39">
        <v>6</v>
      </c>
      <c r="I71" s="39">
        <v>5</v>
      </c>
      <c r="J71" s="39">
        <v>4</v>
      </c>
      <c r="K71" s="39">
        <v>5</v>
      </c>
      <c r="L71" s="39">
        <v>6</v>
      </c>
      <c r="M71" s="39">
        <v>6</v>
      </c>
      <c r="N71" s="39">
        <v>5</v>
      </c>
      <c r="O71" s="39">
        <v>6</v>
      </c>
      <c r="P71" s="39">
        <v>0</v>
      </c>
      <c r="Q71" s="39">
        <v>0</v>
      </c>
      <c r="R71" s="39">
        <v>6</v>
      </c>
      <c r="S71" s="39">
        <v>5</v>
      </c>
      <c r="T71" s="39">
        <v>6</v>
      </c>
      <c r="U71" s="39">
        <v>6</v>
      </c>
      <c r="V71" s="39">
        <v>6</v>
      </c>
      <c r="W71" s="39">
        <v>4</v>
      </c>
      <c r="X71" s="39">
        <v>6</v>
      </c>
      <c r="Y71" s="39">
        <v>5</v>
      </c>
      <c r="Z71" s="39">
        <v>6</v>
      </c>
      <c r="AA71" s="39">
        <v>6</v>
      </c>
      <c r="AB71" s="39">
        <v>6</v>
      </c>
      <c r="AC71" s="39">
        <v>6</v>
      </c>
      <c r="AD71" s="39">
        <v>6</v>
      </c>
      <c r="AE71" s="39">
        <v>6</v>
      </c>
      <c r="AF71" s="39">
        <v>6</v>
      </c>
      <c r="AG71" s="39">
        <v>6</v>
      </c>
      <c r="AH71" s="39">
        <v>6</v>
      </c>
      <c r="AI71" s="39">
        <v>6</v>
      </c>
      <c r="AJ71" s="39">
        <v>4</v>
      </c>
      <c r="AK71" s="39">
        <v>0</v>
      </c>
      <c r="AL71" s="39">
        <v>6</v>
      </c>
      <c r="AM71" s="39">
        <v>5</v>
      </c>
      <c r="AN71" s="39">
        <v>6</v>
      </c>
      <c r="AO71" s="39">
        <v>6</v>
      </c>
      <c r="AP71" s="39">
        <v>5</v>
      </c>
      <c r="AQ71" s="39">
        <v>6</v>
      </c>
      <c r="AR71" s="39">
        <v>5</v>
      </c>
      <c r="AS71" s="39">
        <v>6</v>
      </c>
      <c r="AT71" s="39">
        <v>6</v>
      </c>
      <c r="AU71" s="39">
        <v>6</v>
      </c>
      <c r="AV71" s="39">
        <v>3</v>
      </c>
      <c r="AW71" s="39">
        <v>5</v>
      </c>
      <c r="AX71" s="39">
        <v>6</v>
      </c>
      <c r="AY71" s="39">
        <v>3</v>
      </c>
      <c r="AZ71" s="39">
        <v>6</v>
      </c>
      <c r="BA71" s="39">
        <v>6</v>
      </c>
      <c r="BB71" s="39">
        <v>5</v>
      </c>
      <c r="BC71" s="39">
        <v>5</v>
      </c>
      <c r="BD71" s="39">
        <v>5</v>
      </c>
      <c r="BE71" s="39">
        <v>5</v>
      </c>
      <c r="BF71" s="39">
        <v>5</v>
      </c>
      <c r="BG71" s="39">
        <v>5</v>
      </c>
      <c r="BH71" s="39">
        <v>5</v>
      </c>
      <c r="BI71" s="39">
        <v>5</v>
      </c>
      <c r="BJ71" s="39">
        <v>5</v>
      </c>
      <c r="BK71" s="39">
        <v>5</v>
      </c>
      <c r="BL71" s="39">
        <v>5</v>
      </c>
      <c r="BM71" s="39">
        <v>5</v>
      </c>
      <c r="BN71" s="39">
        <v>5</v>
      </c>
      <c r="BO71" s="39">
        <v>5</v>
      </c>
      <c r="BP71" s="39">
        <v>5</v>
      </c>
      <c r="BQ71" s="39">
        <v>5</v>
      </c>
      <c r="BR71" s="39">
        <v>5</v>
      </c>
      <c r="BS71" s="39">
        <v>5</v>
      </c>
      <c r="BT71" s="39">
        <v>5</v>
      </c>
      <c r="BU71" s="39">
        <v>5</v>
      </c>
      <c r="BV71" s="39">
        <v>5</v>
      </c>
      <c r="BW71" s="39">
        <v>5</v>
      </c>
      <c r="BX71" s="39">
        <v>5</v>
      </c>
      <c r="BY71" s="39">
        <v>5</v>
      </c>
      <c r="BZ71" s="39">
        <v>5</v>
      </c>
      <c r="CA71" s="39">
        <v>5</v>
      </c>
      <c r="CB71" s="39">
        <v>5</v>
      </c>
      <c r="CC71" s="39">
        <v>5</v>
      </c>
    </row>
    <row r="72" spans="1:81" x14ac:dyDescent="0.2">
      <c r="C72" s="50" t="s">
        <v>255</v>
      </c>
      <c r="D72" s="50">
        <f t="array" aca="1" ref="D72:CC72" ca="1">TRANSPOSE('T-ADIENT REAR SEAT'!K12:K89)</f>
        <v>4923</v>
      </c>
      <c r="E72" s="50">
        <f ca="1"/>
        <v>6564</v>
      </c>
      <c r="F72" s="50">
        <f ca="1"/>
        <v>3282</v>
      </c>
      <c r="G72" s="50">
        <f ca="1"/>
        <v>5469</v>
      </c>
      <c r="H72" s="50">
        <f ca="1"/>
        <v>6564</v>
      </c>
      <c r="I72" s="50">
        <f ca="1"/>
        <v>5469</v>
      </c>
      <c r="J72" s="50">
        <f ca="1"/>
        <v>6564</v>
      </c>
      <c r="K72" s="50">
        <f ca="1"/>
        <v>5469</v>
      </c>
      <c r="L72" s="50">
        <f ca="1"/>
        <v>4923</v>
      </c>
      <c r="M72" s="50">
        <f ca="1"/>
        <v>0</v>
      </c>
      <c r="N72" s="50">
        <f ca="1"/>
        <v>0</v>
      </c>
      <c r="O72" s="50">
        <f ca="1"/>
        <v>4923</v>
      </c>
      <c r="P72" s="50">
        <f ca="1"/>
        <v>4923</v>
      </c>
      <c r="Q72" s="50">
        <f ca="1"/>
        <v>4923</v>
      </c>
      <c r="R72" s="50">
        <f ca="1"/>
        <v>4923</v>
      </c>
      <c r="S72" s="50">
        <f ca="1"/>
        <v>4101</v>
      </c>
      <c r="T72" s="50">
        <f ca="1"/>
        <v>4923</v>
      </c>
      <c r="U72" s="50">
        <f ca="1"/>
        <v>4923</v>
      </c>
      <c r="V72" s="50">
        <f ca="1"/>
        <v>4923</v>
      </c>
      <c r="W72" s="50">
        <f ca="1"/>
        <v>3282</v>
      </c>
      <c r="X72" s="50">
        <f ca="1"/>
        <v>4101</v>
      </c>
      <c r="Y72" s="50">
        <f ca="1"/>
        <v>6835</v>
      </c>
      <c r="Z72" s="50">
        <f ca="1"/>
        <v>4923</v>
      </c>
      <c r="AA72" s="50">
        <f ca="1"/>
        <v>4923</v>
      </c>
      <c r="AB72" s="50">
        <f ca="1"/>
        <v>4923</v>
      </c>
      <c r="AC72" s="50">
        <f ca="1"/>
        <v>4923</v>
      </c>
      <c r="AD72" s="50">
        <f ca="1"/>
        <v>4923</v>
      </c>
      <c r="AE72" s="50">
        <f ca="1"/>
        <v>4923</v>
      </c>
      <c r="AF72" s="50">
        <f ca="1"/>
        <v>4923</v>
      </c>
      <c r="AG72" s="50">
        <f ca="1"/>
        <v>4923</v>
      </c>
      <c r="AH72" s="50">
        <f ca="1"/>
        <v>4923</v>
      </c>
      <c r="AI72" s="50">
        <f ca="1"/>
        <v>4923</v>
      </c>
      <c r="AJ72" s="50">
        <f ca="1"/>
        <v>4923</v>
      </c>
      <c r="AK72" s="50">
        <f ca="1"/>
        <v>0</v>
      </c>
      <c r="AL72" s="50">
        <f ca="1"/>
        <v>4923</v>
      </c>
      <c r="AM72" s="50">
        <f ca="1"/>
        <v>3282</v>
      </c>
      <c r="AN72" s="50">
        <f ca="1"/>
        <v>4923</v>
      </c>
      <c r="AO72" s="50">
        <f ca="1"/>
        <v>4923</v>
      </c>
      <c r="AP72" s="50">
        <f ca="1"/>
        <v>4101</v>
      </c>
      <c r="AQ72" s="50">
        <f ca="1"/>
        <v>4923</v>
      </c>
      <c r="AR72" s="50">
        <f ca="1"/>
        <v>2735</v>
      </c>
      <c r="AS72" s="50">
        <f ca="1"/>
        <v>3281</v>
      </c>
      <c r="AT72" s="50">
        <f ca="1"/>
        <v>3281</v>
      </c>
      <c r="AU72" s="50">
        <f ca="1"/>
        <v>3281</v>
      </c>
      <c r="AV72" s="50">
        <f ca="1"/>
        <v>1640</v>
      </c>
      <c r="AW72" s="50">
        <f ca="1"/>
        <v>3282</v>
      </c>
      <c r="AX72" s="50">
        <f ca="1"/>
        <v>4101</v>
      </c>
      <c r="AY72" s="50">
        <f ca="1"/>
        <v>2733</v>
      </c>
      <c r="AZ72" s="50">
        <f ca="1"/>
        <v>4101</v>
      </c>
      <c r="BA72" s="50">
        <f ca="1"/>
        <v>4101</v>
      </c>
      <c r="BB72" s="50">
        <f ca="1"/>
        <v>2052</v>
      </c>
      <c r="BC72" s="50">
        <f ca="1"/>
        <v>4101</v>
      </c>
      <c r="BD72" s="50">
        <f ca="1"/>
        <v>2052</v>
      </c>
      <c r="BE72" s="50">
        <f ca="1"/>
        <v>4101</v>
      </c>
      <c r="BF72" s="50">
        <f ca="1"/>
        <v>4101</v>
      </c>
      <c r="BG72" s="50">
        <f ca="1"/>
        <v>4101</v>
      </c>
      <c r="BH72" s="50">
        <f ca="1"/>
        <v>4101</v>
      </c>
      <c r="BI72" s="50">
        <f ca="1"/>
        <v>3417</v>
      </c>
      <c r="BJ72" s="50">
        <f ca="1"/>
        <v>4101</v>
      </c>
      <c r="BK72" s="50">
        <f ca="1"/>
        <v>2733</v>
      </c>
      <c r="BL72" s="50">
        <f ca="1"/>
        <v>684</v>
      </c>
      <c r="BM72" s="50">
        <f ca="1"/>
        <v>4101</v>
      </c>
      <c r="BN72" s="50">
        <f ca="1"/>
        <v>4101</v>
      </c>
      <c r="BO72" s="50">
        <f ca="1"/>
        <v>3417</v>
      </c>
      <c r="BP72" s="50">
        <f ca="1"/>
        <v>4101</v>
      </c>
      <c r="BQ72" s="50">
        <f ca="1"/>
        <v>0</v>
      </c>
      <c r="BR72" s="50">
        <f ca="1"/>
        <v>0</v>
      </c>
      <c r="BS72" s="50">
        <f ca="1"/>
        <v>3417</v>
      </c>
      <c r="BT72" s="50">
        <f ca="1"/>
        <v>4101</v>
      </c>
      <c r="BU72" s="50">
        <f ca="1"/>
        <v>4101</v>
      </c>
      <c r="BV72" s="50">
        <f ca="1"/>
        <v>4101</v>
      </c>
      <c r="BW72" s="50">
        <f ca="1"/>
        <v>4101</v>
      </c>
      <c r="BX72" s="50">
        <f ca="1"/>
        <v>2733</v>
      </c>
      <c r="BY72" s="50">
        <f ca="1"/>
        <v>4101</v>
      </c>
      <c r="BZ72" s="50">
        <f ca="1"/>
        <v>3417</v>
      </c>
      <c r="CA72" s="50">
        <f ca="1"/>
        <v>4101</v>
      </c>
      <c r="CB72" s="50">
        <f ca="1"/>
        <v>4101</v>
      </c>
      <c r="CC72" s="50">
        <f ca="1"/>
        <v>4101</v>
      </c>
    </row>
    <row r="73" spans="1:81" x14ac:dyDescent="0.2">
      <c r="C73" s="39" t="s">
        <v>256</v>
      </c>
      <c r="D73" s="39">
        <f t="shared" ref="D73:AI73" ca="1" si="115">D72-D66</f>
        <v>-297</v>
      </c>
      <c r="E73" s="39">
        <f t="shared" ca="1" si="115"/>
        <v>-546</v>
      </c>
      <c r="F73" s="39">
        <f t="shared" ca="1" si="115"/>
        <v>402</v>
      </c>
      <c r="G73" s="39">
        <f t="shared" ca="1" si="115"/>
        <v>5469</v>
      </c>
      <c r="H73" s="39">
        <f t="shared" ca="1" si="115"/>
        <v>6564</v>
      </c>
      <c r="I73" s="39">
        <f t="shared" ca="1" si="115"/>
        <v>5469</v>
      </c>
      <c r="J73" s="39">
        <f t="shared" ca="1" si="115"/>
        <v>6564</v>
      </c>
      <c r="K73" s="39">
        <f t="shared" ca="1" si="115"/>
        <v>5469</v>
      </c>
      <c r="L73" s="39">
        <f t="shared" ca="1" si="115"/>
        <v>4923</v>
      </c>
      <c r="M73" s="39">
        <f t="shared" ca="1" si="115"/>
        <v>0</v>
      </c>
      <c r="N73" s="39">
        <f t="shared" ca="1" si="115"/>
        <v>0</v>
      </c>
      <c r="O73" s="39">
        <f t="shared" ca="1" si="115"/>
        <v>4923</v>
      </c>
      <c r="P73" s="39">
        <f t="shared" ca="1" si="115"/>
        <v>4923</v>
      </c>
      <c r="Q73" s="39">
        <f t="shared" ca="1" si="115"/>
        <v>4923</v>
      </c>
      <c r="R73" s="39">
        <f t="shared" ca="1" si="115"/>
        <v>4923</v>
      </c>
      <c r="S73" s="39">
        <f t="shared" ca="1" si="115"/>
        <v>4101</v>
      </c>
      <c r="T73" s="39">
        <f t="shared" ca="1" si="115"/>
        <v>4923</v>
      </c>
      <c r="U73" s="39">
        <f t="shared" ca="1" si="115"/>
        <v>4923</v>
      </c>
      <c r="V73" s="39">
        <f t="shared" ca="1" si="115"/>
        <v>4923</v>
      </c>
      <c r="W73" s="39">
        <f t="shared" ca="1" si="115"/>
        <v>3282</v>
      </c>
      <c r="X73" s="39">
        <f t="shared" ca="1" si="115"/>
        <v>4101</v>
      </c>
      <c r="Y73" s="39">
        <f t="shared" ca="1" si="115"/>
        <v>6835</v>
      </c>
      <c r="Z73" s="39">
        <f t="shared" ca="1" si="115"/>
        <v>4923</v>
      </c>
      <c r="AA73" s="39">
        <f t="shared" ca="1" si="115"/>
        <v>4923</v>
      </c>
      <c r="AB73" s="39">
        <f t="shared" ca="1" si="115"/>
        <v>4923</v>
      </c>
      <c r="AC73" s="39">
        <f t="shared" ca="1" si="115"/>
        <v>4923</v>
      </c>
      <c r="AD73" s="39">
        <f t="shared" ca="1" si="115"/>
        <v>4923</v>
      </c>
      <c r="AE73" s="39">
        <f t="shared" ca="1" si="115"/>
        <v>4923</v>
      </c>
      <c r="AF73" s="39">
        <f t="shared" ca="1" si="115"/>
        <v>4923</v>
      </c>
      <c r="AG73" s="39">
        <f t="shared" ca="1" si="115"/>
        <v>4923</v>
      </c>
      <c r="AH73" s="39">
        <f t="shared" ca="1" si="115"/>
        <v>4923</v>
      </c>
      <c r="AI73" s="39">
        <f t="shared" ca="1" si="115"/>
        <v>4923</v>
      </c>
      <c r="AJ73" s="39">
        <f t="shared" ref="AJ73:BO73" ca="1" si="116">AJ72-AJ66</f>
        <v>4923</v>
      </c>
      <c r="AK73" s="39">
        <f t="shared" ca="1" si="116"/>
        <v>0</v>
      </c>
      <c r="AL73" s="39">
        <f t="shared" ca="1" si="116"/>
        <v>4923</v>
      </c>
      <c r="AM73" s="39">
        <f t="shared" ca="1" si="116"/>
        <v>3282</v>
      </c>
      <c r="AN73" s="39">
        <f t="shared" ca="1" si="116"/>
        <v>4923</v>
      </c>
      <c r="AO73" s="39">
        <f t="shared" ca="1" si="116"/>
        <v>4923</v>
      </c>
      <c r="AP73" s="39">
        <f t="shared" ca="1" si="116"/>
        <v>4101</v>
      </c>
      <c r="AQ73" s="39">
        <f t="shared" ca="1" si="116"/>
        <v>4923</v>
      </c>
      <c r="AR73" s="39">
        <f t="shared" ca="1" si="116"/>
        <v>2735</v>
      </c>
      <c r="AS73" s="39">
        <f t="shared" ca="1" si="116"/>
        <v>3281</v>
      </c>
      <c r="AT73" s="39">
        <f t="shared" ca="1" si="116"/>
        <v>3281</v>
      </c>
      <c r="AU73" s="39">
        <f t="shared" ca="1" si="116"/>
        <v>3281</v>
      </c>
      <c r="AV73" s="39">
        <f t="shared" ca="1" si="116"/>
        <v>1640</v>
      </c>
      <c r="AW73" s="39">
        <f t="shared" ca="1" si="116"/>
        <v>3282</v>
      </c>
      <c r="AX73" s="39">
        <f t="shared" ca="1" si="116"/>
        <v>4101</v>
      </c>
      <c r="AY73" s="39">
        <f t="shared" ca="1" si="116"/>
        <v>2733</v>
      </c>
      <c r="AZ73" s="39">
        <f t="shared" ca="1" si="116"/>
        <v>4101</v>
      </c>
      <c r="BA73" s="39">
        <f t="shared" ca="1" si="116"/>
        <v>4101</v>
      </c>
      <c r="BB73" s="39">
        <f t="shared" ca="1" si="116"/>
        <v>2052</v>
      </c>
      <c r="BC73" s="39">
        <f t="shared" ca="1" si="116"/>
        <v>4101</v>
      </c>
      <c r="BD73" s="39">
        <f t="shared" ca="1" si="116"/>
        <v>2052</v>
      </c>
      <c r="BE73" s="39">
        <f t="shared" ca="1" si="116"/>
        <v>4101</v>
      </c>
      <c r="BF73" s="39">
        <f t="shared" ca="1" si="116"/>
        <v>4101</v>
      </c>
      <c r="BG73" s="39">
        <f t="shared" ca="1" si="116"/>
        <v>4101</v>
      </c>
      <c r="BH73" s="39">
        <f t="shared" ca="1" si="116"/>
        <v>4101</v>
      </c>
      <c r="BI73" s="39">
        <f t="shared" ca="1" si="116"/>
        <v>3417</v>
      </c>
      <c r="BJ73" s="39">
        <f t="shared" ca="1" si="116"/>
        <v>4101</v>
      </c>
      <c r="BK73" s="39">
        <f t="shared" ca="1" si="116"/>
        <v>2733</v>
      </c>
      <c r="BL73" s="39">
        <f t="shared" ca="1" si="116"/>
        <v>684</v>
      </c>
      <c r="BM73" s="39">
        <f t="shared" ca="1" si="116"/>
        <v>4101</v>
      </c>
      <c r="BN73" s="39">
        <f t="shared" ca="1" si="116"/>
        <v>4101</v>
      </c>
      <c r="BO73" s="39">
        <f t="shared" ca="1" si="116"/>
        <v>3417</v>
      </c>
      <c r="BP73" s="39">
        <f t="shared" ref="BP73:CC73" ca="1" si="117">BP72-BP66</f>
        <v>4101</v>
      </c>
      <c r="BQ73" s="39">
        <f t="shared" ca="1" si="117"/>
        <v>0</v>
      </c>
      <c r="BR73" s="39">
        <f t="shared" ca="1" si="117"/>
        <v>0</v>
      </c>
      <c r="BS73" s="39">
        <f t="shared" ca="1" si="117"/>
        <v>3417</v>
      </c>
      <c r="BT73" s="39">
        <f t="shared" ca="1" si="117"/>
        <v>4101</v>
      </c>
      <c r="BU73" s="39">
        <f t="shared" ca="1" si="117"/>
        <v>4101</v>
      </c>
      <c r="BV73" s="39">
        <f t="shared" ca="1" si="117"/>
        <v>4101</v>
      </c>
      <c r="BW73" s="39">
        <f t="shared" ca="1" si="117"/>
        <v>4101</v>
      </c>
      <c r="BX73" s="39">
        <f t="shared" ca="1" si="117"/>
        <v>2733</v>
      </c>
      <c r="BY73" s="39">
        <f t="shared" ca="1" si="117"/>
        <v>4101</v>
      </c>
      <c r="BZ73" s="39">
        <f t="shared" ca="1" si="117"/>
        <v>3417</v>
      </c>
      <c r="CA73" s="39">
        <f t="shared" ca="1" si="117"/>
        <v>4101</v>
      </c>
      <c r="CB73" s="39">
        <f t="shared" ca="1" si="117"/>
        <v>4101</v>
      </c>
      <c r="CC73" s="39">
        <f t="shared" ca="1" si="117"/>
        <v>4101</v>
      </c>
    </row>
    <row r="76" spans="1:81" x14ac:dyDescent="0.2">
      <c r="A76" t="s">
        <v>257</v>
      </c>
      <c r="D76" s="39">
        <f t="shared" ref="D76:AI76" si="118">ROUND(D14*$B15+D21*$B22+D28*$B29+D35*$B36+D42*$B43+D49*$B50+D56*$B57,0)</f>
        <v>64091</v>
      </c>
      <c r="E76" s="39">
        <f t="shared" si="118"/>
        <v>75955</v>
      </c>
      <c r="F76" s="39">
        <f t="shared" si="118"/>
        <v>59532</v>
      </c>
      <c r="G76" s="39">
        <f t="shared" si="118"/>
        <v>52266</v>
      </c>
      <c r="H76" s="39">
        <f t="shared" si="118"/>
        <v>41953</v>
      </c>
      <c r="I76" s="39">
        <f t="shared" si="118"/>
        <v>39302</v>
      </c>
      <c r="J76" s="39">
        <f t="shared" si="118"/>
        <v>40293</v>
      </c>
      <c r="K76" s="39">
        <f t="shared" si="118"/>
        <v>35178</v>
      </c>
      <c r="L76" s="39">
        <f t="shared" si="118"/>
        <v>24143</v>
      </c>
      <c r="M76" s="39">
        <f t="shared" si="118"/>
        <v>9708</v>
      </c>
      <c r="N76" s="39">
        <f t="shared" si="118"/>
        <v>-8467</v>
      </c>
      <c r="O76" s="39">
        <f t="shared" si="118"/>
        <v>-8467</v>
      </c>
      <c r="P76" s="39">
        <f t="shared" si="118"/>
        <v>-8467</v>
      </c>
      <c r="Q76" s="39">
        <f t="shared" si="118"/>
        <v>-8467</v>
      </c>
      <c r="R76" s="39">
        <f t="shared" si="118"/>
        <v>-8467</v>
      </c>
      <c r="S76" s="39">
        <f t="shared" si="118"/>
        <v>-17646</v>
      </c>
      <c r="T76" s="39">
        <f t="shared" si="118"/>
        <v>-27826</v>
      </c>
      <c r="U76" s="39">
        <f t="shared" si="118"/>
        <v>-38439</v>
      </c>
      <c r="V76" s="39">
        <f t="shared" si="118"/>
        <v>-48477</v>
      </c>
      <c r="W76" s="39">
        <f t="shared" si="118"/>
        <v>-58516</v>
      </c>
      <c r="X76" s="39">
        <f t="shared" si="118"/>
        <v>-68554</v>
      </c>
      <c r="Y76" s="39">
        <f t="shared" si="118"/>
        <v>-78592</v>
      </c>
      <c r="Z76" s="39">
        <f t="shared" si="118"/>
        <v>-85630</v>
      </c>
      <c r="AA76" s="39">
        <f t="shared" si="118"/>
        <v>-92668</v>
      </c>
      <c r="AB76" s="39">
        <f t="shared" si="118"/>
        <v>-99706</v>
      </c>
      <c r="AC76" s="39">
        <f t="shared" si="118"/>
        <v>-106744</v>
      </c>
      <c r="AD76" s="39">
        <f t="shared" si="118"/>
        <v>-117013</v>
      </c>
      <c r="AE76" s="39">
        <f t="shared" si="118"/>
        <v>-127282</v>
      </c>
      <c r="AF76" s="39">
        <f t="shared" si="118"/>
        <v>-137550</v>
      </c>
      <c r="AG76" s="39">
        <f t="shared" si="118"/>
        <v>-147819</v>
      </c>
      <c r="AH76" s="39">
        <f t="shared" si="118"/>
        <v>-158004</v>
      </c>
      <c r="AI76" s="39">
        <f t="shared" si="118"/>
        <v>-168396</v>
      </c>
      <c r="AJ76" s="39">
        <f t="shared" ref="AJ76:BO76" si="119">ROUND(AJ14*$B15+AJ21*$B22+AJ28*$B29+AJ35*$B36+AJ42*$B43+AJ49*$B50+AJ56*$B57,0)</f>
        <v>-178788</v>
      </c>
      <c r="AK76" s="39">
        <f t="shared" si="119"/>
        <v>-178788</v>
      </c>
      <c r="AL76" s="39">
        <f t="shared" si="119"/>
        <v>-178788</v>
      </c>
      <c r="AM76" s="39">
        <f t="shared" si="119"/>
        <v>-178788</v>
      </c>
      <c r="AN76" s="39">
        <f t="shared" si="119"/>
        <v>-178788</v>
      </c>
      <c r="AO76" s="39">
        <f t="shared" si="119"/>
        <v>-186226</v>
      </c>
      <c r="AP76" s="39">
        <f t="shared" si="119"/>
        <v>-193663</v>
      </c>
      <c r="AQ76" s="39">
        <f t="shared" si="119"/>
        <v>-201101</v>
      </c>
      <c r="AR76" s="39">
        <f t="shared" si="119"/>
        <v>-210087</v>
      </c>
      <c r="AS76" s="39">
        <f t="shared" si="119"/>
        <v>-219074</v>
      </c>
      <c r="AT76" s="39">
        <f t="shared" si="119"/>
        <v>-226262</v>
      </c>
      <c r="AU76" s="39">
        <f t="shared" si="119"/>
        <v>-235248</v>
      </c>
      <c r="AV76" s="39">
        <f t="shared" si="119"/>
        <v>-243783</v>
      </c>
      <c r="AW76" s="39">
        <f t="shared" si="119"/>
        <v>-252318</v>
      </c>
      <c r="AX76" s="39">
        <f t="shared" si="119"/>
        <v>-260852</v>
      </c>
      <c r="AY76" s="39">
        <f t="shared" si="119"/>
        <v>-269387</v>
      </c>
      <c r="AZ76" s="39">
        <f t="shared" si="119"/>
        <v>-276218</v>
      </c>
      <c r="BA76" s="39">
        <f t="shared" si="119"/>
        <v>-283048</v>
      </c>
      <c r="BB76" s="39">
        <f t="shared" si="119"/>
        <v>-289878</v>
      </c>
      <c r="BC76" s="39">
        <f t="shared" si="119"/>
        <v>-296709</v>
      </c>
      <c r="BD76" s="39">
        <f t="shared" si="119"/>
        <v>-303539</v>
      </c>
      <c r="BE76" s="39">
        <f t="shared" si="119"/>
        <v>-310370</v>
      </c>
      <c r="BF76" s="39">
        <f t="shared" si="119"/>
        <v>-317200</v>
      </c>
      <c r="BG76" s="39">
        <f t="shared" si="119"/>
        <v>-324031</v>
      </c>
      <c r="BH76" s="39">
        <f t="shared" si="119"/>
        <v>-330861</v>
      </c>
      <c r="BI76" s="39">
        <f t="shared" si="119"/>
        <v>-337692</v>
      </c>
      <c r="BJ76" s="39">
        <f t="shared" si="119"/>
        <v>-344522</v>
      </c>
      <c r="BK76" s="39">
        <f t="shared" si="119"/>
        <v>-351353</v>
      </c>
      <c r="BL76" s="39">
        <f t="shared" si="119"/>
        <v>-358183</v>
      </c>
      <c r="BM76" s="39">
        <f t="shared" si="119"/>
        <v>-364975</v>
      </c>
      <c r="BN76" s="39">
        <f t="shared" si="119"/>
        <v>-371768</v>
      </c>
      <c r="BO76" s="39">
        <f t="shared" si="119"/>
        <v>-384160</v>
      </c>
      <c r="BP76" s="39">
        <f t="shared" ref="BP76:CC76" si="120">ROUND(BP14*$B15+BP21*$B22+BP28*$B29+BP35*$B36+BP42*$B43+BP49*$B50+BP56*$B57,0)</f>
        <v>-384160</v>
      </c>
      <c r="BQ76" s="39">
        <f t="shared" si="120"/>
        <v>-384160</v>
      </c>
      <c r="BR76" s="39">
        <f t="shared" si="120"/>
        <v>-384160</v>
      </c>
      <c r="BS76" s="39">
        <f t="shared" si="120"/>
        <v>-384160</v>
      </c>
      <c r="BT76" s="39">
        <f t="shared" si="120"/>
        <v>-390990</v>
      </c>
      <c r="BU76" s="39">
        <f t="shared" si="120"/>
        <v>-397821</v>
      </c>
      <c r="BV76" s="39">
        <f t="shared" si="120"/>
        <v>-404651</v>
      </c>
      <c r="BW76" s="39">
        <f t="shared" si="120"/>
        <v>-411482</v>
      </c>
      <c r="BX76" s="39">
        <f t="shared" si="120"/>
        <v>-418312</v>
      </c>
      <c r="BY76" s="39">
        <f t="shared" si="120"/>
        <v>-425143</v>
      </c>
      <c r="BZ76" s="39">
        <f t="shared" si="120"/>
        <v>-431973</v>
      </c>
      <c r="CA76" s="39">
        <f t="shared" si="120"/>
        <v>-438804</v>
      </c>
      <c r="CB76" s="39">
        <f t="shared" si="120"/>
        <v>-445634</v>
      </c>
      <c r="CC76" s="39">
        <f t="shared" si="120"/>
        <v>-452465</v>
      </c>
    </row>
    <row r="77" spans="1:81" x14ac:dyDescent="0.2">
      <c r="A77" t="s">
        <v>258</v>
      </c>
      <c r="D77" s="39">
        <f t="shared" ref="D77:AI77" si="121">ROUND(D15*$B15+D22*$B22+D29*$B29+D36*$B36+D43*$B43+D50*$B50+D57*$B57,0)</f>
        <v>12535</v>
      </c>
      <c r="E77" s="39">
        <f t="shared" si="121"/>
        <v>0</v>
      </c>
      <c r="F77" s="39">
        <f t="shared" si="121"/>
        <v>0</v>
      </c>
      <c r="G77" s="39">
        <f t="shared" si="121"/>
        <v>0</v>
      </c>
      <c r="H77" s="39">
        <f t="shared" si="121"/>
        <v>0</v>
      </c>
      <c r="I77" s="39">
        <f t="shared" si="121"/>
        <v>0</v>
      </c>
      <c r="J77" s="39">
        <f t="shared" si="121"/>
        <v>0</v>
      </c>
      <c r="K77" s="39">
        <f t="shared" si="121"/>
        <v>0</v>
      </c>
      <c r="L77" s="39">
        <f t="shared" si="121"/>
        <v>0</v>
      </c>
      <c r="M77" s="39">
        <f t="shared" si="121"/>
        <v>0</v>
      </c>
      <c r="N77" s="39">
        <f t="shared" si="121"/>
        <v>0</v>
      </c>
      <c r="O77" s="39">
        <f t="shared" si="121"/>
        <v>0</v>
      </c>
      <c r="P77" s="39">
        <f t="shared" si="121"/>
        <v>0</v>
      </c>
      <c r="Q77" s="39">
        <f t="shared" si="121"/>
        <v>0</v>
      </c>
      <c r="R77" s="39">
        <f t="shared" si="121"/>
        <v>0</v>
      </c>
      <c r="S77" s="39">
        <f t="shared" si="121"/>
        <v>0</v>
      </c>
      <c r="T77" s="39">
        <f t="shared" si="121"/>
        <v>0</v>
      </c>
      <c r="U77" s="39">
        <f t="shared" si="121"/>
        <v>0</v>
      </c>
      <c r="V77" s="39">
        <f t="shared" si="121"/>
        <v>0</v>
      </c>
      <c r="W77" s="39">
        <f t="shared" si="121"/>
        <v>0</v>
      </c>
      <c r="X77" s="39">
        <f t="shared" si="121"/>
        <v>0</v>
      </c>
      <c r="Y77" s="39">
        <f t="shared" si="121"/>
        <v>0</v>
      </c>
      <c r="Z77" s="39">
        <f t="shared" si="121"/>
        <v>0</v>
      </c>
      <c r="AA77" s="39">
        <f t="shared" si="121"/>
        <v>0</v>
      </c>
      <c r="AB77" s="39">
        <f t="shared" si="121"/>
        <v>0</v>
      </c>
      <c r="AC77" s="39">
        <f t="shared" si="121"/>
        <v>0</v>
      </c>
      <c r="AD77" s="39">
        <f t="shared" si="121"/>
        <v>0</v>
      </c>
      <c r="AE77" s="39">
        <f t="shared" si="121"/>
        <v>0</v>
      </c>
      <c r="AF77" s="39">
        <f t="shared" si="121"/>
        <v>0</v>
      </c>
      <c r="AG77" s="39">
        <f t="shared" si="121"/>
        <v>0</v>
      </c>
      <c r="AH77" s="39">
        <f t="shared" si="121"/>
        <v>0</v>
      </c>
      <c r="AI77" s="39">
        <f t="shared" si="121"/>
        <v>0</v>
      </c>
      <c r="AJ77" s="39">
        <f t="shared" ref="AJ77:BO77" si="122">ROUND(AJ15*$B15+AJ22*$B22+AJ29*$B29+AJ36*$B36+AJ43*$B43+AJ50*$B50+AJ57*$B57,0)</f>
        <v>0</v>
      </c>
      <c r="AK77" s="39">
        <f t="shared" si="122"/>
        <v>0</v>
      </c>
      <c r="AL77" s="39">
        <f t="shared" si="122"/>
        <v>0</v>
      </c>
      <c r="AM77" s="39">
        <f t="shared" si="122"/>
        <v>0</v>
      </c>
      <c r="AN77" s="39">
        <f t="shared" si="122"/>
        <v>0</v>
      </c>
      <c r="AO77" s="39">
        <f t="shared" si="122"/>
        <v>0</v>
      </c>
      <c r="AP77" s="39">
        <f t="shared" si="122"/>
        <v>0</v>
      </c>
      <c r="AQ77" s="39">
        <f t="shared" si="122"/>
        <v>0</v>
      </c>
      <c r="AR77" s="39">
        <f t="shared" si="122"/>
        <v>0</v>
      </c>
      <c r="AS77" s="39">
        <f t="shared" si="122"/>
        <v>0</v>
      </c>
      <c r="AT77" s="39">
        <f t="shared" si="122"/>
        <v>0</v>
      </c>
      <c r="AU77" s="39">
        <f t="shared" si="122"/>
        <v>0</v>
      </c>
      <c r="AV77" s="39">
        <f t="shared" si="122"/>
        <v>0</v>
      </c>
      <c r="AW77" s="39">
        <f t="shared" si="122"/>
        <v>0</v>
      </c>
      <c r="AX77" s="39">
        <f t="shared" si="122"/>
        <v>0</v>
      </c>
      <c r="AY77" s="39">
        <f t="shared" si="122"/>
        <v>0</v>
      </c>
      <c r="AZ77" s="39">
        <f t="shared" si="122"/>
        <v>0</v>
      </c>
      <c r="BA77" s="39">
        <f t="shared" si="122"/>
        <v>0</v>
      </c>
      <c r="BB77" s="39">
        <f t="shared" si="122"/>
        <v>0</v>
      </c>
      <c r="BC77" s="39">
        <f t="shared" si="122"/>
        <v>0</v>
      </c>
      <c r="BD77" s="39">
        <f t="shared" si="122"/>
        <v>0</v>
      </c>
      <c r="BE77" s="39">
        <f t="shared" si="122"/>
        <v>0</v>
      </c>
      <c r="BF77" s="39">
        <f t="shared" si="122"/>
        <v>0</v>
      </c>
      <c r="BG77" s="39">
        <f t="shared" si="122"/>
        <v>0</v>
      </c>
      <c r="BH77" s="39">
        <f t="shared" si="122"/>
        <v>0</v>
      </c>
      <c r="BI77" s="39">
        <f t="shared" si="122"/>
        <v>0</v>
      </c>
      <c r="BJ77" s="39">
        <f t="shared" si="122"/>
        <v>0</v>
      </c>
      <c r="BK77" s="39">
        <f t="shared" si="122"/>
        <v>0</v>
      </c>
      <c r="BL77" s="39">
        <f t="shared" si="122"/>
        <v>0</v>
      </c>
      <c r="BM77" s="39">
        <f t="shared" si="122"/>
        <v>0</v>
      </c>
      <c r="BN77" s="39">
        <f t="shared" si="122"/>
        <v>0</v>
      </c>
      <c r="BO77" s="39">
        <f t="shared" si="122"/>
        <v>0</v>
      </c>
      <c r="BP77" s="39">
        <f t="shared" ref="BP77:CC77" si="123">ROUND(BP15*$B15+BP22*$B22+BP29*$B29+BP36*$B36+BP43*$B43+BP50*$B50+BP57*$B57,0)</f>
        <v>0</v>
      </c>
      <c r="BQ77" s="39">
        <f t="shared" si="123"/>
        <v>0</v>
      </c>
      <c r="BR77" s="39">
        <f t="shared" si="123"/>
        <v>0</v>
      </c>
      <c r="BS77" s="39">
        <f t="shared" si="123"/>
        <v>0</v>
      </c>
      <c r="BT77" s="39">
        <f t="shared" si="123"/>
        <v>0</v>
      </c>
      <c r="BU77" s="39">
        <f t="shared" si="123"/>
        <v>0</v>
      </c>
      <c r="BV77" s="39">
        <f t="shared" si="123"/>
        <v>0</v>
      </c>
      <c r="BW77" s="39">
        <f t="shared" si="123"/>
        <v>0</v>
      </c>
      <c r="BX77" s="39">
        <f t="shared" si="123"/>
        <v>0</v>
      </c>
      <c r="BY77" s="39">
        <f t="shared" si="123"/>
        <v>0</v>
      </c>
      <c r="BZ77" s="39">
        <f t="shared" si="123"/>
        <v>0</v>
      </c>
      <c r="CA77" s="39">
        <f t="shared" si="123"/>
        <v>0</v>
      </c>
      <c r="CB77" s="39">
        <f t="shared" si="123"/>
        <v>0</v>
      </c>
      <c r="CC77" s="39">
        <f t="shared" si="123"/>
        <v>0</v>
      </c>
    </row>
    <row r="78" spans="1:81" x14ac:dyDescent="0.2">
      <c r="A78" t="s">
        <v>259</v>
      </c>
      <c r="D78" s="39">
        <f t="shared" ref="D78:AI78" si="124">ROUND(D16*$B15+D23*$B22+D30*$B29+D37*$B36+D44*$B43+D51*$B50+D58*$B57,0)</f>
        <v>8531</v>
      </c>
      <c r="E78" s="39">
        <f t="shared" si="124"/>
        <v>11171</v>
      </c>
      <c r="F78" s="39">
        <f t="shared" si="124"/>
        <v>5397</v>
      </c>
      <c r="G78" s="39">
        <f t="shared" si="124"/>
        <v>0</v>
      </c>
      <c r="H78" s="39">
        <f t="shared" si="124"/>
        <v>0</v>
      </c>
      <c r="I78" s="39">
        <f t="shared" si="124"/>
        <v>0</v>
      </c>
      <c r="J78" s="39">
        <f t="shared" si="124"/>
        <v>0</v>
      </c>
      <c r="K78" s="39">
        <f t="shared" si="124"/>
        <v>0</v>
      </c>
      <c r="L78" s="39">
        <f t="shared" si="124"/>
        <v>0</v>
      </c>
      <c r="M78" s="39">
        <f t="shared" si="124"/>
        <v>0</v>
      </c>
      <c r="N78" s="39">
        <f t="shared" si="124"/>
        <v>0</v>
      </c>
      <c r="O78" s="39">
        <f t="shared" si="124"/>
        <v>0</v>
      </c>
      <c r="P78" s="39">
        <f t="shared" si="124"/>
        <v>0</v>
      </c>
      <c r="Q78" s="39">
        <f t="shared" si="124"/>
        <v>0</v>
      </c>
      <c r="R78" s="39">
        <f t="shared" si="124"/>
        <v>0</v>
      </c>
      <c r="S78" s="39">
        <f t="shared" si="124"/>
        <v>0</v>
      </c>
      <c r="T78" s="39">
        <f t="shared" si="124"/>
        <v>0</v>
      </c>
      <c r="U78" s="39">
        <f t="shared" si="124"/>
        <v>0</v>
      </c>
      <c r="V78" s="39">
        <f t="shared" si="124"/>
        <v>0</v>
      </c>
      <c r="W78" s="39">
        <f t="shared" si="124"/>
        <v>0</v>
      </c>
      <c r="X78" s="39">
        <f t="shared" si="124"/>
        <v>0</v>
      </c>
      <c r="Y78" s="39">
        <f t="shared" si="124"/>
        <v>0</v>
      </c>
      <c r="Z78" s="39">
        <f t="shared" si="124"/>
        <v>0</v>
      </c>
      <c r="AA78" s="39">
        <f t="shared" si="124"/>
        <v>0</v>
      </c>
      <c r="AB78" s="39">
        <f t="shared" si="124"/>
        <v>0</v>
      </c>
      <c r="AC78" s="39">
        <f t="shared" si="124"/>
        <v>0</v>
      </c>
      <c r="AD78" s="39">
        <f t="shared" si="124"/>
        <v>0</v>
      </c>
      <c r="AE78" s="39">
        <f t="shared" si="124"/>
        <v>0</v>
      </c>
      <c r="AF78" s="39">
        <f t="shared" si="124"/>
        <v>0</v>
      </c>
      <c r="AG78" s="39">
        <f t="shared" si="124"/>
        <v>0</v>
      </c>
      <c r="AH78" s="39">
        <f t="shared" si="124"/>
        <v>0</v>
      </c>
      <c r="AI78" s="39">
        <f t="shared" si="124"/>
        <v>0</v>
      </c>
      <c r="AJ78" s="39">
        <f t="shared" ref="AJ78:BO78" si="125">ROUND(AJ16*$B15+AJ23*$B22+AJ30*$B29+AJ37*$B36+AJ44*$B43+AJ51*$B50+AJ58*$B57,0)</f>
        <v>0</v>
      </c>
      <c r="AK78" s="39">
        <f t="shared" si="125"/>
        <v>0</v>
      </c>
      <c r="AL78" s="39">
        <f t="shared" si="125"/>
        <v>0</v>
      </c>
      <c r="AM78" s="39">
        <f t="shared" si="125"/>
        <v>0</v>
      </c>
      <c r="AN78" s="39">
        <f t="shared" si="125"/>
        <v>0</v>
      </c>
      <c r="AO78" s="39">
        <f t="shared" si="125"/>
        <v>0</v>
      </c>
      <c r="AP78" s="39">
        <f t="shared" si="125"/>
        <v>0</v>
      </c>
      <c r="AQ78" s="39">
        <f t="shared" si="125"/>
        <v>0</v>
      </c>
      <c r="AR78" s="39">
        <f t="shared" si="125"/>
        <v>0</v>
      </c>
      <c r="AS78" s="39">
        <f t="shared" si="125"/>
        <v>0</v>
      </c>
      <c r="AT78" s="39">
        <f t="shared" si="125"/>
        <v>0</v>
      </c>
      <c r="AU78" s="39">
        <f t="shared" si="125"/>
        <v>0</v>
      </c>
      <c r="AV78" s="39">
        <f t="shared" si="125"/>
        <v>0</v>
      </c>
      <c r="AW78" s="39">
        <f t="shared" si="125"/>
        <v>0</v>
      </c>
      <c r="AX78" s="39">
        <f t="shared" si="125"/>
        <v>0</v>
      </c>
      <c r="AY78" s="39">
        <f t="shared" si="125"/>
        <v>0</v>
      </c>
      <c r="AZ78" s="39">
        <f t="shared" si="125"/>
        <v>0</v>
      </c>
      <c r="BA78" s="39">
        <f t="shared" si="125"/>
        <v>0</v>
      </c>
      <c r="BB78" s="39">
        <f t="shared" si="125"/>
        <v>0</v>
      </c>
      <c r="BC78" s="39">
        <f t="shared" si="125"/>
        <v>0</v>
      </c>
      <c r="BD78" s="39">
        <f t="shared" si="125"/>
        <v>0</v>
      </c>
      <c r="BE78" s="39">
        <f t="shared" si="125"/>
        <v>0</v>
      </c>
      <c r="BF78" s="39">
        <f t="shared" si="125"/>
        <v>0</v>
      </c>
      <c r="BG78" s="39">
        <f t="shared" si="125"/>
        <v>0</v>
      </c>
      <c r="BH78" s="39">
        <f t="shared" si="125"/>
        <v>0</v>
      </c>
      <c r="BI78" s="39">
        <f t="shared" si="125"/>
        <v>0</v>
      </c>
      <c r="BJ78" s="39">
        <f t="shared" si="125"/>
        <v>0</v>
      </c>
      <c r="BK78" s="39">
        <f t="shared" si="125"/>
        <v>0</v>
      </c>
      <c r="BL78" s="39">
        <f t="shared" si="125"/>
        <v>0</v>
      </c>
      <c r="BM78" s="39">
        <f t="shared" si="125"/>
        <v>0</v>
      </c>
      <c r="BN78" s="39">
        <f t="shared" si="125"/>
        <v>0</v>
      </c>
      <c r="BO78" s="39">
        <f t="shared" si="125"/>
        <v>0</v>
      </c>
      <c r="BP78" s="39">
        <f t="shared" ref="BP78:CC78" si="126">ROUND(BP16*$B15+BP23*$B22+BP30*$B29+BP37*$B36+BP44*$B43+BP51*$B50+BP58*$B57,0)</f>
        <v>0</v>
      </c>
      <c r="BQ78" s="39">
        <f t="shared" si="126"/>
        <v>0</v>
      </c>
      <c r="BR78" s="39">
        <f t="shared" si="126"/>
        <v>0</v>
      </c>
      <c r="BS78" s="39">
        <f t="shared" si="126"/>
        <v>0</v>
      </c>
      <c r="BT78" s="39">
        <f t="shared" si="126"/>
        <v>0</v>
      </c>
      <c r="BU78" s="39">
        <f t="shared" si="126"/>
        <v>0</v>
      </c>
      <c r="BV78" s="39">
        <f t="shared" si="126"/>
        <v>0</v>
      </c>
      <c r="BW78" s="39">
        <f t="shared" si="126"/>
        <v>0</v>
      </c>
      <c r="BX78" s="39">
        <f t="shared" si="126"/>
        <v>0</v>
      </c>
      <c r="BY78" s="39">
        <f t="shared" si="126"/>
        <v>0</v>
      </c>
      <c r="BZ78" s="39">
        <f t="shared" si="126"/>
        <v>0</v>
      </c>
      <c r="CA78" s="39">
        <f t="shared" si="126"/>
        <v>0</v>
      </c>
      <c r="CB78" s="39">
        <f t="shared" si="126"/>
        <v>0</v>
      </c>
      <c r="CC78" s="39">
        <f t="shared" si="126"/>
        <v>0</v>
      </c>
    </row>
    <row r="79" spans="1:81" x14ac:dyDescent="0.2">
      <c r="A79" t="s">
        <v>260</v>
      </c>
      <c r="D79" s="39">
        <f t="shared" ref="D79:AI79" si="127">ROUND(D17*$B15+D24*$B22+D31*$B29+D38*$B36+D45*$B43+D52*$B50+D59*$B57,0)</f>
        <v>670</v>
      </c>
      <c r="E79" s="39">
        <f t="shared" si="127"/>
        <v>16423</v>
      </c>
      <c r="F79" s="39">
        <f t="shared" si="127"/>
        <v>7267</v>
      </c>
      <c r="G79" s="39">
        <f t="shared" si="127"/>
        <v>10313</v>
      </c>
      <c r="H79" s="39">
        <f t="shared" si="127"/>
        <v>11181</v>
      </c>
      <c r="I79" s="39">
        <f t="shared" si="127"/>
        <v>10180</v>
      </c>
      <c r="J79" s="39">
        <f t="shared" si="127"/>
        <v>10511</v>
      </c>
      <c r="K79" s="39">
        <f t="shared" si="127"/>
        <v>11035</v>
      </c>
      <c r="L79" s="39">
        <f t="shared" si="127"/>
        <v>14435</v>
      </c>
      <c r="M79" s="39">
        <f t="shared" si="127"/>
        <v>18174</v>
      </c>
      <c r="N79" s="39">
        <f t="shared" si="127"/>
        <v>0</v>
      </c>
      <c r="O79" s="39">
        <f t="shared" si="127"/>
        <v>0</v>
      </c>
      <c r="P79" s="39">
        <f t="shared" si="127"/>
        <v>0</v>
      </c>
      <c r="Q79" s="39">
        <f t="shared" si="127"/>
        <v>0</v>
      </c>
      <c r="R79" s="39">
        <f t="shared" si="127"/>
        <v>9180</v>
      </c>
      <c r="S79" s="39">
        <f t="shared" si="127"/>
        <v>10180</v>
      </c>
      <c r="T79" s="39">
        <f t="shared" si="127"/>
        <v>10613</v>
      </c>
      <c r="U79" s="39">
        <f t="shared" si="127"/>
        <v>10038</v>
      </c>
      <c r="V79" s="39">
        <f t="shared" si="127"/>
        <v>10038</v>
      </c>
      <c r="W79" s="39">
        <f t="shared" si="127"/>
        <v>10038</v>
      </c>
      <c r="X79" s="39">
        <f t="shared" si="127"/>
        <v>10038</v>
      </c>
      <c r="Y79" s="39">
        <f t="shared" si="127"/>
        <v>7038</v>
      </c>
      <c r="Z79" s="39">
        <f t="shared" si="127"/>
        <v>7038</v>
      </c>
      <c r="AA79" s="39">
        <f t="shared" si="127"/>
        <v>7038</v>
      </c>
      <c r="AB79" s="39">
        <f t="shared" si="127"/>
        <v>7038</v>
      </c>
      <c r="AC79" s="39">
        <f t="shared" si="127"/>
        <v>10269</v>
      </c>
      <c r="AD79" s="39">
        <f t="shared" si="127"/>
        <v>10269</v>
      </c>
      <c r="AE79" s="39">
        <f t="shared" si="127"/>
        <v>10269</v>
      </c>
      <c r="AF79" s="39">
        <f t="shared" si="127"/>
        <v>10269</v>
      </c>
      <c r="AG79" s="39">
        <f t="shared" si="127"/>
        <v>10185</v>
      </c>
      <c r="AH79" s="39">
        <f t="shared" si="127"/>
        <v>10392</v>
      </c>
      <c r="AI79" s="39">
        <f t="shared" si="127"/>
        <v>10392</v>
      </c>
      <c r="AJ79" s="39">
        <f t="shared" ref="AJ79:BO79" si="128">ROUND(AJ17*$B15+AJ24*$B22+AJ31*$B29+AJ38*$B36+AJ45*$B43+AJ52*$B50+AJ59*$B57,0)</f>
        <v>0</v>
      </c>
      <c r="AK79" s="39">
        <f t="shared" si="128"/>
        <v>0</v>
      </c>
      <c r="AL79" s="39">
        <f t="shared" si="128"/>
        <v>0</v>
      </c>
      <c r="AM79" s="39">
        <f t="shared" si="128"/>
        <v>0</v>
      </c>
      <c r="AN79" s="39">
        <f t="shared" si="128"/>
        <v>7438</v>
      </c>
      <c r="AO79" s="39">
        <f t="shared" si="128"/>
        <v>7438</v>
      </c>
      <c r="AP79" s="39">
        <f t="shared" si="128"/>
        <v>7438</v>
      </c>
      <c r="AQ79" s="39">
        <f t="shared" si="128"/>
        <v>8986</v>
      </c>
      <c r="AR79" s="39">
        <f t="shared" si="128"/>
        <v>8986</v>
      </c>
      <c r="AS79" s="39">
        <f t="shared" si="128"/>
        <v>7188</v>
      </c>
      <c r="AT79" s="39">
        <f t="shared" si="128"/>
        <v>8986</v>
      </c>
      <c r="AU79" s="39">
        <f t="shared" si="128"/>
        <v>8535</v>
      </c>
      <c r="AV79" s="39">
        <f t="shared" si="128"/>
        <v>8535</v>
      </c>
      <c r="AW79" s="39">
        <f t="shared" si="128"/>
        <v>8535</v>
      </c>
      <c r="AX79" s="39">
        <f t="shared" si="128"/>
        <v>8535</v>
      </c>
      <c r="AY79" s="39">
        <f t="shared" si="128"/>
        <v>6830</v>
      </c>
      <c r="AZ79" s="39">
        <f t="shared" si="128"/>
        <v>6830</v>
      </c>
      <c r="BA79" s="39">
        <f t="shared" si="128"/>
        <v>6830</v>
      </c>
      <c r="BB79" s="39">
        <f t="shared" si="128"/>
        <v>6830</v>
      </c>
      <c r="BC79" s="39">
        <f t="shared" si="128"/>
        <v>6830</v>
      </c>
      <c r="BD79" s="39">
        <f t="shared" si="128"/>
        <v>6830</v>
      </c>
      <c r="BE79" s="39">
        <f t="shared" si="128"/>
        <v>6830</v>
      </c>
      <c r="BF79" s="39">
        <f t="shared" si="128"/>
        <v>6830</v>
      </c>
      <c r="BG79" s="39">
        <f t="shared" si="128"/>
        <v>6830</v>
      </c>
      <c r="BH79" s="39">
        <f t="shared" si="128"/>
        <v>6830</v>
      </c>
      <c r="BI79" s="39">
        <f t="shared" si="128"/>
        <v>6830</v>
      </c>
      <c r="BJ79" s="39">
        <f t="shared" si="128"/>
        <v>6830</v>
      </c>
      <c r="BK79" s="39">
        <f t="shared" si="128"/>
        <v>6830</v>
      </c>
      <c r="BL79" s="39">
        <f t="shared" si="128"/>
        <v>6792</v>
      </c>
      <c r="BM79" s="39">
        <f t="shared" si="128"/>
        <v>6792</v>
      </c>
      <c r="BN79" s="39">
        <f t="shared" si="128"/>
        <v>12392</v>
      </c>
      <c r="BO79" s="39">
        <f t="shared" si="128"/>
        <v>0</v>
      </c>
      <c r="BP79" s="39">
        <f t="shared" ref="BP79:CC79" si="129">ROUND(BP17*$B15+BP24*$B22+BP31*$B29+BP38*$B36+BP45*$B43+BP52*$B50+BP59*$B57,0)</f>
        <v>0</v>
      </c>
      <c r="BQ79" s="39">
        <f t="shared" si="129"/>
        <v>0</v>
      </c>
      <c r="BR79" s="39">
        <f t="shared" si="129"/>
        <v>0</v>
      </c>
      <c r="BS79" s="39">
        <f t="shared" si="129"/>
        <v>6830</v>
      </c>
      <c r="BT79" s="39">
        <f t="shared" si="129"/>
        <v>6830</v>
      </c>
      <c r="BU79" s="39">
        <f t="shared" si="129"/>
        <v>6830</v>
      </c>
      <c r="BV79" s="39">
        <f t="shared" si="129"/>
        <v>6830</v>
      </c>
      <c r="BW79" s="39">
        <f t="shared" si="129"/>
        <v>6830</v>
      </c>
      <c r="BX79" s="39">
        <f t="shared" si="129"/>
        <v>6830</v>
      </c>
      <c r="BY79" s="39">
        <f t="shared" si="129"/>
        <v>6830</v>
      </c>
      <c r="BZ79" s="39">
        <f t="shared" si="129"/>
        <v>6830</v>
      </c>
      <c r="CA79" s="39">
        <f t="shared" si="129"/>
        <v>6830</v>
      </c>
      <c r="CB79" s="39">
        <f t="shared" si="129"/>
        <v>6830</v>
      </c>
      <c r="CC79" s="39">
        <f t="shared" si="129"/>
        <v>6830</v>
      </c>
    </row>
    <row r="80" spans="1:81" x14ac:dyDescent="0.2">
      <c r="A80" t="s">
        <v>261</v>
      </c>
      <c r="D80" s="51">
        <f t="shared" ref="D80:AI80" si="130">ROUND(D16*$C19+D23*$C26+D30*$C33+D37*$C40+D44*$C47+D51*$C54+D58*$C61,0)</f>
        <v>6038</v>
      </c>
      <c r="E80" s="51">
        <f t="shared" si="130"/>
        <v>7881</v>
      </c>
      <c r="F80" s="51">
        <f t="shared" si="130"/>
        <v>3765</v>
      </c>
      <c r="G80" s="51">
        <f t="shared" si="130"/>
        <v>0</v>
      </c>
      <c r="H80" s="51">
        <f t="shared" si="130"/>
        <v>0</v>
      </c>
      <c r="I80" s="51">
        <f t="shared" si="130"/>
        <v>0</v>
      </c>
      <c r="J80" s="51">
        <f t="shared" si="130"/>
        <v>0</v>
      </c>
      <c r="K80" s="51">
        <f t="shared" si="130"/>
        <v>0</v>
      </c>
      <c r="L80" s="51">
        <f t="shared" si="130"/>
        <v>0</v>
      </c>
      <c r="M80" s="51">
        <f t="shared" si="130"/>
        <v>0</v>
      </c>
      <c r="N80" s="51">
        <f t="shared" si="130"/>
        <v>0</v>
      </c>
      <c r="O80" s="51">
        <f t="shared" si="130"/>
        <v>0</v>
      </c>
      <c r="P80" s="51">
        <f t="shared" si="130"/>
        <v>0</v>
      </c>
      <c r="Q80" s="51">
        <f t="shared" si="130"/>
        <v>0</v>
      </c>
      <c r="R80" s="51">
        <f t="shared" si="130"/>
        <v>0</v>
      </c>
      <c r="S80" s="51">
        <f t="shared" si="130"/>
        <v>0</v>
      </c>
      <c r="T80" s="51">
        <f t="shared" si="130"/>
        <v>0</v>
      </c>
      <c r="U80" s="51">
        <f t="shared" si="130"/>
        <v>0</v>
      </c>
      <c r="V80" s="51">
        <f t="shared" si="130"/>
        <v>0</v>
      </c>
      <c r="W80" s="51">
        <f t="shared" si="130"/>
        <v>0</v>
      </c>
      <c r="X80" s="51">
        <f t="shared" si="130"/>
        <v>0</v>
      </c>
      <c r="Y80" s="51">
        <f t="shared" si="130"/>
        <v>0</v>
      </c>
      <c r="Z80" s="51">
        <f t="shared" si="130"/>
        <v>0</v>
      </c>
      <c r="AA80" s="51">
        <f t="shared" si="130"/>
        <v>0</v>
      </c>
      <c r="AB80" s="51">
        <f t="shared" si="130"/>
        <v>0</v>
      </c>
      <c r="AC80" s="51">
        <f t="shared" si="130"/>
        <v>0</v>
      </c>
      <c r="AD80" s="51">
        <f t="shared" si="130"/>
        <v>0</v>
      </c>
      <c r="AE80" s="51">
        <f t="shared" si="130"/>
        <v>0</v>
      </c>
      <c r="AF80" s="51">
        <f t="shared" si="130"/>
        <v>0</v>
      </c>
      <c r="AG80" s="51">
        <f t="shared" si="130"/>
        <v>0</v>
      </c>
      <c r="AH80" s="51">
        <f t="shared" si="130"/>
        <v>0</v>
      </c>
      <c r="AI80" s="51">
        <f t="shared" si="130"/>
        <v>0</v>
      </c>
      <c r="AJ80" s="51">
        <f t="shared" ref="AJ80:BO80" si="131">ROUND(AJ16*$C19+AJ23*$C26+AJ30*$C33+AJ37*$C40+AJ44*$C47+AJ51*$C54+AJ58*$C61,0)</f>
        <v>0</v>
      </c>
      <c r="AK80" s="51">
        <f t="shared" si="131"/>
        <v>0</v>
      </c>
      <c r="AL80" s="51">
        <f t="shared" si="131"/>
        <v>0</v>
      </c>
      <c r="AM80" s="51">
        <f t="shared" si="131"/>
        <v>0</v>
      </c>
      <c r="AN80" s="51">
        <f t="shared" si="131"/>
        <v>0</v>
      </c>
      <c r="AO80" s="51">
        <f t="shared" si="131"/>
        <v>0</v>
      </c>
      <c r="AP80" s="51">
        <f t="shared" si="131"/>
        <v>0</v>
      </c>
      <c r="AQ80" s="51">
        <f t="shared" si="131"/>
        <v>0</v>
      </c>
      <c r="AR80" s="51">
        <f t="shared" si="131"/>
        <v>0</v>
      </c>
      <c r="AS80" s="51">
        <f t="shared" si="131"/>
        <v>0</v>
      </c>
      <c r="AT80" s="51">
        <f t="shared" si="131"/>
        <v>0</v>
      </c>
      <c r="AU80" s="51">
        <f t="shared" si="131"/>
        <v>0</v>
      </c>
      <c r="AV80" s="51">
        <f t="shared" si="131"/>
        <v>0</v>
      </c>
      <c r="AW80" s="51">
        <f t="shared" si="131"/>
        <v>0</v>
      </c>
      <c r="AX80" s="51">
        <f t="shared" si="131"/>
        <v>0</v>
      </c>
      <c r="AY80" s="51">
        <f t="shared" si="131"/>
        <v>0</v>
      </c>
      <c r="AZ80" s="51">
        <f t="shared" si="131"/>
        <v>0</v>
      </c>
      <c r="BA80" s="51">
        <f t="shared" si="131"/>
        <v>0</v>
      </c>
      <c r="BB80" s="51">
        <f t="shared" si="131"/>
        <v>0</v>
      </c>
      <c r="BC80" s="51">
        <f t="shared" si="131"/>
        <v>0</v>
      </c>
      <c r="BD80" s="51">
        <f t="shared" si="131"/>
        <v>0</v>
      </c>
      <c r="BE80" s="51">
        <f t="shared" si="131"/>
        <v>0</v>
      </c>
      <c r="BF80" s="51">
        <f t="shared" si="131"/>
        <v>0</v>
      </c>
      <c r="BG80" s="51">
        <f t="shared" si="131"/>
        <v>0</v>
      </c>
      <c r="BH80" s="51">
        <f t="shared" si="131"/>
        <v>0</v>
      </c>
      <c r="BI80" s="51">
        <f t="shared" si="131"/>
        <v>0</v>
      </c>
      <c r="BJ80" s="51">
        <f t="shared" si="131"/>
        <v>0</v>
      </c>
      <c r="BK80" s="51">
        <f t="shared" si="131"/>
        <v>0</v>
      </c>
      <c r="BL80" s="51">
        <f t="shared" si="131"/>
        <v>0</v>
      </c>
      <c r="BM80" s="51">
        <f t="shared" si="131"/>
        <v>0</v>
      </c>
      <c r="BN80" s="51">
        <f t="shared" si="131"/>
        <v>0</v>
      </c>
      <c r="BO80" s="51">
        <f t="shared" si="131"/>
        <v>0</v>
      </c>
      <c r="BP80" s="51">
        <f t="shared" ref="BP80:CC80" si="132">ROUND(BP16*$C19+BP23*$C26+BP30*$C33+BP37*$C40+BP44*$C47+BP51*$C54+BP58*$C61,0)</f>
        <v>0</v>
      </c>
      <c r="BQ80" s="51">
        <f t="shared" si="132"/>
        <v>0</v>
      </c>
      <c r="BR80" s="51">
        <f t="shared" si="132"/>
        <v>0</v>
      </c>
      <c r="BS80" s="51">
        <f t="shared" si="132"/>
        <v>0</v>
      </c>
      <c r="BT80" s="51">
        <f t="shared" si="132"/>
        <v>0</v>
      </c>
      <c r="BU80" s="51">
        <f t="shared" si="132"/>
        <v>0</v>
      </c>
      <c r="BV80" s="51">
        <f t="shared" si="132"/>
        <v>0</v>
      </c>
      <c r="BW80" s="51">
        <f t="shared" si="132"/>
        <v>0</v>
      </c>
      <c r="BX80" s="51">
        <f t="shared" si="132"/>
        <v>0</v>
      </c>
      <c r="BY80" s="51">
        <f t="shared" si="132"/>
        <v>0</v>
      </c>
      <c r="BZ80" s="51">
        <f t="shared" si="132"/>
        <v>0</v>
      </c>
      <c r="CA80" s="51">
        <f t="shared" si="132"/>
        <v>0</v>
      </c>
      <c r="CB80" s="51">
        <f t="shared" si="132"/>
        <v>0</v>
      </c>
      <c r="CC80" s="51">
        <f t="shared" si="132"/>
        <v>0</v>
      </c>
    </row>
    <row r="81" spans="1:81" x14ac:dyDescent="0.2">
      <c r="A81" t="s">
        <v>262</v>
      </c>
      <c r="D81" s="52">
        <f t="shared" ref="D81:AI81" si="133">ROUND(D16*$B16+D23*$B23+D30*$B30+D37*$B37+D44*$B44+D51*$B51+D58*$B58,0)</f>
        <v>381</v>
      </c>
      <c r="E81" s="52">
        <f t="shared" si="133"/>
        <v>506</v>
      </c>
      <c r="F81" s="52">
        <f t="shared" si="133"/>
        <v>253</v>
      </c>
      <c r="G81" s="52">
        <f t="shared" si="133"/>
        <v>0</v>
      </c>
      <c r="H81" s="52">
        <f t="shared" si="133"/>
        <v>0</v>
      </c>
      <c r="I81" s="52">
        <f t="shared" si="133"/>
        <v>0</v>
      </c>
      <c r="J81" s="52">
        <f t="shared" si="133"/>
        <v>0</v>
      </c>
      <c r="K81" s="52">
        <f t="shared" si="133"/>
        <v>0</v>
      </c>
      <c r="L81" s="52">
        <f t="shared" si="133"/>
        <v>0</v>
      </c>
      <c r="M81" s="52">
        <f t="shared" si="133"/>
        <v>0</v>
      </c>
      <c r="N81" s="52">
        <f t="shared" si="133"/>
        <v>0</v>
      </c>
      <c r="O81" s="52">
        <f t="shared" si="133"/>
        <v>0</v>
      </c>
      <c r="P81" s="52">
        <f t="shared" si="133"/>
        <v>0</v>
      </c>
      <c r="Q81" s="52">
        <f t="shared" si="133"/>
        <v>0</v>
      </c>
      <c r="R81" s="52">
        <f t="shared" si="133"/>
        <v>0</v>
      </c>
      <c r="S81" s="52">
        <f t="shared" si="133"/>
        <v>0</v>
      </c>
      <c r="T81" s="52">
        <f t="shared" si="133"/>
        <v>0</v>
      </c>
      <c r="U81" s="52">
        <f t="shared" si="133"/>
        <v>0</v>
      </c>
      <c r="V81" s="52">
        <f t="shared" si="133"/>
        <v>0</v>
      </c>
      <c r="W81" s="52">
        <f t="shared" si="133"/>
        <v>0</v>
      </c>
      <c r="X81" s="52">
        <f t="shared" si="133"/>
        <v>0</v>
      </c>
      <c r="Y81" s="52">
        <f t="shared" si="133"/>
        <v>0</v>
      </c>
      <c r="Z81" s="52">
        <f t="shared" si="133"/>
        <v>0</v>
      </c>
      <c r="AA81" s="52">
        <f t="shared" si="133"/>
        <v>0</v>
      </c>
      <c r="AB81" s="52">
        <f t="shared" si="133"/>
        <v>0</v>
      </c>
      <c r="AC81" s="52">
        <f t="shared" si="133"/>
        <v>0</v>
      </c>
      <c r="AD81" s="52">
        <f t="shared" si="133"/>
        <v>0</v>
      </c>
      <c r="AE81" s="52">
        <f t="shared" si="133"/>
        <v>0</v>
      </c>
      <c r="AF81" s="52">
        <f t="shared" si="133"/>
        <v>0</v>
      </c>
      <c r="AG81" s="52">
        <f t="shared" si="133"/>
        <v>0</v>
      </c>
      <c r="AH81" s="52">
        <f t="shared" si="133"/>
        <v>0</v>
      </c>
      <c r="AI81" s="52">
        <f t="shared" si="133"/>
        <v>0</v>
      </c>
      <c r="AJ81" s="52">
        <f t="shared" ref="AJ81:BO81" si="134">ROUND(AJ16*$B16+AJ23*$B23+AJ30*$B30+AJ37*$B37+AJ44*$B44+AJ51*$B51+AJ58*$B58,0)</f>
        <v>0</v>
      </c>
      <c r="AK81" s="52">
        <f t="shared" si="134"/>
        <v>0</v>
      </c>
      <c r="AL81" s="52">
        <f t="shared" si="134"/>
        <v>0</v>
      </c>
      <c r="AM81" s="52">
        <f t="shared" si="134"/>
        <v>0</v>
      </c>
      <c r="AN81" s="52">
        <f t="shared" si="134"/>
        <v>0</v>
      </c>
      <c r="AO81" s="52">
        <f t="shared" si="134"/>
        <v>0</v>
      </c>
      <c r="AP81" s="52">
        <f t="shared" si="134"/>
        <v>0</v>
      </c>
      <c r="AQ81" s="52">
        <f t="shared" si="134"/>
        <v>0</v>
      </c>
      <c r="AR81" s="52">
        <f t="shared" si="134"/>
        <v>0</v>
      </c>
      <c r="AS81" s="52">
        <f t="shared" si="134"/>
        <v>0</v>
      </c>
      <c r="AT81" s="52">
        <f t="shared" si="134"/>
        <v>0</v>
      </c>
      <c r="AU81" s="52">
        <f t="shared" si="134"/>
        <v>0</v>
      </c>
      <c r="AV81" s="52">
        <f t="shared" si="134"/>
        <v>0</v>
      </c>
      <c r="AW81" s="52">
        <f t="shared" si="134"/>
        <v>0</v>
      </c>
      <c r="AX81" s="52">
        <f t="shared" si="134"/>
        <v>0</v>
      </c>
      <c r="AY81" s="52">
        <f t="shared" si="134"/>
        <v>0</v>
      </c>
      <c r="AZ81" s="52">
        <f t="shared" si="134"/>
        <v>0</v>
      </c>
      <c r="BA81" s="52">
        <f t="shared" si="134"/>
        <v>0</v>
      </c>
      <c r="BB81" s="52">
        <f t="shared" si="134"/>
        <v>0</v>
      </c>
      <c r="BC81" s="52">
        <f t="shared" si="134"/>
        <v>0</v>
      </c>
      <c r="BD81" s="52">
        <f t="shared" si="134"/>
        <v>0</v>
      </c>
      <c r="BE81" s="52">
        <f t="shared" si="134"/>
        <v>0</v>
      </c>
      <c r="BF81" s="52">
        <f t="shared" si="134"/>
        <v>0</v>
      </c>
      <c r="BG81" s="52">
        <f t="shared" si="134"/>
        <v>0</v>
      </c>
      <c r="BH81" s="52">
        <f t="shared" si="134"/>
        <v>0</v>
      </c>
      <c r="BI81" s="52">
        <f t="shared" si="134"/>
        <v>0</v>
      </c>
      <c r="BJ81" s="52">
        <f t="shared" si="134"/>
        <v>0</v>
      </c>
      <c r="BK81" s="52">
        <f t="shared" si="134"/>
        <v>0</v>
      </c>
      <c r="BL81" s="52">
        <f t="shared" si="134"/>
        <v>0</v>
      </c>
      <c r="BM81" s="52">
        <f t="shared" si="134"/>
        <v>0</v>
      </c>
      <c r="BN81" s="52">
        <f t="shared" si="134"/>
        <v>0</v>
      </c>
      <c r="BO81" s="52">
        <f t="shared" si="134"/>
        <v>0</v>
      </c>
      <c r="BP81" s="52">
        <f t="shared" ref="BP81:CC81" si="135">ROUND(BP16*$B16+BP23*$B23+BP30*$B30+BP37*$B37+BP44*$B44+BP51*$B51+BP58*$B58,0)</f>
        <v>0</v>
      </c>
      <c r="BQ81" s="52">
        <f t="shared" si="135"/>
        <v>0</v>
      </c>
      <c r="BR81" s="52">
        <f t="shared" si="135"/>
        <v>0</v>
      </c>
      <c r="BS81" s="52">
        <f t="shared" si="135"/>
        <v>0</v>
      </c>
      <c r="BT81" s="52">
        <f t="shared" si="135"/>
        <v>0</v>
      </c>
      <c r="BU81" s="52">
        <f t="shared" si="135"/>
        <v>0</v>
      </c>
      <c r="BV81" s="52">
        <f t="shared" si="135"/>
        <v>0</v>
      </c>
      <c r="BW81" s="52">
        <f t="shared" si="135"/>
        <v>0</v>
      </c>
      <c r="BX81" s="52">
        <f t="shared" si="135"/>
        <v>0</v>
      </c>
      <c r="BY81" s="52">
        <f t="shared" si="135"/>
        <v>0</v>
      </c>
      <c r="BZ81" s="52">
        <f t="shared" si="135"/>
        <v>0</v>
      </c>
      <c r="CA81" s="52">
        <f t="shared" si="135"/>
        <v>0</v>
      </c>
      <c r="CB81" s="52">
        <f t="shared" si="135"/>
        <v>0</v>
      </c>
      <c r="CC81" s="52">
        <f t="shared" si="135"/>
        <v>0</v>
      </c>
    </row>
    <row r="82" spans="1:81" x14ac:dyDescent="0.2">
      <c r="A82" t="s">
        <v>263</v>
      </c>
      <c r="D82" s="39">
        <f t="shared" ref="D82:AI82" si="136">ROUND(D16*$B18+D23*$B25+D30*$B32+D37*$B39+D44*$B46+D51*$B53+D58*$B60,0)</f>
        <v>397</v>
      </c>
      <c r="E82" s="39">
        <f t="shared" si="136"/>
        <v>526</v>
      </c>
      <c r="F82" s="39">
        <f t="shared" si="136"/>
        <v>263</v>
      </c>
      <c r="G82" s="39">
        <f t="shared" si="136"/>
        <v>0</v>
      </c>
      <c r="H82" s="39">
        <f t="shared" si="136"/>
        <v>0</v>
      </c>
      <c r="I82" s="39">
        <f t="shared" si="136"/>
        <v>0</v>
      </c>
      <c r="J82" s="39">
        <f t="shared" si="136"/>
        <v>0</v>
      </c>
      <c r="K82" s="39">
        <f t="shared" si="136"/>
        <v>0</v>
      </c>
      <c r="L82" s="39">
        <f t="shared" si="136"/>
        <v>0</v>
      </c>
      <c r="M82" s="39">
        <f t="shared" si="136"/>
        <v>0</v>
      </c>
      <c r="N82" s="39">
        <f t="shared" si="136"/>
        <v>0</v>
      </c>
      <c r="O82" s="39">
        <f t="shared" si="136"/>
        <v>0</v>
      </c>
      <c r="P82" s="39">
        <f t="shared" si="136"/>
        <v>0</v>
      </c>
      <c r="Q82" s="39">
        <f t="shared" si="136"/>
        <v>0</v>
      </c>
      <c r="R82" s="39">
        <f t="shared" si="136"/>
        <v>0</v>
      </c>
      <c r="S82" s="39">
        <f t="shared" si="136"/>
        <v>0</v>
      </c>
      <c r="T82" s="39">
        <f t="shared" si="136"/>
        <v>0</v>
      </c>
      <c r="U82" s="39">
        <f t="shared" si="136"/>
        <v>0</v>
      </c>
      <c r="V82" s="39">
        <f t="shared" si="136"/>
        <v>0</v>
      </c>
      <c r="W82" s="39">
        <f t="shared" si="136"/>
        <v>0</v>
      </c>
      <c r="X82" s="39">
        <f t="shared" si="136"/>
        <v>0</v>
      </c>
      <c r="Y82" s="39">
        <f t="shared" si="136"/>
        <v>0</v>
      </c>
      <c r="Z82" s="39">
        <f t="shared" si="136"/>
        <v>0</v>
      </c>
      <c r="AA82" s="39">
        <f t="shared" si="136"/>
        <v>0</v>
      </c>
      <c r="AB82" s="39">
        <f t="shared" si="136"/>
        <v>0</v>
      </c>
      <c r="AC82" s="39">
        <f t="shared" si="136"/>
        <v>0</v>
      </c>
      <c r="AD82" s="39">
        <f t="shared" si="136"/>
        <v>0</v>
      </c>
      <c r="AE82" s="39">
        <f t="shared" si="136"/>
        <v>0</v>
      </c>
      <c r="AF82" s="39">
        <f t="shared" si="136"/>
        <v>0</v>
      </c>
      <c r="AG82" s="39">
        <f t="shared" si="136"/>
        <v>0</v>
      </c>
      <c r="AH82" s="39">
        <f t="shared" si="136"/>
        <v>0</v>
      </c>
      <c r="AI82" s="39">
        <f t="shared" si="136"/>
        <v>0</v>
      </c>
      <c r="AJ82" s="39">
        <f t="shared" ref="AJ82:BO82" si="137">ROUND(AJ16*$B18+AJ23*$B25+AJ30*$B32+AJ37*$B39+AJ44*$B46+AJ51*$B53+AJ58*$B60,0)</f>
        <v>0</v>
      </c>
      <c r="AK82" s="39">
        <f t="shared" si="137"/>
        <v>0</v>
      </c>
      <c r="AL82" s="39">
        <f t="shared" si="137"/>
        <v>0</v>
      </c>
      <c r="AM82" s="39">
        <f t="shared" si="137"/>
        <v>0</v>
      </c>
      <c r="AN82" s="39">
        <f t="shared" si="137"/>
        <v>0</v>
      </c>
      <c r="AO82" s="39">
        <f t="shared" si="137"/>
        <v>0</v>
      </c>
      <c r="AP82" s="39">
        <f t="shared" si="137"/>
        <v>0</v>
      </c>
      <c r="AQ82" s="39">
        <f t="shared" si="137"/>
        <v>0</v>
      </c>
      <c r="AR82" s="39">
        <f t="shared" si="137"/>
        <v>0</v>
      </c>
      <c r="AS82" s="39">
        <f t="shared" si="137"/>
        <v>0</v>
      </c>
      <c r="AT82" s="39">
        <f t="shared" si="137"/>
        <v>0</v>
      </c>
      <c r="AU82" s="39">
        <f t="shared" si="137"/>
        <v>0</v>
      </c>
      <c r="AV82" s="39">
        <f t="shared" si="137"/>
        <v>0</v>
      </c>
      <c r="AW82" s="39">
        <f t="shared" si="137"/>
        <v>0</v>
      </c>
      <c r="AX82" s="39">
        <f t="shared" si="137"/>
        <v>0</v>
      </c>
      <c r="AY82" s="39">
        <f t="shared" si="137"/>
        <v>0</v>
      </c>
      <c r="AZ82" s="39">
        <f t="shared" si="137"/>
        <v>0</v>
      </c>
      <c r="BA82" s="39">
        <f t="shared" si="137"/>
        <v>0</v>
      </c>
      <c r="BB82" s="39">
        <f t="shared" si="137"/>
        <v>0</v>
      </c>
      <c r="BC82" s="39">
        <f t="shared" si="137"/>
        <v>0</v>
      </c>
      <c r="BD82" s="39">
        <f t="shared" si="137"/>
        <v>0</v>
      </c>
      <c r="BE82" s="39">
        <f t="shared" si="137"/>
        <v>0</v>
      </c>
      <c r="BF82" s="39">
        <f t="shared" si="137"/>
        <v>0</v>
      </c>
      <c r="BG82" s="39">
        <f t="shared" si="137"/>
        <v>0</v>
      </c>
      <c r="BH82" s="39">
        <f t="shared" si="137"/>
        <v>0</v>
      </c>
      <c r="BI82" s="39">
        <f t="shared" si="137"/>
        <v>0</v>
      </c>
      <c r="BJ82" s="39">
        <f t="shared" si="137"/>
        <v>0</v>
      </c>
      <c r="BK82" s="39">
        <f t="shared" si="137"/>
        <v>0</v>
      </c>
      <c r="BL82" s="39">
        <f t="shared" si="137"/>
        <v>0</v>
      </c>
      <c r="BM82" s="39">
        <f t="shared" si="137"/>
        <v>0</v>
      </c>
      <c r="BN82" s="39">
        <f t="shared" si="137"/>
        <v>0</v>
      </c>
      <c r="BO82" s="39">
        <f t="shared" si="137"/>
        <v>0</v>
      </c>
      <c r="BP82" s="39">
        <f t="shared" ref="BP82:CC82" si="138">ROUND(BP16*$B18+BP23*$B25+BP30*$B32+BP37*$B39+BP44*$B46+BP51*$B53+BP58*$B60,0)</f>
        <v>0</v>
      </c>
      <c r="BQ82" s="39">
        <f t="shared" si="138"/>
        <v>0</v>
      </c>
      <c r="BR82" s="39">
        <f t="shared" si="138"/>
        <v>0</v>
      </c>
      <c r="BS82" s="39">
        <f t="shared" si="138"/>
        <v>0</v>
      </c>
      <c r="BT82" s="39">
        <f t="shared" si="138"/>
        <v>0</v>
      </c>
      <c r="BU82" s="39">
        <f t="shared" si="138"/>
        <v>0</v>
      </c>
      <c r="BV82" s="39">
        <f t="shared" si="138"/>
        <v>0</v>
      </c>
      <c r="BW82" s="39">
        <f t="shared" si="138"/>
        <v>0</v>
      </c>
      <c r="BX82" s="39">
        <f t="shared" si="138"/>
        <v>0</v>
      </c>
      <c r="BY82" s="39">
        <f t="shared" si="138"/>
        <v>0</v>
      </c>
      <c r="BZ82" s="39">
        <f t="shared" si="138"/>
        <v>0</v>
      </c>
      <c r="CA82" s="39">
        <f t="shared" si="138"/>
        <v>0</v>
      </c>
      <c r="CB82" s="39">
        <f t="shared" si="138"/>
        <v>0</v>
      </c>
      <c r="CC82" s="39">
        <f t="shared" si="138"/>
        <v>0</v>
      </c>
    </row>
    <row r="83" spans="1:81" x14ac:dyDescent="0.2">
      <c r="A83" t="s">
        <v>264</v>
      </c>
      <c r="D83" s="39">
        <f t="shared" ref="D83:AI83" si="139">ROUND(D17*$B16+D24*$B23+D31*$B30+D38*$B37+D45*$B44+D52*$B51+D59*$B58,0)</f>
        <v>35</v>
      </c>
      <c r="E83" s="39">
        <f t="shared" si="139"/>
        <v>740</v>
      </c>
      <c r="F83" s="39">
        <f t="shared" si="139"/>
        <v>344</v>
      </c>
      <c r="G83" s="39">
        <f t="shared" si="139"/>
        <v>470</v>
      </c>
      <c r="H83" s="39">
        <f t="shared" si="139"/>
        <v>514</v>
      </c>
      <c r="I83" s="39">
        <f t="shared" si="139"/>
        <v>465</v>
      </c>
      <c r="J83" s="39">
        <f t="shared" si="139"/>
        <v>479</v>
      </c>
      <c r="K83" s="39">
        <f t="shared" si="139"/>
        <v>496</v>
      </c>
      <c r="L83" s="39">
        <f t="shared" si="139"/>
        <v>656</v>
      </c>
      <c r="M83" s="39">
        <f t="shared" si="139"/>
        <v>839</v>
      </c>
      <c r="N83" s="39">
        <f t="shared" si="139"/>
        <v>0</v>
      </c>
      <c r="O83" s="39">
        <f t="shared" si="139"/>
        <v>0</v>
      </c>
      <c r="P83" s="39">
        <f t="shared" si="139"/>
        <v>0</v>
      </c>
      <c r="Q83" s="39">
        <f t="shared" si="139"/>
        <v>0</v>
      </c>
      <c r="R83" s="39">
        <f t="shared" si="139"/>
        <v>417</v>
      </c>
      <c r="S83" s="39">
        <f t="shared" si="139"/>
        <v>465</v>
      </c>
      <c r="T83" s="39">
        <f t="shared" si="139"/>
        <v>485</v>
      </c>
      <c r="U83" s="39">
        <f t="shared" si="139"/>
        <v>458</v>
      </c>
      <c r="V83" s="39">
        <f t="shared" si="139"/>
        <v>458</v>
      </c>
      <c r="W83" s="39">
        <f t="shared" si="139"/>
        <v>458</v>
      </c>
      <c r="X83" s="39">
        <f t="shared" si="139"/>
        <v>458</v>
      </c>
      <c r="Y83" s="39">
        <f t="shared" si="139"/>
        <v>323</v>
      </c>
      <c r="Z83" s="39">
        <f t="shared" si="139"/>
        <v>323</v>
      </c>
      <c r="AA83" s="39">
        <f t="shared" si="139"/>
        <v>323</v>
      </c>
      <c r="AB83" s="39">
        <f t="shared" si="139"/>
        <v>323</v>
      </c>
      <c r="AC83" s="39">
        <f t="shared" si="139"/>
        <v>474</v>
      </c>
      <c r="AD83" s="39">
        <f t="shared" si="139"/>
        <v>474</v>
      </c>
      <c r="AE83" s="39">
        <f t="shared" si="139"/>
        <v>474</v>
      </c>
      <c r="AF83" s="39">
        <f t="shared" si="139"/>
        <v>474</v>
      </c>
      <c r="AG83" s="39">
        <f t="shared" si="139"/>
        <v>470</v>
      </c>
      <c r="AH83" s="39">
        <f t="shared" si="139"/>
        <v>471</v>
      </c>
      <c r="AI83" s="39">
        <f t="shared" si="139"/>
        <v>471</v>
      </c>
      <c r="AJ83" s="39">
        <f t="shared" ref="AJ83:BO83" si="140">ROUND(AJ17*$B16+AJ24*$B23+AJ31*$B30+AJ38*$B37+AJ45*$B44+AJ52*$B51+AJ59*$B58,0)</f>
        <v>0</v>
      </c>
      <c r="AK83" s="39">
        <f t="shared" si="140"/>
        <v>0</v>
      </c>
      <c r="AL83" s="39">
        <f t="shared" si="140"/>
        <v>0</v>
      </c>
      <c r="AM83" s="39">
        <f t="shared" si="140"/>
        <v>0</v>
      </c>
      <c r="AN83" s="39">
        <f t="shared" si="140"/>
        <v>340</v>
      </c>
      <c r="AO83" s="39">
        <f t="shared" si="140"/>
        <v>340</v>
      </c>
      <c r="AP83" s="39">
        <f t="shared" si="140"/>
        <v>340</v>
      </c>
      <c r="AQ83" s="39">
        <f t="shared" si="140"/>
        <v>411</v>
      </c>
      <c r="AR83" s="39">
        <f t="shared" si="140"/>
        <v>411</v>
      </c>
      <c r="AS83" s="39">
        <f t="shared" si="140"/>
        <v>329</v>
      </c>
      <c r="AT83" s="39">
        <f t="shared" si="140"/>
        <v>411</v>
      </c>
      <c r="AU83" s="39">
        <f t="shared" si="140"/>
        <v>391</v>
      </c>
      <c r="AV83" s="39">
        <f t="shared" si="140"/>
        <v>391</v>
      </c>
      <c r="AW83" s="39">
        <f t="shared" si="140"/>
        <v>391</v>
      </c>
      <c r="AX83" s="39">
        <f t="shared" si="140"/>
        <v>391</v>
      </c>
      <c r="AY83" s="39">
        <f t="shared" si="140"/>
        <v>313</v>
      </c>
      <c r="AZ83" s="39">
        <f t="shared" si="140"/>
        <v>313</v>
      </c>
      <c r="BA83" s="39">
        <f t="shared" si="140"/>
        <v>313</v>
      </c>
      <c r="BB83" s="39">
        <f t="shared" si="140"/>
        <v>313</v>
      </c>
      <c r="BC83" s="39">
        <f t="shared" si="140"/>
        <v>313</v>
      </c>
      <c r="BD83" s="39">
        <f t="shared" si="140"/>
        <v>313</v>
      </c>
      <c r="BE83" s="39">
        <f t="shared" si="140"/>
        <v>313</v>
      </c>
      <c r="BF83" s="39">
        <f t="shared" si="140"/>
        <v>313</v>
      </c>
      <c r="BG83" s="39">
        <f t="shared" si="140"/>
        <v>313</v>
      </c>
      <c r="BH83" s="39">
        <f t="shared" si="140"/>
        <v>313</v>
      </c>
      <c r="BI83" s="39">
        <f t="shared" si="140"/>
        <v>313</v>
      </c>
      <c r="BJ83" s="39">
        <f t="shared" si="140"/>
        <v>313</v>
      </c>
      <c r="BK83" s="39">
        <f t="shared" si="140"/>
        <v>313</v>
      </c>
      <c r="BL83" s="39">
        <f t="shared" si="140"/>
        <v>311</v>
      </c>
      <c r="BM83" s="39">
        <f t="shared" si="140"/>
        <v>311</v>
      </c>
      <c r="BN83" s="39">
        <f t="shared" si="140"/>
        <v>567</v>
      </c>
      <c r="BO83" s="39">
        <f t="shared" si="140"/>
        <v>0</v>
      </c>
      <c r="BP83" s="39">
        <f t="shared" ref="BP83:CC83" si="141">ROUND(BP17*$B16+BP24*$B23+BP31*$B30+BP38*$B37+BP45*$B44+BP52*$B51+BP59*$B58,0)</f>
        <v>0</v>
      </c>
      <c r="BQ83" s="39">
        <f t="shared" si="141"/>
        <v>0</v>
      </c>
      <c r="BR83" s="39">
        <f t="shared" si="141"/>
        <v>0</v>
      </c>
      <c r="BS83" s="39">
        <f t="shared" si="141"/>
        <v>313</v>
      </c>
      <c r="BT83" s="39">
        <f t="shared" si="141"/>
        <v>313</v>
      </c>
      <c r="BU83" s="39">
        <f t="shared" si="141"/>
        <v>313</v>
      </c>
      <c r="BV83" s="39">
        <f t="shared" si="141"/>
        <v>313</v>
      </c>
      <c r="BW83" s="39">
        <f t="shared" si="141"/>
        <v>313</v>
      </c>
      <c r="BX83" s="39">
        <f t="shared" si="141"/>
        <v>313</v>
      </c>
      <c r="BY83" s="39">
        <f t="shared" si="141"/>
        <v>313</v>
      </c>
      <c r="BZ83" s="39">
        <f t="shared" si="141"/>
        <v>313</v>
      </c>
      <c r="CA83" s="39">
        <f t="shared" si="141"/>
        <v>313</v>
      </c>
      <c r="CB83" s="39">
        <f t="shared" si="141"/>
        <v>313</v>
      </c>
      <c r="CC83" s="39">
        <f t="shared" si="141"/>
        <v>313</v>
      </c>
    </row>
    <row r="84" spans="1:81" x14ac:dyDescent="0.2">
      <c r="A84" t="s">
        <v>265</v>
      </c>
      <c r="D84" s="39">
        <f t="shared" ref="D84:AI84" si="142">ROUND(D17*$B18+D24*$B25+D31*$B32+D38*$B39+D45*$B46+D52*$B53+D59*$B60,0)</f>
        <v>36</v>
      </c>
      <c r="E84" s="39">
        <f t="shared" si="142"/>
        <v>770</v>
      </c>
      <c r="F84" s="39">
        <f t="shared" si="142"/>
        <v>357</v>
      </c>
      <c r="G84" s="39">
        <f t="shared" si="142"/>
        <v>489</v>
      </c>
      <c r="H84" s="39">
        <f t="shared" si="142"/>
        <v>534</v>
      </c>
      <c r="I84" s="39">
        <f t="shared" si="142"/>
        <v>484</v>
      </c>
      <c r="J84" s="39">
        <f t="shared" si="142"/>
        <v>498</v>
      </c>
      <c r="K84" s="39">
        <f t="shared" si="142"/>
        <v>516</v>
      </c>
      <c r="L84" s="39">
        <f t="shared" si="142"/>
        <v>683</v>
      </c>
      <c r="M84" s="39">
        <f t="shared" si="142"/>
        <v>872</v>
      </c>
      <c r="N84" s="39">
        <f t="shared" si="142"/>
        <v>0</v>
      </c>
      <c r="O84" s="39">
        <f t="shared" si="142"/>
        <v>0</v>
      </c>
      <c r="P84" s="39">
        <f t="shared" si="142"/>
        <v>0</v>
      </c>
      <c r="Q84" s="39">
        <f t="shared" si="142"/>
        <v>0</v>
      </c>
      <c r="R84" s="39">
        <f t="shared" si="142"/>
        <v>434</v>
      </c>
      <c r="S84" s="39">
        <f t="shared" si="142"/>
        <v>484</v>
      </c>
      <c r="T84" s="39">
        <f t="shared" si="142"/>
        <v>504</v>
      </c>
      <c r="U84" s="39">
        <f t="shared" si="142"/>
        <v>476</v>
      </c>
      <c r="V84" s="39">
        <f t="shared" si="142"/>
        <v>476</v>
      </c>
      <c r="W84" s="39">
        <f t="shared" si="142"/>
        <v>476</v>
      </c>
      <c r="X84" s="39">
        <f t="shared" si="142"/>
        <v>476</v>
      </c>
      <c r="Y84" s="39">
        <f t="shared" si="142"/>
        <v>336</v>
      </c>
      <c r="Z84" s="39">
        <f t="shared" si="142"/>
        <v>336</v>
      </c>
      <c r="AA84" s="39">
        <f t="shared" si="142"/>
        <v>336</v>
      </c>
      <c r="AB84" s="39">
        <f t="shared" si="142"/>
        <v>336</v>
      </c>
      <c r="AC84" s="39">
        <f t="shared" si="142"/>
        <v>492</v>
      </c>
      <c r="AD84" s="39">
        <f t="shared" si="142"/>
        <v>492</v>
      </c>
      <c r="AE84" s="39">
        <f t="shared" si="142"/>
        <v>492</v>
      </c>
      <c r="AF84" s="39">
        <f t="shared" si="142"/>
        <v>492</v>
      </c>
      <c r="AG84" s="39">
        <f t="shared" si="142"/>
        <v>488</v>
      </c>
      <c r="AH84" s="39">
        <f t="shared" si="142"/>
        <v>490</v>
      </c>
      <c r="AI84" s="39">
        <f t="shared" si="142"/>
        <v>490</v>
      </c>
      <c r="AJ84" s="39">
        <f t="shared" ref="AJ84:BO84" si="143">ROUND(AJ17*$B18+AJ24*$B25+AJ31*$B32+AJ38*$B39+AJ45*$B46+AJ52*$B53+AJ59*$B60,0)</f>
        <v>0</v>
      </c>
      <c r="AK84" s="39">
        <f t="shared" si="143"/>
        <v>0</v>
      </c>
      <c r="AL84" s="39">
        <f t="shared" si="143"/>
        <v>0</v>
      </c>
      <c r="AM84" s="39">
        <f t="shared" si="143"/>
        <v>0</v>
      </c>
      <c r="AN84" s="39">
        <f t="shared" si="143"/>
        <v>354</v>
      </c>
      <c r="AO84" s="39">
        <f t="shared" si="143"/>
        <v>354</v>
      </c>
      <c r="AP84" s="39">
        <f t="shared" si="143"/>
        <v>354</v>
      </c>
      <c r="AQ84" s="39">
        <f t="shared" si="143"/>
        <v>428</v>
      </c>
      <c r="AR84" s="39">
        <f t="shared" si="143"/>
        <v>428</v>
      </c>
      <c r="AS84" s="39">
        <f t="shared" si="143"/>
        <v>342</v>
      </c>
      <c r="AT84" s="39">
        <f t="shared" si="143"/>
        <v>428</v>
      </c>
      <c r="AU84" s="39">
        <f t="shared" si="143"/>
        <v>406</v>
      </c>
      <c r="AV84" s="39">
        <f t="shared" si="143"/>
        <v>406</v>
      </c>
      <c r="AW84" s="39">
        <f t="shared" si="143"/>
        <v>406</v>
      </c>
      <c r="AX84" s="39">
        <f t="shared" si="143"/>
        <v>406</v>
      </c>
      <c r="AY84" s="39">
        <f t="shared" si="143"/>
        <v>325</v>
      </c>
      <c r="AZ84" s="39">
        <f t="shared" si="143"/>
        <v>325</v>
      </c>
      <c r="BA84" s="39">
        <f t="shared" si="143"/>
        <v>325</v>
      </c>
      <c r="BB84" s="39">
        <f t="shared" si="143"/>
        <v>325</v>
      </c>
      <c r="BC84" s="39">
        <f t="shared" si="143"/>
        <v>325</v>
      </c>
      <c r="BD84" s="39">
        <f t="shared" si="143"/>
        <v>325</v>
      </c>
      <c r="BE84" s="39">
        <f t="shared" si="143"/>
        <v>325</v>
      </c>
      <c r="BF84" s="39">
        <f t="shared" si="143"/>
        <v>325</v>
      </c>
      <c r="BG84" s="39">
        <f t="shared" si="143"/>
        <v>325</v>
      </c>
      <c r="BH84" s="39">
        <f t="shared" si="143"/>
        <v>325</v>
      </c>
      <c r="BI84" s="39">
        <f t="shared" si="143"/>
        <v>325</v>
      </c>
      <c r="BJ84" s="39">
        <f t="shared" si="143"/>
        <v>325</v>
      </c>
      <c r="BK84" s="39">
        <f t="shared" si="143"/>
        <v>325</v>
      </c>
      <c r="BL84" s="39">
        <f t="shared" si="143"/>
        <v>323</v>
      </c>
      <c r="BM84" s="39">
        <f t="shared" si="143"/>
        <v>323</v>
      </c>
      <c r="BN84" s="39">
        <f t="shared" si="143"/>
        <v>590</v>
      </c>
      <c r="BO84" s="39">
        <f t="shared" si="143"/>
        <v>0</v>
      </c>
      <c r="BP84" s="39">
        <f t="shared" ref="BP84:CC84" si="144">ROUND(BP17*$B18+BP24*$B25+BP31*$B32+BP38*$B39+BP45*$B46+BP52*$B53+BP59*$B60,0)</f>
        <v>0</v>
      </c>
      <c r="BQ84" s="39">
        <f t="shared" si="144"/>
        <v>0</v>
      </c>
      <c r="BR84" s="39">
        <f t="shared" si="144"/>
        <v>0</v>
      </c>
      <c r="BS84" s="39">
        <f t="shared" si="144"/>
        <v>325</v>
      </c>
      <c r="BT84" s="39">
        <f t="shared" si="144"/>
        <v>325</v>
      </c>
      <c r="BU84" s="39">
        <f t="shared" si="144"/>
        <v>325</v>
      </c>
      <c r="BV84" s="39">
        <f t="shared" si="144"/>
        <v>325</v>
      </c>
      <c r="BW84" s="39">
        <f t="shared" si="144"/>
        <v>325</v>
      </c>
      <c r="BX84" s="39">
        <f t="shared" si="144"/>
        <v>325</v>
      </c>
      <c r="BY84" s="39">
        <f t="shared" si="144"/>
        <v>325</v>
      </c>
      <c r="BZ84" s="39">
        <f t="shared" si="144"/>
        <v>325</v>
      </c>
      <c r="CA84" s="39">
        <f t="shared" si="144"/>
        <v>325</v>
      </c>
      <c r="CB84" s="39">
        <f t="shared" si="144"/>
        <v>325</v>
      </c>
      <c r="CC84" s="39">
        <f t="shared" si="144"/>
        <v>325</v>
      </c>
    </row>
    <row r="85" spans="1:81" x14ac:dyDescent="0.2">
      <c r="A85" t="s">
        <v>266</v>
      </c>
      <c r="D85" s="39">
        <f t="shared" ref="D85:AI85" si="145">ROUND(D14*$B16+D21*$B23+D28*$B30+D35*$B37+D42*$B44+D49*$B51+D56*$B58,0)</f>
        <v>2949</v>
      </c>
      <c r="E85" s="39">
        <f t="shared" si="145"/>
        <v>3465</v>
      </c>
      <c r="F85" s="39">
        <f t="shared" si="145"/>
        <v>2725</v>
      </c>
      <c r="G85" s="39">
        <f t="shared" si="145"/>
        <v>2381</v>
      </c>
      <c r="H85" s="39">
        <f t="shared" si="145"/>
        <v>1911</v>
      </c>
      <c r="I85" s="39">
        <f t="shared" si="145"/>
        <v>1778</v>
      </c>
      <c r="J85" s="39">
        <f t="shared" si="145"/>
        <v>1819</v>
      </c>
      <c r="K85" s="39">
        <f t="shared" si="145"/>
        <v>1594</v>
      </c>
      <c r="L85" s="39">
        <f t="shared" si="145"/>
        <v>1098</v>
      </c>
      <c r="M85" s="39">
        <f t="shared" si="145"/>
        <v>442</v>
      </c>
      <c r="N85" s="39">
        <f t="shared" si="145"/>
        <v>-398</v>
      </c>
      <c r="O85" s="39">
        <f t="shared" si="145"/>
        <v>-398</v>
      </c>
      <c r="P85" s="39">
        <f t="shared" si="145"/>
        <v>-398</v>
      </c>
      <c r="Q85" s="39">
        <f t="shared" si="145"/>
        <v>-398</v>
      </c>
      <c r="R85" s="39">
        <f t="shared" si="145"/>
        <v>-398</v>
      </c>
      <c r="S85" s="39">
        <f t="shared" si="145"/>
        <v>-815</v>
      </c>
      <c r="T85" s="39">
        <f t="shared" si="145"/>
        <v>-1280</v>
      </c>
      <c r="U85" s="39">
        <f t="shared" si="145"/>
        <v>-1765</v>
      </c>
      <c r="V85" s="39">
        <f t="shared" si="145"/>
        <v>-2223</v>
      </c>
      <c r="W85" s="39">
        <f t="shared" si="145"/>
        <v>-2681</v>
      </c>
      <c r="X85" s="39">
        <f t="shared" si="145"/>
        <v>-3139</v>
      </c>
      <c r="Y85" s="39">
        <f t="shared" si="145"/>
        <v>-3597</v>
      </c>
      <c r="Z85" s="39">
        <f t="shared" si="145"/>
        <v>-3920</v>
      </c>
      <c r="AA85" s="39">
        <f t="shared" si="145"/>
        <v>-4243</v>
      </c>
      <c r="AB85" s="39">
        <f t="shared" si="145"/>
        <v>-4566</v>
      </c>
      <c r="AC85" s="39">
        <f t="shared" si="145"/>
        <v>-4889</v>
      </c>
      <c r="AD85" s="39">
        <f t="shared" si="145"/>
        <v>-5364</v>
      </c>
      <c r="AE85" s="39">
        <f t="shared" si="145"/>
        <v>-5838</v>
      </c>
      <c r="AF85" s="39">
        <f t="shared" si="145"/>
        <v>-6312</v>
      </c>
      <c r="AG85" s="39">
        <f t="shared" si="145"/>
        <v>-6786</v>
      </c>
      <c r="AH85" s="39">
        <f t="shared" si="145"/>
        <v>-7255</v>
      </c>
      <c r="AI85" s="39">
        <f t="shared" si="145"/>
        <v>-7726</v>
      </c>
      <c r="AJ85" s="39">
        <f t="shared" ref="AJ85:BO85" si="146">ROUND(AJ14*$B16+AJ21*$B23+AJ28*$B30+AJ35*$B37+AJ42*$B44+AJ49*$B51+AJ56*$B58,0)</f>
        <v>-8197</v>
      </c>
      <c r="AK85" s="39">
        <f t="shared" si="146"/>
        <v>-8197</v>
      </c>
      <c r="AL85" s="39">
        <f t="shared" si="146"/>
        <v>-8197</v>
      </c>
      <c r="AM85" s="39">
        <f t="shared" si="146"/>
        <v>-8197</v>
      </c>
      <c r="AN85" s="39">
        <f t="shared" si="146"/>
        <v>-8197</v>
      </c>
      <c r="AO85" s="39">
        <f t="shared" si="146"/>
        <v>-8537</v>
      </c>
      <c r="AP85" s="39">
        <f t="shared" si="146"/>
        <v>-8878</v>
      </c>
      <c r="AQ85" s="39">
        <f t="shared" si="146"/>
        <v>-9218</v>
      </c>
      <c r="AR85" s="39">
        <f t="shared" si="146"/>
        <v>-9629</v>
      </c>
      <c r="AS85" s="39">
        <f t="shared" si="146"/>
        <v>-10041</v>
      </c>
      <c r="AT85" s="39">
        <f t="shared" si="146"/>
        <v>-10369</v>
      </c>
      <c r="AU85" s="39">
        <f t="shared" si="146"/>
        <v>-10781</v>
      </c>
      <c r="AV85" s="39">
        <f t="shared" si="146"/>
        <v>-11171</v>
      </c>
      <c r="AW85" s="39">
        <f t="shared" si="146"/>
        <v>-11562</v>
      </c>
      <c r="AX85" s="39">
        <f t="shared" si="146"/>
        <v>-11953</v>
      </c>
      <c r="AY85" s="39">
        <f t="shared" si="146"/>
        <v>-12343</v>
      </c>
      <c r="AZ85" s="39">
        <f t="shared" si="146"/>
        <v>-12656</v>
      </c>
      <c r="BA85" s="39">
        <f t="shared" si="146"/>
        <v>-12968</v>
      </c>
      <c r="BB85" s="39">
        <f t="shared" si="146"/>
        <v>-13281</v>
      </c>
      <c r="BC85" s="39">
        <f t="shared" si="146"/>
        <v>-13593</v>
      </c>
      <c r="BD85" s="39">
        <f t="shared" si="146"/>
        <v>-13906</v>
      </c>
      <c r="BE85" s="39">
        <f t="shared" si="146"/>
        <v>-14219</v>
      </c>
      <c r="BF85" s="39">
        <f t="shared" si="146"/>
        <v>-14531</v>
      </c>
      <c r="BG85" s="39">
        <f t="shared" si="146"/>
        <v>-14844</v>
      </c>
      <c r="BH85" s="39">
        <f t="shared" si="146"/>
        <v>-15156</v>
      </c>
      <c r="BI85" s="39">
        <f t="shared" si="146"/>
        <v>-15469</v>
      </c>
      <c r="BJ85" s="39">
        <f t="shared" si="146"/>
        <v>-15782</v>
      </c>
      <c r="BK85" s="39">
        <f t="shared" si="146"/>
        <v>-16094</v>
      </c>
      <c r="BL85" s="39">
        <f t="shared" si="146"/>
        <v>-16407</v>
      </c>
      <c r="BM85" s="39">
        <f t="shared" si="146"/>
        <v>-16718</v>
      </c>
      <c r="BN85" s="39">
        <f t="shared" si="146"/>
        <v>-17028</v>
      </c>
      <c r="BO85" s="39">
        <f t="shared" si="146"/>
        <v>-17596</v>
      </c>
      <c r="BP85" s="39">
        <f t="shared" ref="BP85:CC85" si="147">ROUND(BP14*$B16+BP21*$B23+BP28*$B30+BP35*$B37+BP42*$B44+BP49*$B51+BP56*$B58,0)</f>
        <v>-17596</v>
      </c>
      <c r="BQ85" s="39">
        <f t="shared" si="147"/>
        <v>-17596</v>
      </c>
      <c r="BR85" s="39">
        <f t="shared" si="147"/>
        <v>-17596</v>
      </c>
      <c r="BS85" s="39">
        <f t="shared" si="147"/>
        <v>-17596</v>
      </c>
      <c r="BT85" s="39">
        <f t="shared" si="147"/>
        <v>-17908</v>
      </c>
      <c r="BU85" s="39">
        <f t="shared" si="147"/>
        <v>-18221</v>
      </c>
      <c r="BV85" s="39">
        <f t="shared" si="147"/>
        <v>-18533</v>
      </c>
      <c r="BW85" s="39">
        <f t="shared" si="147"/>
        <v>-18846</v>
      </c>
      <c r="BX85" s="39">
        <f t="shared" si="147"/>
        <v>-19159</v>
      </c>
      <c r="BY85" s="39">
        <f t="shared" si="147"/>
        <v>-19471</v>
      </c>
      <c r="BZ85" s="39">
        <f t="shared" si="147"/>
        <v>-19784</v>
      </c>
      <c r="CA85" s="39">
        <f t="shared" si="147"/>
        <v>-20096</v>
      </c>
      <c r="CB85" s="39">
        <f t="shared" si="147"/>
        <v>-20409</v>
      </c>
      <c r="CC85" s="39">
        <f t="shared" si="147"/>
        <v>-20722</v>
      </c>
    </row>
    <row r="86" spans="1:81" x14ac:dyDescent="0.2">
      <c r="A86" t="s">
        <v>267</v>
      </c>
      <c r="D86" s="39">
        <f t="shared" ref="D86:AI86" si="148">ROUND(D16*$B17+D23*$B24+D30*$B31+D37*$B38+D44*$B45+D51*$B52+D58*$B59,0)</f>
        <v>16</v>
      </c>
      <c r="E86" s="39">
        <f t="shared" si="148"/>
        <v>21</v>
      </c>
      <c r="F86" s="39">
        <f t="shared" si="148"/>
        <v>9</v>
      </c>
      <c r="G86" s="39">
        <f t="shared" si="148"/>
        <v>0</v>
      </c>
      <c r="H86" s="39">
        <f t="shared" si="148"/>
        <v>0</v>
      </c>
      <c r="I86" s="39">
        <f t="shared" si="148"/>
        <v>0</v>
      </c>
      <c r="J86" s="39">
        <f t="shared" si="148"/>
        <v>0</v>
      </c>
      <c r="K86" s="39">
        <f t="shared" si="148"/>
        <v>0</v>
      </c>
      <c r="L86" s="39">
        <f t="shared" si="148"/>
        <v>0</v>
      </c>
      <c r="M86" s="39">
        <f t="shared" si="148"/>
        <v>0</v>
      </c>
      <c r="N86" s="39">
        <f t="shared" si="148"/>
        <v>0</v>
      </c>
      <c r="O86" s="39">
        <f t="shared" si="148"/>
        <v>0</v>
      </c>
      <c r="P86" s="39">
        <f t="shared" si="148"/>
        <v>0</v>
      </c>
      <c r="Q86" s="39">
        <f t="shared" si="148"/>
        <v>0</v>
      </c>
      <c r="R86" s="39">
        <f t="shared" si="148"/>
        <v>0</v>
      </c>
      <c r="S86" s="39">
        <f t="shared" si="148"/>
        <v>0</v>
      </c>
      <c r="T86" s="39">
        <f t="shared" si="148"/>
        <v>0</v>
      </c>
      <c r="U86" s="39">
        <f t="shared" si="148"/>
        <v>0</v>
      </c>
      <c r="V86" s="39">
        <f t="shared" si="148"/>
        <v>0</v>
      </c>
      <c r="W86" s="39">
        <f t="shared" si="148"/>
        <v>0</v>
      </c>
      <c r="X86" s="39">
        <f t="shared" si="148"/>
        <v>0</v>
      </c>
      <c r="Y86" s="39">
        <f t="shared" si="148"/>
        <v>0</v>
      </c>
      <c r="Z86" s="39">
        <f t="shared" si="148"/>
        <v>0</v>
      </c>
      <c r="AA86" s="39">
        <f t="shared" si="148"/>
        <v>0</v>
      </c>
      <c r="AB86" s="39">
        <f t="shared" si="148"/>
        <v>0</v>
      </c>
      <c r="AC86" s="39">
        <f t="shared" si="148"/>
        <v>0</v>
      </c>
      <c r="AD86" s="39">
        <f t="shared" si="148"/>
        <v>0</v>
      </c>
      <c r="AE86" s="39">
        <f t="shared" si="148"/>
        <v>0</v>
      </c>
      <c r="AF86" s="39">
        <f t="shared" si="148"/>
        <v>0</v>
      </c>
      <c r="AG86" s="39">
        <f t="shared" si="148"/>
        <v>0</v>
      </c>
      <c r="AH86" s="39">
        <f t="shared" si="148"/>
        <v>0</v>
      </c>
      <c r="AI86" s="39">
        <f t="shared" si="148"/>
        <v>0</v>
      </c>
      <c r="AJ86" s="39">
        <f t="shared" ref="AJ86:BO86" si="149">ROUND(AJ16*$B17+AJ23*$B24+AJ30*$B31+AJ37*$B38+AJ44*$B45+AJ51*$B52+AJ58*$B59,0)</f>
        <v>0</v>
      </c>
      <c r="AK86" s="39">
        <f t="shared" si="149"/>
        <v>0</v>
      </c>
      <c r="AL86" s="39">
        <f t="shared" si="149"/>
        <v>0</v>
      </c>
      <c r="AM86" s="39">
        <f t="shared" si="149"/>
        <v>0</v>
      </c>
      <c r="AN86" s="39">
        <f t="shared" si="149"/>
        <v>0</v>
      </c>
      <c r="AO86" s="39">
        <f t="shared" si="149"/>
        <v>0</v>
      </c>
      <c r="AP86" s="39">
        <f t="shared" si="149"/>
        <v>0</v>
      </c>
      <c r="AQ86" s="39">
        <f t="shared" si="149"/>
        <v>0</v>
      </c>
      <c r="AR86" s="39">
        <f t="shared" si="149"/>
        <v>0</v>
      </c>
      <c r="AS86" s="39">
        <f t="shared" si="149"/>
        <v>0</v>
      </c>
      <c r="AT86" s="39">
        <f t="shared" si="149"/>
        <v>0</v>
      </c>
      <c r="AU86" s="39">
        <f t="shared" si="149"/>
        <v>0</v>
      </c>
      <c r="AV86" s="39">
        <f t="shared" si="149"/>
        <v>0</v>
      </c>
      <c r="AW86" s="39">
        <f t="shared" si="149"/>
        <v>0</v>
      </c>
      <c r="AX86" s="39">
        <f t="shared" si="149"/>
        <v>0</v>
      </c>
      <c r="AY86" s="39">
        <f t="shared" si="149"/>
        <v>0</v>
      </c>
      <c r="AZ86" s="39">
        <f t="shared" si="149"/>
        <v>0</v>
      </c>
      <c r="BA86" s="39">
        <f t="shared" si="149"/>
        <v>0</v>
      </c>
      <c r="BB86" s="39">
        <f t="shared" si="149"/>
        <v>0</v>
      </c>
      <c r="BC86" s="39">
        <f t="shared" si="149"/>
        <v>0</v>
      </c>
      <c r="BD86" s="39">
        <f t="shared" si="149"/>
        <v>0</v>
      </c>
      <c r="BE86" s="39">
        <f t="shared" si="149"/>
        <v>0</v>
      </c>
      <c r="BF86" s="39">
        <f t="shared" si="149"/>
        <v>0</v>
      </c>
      <c r="BG86" s="39">
        <f t="shared" si="149"/>
        <v>0</v>
      </c>
      <c r="BH86" s="39">
        <f t="shared" si="149"/>
        <v>0</v>
      </c>
      <c r="BI86" s="39">
        <f t="shared" si="149"/>
        <v>0</v>
      </c>
      <c r="BJ86" s="39">
        <f t="shared" si="149"/>
        <v>0</v>
      </c>
      <c r="BK86" s="39">
        <f t="shared" si="149"/>
        <v>0</v>
      </c>
      <c r="BL86" s="39">
        <f t="shared" si="149"/>
        <v>0</v>
      </c>
      <c r="BM86" s="39">
        <f t="shared" si="149"/>
        <v>0</v>
      </c>
      <c r="BN86" s="39">
        <f t="shared" si="149"/>
        <v>0</v>
      </c>
      <c r="BO86" s="39">
        <f t="shared" si="149"/>
        <v>0</v>
      </c>
      <c r="BP86" s="39">
        <f t="shared" ref="BP86:CC86" si="150">ROUND(BP16*$B17+BP23*$B24+BP30*$B31+BP37*$B38+BP44*$B45+BP51*$B52+BP58*$B59,0)</f>
        <v>0</v>
      </c>
      <c r="BQ86" s="39">
        <f t="shared" si="150"/>
        <v>0</v>
      </c>
      <c r="BR86" s="39">
        <f t="shared" si="150"/>
        <v>0</v>
      </c>
      <c r="BS86" s="39">
        <f t="shared" si="150"/>
        <v>0</v>
      </c>
      <c r="BT86" s="39">
        <f t="shared" si="150"/>
        <v>0</v>
      </c>
      <c r="BU86" s="39">
        <f t="shared" si="150"/>
        <v>0</v>
      </c>
      <c r="BV86" s="39">
        <f t="shared" si="150"/>
        <v>0</v>
      </c>
      <c r="BW86" s="39">
        <f t="shared" si="150"/>
        <v>0</v>
      </c>
      <c r="BX86" s="39">
        <f t="shared" si="150"/>
        <v>0</v>
      </c>
      <c r="BY86" s="39">
        <f t="shared" si="150"/>
        <v>0</v>
      </c>
      <c r="BZ86" s="39">
        <f t="shared" si="150"/>
        <v>0</v>
      </c>
      <c r="CA86" s="39">
        <f t="shared" si="150"/>
        <v>0</v>
      </c>
      <c r="CB86" s="39">
        <f t="shared" si="150"/>
        <v>0</v>
      </c>
      <c r="CC86" s="39">
        <f t="shared" si="150"/>
        <v>0</v>
      </c>
    </row>
    <row r="87" spans="1:81" x14ac:dyDescent="0.2">
      <c r="A87" t="s">
        <v>268</v>
      </c>
      <c r="D87" s="53">
        <f t="shared" ref="D87:AI87" ca="1" si="151">ROUND(IF(D88=0,0,D89/D88),0)</f>
        <v>9</v>
      </c>
      <c r="E87" s="53">
        <f t="shared" ca="1" si="151"/>
        <v>12</v>
      </c>
      <c r="F87" s="53">
        <f t="shared" ca="1" si="151"/>
        <v>12</v>
      </c>
      <c r="G87" s="53">
        <f t="shared" ca="1" si="151"/>
        <v>0</v>
      </c>
      <c r="H87" s="53">
        <f t="shared" ca="1" si="151"/>
        <v>0</v>
      </c>
      <c r="I87" s="53">
        <f t="shared" ca="1" si="151"/>
        <v>0</v>
      </c>
      <c r="J87" s="53">
        <f t="shared" ca="1" si="151"/>
        <v>0</v>
      </c>
      <c r="K87" s="53">
        <f t="shared" ca="1" si="151"/>
        <v>0</v>
      </c>
      <c r="L87" s="53">
        <f t="shared" ca="1" si="151"/>
        <v>0</v>
      </c>
      <c r="M87" s="53">
        <f t="shared" si="151"/>
        <v>0</v>
      </c>
      <c r="N87" s="53">
        <f t="shared" si="151"/>
        <v>0</v>
      </c>
      <c r="O87" s="53">
        <f t="shared" ca="1" si="151"/>
        <v>0</v>
      </c>
      <c r="P87" s="53">
        <f t="shared" ca="1" si="151"/>
        <v>0</v>
      </c>
      <c r="Q87" s="53">
        <f t="shared" ca="1" si="151"/>
        <v>0</v>
      </c>
      <c r="R87" s="53">
        <f t="shared" ca="1" si="151"/>
        <v>0</v>
      </c>
      <c r="S87" s="53">
        <f t="shared" ca="1" si="151"/>
        <v>0</v>
      </c>
      <c r="T87" s="53">
        <f t="shared" ca="1" si="151"/>
        <v>0</v>
      </c>
      <c r="U87" s="53">
        <f t="shared" ca="1" si="151"/>
        <v>0</v>
      </c>
      <c r="V87" s="53">
        <f t="shared" ca="1" si="151"/>
        <v>0</v>
      </c>
      <c r="W87" s="53">
        <f t="shared" ca="1" si="151"/>
        <v>0</v>
      </c>
      <c r="X87" s="53">
        <f t="shared" ca="1" si="151"/>
        <v>0</v>
      </c>
      <c r="Y87" s="53">
        <f t="shared" ca="1" si="151"/>
        <v>0</v>
      </c>
      <c r="Z87" s="53">
        <f t="shared" ca="1" si="151"/>
        <v>0</v>
      </c>
      <c r="AA87" s="53">
        <f t="shared" ca="1" si="151"/>
        <v>0</v>
      </c>
      <c r="AB87" s="53">
        <f t="shared" ca="1" si="151"/>
        <v>0</v>
      </c>
      <c r="AC87" s="53">
        <f t="shared" ca="1" si="151"/>
        <v>0</v>
      </c>
      <c r="AD87" s="53">
        <f t="shared" ca="1" si="151"/>
        <v>0</v>
      </c>
      <c r="AE87" s="53">
        <f t="shared" ca="1" si="151"/>
        <v>0</v>
      </c>
      <c r="AF87" s="53">
        <f t="shared" ca="1" si="151"/>
        <v>0</v>
      </c>
      <c r="AG87" s="53">
        <f t="shared" ca="1" si="151"/>
        <v>0</v>
      </c>
      <c r="AH87" s="53">
        <f t="shared" ca="1" si="151"/>
        <v>0</v>
      </c>
      <c r="AI87" s="53">
        <f t="shared" ca="1" si="151"/>
        <v>0</v>
      </c>
      <c r="AJ87" s="53">
        <f t="shared" ref="AJ87:BO87" ca="1" si="152">ROUND(IF(AJ88=0,0,AJ89/AJ88),0)</f>
        <v>0</v>
      </c>
      <c r="AK87" s="53">
        <f t="shared" si="152"/>
        <v>0</v>
      </c>
      <c r="AL87" s="53">
        <f t="shared" ca="1" si="152"/>
        <v>0</v>
      </c>
      <c r="AM87" s="53">
        <f t="shared" ca="1" si="152"/>
        <v>0</v>
      </c>
      <c r="AN87" s="53">
        <f t="shared" ca="1" si="152"/>
        <v>0</v>
      </c>
      <c r="AO87" s="53">
        <f t="shared" ca="1" si="152"/>
        <v>0</v>
      </c>
      <c r="AP87" s="53">
        <f t="shared" ca="1" si="152"/>
        <v>0</v>
      </c>
      <c r="AQ87" s="53">
        <f t="shared" ca="1" si="152"/>
        <v>0</v>
      </c>
      <c r="AR87" s="53">
        <f t="shared" ca="1" si="152"/>
        <v>0</v>
      </c>
      <c r="AS87" s="53">
        <f t="shared" ca="1" si="152"/>
        <v>0</v>
      </c>
      <c r="AT87" s="53">
        <f t="shared" ca="1" si="152"/>
        <v>0</v>
      </c>
      <c r="AU87" s="53">
        <f t="shared" ca="1" si="152"/>
        <v>0</v>
      </c>
      <c r="AV87" s="53">
        <f t="shared" ca="1" si="152"/>
        <v>0</v>
      </c>
      <c r="AW87" s="53">
        <f t="shared" ca="1" si="152"/>
        <v>0</v>
      </c>
      <c r="AX87" s="53">
        <f t="shared" ca="1" si="152"/>
        <v>0</v>
      </c>
      <c r="AY87" s="53">
        <f t="shared" ca="1" si="152"/>
        <v>0</v>
      </c>
      <c r="AZ87" s="53">
        <f t="shared" ca="1" si="152"/>
        <v>0</v>
      </c>
      <c r="BA87" s="53">
        <f t="shared" ca="1" si="152"/>
        <v>0</v>
      </c>
      <c r="BB87" s="53">
        <f t="shared" ca="1" si="152"/>
        <v>0</v>
      </c>
      <c r="BC87" s="53">
        <f t="shared" ca="1" si="152"/>
        <v>0</v>
      </c>
      <c r="BD87" s="53">
        <f t="shared" ca="1" si="152"/>
        <v>0</v>
      </c>
      <c r="BE87" s="53">
        <f t="shared" ca="1" si="152"/>
        <v>0</v>
      </c>
      <c r="BF87" s="53">
        <f t="shared" ca="1" si="152"/>
        <v>0</v>
      </c>
      <c r="BG87" s="53">
        <f t="shared" ca="1" si="152"/>
        <v>0</v>
      </c>
      <c r="BH87" s="53">
        <f t="shared" ca="1" si="152"/>
        <v>0</v>
      </c>
      <c r="BI87" s="53">
        <f t="shared" ca="1" si="152"/>
        <v>0</v>
      </c>
      <c r="BJ87" s="53">
        <f t="shared" ca="1" si="152"/>
        <v>0</v>
      </c>
      <c r="BK87" s="53">
        <f t="shared" ca="1" si="152"/>
        <v>0</v>
      </c>
      <c r="BL87" s="53">
        <f t="shared" ca="1" si="152"/>
        <v>0</v>
      </c>
      <c r="BM87" s="53">
        <f t="shared" ca="1" si="152"/>
        <v>0</v>
      </c>
      <c r="BN87" s="53">
        <f t="shared" ca="1" si="152"/>
        <v>0</v>
      </c>
      <c r="BO87" s="53">
        <f t="shared" ca="1" si="152"/>
        <v>0</v>
      </c>
      <c r="BP87" s="53">
        <f t="shared" ref="BP87:CC87" ca="1" si="153">ROUND(IF(BP88=0,0,BP89/BP88),0)</f>
        <v>0</v>
      </c>
      <c r="BQ87" s="53">
        <f t="shared" si="153"/>
        <v>0</v>
      </c>
      <c r="BR87" s="53">
        <f t="shared" si="153"/>
        <v>0</v>
      </c>
      <c r="BS87" s="53">
        <f t="shared" ca="1" si="153"/>
        <v>0</v>
      </c>
      <c r="BT87" s="53">
        <f t="shared" ca="1" si="153"/>
        <v>0</v>
      </c>
      <c r="BU87" s="53">
        <f t="shared" ca="1" si="153"/>
        <v>0</v>
      </c>
      <c r="BV87" s="53">
        <f t="shared" ca="1" si="153"/>
        <v>0</v>
      </c>
      <c r="BW87" s="53">
        <f t="shared" ca="1" si="153"/>
        <v>0</v>
      </c>
      <c r="BX87" s="53">
        <f t="shared" ca="1" si="153"/>
        <v>0</v>
      </c>
      <c r="BY87" s="53">
        <f t="shared" ca="1" si="153"/>
        <v>0</v>
      </c>
      <c r="BZ87" s="53">
        <f t="shared" ca="1" si="153"/>
        <v>0</v>
      </c>
      <c r="CA87" s="53">
        <f t="shared" ca="1" si="153"/>
        <v>0</v>
      </c>
      <c r="CB87" s="53">
        <f t="shared" ca="1" si="153"/>
        <v>0</v>
      </c>
      <c r="CC87" s="53">
        <f t="shared" ca="1" si="153"/>
        <v>0</v>
      </c>
    </row>
    <row r="88" spans="1:81" x14ac:dyDescent="0.2">
      <c r="A88" t="s">
        <v>269</v>
      </c>
      <c r="D88" s="39">
        <f t="array" ref="D88:CC88">TRANSPOSE('T-ADIENT REAR SEAT'!U12:U89)</f>
        <v>42</v>
      </c>
      <c r="E88" s="39">
        <v>42</v>
      </c>
      <c r="F88" s="39">
        <v>21</v>
      </c>
      <c r="G88" s="39">
        <v>35</v>
      </c>
      <c r="H88" s="39">
        <v>42</v>
      </c>
      <c r="I88" s="39">
        <v>35</v>
      </c>
      <c r="J88" s="39">
        <v>42</v>
      </c>
      <c r="K88" s="39">
        <v>35</v>
      </c>
      <c r="L88" s="39">
        <v>42</v>
      </c>
      <c r="M88" s="39">
        <v>0</v>
      </c>
      <c r="N88" s="39">
        <v>0</v>
      </c>
      <c r="O88" s="39">
        <v>42</v>
      </c>
      <c r="P88" s="39">
        <v>42</v>
      </c>
      <c r="Q88" s="39">
        <v>42</v>
      </c>
      <c r="R88" s="39">
        <v>42</v>
      </c>
      <c r="S88" s="39">
        <v>35</v>
      </c>
      <c r="T88" s="39">
        <v>42</v>
      </c>
      <c r="U88" s="39">
        <v>42</v>
      </c>
      <c r="V88" s="39">
        <v>42</v>
      </c>
      <c r="W88" s="39">
        <v>28</v>
      </c>
      <c r="X88" s="39">
        <v>35</v>
      </c>
      <c r="Y88" s="39">
        <v>35</v>
      </c>
      <c r="Z88" s="39">
        <v>42</v>
      </c>
      <c r="AA88" s="39">
        <v>42</v>
      </c>
      <c r="AB88" s="39">
        <v>42</v>
      </c>
      <c r="AC88" s="39">
        <v>42</v>
      </c>
      <c r="AD88" s="39">
        <v>42</v>
      </c>
      <c r="AE88" s="39">
        <v>42</v>
      </c>
      <c r="AF88" s="39">
        <v>42</v>
      </c>
      <c r="AG88" s="39">
        <v>42</v>
      </c>
      <c r="AH88" s="39">
        <v>42</v>
      </c>
      <c r="AI88" s="39">
        <v>42</v>
      </c>
      <c r="AJ88" s="39">
        <v>42</v>
      </c>
      <c r="AK88" s="39">
        <v>0</v>
      </c>
      <c r="AL88" s="39">
        <v>42</v>
      </c>
      <c r="AM88" s="39">
        <v>28</v>
      </c>
      <c r="AN88" s="39">
        <v>42</v>
      </c>
      <c r="AO88" s="39">
        <v>42</v>
      </c>
      <c r="AP88" s="39">
        <v>35</v>
      </c>
      <c r="AQ88" s="39">
        <v>42</v>
      </c>
      <c r="AR88" s="39">
        <v>17.5</v>
      </c>
      <c r="AS88" s="39">
        <v>21</v>
      </c>
      <c r="AT88" s="39">
        <v>21</v>
      </c>
      <c r="AU88" s="39">
        <v>21</v>
      </c>
      <c r="AV88" s="39">
        <v>10.5</v>
      </c>
      <c r="AW88" s="39">
        <v>28</v>
      </c>
      <c r="AX88" s="39">
        <v>42</v>
      </c>
      <c r="AY88" s="39">
        <v>28</v>
      </c>
      <c r="AZ88" s="39">
        <v>42</v>
      </c>
      <c r="BA88" s="39">
        <v>42</v>
      </c>
      <c r="BB88" s="39">
        <v>21</v>
      </c>
      <c r="BC88" s="39">
        <v>42</v>
      </c>
      <c r="BD88" s="39">
        <v>21</v>
      </c>
      <c r="BE88" s="39">
        <v>42</v>
      </c>
      <c r="BF88" s="39">
        <v>42</v>
      </c>
      <c r="BG88" s="39">
        <v>42</v>
      </c>
      <c r="BH88" s="39">
        <v>42</v>
      </c>
      <c r="BI88" s="39">
        <v>35</v>
      </c>
      <c r="BJ88" s="39">
        <v>42</v>
      </c>
      <c r="BK88" s="39">
        <v>28</v>
      </c>
      <c r="BL88" s="39">
        <v>7</v>
      </c>
      <c r="BM88" s="39">
        <v>42</v>
      </c>
      <c r="BN88" s="39">
        <v>42</v>
      </c>
      <c r="BO88" s="39">
        <v>35</v>
      </c>
      <c r="BP88" s="39">
        <v>42</v>
      </c>
      <c r="BQ88" s="39">
        <v>0</v>
      </c>
      <c r="BR88" s="39">
        <v>0</v>
      </c>
      <c r="BS88" s="39">
        <v>35</v>
      </c>
      <c r="BT88" s="39">
        <v>42</v>
      </c>
      <c r="BU88" s="39">
        <v>42</v>
      </c>
      <c r="BV88" s="39">
        <v>42</v>
      </c>
      <c r="BW88" s="39">
        <v>42</v>
      </c>
      <c r="BX88" s="39">
        <v>28</v>
      </c>
      <c r="BY88" s="39">
        <v>42</v>
      </c>
      <c r="BZ88" s="39">
        <v>35</v>
      </c>
      <c r="CA88" s="39">
        <v>42</v>
      </c>
      <c r="CB88" s="39">
        <v>42</v>
      </c>
      <c r="CC88" s="39">
        <v>42</v>
      </c>
    </row>
    <row r="89" spans="1:81" x14ac:dyDescent="0.2">
      <c r="A89" t="s">
        <v>270</v>
      </c>
      <c r="D89" s="39">
        <f t="shared" ref="D89:AI89" ca="1" si="154">IF(D90=0,0,ROUND(D81/(D90/100)/100,0))</f>
        <v>381</v>
      </c>
      <c r="E89" s="39">
        <f t="shared" ca="1" si="154"/>
        <v>506</v>
      </c>
      <c r="F89" s="39">
        <f t="shared" ca="1" si="154"/>
        <v>253</v>
      </c>
      <c r="G89" s="39">
        <f t="shared" ca="1" si="154"/>
        <v>0</v>
      </c>
      <c r="H89" s="39">
        <f t="shared" ca="1" si="154"/>
        <v>0</v>
      </c>
      <c r="I89" s="39">
        <f t="shared" ca="1" si="154"/>
        <v>0</v>
      </c>
      <c r="J89" s="39">
        <f t="shared" ca="1" si="154"/>
        <v>0</v>
      </c>
      <c r="K89" s="39">
        <f t="shared" ca="1" si="154"/>
        <v>0</v>
      </c>
      <c r="L89" s="39">
        <f t="shared" ca="1" si="154"/>
        <v>0</v>
      </c>
      <c r="M89" s="39">
        <f t="shared" si="154"/>
        <v>0</v>
      </c>
      <c r="N89" s="39">
        <f t="shared" si="154"/>
        <v>0</v>
      </c>
      <c r="O89" s="39">
        <f t="shared" ca="1" si="154"/>
        <v>0</v>
      </c>
      <c r="P89" s="39">
        <f t="shared" ca="1" si="154"/>
        <v>0</v>
      </c>
      <c r="Q89" s="39">
        <f t="shared" ca="1" si="154"/>
        <v>0</v>
      </c>
      <c r="R89" s="39">
        <f t="shared" ca="1" si="154"/>
        <v>0</v>
      </c>
      <c r="S89" s="39">
        <f t="shared" ca="1" si="154"/>
        <v>0</v>
      </c>
      <c r="T89" s="39">
        <f t="shared" ca="1" si="154"/>
        <v>0</v>
      </c>
      <c r="U89" s="39">
        <f t="shared" ca="1" si="154"/>
        <v>0</v>
      </c>
      <c r="V89" s="39">
        <f t="shared" ca="1" si="154"/>
        <v>0</v>
      </c>
      <c r="W89" s="39">
        <f t="shared" ca="1" si="154"/>
        <v>0</v>
      </c>
      <c r="X89" s="39">
        <f t="shared" ca="1" si="154"/>
        <v>0</v>
      </c>
      <c r="Y89" s="39">
        <f t="shared" ca="1" si="154"/>
        <v>0</v>
      </c>
      <c r="Z89" s="39">
        <f t="shared" ca="1" si="154"/>
        <v>0</v>
      </c>
      <c r="AA89" s="39">
        <f t="shared" ca="1" si="154"/>
        <v>0</v>
      </c>
      <c r="AB89" s="39">
        <f t="shared" ca="1" si="154"/>
        <v>0</v>
      </c>
      <c r="AC89" s="39">
        <f t="shared" ca="1" si="154"/>
        <v>0</v>
      </c>
      <c r="AD89" s="39">
        <f t="shared" ca="1" si="154"/>
        <v>0</v>
      </c>
      <c r="AE89" s="39">
        <f t="shared" ca="1" si="154"/>
        <v>0</v>
      </c>
      <c r="AF89" s="39">
        <f t="shared" ca="1" si="154"/>
        <v>0</v>
      </c>
      <c r="AG89" s="39">
        <f t="shared" ca="1" si="154"/>
        <v>0</v>
      </c>
      <c r="AH89" s="39">
        <f t="shared" ca="1" si="154"/>
        <v>0</v>
      </c>
      <c r="AI89" s="39">
        <f t="shared" ca="1" si="154"/>
        <v>0</v>
      </c>
      <c r="AJ89" s="39">
        <f t="shared" ref="AJ89:BO89" ca="1" si="155">IF(AJ90=0,0,ROUND(AJ81/(AJ90/100)/100,0))</f>
        <v>0</v>
      </c>
      <c r="AK89" s="39">
        <f t="shared" si="155"/>
        <v>0</v>
      </c>
      <c r="AL89" s="39">
        <f t="shared" ca="1" si="155"/>
        <v>0</v>
      </c>
      <c r="AM89" s="39">
        <f t="shared" ca="1" si="155"/>
        <v>0</v>
      </c>
      <c r="AN89" s="39">
        <f t="shared" ca="1" si="155"/>
        <v>0</v>
      </c>
      <c r="AO89" s="39">
        <f t="shared" ca="1" si="155"/>
        <v>0</v>
      </c>
      <c r="AP89" s="39">
        <f t="shared" ca="1" si="155"/>
        <v>0</v>
      </c>
      <c r="AQ89" s="39">
        <f t="shared" ca="1" si="155"/>
        <v>0</v>
      </c>
      <c r="AR89" s="39">
        <f t="shared" ca="1" si="155"/>
        <v>0</v>
      </c>
      <c r="AS89" s="39">
        <f t="shared" ca="1" si="155"/>
        <v>0</v>
      </c>
      <c r="AT89" s="39">
        <f t="shared" ca="1" si="155"/>
        <v>0</v>
      </c>
      <c r="AU89" s="39">
        <f t="shared" ca="1" si="155"/>
        <v>0</v>
      </c>
      <c r="AV89" s="39">
        <f t="shared" ca="1" si="155"/>
        <v>0</v>
      </c>
      <c r="AW89" s="39">
        <f t="shared" ca="1" si="155"/>
        <v>0</v>
      </c>
      <c r="AX89" s="39">
        <f t="shared" ca="1" si="155"/>
        <v>0</v>
      </c>
      <c r="AY89" s="39">
        <f t="shared" ca="1" si="155"/>
        <v>0</v>
      </c>
      <c r="AZ89" s="39">
        <f t="shared" ca="1" si="155"/>
        <v>0</v>
      </c>
      <c r="BA89" s="39">
        <f t="shared" ca="1" si="155"/>
        <v>0</v>
      </c>
      <c r="BB89" s="39">
        <f t="shared" ca="1" si="155"/>
        <v>0</v>
      </c>
      <c r="BC89" s="39">
        <f t="shared" ca="1" si="155"/>
        <v>0</v>
      </c>
      <c r="BD89" s="39">
        <f t="shared" ca="1" si="155"/>
        <v>0</v>
      </c>
      <c r="BE89" s="39">
        <f t="shared" ca="1" si="155"/>
        <v>0</v>
      </c>
      <c r="BF89" s="39">
        <f t="shared" ca="1" si="155"/>
        <v>0</v>
      </c>
      <c r="BG89" s="39">
        <f t="shared" ca="1" si="155"/>
        <v>0</v>
      </c>
      <c r="BH89" s="39">
        <f t="shared" ca="1" si="155"/>
        <v>0</v>
      </c>
      <c r="BI89" s="39">
        <f t="shared" ca="1" si="155"/>
        <v>0</v>
      </c>
      <c r="BJ89" s="39">
        <f t="shared" ca="1" si="155"/>
        <v>0</v>
      </c>
      <c r="BK89" s="39">
        <f t="shared" ca="1" si="155"/>
        <v>0</v>
      </c>
      <c r="BL89" s="39">
        <f t="shared" ca="1" si="155"/>
        <v>0</v>
      </c>
      <c r="BM89" s="39">
        <f t="shared" ca="1" si="155"/>
        <v>0</v>
      </c>
      <c r="BN89" s="39">
        <f t="shared" ca="1" si="155"/>
        <v>0</v>
      </c>
      <c r="BO89" s="39">
        <f t="shared" ca="1" si="155"/>
        <v>0</v>
      </c>
      <c r="BP89" s="39">
        <f t="shared" ref="BP89:CC89" ca="1" si="156">IF(BP90=0,0,ROUND(BP81/(BP90/100)/100,0))</f>
        <v>0</v>
      </c>
      <c r="BQ89" s="39">
        <f t="shared" si="156"/>
        <v>0</v>
      </c>
      <c r="BR89" s="39">
        <f t="shared" si="156"/>
        <v>0</v>
      </c>
      <c r="BS89" s="39">
        <f t="shared" ca="1" si="156"/>
        <v>0</v>
      </c>
      <c r="BT89" s="39">
        <f t="shared" ca="1" si="156"/>
        <v>0</v>
      </c>
      <c r="BU89" s="39">
        <f t="shared" ca="1" si="156"/>
        <v>0</v>
      </c>
      <c r="BV89" s="39">
        <f t="shared" ca="1" si="156"/>
        <v>0</v>
      </c>
      <c r="BW89" s="39">
        <f t="shared" ca="1" si="156"/>
        <v>0</v>
      </c>
      <c r="BX89" s="39">
        <f t="shared" ca="1" si="156"/>
        <v>0</v>
      </c>
      <c r="BY89" s="39">
        <f t="shared" ca="1" si="156"/>
        <v>0</v>
      </c>
      <c r="BZ89" s="39">
        <f t="shared" ca="1" si="156"/>
        <v>0</v>
      </c>
      <c r="CA89" s="39">
        <f t="shared" ca="1" si="156"/>
        <v>0</v>
      </c>
      <c r="CB89" s="39">
        <f t="shared" ca="1" si="156"/>
        <v>0</v>
      </c>
      <c r="CC89" s="39">
        <f t="shared" ca="1" si="156"/>
        <v>0</v>
      </c>
    </row>
    <row r="90" spans="1:81" x14ac:dyDescent="0.2">
      <c r="A90" t="s">
        <v>271</v>
      </c>
      <c r="D90" s="54">
        <f t="array" ref="D90:CC90" ca="1">TRANSPOSE('T-ADIENT REAR SEAT'!AI12:AI89)</f>
        <v>1.0002285714285712</v>
      </c>
      <c r="E90" s="54">
        <f ca="1"/>
        <v>1.0002285714285712</v>
      </c>
      <c r="F90" s="54">
        <f ca="1"/>
        <v>1.0002285714285712</v>
      </c>
      <c r="G90" s="54">
        <f ca="1"/>
        <v>1.0000457142857142</v>
      </c>
      <c r="H90" s="54">
        <f ca="1"/>
        <v>1.0002285714285712</v>
      </c>
      <c r="I90" s="54">
        <f ca="1"/>
        <v>1.0000457142857142</v>
      </c>
      <c r="J90" s="54">
        <f ca="1"/>
        <v>1.0002285714285712</v>
      </c>
      <c r="K90" s="54">
        <f ca="1"/>
        <v>1.0000457142857142</v>
      </c>
      <c r="L90" s="54">
        <f ca="1"/>
        <v>1.0002285714285712</v>
      </c>
      <c r="M90" s="54">
        <v>0</v>
      </c>
      <c r="N90" s="54">
        <v>0</v>
      </c>
      <c r="O90" s="54">
        <f ca="1"/>
        <v>1.0002285714285712</v>
      </c>
      <c r="P90" s="54">
        <f ca="1"/>
        <v>1.0002285714285712</v>
      </c>
      <c r="Q90" s="54">
        <f ca="1"/>
        <v>1.0002285714285712</v>
      </c>
      <c r="R90" s="54">
        <f ca="1"/>
        <v>1.0002285714285712</v>
      </c>
      <c r="S90" s="54">
        <f ca="1"/>
        <v>0.99986285714285705</v>
      </c>
      <c r="T90" s="54">
        <f ca="1"/>
        <v>1.0002285714285712</v>
      </c>
      <c r="U90" s="54">
        <f ca="1"/>
        <v>1.0002285714285712</v>
      </c>
      <c r="V90" s="54">
        <f ca="1"/>
        <v>1.0002285714285712</v>
      </c>
      <c r="W90" s="54">
        <f ca="1"/>
        <v>1.0002285714285712</v>
      </c>
      <c r="X90" s="54">
        <f ca="1"/>
        <v>0.99986285714285705</v>
      </c>
      <c r="Y90" s="54">
        <f ca="1"/>
        <v>1.6664380952380953</v>
      </c>
      <c r="Z90" s="54">
        <f ca="1"/>
        <v>1.0002285714285712</v>
      </c>
      <c r="AA90" s="54">
        <f ca="1"/>
        <v>1.0002285714285712</v>
      </c>
      <c r="AB90" s="54">
        <f ca="1"/>
        <v>1.0002285714285712</v>
      </c>
      <c r="AC90" s="54">
        <f ca="1"/>
        <v>1.0002285714285712</v>
      </c>
      <c r="AD90" s="54">
        <f ca="1"/>
        <v>1.0002285714285712</v>
      </c>
      <c r="AE90" s="54">
        <f ca="1"/>
        <v>1.0002285714285712</v>
      </c>
      <c r="AF90" s="54">
        <f ca="1"/>
        <v>1.0002285714285712</v>
      </c>
      <c r="AG90" s="54">
        <f ca="1"/>
        <v>1.0002285714285712</v>
      </c>
      <c r="AH90" s="54">
        <f ca="1"/>
        <v>1.0002285714285712</v>
      </c>
      <c r="AI90" s="54">
        <f ca="1"/>
        <v>1.0002285714285712</v>
      </c>
      <c r="AJ90" s="54">
        <f ca="1"/>
        <v>1.0002285714285712</v>
      </c>
      <c r="AK90" s="54">
        <v>0</v>
      </c>
      <c r="AL90" s="54">
        <f ca="1"/>
        <v>1.0002285714285712</v>
      </c>
      <c r="AM90" s="54">
        <f ca="1"/>
        <v>1.0002285714285712</v>
      </c>
      <c r="AN90" s="54">
        <f ca="1"/>
        <v>1.0002285714285712</v>
      </c>
      <c r="AO90" s="54">
        <f ca="1"/>
        <v>1.0002285714285712</v>
      </c>
      <c r="AP90" s="54">
        <f ca="1"/>
        <v>0.99986285714285705</v>
      </c>
      <c r="AQ90" s="54">
        <f ca="1"/>
        <v>1.0002285714285712</v>
      </c>
      <c r="AR90" s="54">
        <f ca="1"/>
        <v>1.0002285714285712</v>
      </c>
      <c r="AS90" s="54">
        <f ca="1"/>
        <v>0.99992380952380944</v>
      </c>
      <c r="AT90" s="54">
        <f ca="1"/>
        <v>0.99992380952380944</v>
      </c>
      <c r="AU90" s="54">
        <f ca="1"/>
        <v>0.99992380952380944</v>
      </c>
      <c r="AV90" s="54">
        <f ca="1"/>
        <v>0.99961904761904752</v>
      </c>
      <c r="AW90" s="54">
        <f ca="1"/>
        <v>1.0002285714285712</v>
      </c>
      <c r="AX90" s="54">
        <f ca="1"/>
        <v>0.99986285714285705</v>
      </c>
      <c r="AY90" s="54">
        <f ca="1"/>
        <v>0.99949714285714286</v>
      </c>
      <c r="AZ90" s="54">
        <f ca="1"/>
        <v>0.99986285714285705</v>
      </c>
      <c r="BA90" s="54">
        <f ca="1"/>
        <v>0.99986285714285705</v>
      </c>
      <c r="BB90" s="54">
        <f ca="1"/>
        <v>1.0005942857142855</v>
      </c>
      <c r="BC90" s="54">
        <f ca="1"/>
        <v>0.99986285714285705</v>
      </c>
      <c r="BD90" s="54">
        <f ca="1"/>
        <v>1.0005942857142855</v>
      </c>
      <c r="BE90" s="54">
        <f ca="1"/>
        <v>0.99986285714285705</v>
      </c>
      <c r="BF90" s="54">
        <f ca="1"/>
        <v>0.99986285714285705</v>
      </c>
      <c r="BG90" s="54">
        <f ca="1"/>
        <v>0.99986285714285705</v>
      </c>
      <c r="BH90" s="54">
        <f ca="1"/>
        <v>0.99986285714285705</v>
      </c>
      <c r="BI90" s="54">
        <f ca="1"/>
        <v>0.99971657142857129</v>
      </c>
      <c r="BJ90" s="54">
        <f ca="1"/>
        <v>0.99986285714285705</v>
      </c>
      <c r="BK90" s="54">
        <f ca="1"/>
        <v>0.99949714285714286</v>
      </c>
      <c r="BL90" s="54">
        <f ca="1"/>
        <v>1.0005942857142858</v>
      </c>
      <c r="BM90" s="54">
        <f ca="1"/>
        <v>0.99986285714285705</v>
      </c>
      <c r="BN90" s="54">
        <f ca="1"/>
        <v>0.99986285714285705</v>
      </c>
      <c r="BO90" s="54">
        <f ca="1"/>
        <v>0.99971657142857129</v>
      </c>
      <c r="BP90" s="54">
        <f ca="1"/>
        <v>0.99986285714285705</v>
      </c>
      <c r="BQ90" s="54">
        <v>0</v>
      </c>
      <c r="BR90" s="54">
        <v>0</v>
      </c>
      <c r="BS90" s="54">
        <f ca="1"/>
        <v>0.99971657142857129</v>
      </c>
      <c r="BT90" s="54">
        <f ca="1"/>
        <v>0.99986285714285705</v>
      </c>
      <c r="BU90" s="54">
        <f ca="1"/>
        <v>0.99986285714285705</v>
      </c>
      <c r="BV90" s="54">
        <f ca="1"/>
        <v>0.99986285714285705</v>
      </c>
      <c r="BW90" s="54">
        <f ca="1"/>
        <v>0.99986285714285705</v>
      </c>
      <c r="BX90" s="54">
        <f ca="1"/>
        <v>0.99949714285714286</v>
      </c>
      <c r="BY90" s="54">
        <f ca="1"/>
        <v>0.99986285714285705</v>
      </c>
      <c r="BZ90" s="54">
        <f ca="1"/>
        <v>0.99971657142857129</v>
      </c>
      <c r="CA90" s="54">
        <f ca="1"/>
        <v>0.99986285714285705</v>
      </c>
      <c r="CB90" s="54">
        <f ca="1"/>
        <v>0.99986285714285705</v>
      </c>
      <c r="CC90" s="54">
        <f ca="1"/>
        <v>0.99986285714285705</v>
      </c>
    </row>
    <row r="91" spans="1:81" x14ac:dyDescent="0.2">
      <c r="A91" t="s">
        <v>272</v>
      </c>
      <c r="D91" s="39">
        <f t="shared" ref="D91:AI91" si="157">ROUND(D19+D26+D33+D40+D47+D54+D61,0)</f>
        <v>104</v>
      </c>
      <c r="E91" s="39">
        <f t="shared" si="157"/>
        <v>142</v>
      </c>
      <c r="F91" s="39">
        <f t="shared" si="157"/>
        <v>58</v>
      </c>
      <c r="G91" s="39">
        <f t="shared" si="157"/>
        <v>0</v>
      </c>
      <c r="H91" s="39">
        <f t="shared" si="157"/>
        <v>0</v>
      </c>
      <c r="I91" s="39">
        <f t="shared" si="157"/>
        <v>0</v>
      </c>
      <c r="J91" s="39">
        <f t="shared" si="157"/>
        <v>0</v>
      </c>
      <c r="K91" s="39">
        <f t="shared" si="157"/>
        <v>0</v>
      </c>
      <c r="L91" s="39">
        <f t="shared" si="157"/>
        <v>0</v>
      </c>
      <c r="M91" s="39">
        <f t="shared" si="157"/>
        <v>0</v>
      </c>
      <c r="N91" s="39">
        <f t="shared" si="157"/>
        <v>0</v>
      </c>
      <c r="O91" s="39">
        <f t="shared" si="157"/>
        <v>0</v>
      </c>
      <c r="P91" s="39">
        <f t="shared" si="157"/>
        <v>0</v>
      </c>
      <c r="Q91" s="39">
        <f t="shared" si="157"/>
        <v>0</v>
      </c>
      <c r="R91" s="39">
        <f t="shared" si="157"/>
        <v>0</v>
      </c>
      <c r="S91" s="39">
        <f t="shared" si="157"/>
        <v>0</v>
      </c>
      <c r="T91" s="39">
        <f t="shared" si="157"/>
        <v>0</v>
      </c>
      <c r="U91" s="39">
        <f t="shared" si="157"/>
        <v>0</v>
      </c>
      <c r="V91" s="39">
        <f t="shared" si="157"/>
        <v>0</v>
      </c>
      <c r="W91" s="39">
        <f t="shared" si="157"/>
        <v>0</v>
      </c>
      <c r="X91" s="39">
        <f t="shared" si="157"/>
        <v>0</v>
      </c>
      <c r="Y91" s="39">
        <f t="shared" si="157"/>
        <v>0</v>
      </c>
      <c r="Z91" s="39">
        <f t="shared" si="157"/>
        <v>0</v>
      </c>
      <c r="AA91" s="39">
        <f t="shared" si="157"/>
        <v>0</v>
      </c>
      <c r="AB91" s="39">
        <f t="shared" si="157"/>
        <v>0</v>
      </c>
      <c r="AC91" s="39">
        <f t="shared" si="157"/>
        <v>0</v>
      </c>
      <c r="AD91" s="39">
        <f t="shared" si="157"/>
        <v>0</v>
      </c>
      <c r="AE91" s="39">
        <f t="shared" si="157"/>
        <v>0</v>
      </c>
      <c r="AF91" s="39">
        <f t="shared" si="157"/>
        <v>0</v>
      </c>
      <c r="AG91" s="39">
        <f t="shared" si="157"/>
        <v>0</v>
      </c>
      <c r="AH91" s="39">
        <f t="shared" si="157"/>
        <v>0</v>
      </c>
      <c r="AI91" s="39">
        <f t="shared" si="157"/>
        <v>0</v>
      </c>
      <c r="AJ91" s="39">
        <f t="shared" ref="AJ91:BO91" si="158">ROUND(AJ19+AJ26+AJ33+AJ40+AJ47+AJ54+AJ61,0)</f>
        <v>0</v>
      </c>
      <c r="AK91" s="39">
        <f t="shared" si="158"/>
        <v>0</v>
      </c>
      <c r="AL91" s="39">
        <f t="shared" si="158"/>
        <v>0</v>
      </c>
      <c r="AM91" s="39">
        <f t="shared" si="158"/>
        <v>0</v>
      </c>
      <c r="AN91" s="39">
        <f t="shared" si="158"/>
        <v>0</v>
      </c>
      <c r="AO91" s="39">
        <f t="shared" si="158"/>
        <v>0</v>
      </c>
      <c r="AP91" s="39">
        <f t="shared" si="158"/>
        <v>0</v>
      </c>
      <c r="AQ91" s="39">
        <f t="shared" si="158"/>
        <v>0</v>
      </c>
      <c r="AR91" s="39">
        <f t="shared" si="158"/>
        <v>0</v>
      </c>
      <c r="AS91" s="39">
        <f t="shared" si="158"/>
        <v>0</v>
      </c>
      <c r="AT91" s="39">
        <f t="shared" si="158"/>
        <v>0</v>
      </c>
      <c r="AU91" s="39">
        <f t="shared" si="158"/>
        <v>0</v>
      </c>
      <c r="AV91" s="39">
        <f t="shared" si="158"/>
        <v>0</v>
      </c>
      <c r="AW91" s="39">
        <f t="shared" si="158"/>
        <v>0</v>
      </c>
      <c r="AX91" s="39">
        <f t="shared" si="158"/>
        <v>0</v>
      </c>
      <c r="AY91" s="39">
        <f t="shared" si="158"/>
        <v>0</v>
      </c>
      <c r="AZ91" s="39">
        <f t="shared" si="158"/>
        <v>0</v>
      </c>
      <c r="BA91" s="39">
        <f t="shared" si="158"/>
        <v>0</v>
      </c>
      <c r="BB91" s="39">
        <f t="shared" si="158"/>
        <v>0</v>
      </c>
      <c r="BC91" s="39">
        <f t="shared" si="158"/>
        <v>0</v>
      </c>
      <c r="BD91" s="39">
        <f t="shared" si="158"/>
        <v>0</v>
      </c>
      <c r="BE91" s="39">
        <f t="shared" si="158"/>
        <v>0</v>
      </c>
      <c r="BF91" s="39">
        <f t="shared" si="158"/>
        <v>0</v>
      </c>
      <c r="BG91" s="39">
        <f t="shared" si="158"/>
        <v>0</v>
      </c>
      <c r="BH91" s="39">
        <f t="shared" si="158"/>
        <v>0</v>
      </c>
      <c r="BI91" s="39">
        <f t="shared" si="158"/>
        <v>0</v>
      </c>
      <c r="BJ91" s="39">
        <f t="shared" si="158"/>
        <v>0</v>
      </c>
      <c r="BK91" s="39">
        <f t="shared" si="158"/>
        <v>0</v>
      </c>
      <c r="BL91" s="39">
        <f t="shared" si="158"/>
        <v>0</v>
      </c>
      <c r="BM91" s="39">
        <f t="shared" si="158"/>
        <v>0</v>
      </c>
      <c r="BN91" s="39">
        <f t="shared" si="158"/>
        <v>0</v>
      </c>
      <c r="BO91" s="39">
        <f t="shared" si="158"/>
        <v>0</v>
      </c>
      <c r="BP91" s="39">
        <f t="shared" ref="BP91:CC91" si="159">ROUND(BP19+BP26+BP33+BP40+BP47+BP54+BP61,0)</f>
        <v>0</v>
      </c>
      <c r="BQ91" s="39">
        <f t="shared" si="159"/>
        <v>0</v>
      </c>
      <c r="BR91" s="39">
        <f t="shared" si="159"/>
        <v>0</v>
      </c>
      <c r="BS91" s="39">
        <f t="shared" si="159"/>
        <v>0</v>
      </c>
      <c r="BT91" s="39">
        <f t="shared" si="159"/>
        <v>0</v>
      </c>
      <c r="BU91" s="39">
        <f t="shared" si="159"/>
        <v>0</v>
      </c>
      <c r="BV91" s="39">
        <f t="shared" si="159"/>
        <v>0</v>
      </c>
      <c r="BW91" s="39">
        <f t="shared" si="159"/>
        <v>0</v>
      </c>
      <c r="BX91" s="39">
        <f t="shared" si="159"/>
        <v>0</v>
      </c>
      <c r="BY91" s="39">
        <f t="shared" si="159"/>
        <v>0</v>
      </c>
      <c r="BZ91" s="39">
        <f t="shared" si="159"/>
        <v>0</v>
      </c>
      <c r="CA91" s="39">
        <f t="shared" si="159"/>
        <v>0</v>
      </c>
      <c r="CB91" s="39">
        <f t="shared" si="159"/>
        <v>0</v>
      </c>
      <c r="CC91" s="39">
        <f t="shared" si="159"/>
        <v>0</v>
      </c>
    </row>
    <row r="94" spans="1:81" x14ac:dyDescent="0.2">
      <c r="A94" t="s">
        <v>273</v>
      </c>
      <c r="D94">
        <f t="array" ref="D94:CC94">TRANSPOSE('T-ADIENT REAR SEAT'!AE12:AE89)</f>
        <v>9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9</v>
      </c>
      <c r="M94">
        <v>9</v>
      </c>
      <c r="N94">
        <v>9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9</v>
      </c>
      <c r="W94">
        <v>9</v>
      </c>
      <c r="X94">
        <v>9</v>
      </c>
      <c r="Y94">
        <v>9</v>
      </c>
      <c r="Z94">
        <v>9</v>
      </c>
      <c r="AA94">
        <v>9</v>
      </c>
      <c r="AB94">
        <v>9</v>
      </c>
      <c r="AC94">
        <v>9</v>
      </c>
      <c r="AD94">
        <v>9</v>
      </c>
      <c r="AE94">
        <v>9</v>
      </c>
      <c r="AF94">
        <v>9</v>
      </c>
      <c r="AG94">
        <v>9</v>
      </c>
      <c r="AH94">
        <v>9</v>
      </c>
      <c r="AI94">
        <v>9</v>
      </c>
      <c r="AJ94">
        <v>9</v>
      </c>
      <c r="AK94">
        <v>9</v>
      </c>
      <c r="AL94">
        <v>9</v>
      </c>
      <c r="AM94">
        <v>9</v>
      </c>
      <c r="AN94">
        <v>9</v>
      </c>
      <c r="AO94">
        <v>9</v>
      </c>
      <c r="AP94">
        <v>9</v>
      </c>
      <c r="AQ94">
        <v>9</v>
      </c>
      <c r="AR94">
        <v>9</v>
      </c>
      <c r="AS94">
        <v>9</v>
      </c>
      <c r="AT94">
        <v>9</v>
      </c>
      <c r="AU94">
        <v>9</v>
      </c>
      <c r="AV94">
        <v>9</v>
      </c>
      <c r="AW94">
        <v>9</v>
      </c>
      <c r="AX94">
        <v>7.5</v>
      </c>
      <c r="AY94">
        <v>7.5</v>
      </c>
      <c r="AZ94">
        <v>7.5</v>
      </c>
      <c r="BA94">
        <v>7.5</v>
      </c>
      <c r="BB94">
        <v>7.5</v>
      </c>
      <c r="BC94">
        <v>7.5</v>
      </c>
      <c r="BD94">
        <v>7.5</v>
      </c>
      <c r="BE94">
        <v>7.5</v>
      </c>
      <c r="BF94">
        <v>7.5</v>
      </c>
      <c r="BG94">
        <v>7.5</v>
      </c>
      <c r="BH94">
        <v>7.5</v>
      </c>
      <c r="BI94">
        <v>7.5</v>
      </c>
      <c r="BJ94">
        <v>7.5</v>
      </c>
      <c r="BK94">
        <v>7.5</v>
      </c>
      <c r="BL94">
        <v>7.5</v>
      </c>
      <c r="BM94">
        <v>7.5</v>
      </c>
      <c r="BN94">
        <v>7.5</v>
      </c>
      <c r="BO94">
        <v>7.5</v>
      </c>
      <c r="BP94">
        <v>7.5</v>
      </c>
      <c r="BQ94">
        <v>7.5</v>
      </c>
      <c r="BR94">
        <v>7.5</v>
      </c>
      <c r="BS94">
        <v>7.5</v>
      </c>
      <c r="BT94">
        <v>7.5</v>
      </c>
      <c r="BU94">
        <v>7.5</v>
      </c>
      <c r="BV94">
        <v>7.5</v>
      </c>
      <c r="BW94">
        <v>7.5</v>
      </c>
      <c r="BX94">
        <v>7.5</v>
      </c>
      <c r="BY94">
        <v>7.5</v>
      </c>
      <c r="BZ94">
        <v>7.5</v>
      </c>
      <c r="CA94">
        <v>7.5</v>
      </c>
      <c r="CB94">
        <v>7.5</v>
      </c>
      <c r="CC94">
        <v>7.5</v>
      </c>
    </row>
    <row r="95" spans="1:81" x14ac:dyDescent="0.2">
      <c r="A95" t="s">
        <v>56</v>
      </c>
      <c r="D95">
        <f t="array" ref="D95:CC95">TRANSPOSE('T-ADIENT REAR SEAT'!AH12:AH89)</f>
        <v>378</v>
      </c>
      <c r="E95">
        <v>504</v>
      </c>
      <c r="F95">
        <v>252</v>
      </c>
      <c r="G95">
        <v>420</v>
      </c>
      <c r="H95">
        <v>504</v>
      </c>
      <c r="I95">
        <v>420</v>
      </c>
      <c r="J95">
        <v>504</v>
      </c>
      <c r="K95">
        <v>420</v>
      </c>
      <c r="L95">
        <v>378</v>
      </c>
      <c r="M95">
        <v>0</v>
      </c>
      <c r="N95">
        <v>0</v>
      </c>
      <c r="O95">
        <v>378</v>
      </c>
      <c r="P95">
        <v>378</v>
      </c>
      <c r="Q95">
        <v>378</v>
      </c>
      <c r="R95">
        <v>378</v>
      </c>
      <c r="S95">
        <v>315</v>
      </c>
      <c r="T95">
        <v>378</v>
      </c>
      <c r="U95">
        <v>378</v>
      </c>
      <c r="V95">
        <v>378</v>
      </c>
      <c r="W95">
        <v>252</v>
      </c>
      <c r="X95">
        <v>315</v>
      </c>
      <c r="Y95">
        <v>315</v>
      </c>
      <c r="Z95">
        <v>378</v>
      </c>
      <c r="AA95">
        <v>378</v>
      </c>
      <c r="AB95">
        <v>378</v>
      </c>
      <c r="AC95">
        <v>378</v>
      </c>
      <c r="AD95">
        <v>378</v>
      </c>
      <c r="AE95">
        <v>378</v>
      </c>
      <c r="AF95">
        <v>378</v>
      </c>
      <c r="AG95">
        <v>378</v>
      </c>
      <c r="AH95">
        <v>378</v>
      </c>
      <c r="AI95">
        <v>378</v>
      </c>
      <c r="AJ95">
        <v>378</v>
      </c>
      <c r="AK95">
        <v>0</v>
      </c>
      <c r="AL95">
        <v>378</v>
      </c>
      <c r="AM95">
        <v>252</v>
      </c>
      <c r="AN95">
        <v>378</v>
      </c>
      <c r="AO95">
        <v>378</v>
      </c>
      <c r="AP95">
        <v>315</v>
      </c>
      <c r="AQ95">
        <v>378</v>
      </c>
      <c r="AR95">
        <v>210</v>
      </c>
      <c r="AS95">
        <v>252</v>
      </c>
      <c r="AT95">
        <v>252</v>
      </c>
      <c r="AU95">
        <v>252</v>
      </c>
      <c r="AV95">
        <v>126</v>
      </c>
      <c r="AW95">
        <v>252</v>
      </c>
      <c r="AX95">
        <v>315</v>
      </c>
      <c r="AY95">
        <v>210</v>
      </c>
      <c r="AZ95">
        <v>315</v>
      </c>
      <c r="BA95">
        <v>315</v>
      </c>
      <c r="BB95">
        <v>157.5</v>
      </c>
      <c r="BC95">
        <v>315</v>
      </c>
      <c r="BD95">
        <v>157.5</v>
      </c>
      <c r="BE95">
        <v>315</v>
      </c>
      <c r="BF95">
        <v>315</v>
      </c>
      <c r="BG95">
        <v>315</v>
      </c>
      <c r="BH95">
        <v>315</v>
      </c>
      <c r="BI95">
        <v>262.5</v>
      </c>
      <c r="BJ95">
        <v>315</v>
      </c>
      <c r="BK95">
        <v>210</v>
      </c>
      <c r="BL95">
        <v>52.5</v>
      </c>
      <c r="BM95">
        <v>315</v>
      </c>
      <c r="BN95">
        <v>315</v>
      </c>
      <c r="BO95">
        <v>262.5</v>
      </c>
      <c r="BP95">
        <v>315</v>
      </c>
      <c r="BQ95">
        <v>0</v>
      </c>
      <c r="BR95">
        <v>0</v>
      </c>
      <c r="BS95">
        <v>262.5</v>
      </c>
      <c r="BT95">
        <v>315</v>
      </c>
      <c r="BU95">
        <v>315</v>
      </c>
      <c r="BV95">
        <v>315</v>
      </c>
      <c r="BW95">
        <v>315</v>
      </c>
      <c r="BX95">
        <v>210</v>
      </c>
      <c r="BY95">
        <v>315</v>
      </c>
      <c r="BZ95">
        <v>262.5</v>
      </c>
      <c r="CA95">
        <v>315</v>
      </c>
      <c r="CB95">
        <v>315</v>
      </c>
      <c r="CC95">
        <v>315</v>
      </c>
    </row>
    <row r="96" spans="1:81" x14ac:dyDescent="0.2">
      <c r="A96" t="s">
        <v>274</v>
      </c>
      <c r="D96">
        <f t="shared" ref="D96:AI96" si="160">ROUND(D17*$C19+D24*$C26+D31*$C33+D38*$C40+D45*$C47+D52*$C54+D59*$C61,0)</f>
        <v>453</v>
      </c>
      <c r="E96">
        <f t="shared" si="160"/>
        <v>11599</v>
      </c>
      <c r="F96">
        <f t="shared" si="160"/>
        <v>5059</v>
      </c>
      <c r="G96">
        <f t="shared" si="160"/>
        <v>7259</v>
      </c>
      <c r="H96">
        <f t="shared" si="160"/>
        <v>7854</v>
      </c>
      <c r="I96">
        <f t="shared" si="160"/>
        <v>7160</v>
      </c>
      <c r="J96">
        <f t="shared" si="160"/>
        <v>7401</v>
      </c>
      <c r="K96">
        <f t="shared" si="160"/>
        <v>7800</v>
      </c>
      <c r="L96">
        <f t="shared" si="160"/>
        <v>10167</v>
      </c>
      <c r="M96">
        <f t="shared" si="160"/>
        <v>12747</v>
      </c>
      <c r="N96">
        <f t="shared" si="160"/>
        <v>0</v>
      </c>
      <c r="O96">
        <f t="shared" si="160"/>
        <v>0</v>
      </c>
      <c r="P96">
        <f t="shared" si="160"/>
        <v>0</v>
      </c>
      <c r="Q96">
        <f t="shared" si="160"/>
        <v>0</v>
      </c>
      <c r="R96">
        <f t="shared" si="160"/>
        <v>6467</v>
      </c>
      <c r="S96">
        <f t="shared" si="160"/>
        <v>7160</v>
      </c>
      <c r="T96">
        <f t="shared" si="160"/>
        <v>7466</v>
      </c>
      <c r="U96">
        <f t="shared" si="160"/>
        <v>7063</v>
      </c>
      <c r="V96">
        <f t="shared" si="160"/>
        <v>7063</v>
      </c>
      <c r="W96">
        <f t="shared" si="160"/>
        <v>7063</v>
      </c>
      <c r="X96">
        <f t="shared" si="160"/>
        <v>7063</v>
      </c>
      <c r="Y96">
        <f t="shared" si="160"/>
        <v>4945</v>
      </c>
      <c r="Z96">
        <f t="shared" si="160"/>
        <v>4945</v>
      </c>
      <c r="AA96">
        <f t="shared" si="160"/>
        <v>4945</v>
      </c>
      <c r="AB96">
        <f t="shared" si="160"/>
        <v>4945</v>
      </c>
      <c r="AC96">
        <f t="shared" si="160"/>
        <v>7202</v>
      </c>
      <c r="AD96">
        <f t="shared" si="160"/>
        <v>7202</v>
      </c>
      <c r="AE96">
        <f t="shared" si="160"/>
        <v>7202</v>
      </c>
      <c r="AF96">
        <f t="shared" si="160"/>
        <v>7202</v>
      </c>
      <c r="AG96">
        <f t="shared" si="160"/>
        <v>7146</v>
      </c>
      <c r="AH96">
        <f t="shared" si="160"/>
        <v>7328</v>
      </c>
      <c r="AI96">
        <f t="shared" si="160"/>
        <v>7328</v>
      </c>
      <c r="AJ96">
        <f t="shared" ref="AJ96:BO96" si="161">ROUND(AJ17*$C19+AJ24*$C26+AJ31*$C33+AJ38*$C40+AJ45*$C47+AJ52*$C54+AJ59*$C61,0)</f>
        <v>0</v>
      </c>
      <c r="AK96">
        <f t="shared" si="161"/>
        <v>0</v>
      </c>
      <c r="AL96">
        <f t="shared" si="161"/>
        <v>0</v>
      </c>
      <c r="AM96">
        <f t="shared" si="161"/>
        <v>0</v>
      </c>
      <c r="AN96">
        <f t="shared" si="161"/>
        <v>5230</v>
      </c>
      <c r="AO96">
        <f t="shared" si="161"/>
        <v>5230</v>
      </c>
      <c r="AP96">
        <f t="shared" si="161"/>
        <v>5230</v>
      </c>
      <c r="AQ96">
        <f t="shared" si="161"/>
        <v>6319</v>
      </c>
      <c r="AR96">
        <f t="shared" si="161"/>
        <v>6319</v>
      </c>
      <c r="AS96">
        <f t="shared" si="161"/>
        <v>5054</v>
      </c>
      <c r="AT96">
        <f t="shared" si="161"/>
        <v>6319</v>
      </c>
      <c r="AU96">
        <f t="shared" si="161"/>
        <v>6001</v>
      </c>
      <c r="AV96">
        <f t="shared" si="161"/>
        <v>6001</v>
      </c>
      <c r="AW96">
        <f t="shared" si="161"/>
        <v>6001</v>
      </c>
      <c r="AX96">
        <f t="shared" si="161"/>
        <v>6001</v>
      </c>
      <c r="AY96">
        <f t="shared" si="161"/>
        <v>4803</v>
      </c>
      <c r="AZ96">
        <f t="shared" si="161"/>
        <v>4803</v>
      </c>
      <c r="BA96">
        <f t="shared" si="161"/>
        <v>4803</v>
      </c>
      <c r="BB96">
        <f t="shared" si="161"/>
        <v>4803</v>
      </c>
      <c r="BC96">
        <f t="shared" si="161"/>
        <v>4803</v>
      </c>
      <c r="BD96">
        <f t="shared" si="161"/>
        <v>4803</v>
      </c>
      <c r="BE96">
        <f t="shared" si="161"/>
        <v>4803</v>
      </c>
      <c r="BF96">
        <f t="shared" si="161"/>
        <v>4803</v>
      </c>
      <c r="BG96">
        <f t="shared" si="161"/>
        <v>4803</v>
      </c>
      <c r="BH96">
        <f t="shared" si="161"/>
        <v>4803</v>
      </c>
      <c r="BI96">
        <f t="shared" si="161"/>
        <v>4803</v>
      </c>
      <c r="BJ96">
        <f t="shared" si="161"/>
        <v>4803</v>
      </c>
      <c r="BK96">
        <f t="shared" si="161"/>
        <v>4803</v>
      </c>
      <c r="BL96">
        <f t="shared" si="161"/>
        <v>4776</v>
      </c>
      <c r="BM96">
        <f t="shared" si="161"/>
        <v>4776</v>
      </c>
      <c r="BN96">
        <f t="shared" si="161"/>
        <v>8713</v>
      </c>
      <c r="BO96">
        <f t="shared" si="161"/>
        <v>0</v>
      </c>
      <c r="BP96">
        <f t="shared" ref="BP96:CC96" si="162">ROUND(BP17*$C19+BP24*$C26+BP31*$C33+BP38*$C40+BP45*$C47+BP52*$C54+BP59*$C61,0)</f>
        <v>0</v>
      </c>
      <c r="BQ96">
        <f t="shared" si="162"/>
        <v>0</v>
      </c>
      <c r="BR96">
        <f t="shared" si="162"/>
        <v>0</v>
      </c>
      <c r="BS96">
        <f t="shared" si="162"/>
        <v>4803</v>
      </c>
      <c r="BT96">
        <f t="shared" si="162"/>
        <v>4803</v>
      </c>
      <c r="BU96">
        <f t="shared" si="162"/>
        <v>4803</v>
      </c>
      <c r="BV96">
        <f t="shared" si="162"/>
        <v>4803</v>
      </c>
      <c r="BW96">
        <f t="shared" si="162"/>
        <v>4803</v>
      </c>
      <c r="BX96">
        <f t="shared" si="162"/>
        <v>4803</v>
      </c>
      <c r="BY96">
        <f t="shared" si="162"/>
        <v>4803</v>
      </c>
      <c r="BZ96">
        <f t="shared" si="162"/>
        <v>4803</v>
      </c>
      <c r="CA96">
        <f t="shared" si="162"/>
        <v>4803</v>
      </c>
      <c r="CB96">
        <f t="shared" si="162"/>
        <v>4803</v>
      </c>
      <c r="CC96">
        <f t="shared" si="162"/>
        <v>4803</v>
      </c>
    </row>
    <row r="97" spans="1:81" x14ac:dyDescent="0.2">
      <c r="A97" t="s">
        <v>275</v>
      </c>
      <c r="D97">
        <f t="shared" ref="D97:AI97" si="163">ROUND(D17*$A19+D24*$A26+D31*$A33+D38*$A40+D45*$A47+D52*$A54+D59*$A61,0)</f>
        <v>1920</v>
      </c>
      <c r="E97">
        <f t="shared" si="163"/>
        <v>60960</v>
      </c>
      <c r="F97">
        <f t="shared" si="163"/>
        <v>25200</v>
      </c>
      <c r="G97">
        <f t="shared" si="163"/>
        <v>37440</v>
      </c>
      <c r="H97">
        <f t="shared" si="163"/>
        <v>40800</v>
      </c>
      <c r="I97">
        <f t="shared" si="163"/>
        <v>37680</v>
      </c>
      <c r="J97">
        <f t="shared" si="163"/>
        <v>38880</v>
      </c>
      <c r="K97">
        <f t="shared" si="163"/>
        <v>41760</v>
      </c>
      <c r="L97">
        <f t="shared" si="163"/>
        <v>54000</v>
      </c>
      <c r="M97">
        <f t="shared" si="163"/>
        <v>66960</v>
      </c>
      <c r="N97">
        <f t="shared" si="163"/>
        <v>0</v>
      </c>
      <c r="O97">
        <f t="shared" si="163"/>
        <v>0</v>
      </c>
      <c r="P97">
        <f t="shared" si="163"/>
        <v>0</v>
      </c>
      <c r="Q97">
        <f t="shared" si="163"/>
        <v>0</v>
      </c>
      <c r="R97">
        <f t="shared" si="163"/>
        <v>34560</v>
      </c>
      <c r="S97">
        <f t="shared" si="163"/>
        <v>37680</v>
      </c>
      <c r="T97">
        <f t="shared" si="163"/>
        <v>39480</v>
      </c>
      <c r="U97">
        <f t="shared" si="163"/>
        <v>37350</v>
      </c>
      <c r="V97">
        <f t="shared" si="163"/>
        <v>37350</v>
      </c>
      <c r="W97">
        <f t="shared" si="163"/>
        <v>37350</v>
      </c>
      <c r="X97">
        <f t="shared" si="163"/>
        <v>37350</v>
      </c>
      <c r="Y97">
        <f t="shared" si="163"/>
        <v>25860</v>
      </c>
      <c r="Z97">
        <f t="shared" si="163"/>
        <v>25860</v>
      </c>
      <c r="AA97">
        <f t="shared" si="163"/>
        <v>25860</v>
      </c>
      <c r="AB97">
        <f t="shared" si="163"/>
        <v>25860</v>
      </c>
      <c r="AC97">
        <f t="shared" si="163"/>
        <v>37680</v>
      </c>
      <c r="AD97">
        <f t="shared" si="163"/>
        <v>37680</v>
      </c>
      <c r="AE97">
        <f t="shared" si="163"/>
        <v>37680</v>
      </c>
      <c r="AF97">
        <f t="shared" si="163"/>
        <v>37680</v>
      </c>
      <c r="AG97">
        <f t="shared" si="163"/>
        <v>37440</v>
      </c>
      <c r="AH97">
        <f t="shared" si="163"/>
        <v>38820</v>
      </c>
      <c r="AI97">
        <f t="shared" si="163"/>
        <v>38820</v>
      </c>
      <c r="AJ97">
        <f t="shared" ref="AJ97:BO97" si="164">ROUND(AJ17*$A19+AJ24*$A26+AJ31*$A33+AJ38*$A40+AJ45*$A47+AJ52*$A54+AJ59*$A61,0)</f>
        <v>0</v>
      </c>
      <c r="AK97">
        <f t="shared" si="164"/>
        <v>0</v>
      </c>
      <c r="AL97">
        <f t="shared" si="164"/>
        <v>0</v>
      </c>
      <c r="AM97">
        <f t="shared" si="164"/>
        <v>0</v>
      </c>
      <c r="AN97">
        <f t="shared" si="164"/>
        <v>27468</v>
      </c>
      <c r="AO97">
        <f t="shared" si="164"/>
        <v>27468</v>
      </c>
      <c r="AP97">
        <f t="shared" si="164"/>
        <v>27468</v>
      </c>
      <c r="AQ97">
        <f t="shared" si="164"/>
        <v>33187</v>
      </c>
      <c r="AR97">
        <f t="shared" si="164"/>
        <v>33187</v>
      </c>
      <c r="AS97">
        <f t="shared" si="164"/>
        <v>26545</v>
      </c>
      <c r="AT97">
        <f t="shared" si="164"/>
        <v>33187</v>
      </c>
      <c r="AU97">
        <f t="shared" si="164"/>
        <v>31520</v>
      </c>
      <c r="AV97">
        <f t="shared" si="164"/>
        <v>31520</v>
      </c>
      <c r="AW97">
        <f t="shared" si="164"/>
        <v>31520</v>
      </c>
      <c r="AX97">
        <f t="shared" si="164"/>
        <v>31520</v>
      </c>
      <c r="AY97">
        <f t="shared" si="164"/>
        <v>25227</v>
      </c>
      <c r="AZ97">
        <f t="shared" si="164"/>
        <v>25227</v>
      </c>
      <c r="BA97">
        <f t="shared" si="164"/>
        <v>25227</v>
      </c>
      <c r="BB97">
        <f t="shared" si="164"/>
        <v>25227</v>
      </c>
      <c r="BC97">
        <f t="shared" si="164"/>
        <v>25227</v>
      </c>
      <c r="BD97">
        <f t="shared" si="164"/>
        <v>25227</v>
      </c>
      <c r="BE97">
        <f t="shared" si="164"/>
        <v>25227</v>
      </c>
      <c r="BF97">
        <f t="shared" si="164"/>
        <v>25227</v>
      </c>
      <c r="BG97">
        <f t="shared" si="164"/>
        <v>25227</v>
      </c>
      <c r="BH97">
        <f t="shared" si="164"/>
        <v>25227</v>
      </c>
      <c r="BI97">
        <f t="shared" si="164"/>
        <v>25227</v>
      </c>
      <c r="BJ97">
        <f t="shared" si="164"/>
        <v>25227</v>
      </c>
      <c r="BK97">
        <f t="shared" si="164"/>
        <v>25227</v>
      </c>
      <c r="BL97">
        <f t="shared" si="164"/>
        <v>25083</v>
      </c>
      <c r="BM97">
        <f t="shared" si="164"/>
        <v>25083</v>
      </c>
      <c r="BN97">
        <f t="shared" si="164"/>
        <v>45765</v>
      </c>
      <c r="BO97">
        <f t="shared" si="164"/>
        <v>0</v>
      </c>
      <c r="BP97">
        <f t="shared" ref="BP97:CC97" si="165">ROUND(BP17*$A19+BP24*$A26+BP31*$A33+BP38*$A40+BP45*$A47+BP52*$A54+BP59*$A61,0)</f>
        <v>0</v>
      </c>
      <c r="BQ97">
        <f t="shared" si="165"/>
        <v>0</v>
      </c>
      <c r="BR97">
        <f t="shared" si="165"/>
        <v>0</v>
      </c>
      <c r="BS97">
        <f t="shared" si="165"/>
        <v>25227</v>
      </c>
      <c r="BT97">
        <f t="shared" si="165"/>
        <v>25227</v>
      </c>
      <c r="BU97">
        <f t="shared" si="165"/>
        <v>25227</v>
      </c>
      <c r="BV97">
        <f t="shared" si="165"/>
        <v>25227</v>
      </c>
      <c r="BW97">
        <f t="shared" si="165"/>
        <v>25227</v>
      </c>
      <c r="BX97">
        <f t="shared" si="165"/>
        <v>25227</v>
      </c>
      <c r="BY97">
        <f t="shared" si="165"/>
        <v>25227</v>
      </c>
      <c r="BZ97">
        <f t="shared" si="165"/>
        <v>25227</v>
      </c>
      <c r="CA97">
        <f t="shared" si="165"/>
        <v>25227</v>
      </c>
      <c r="CB97">
        <f t="shared" si="165"/>
        <v>25227</v>
      </c>
      <c r="CC97">
        <f t="shared" si="165"/>
        <v>25227</v>
      </c>
    </row>
    <row r="99" spans="1:81" x14ac:dyDescent="0.2">
      <c r="A99" t="s">
        <v>276</v>
      </c>
      <c r="D99">
        <f ca="1">ROUND(SUM(D83:OFFSET(D83:D83,0,B105-1))/SUM(D67:OFFSET(D67:D67,0,B105-1)),4)</f>
        <v>7.6799999999999993E-2</v>
      </c>
    </row>
    <row r="100" spans="1:81" x14ac:dyDescent="0.2">
      <c r="A100" t="s">
        <v>277</v>
      </c>
      <c r="D100">
        <f ca="1">ROUND(SUM(D81:OFFSET(D81:D81,0,B105-1))/SUM(D66:OFFSET(D66:D66,0,B105-1)),4)</f>
        <v>7.4999999999999997E-2</v>
      </c>
    </row>
    <row r="101" spans="1:81" x14ac:dyDescent="0.2">
      <c r="A101" t="s">
        <v>278</v>
      </c>
      <c r="D101">
        <f ca="1">ROUND(SUM(D96:OFFSET(D96:D96,0,B105-1))/SUM(D67:OFFSET(D67:D67,0,B105-1)),4)</f>
        <v>1.1814</v>
      </c>
    </row>
    <row r="102" spans="1:81" x14ac:dyDescent="0.2">
      <c r="A102" t="s">
        <v>279</v>
      </c>
      <c r="D102">
        <f ca="1">ROUND(SUM(D80:OFFSET(D80:D80,0,B105-1))/SUM(D66:OFFSET(D66:D66,0,B105-1)),4)</f>
        <v>1.1627000000000001</v>
      </c>
    </row>
    <row r="103" spans="1:81" x14ac:dyDescent="0.2">
      <c r="A103" t="s">
        <v>280</v>
      </c>
      <c r="D103">
        <f ca="1">ROUND(SUM(D97:OFFSET(D97:D97,0,B105-1))/SUM(D67:OFFSET(D67:D67,0,B105-1)),0)</f>
        <v>6</v>
      </c>
    </row>
    <row r="104" spans="1:81" x14ac:dyDescent="0.2">
      <c r="A104" t="s">
        <v>281</v>
      </c>
      <c r="D104">
        <f ca="1">ROUND(SUM(D68:OFFSET(D68:D68,0,B105-1))/SUM(D66:OFFSET(D66:D66,0,B105-1)),0)</f>
        <v>6</v>
      </c>
    </row>
    <row r="105" spans="1:81" x14ac:dyDescent="0.2">
      <c r="A105" t="s">
        <v>282</v>
      </c>
      <c r="B105">
        <v>12</v>
      </c>
    </row>
  </sheetData>
  <mergeCells count="23">
    <mergeCell ref="F1:G1"/>
    <mergeCell ref="H1:J1"/>
    <mergeCell ref="B3:M3"/>
    <mergeCell ref="C5:F5"/>
    <mergeCell ref="G5:H5"/>
    <mergeCell ref="I5:J5"/>
    <mergeCell ref="K5:L5"/>
    <mergeCell ref="C6:F6"/>
    <mergeCell ref="G6:H6"/>
    <mergeCell ref="I6:J6"/>
    <mergeCell ref="K6:L6"/>
    <mergeCell ref="C7:F7"/>
    <mergeCell ref="G7:H7"/>
    <mergeCell ref="I7:J7"/>
    <mergeCell ref="K7:L7"/>
    <mergeCell ref="E8:F8"/>
    <mergeCell ref="G8:H8"/>
    <mergeCell ref="I8:J8"/>
    <mergeCell ref="K8:L8"/>
    <mergeCell ref="E9:F9"/>
    <mergeCell ref="G9:H9"/>
    <mergeCell ref="I9:J9"/>
    <mergeCell ref="K9:L9"/>
  </mergeCells>
  <conditionalFormatting sqref="D19:X19 D11:CC18 E23:F23 E30:F30 E37:F37 E44:F44 E51:F51 E58:F58">
    <cfRule type="expression" dxfId="31" priority="14" stopIfTrue="1">
      <formula>D$71=0</formula>
    </cfRule>
  </conditionalFormatting>
  <conditionalFormatting sqref="D14:CC14">
    <cfRule type="cellIs" dxfId="30" priority="17" stopIfTrue="1" operator="lessThan">
      <formula>0</formula>
    </cfRule>
  </conditionalFormatting>
  <conditionalFormatting sqref="D20:CC20 E21:X21 D26:X27 Y27:CC27 E28:X28 D33:X34 Y34:CC34 E35:X35 D40:X41 Y41:CC41 E42:X42 D47:X48 Y48:CC48 E49:X49 D54:X55 Y55:CC55 E56:X56 D61:X61">
    <cfRule type="expression" dxfId="29" priority="16" stopIfTrue="1">
      <formula>D$71=0</formula>
    </cfRule>
  </conditionalFormatting>
  <conditionalFormatting sqref="D21:CC21">
    <cfRule type="cellIs" dxfId="28" priority="13" stopIfTrue="1" operator="lessThan">
      <formula>0</formula>
    </cfRule>
  </conditionalFormatting>
  <conditionalFormatting sqref="D21:CC22 D24:CC25 D23 G23:CC23">
    <cfRule type="expression" dxfId="27" priority="12" stopIfTrue="1">
      <formula>D$71=0</formula>
    </cfRule>
  </conditionalFormatting>
  <conditionalFormatting sqref="D28:CC28">
    <cfRule type="cellIs" dxfId="26" priority="11" stopIfTrue="1" operator="lessThan">
      <formula>0</formula>
    </cfRule>
  </conditionalFormatting>
  <conditionalFormatting sqref="D28:CC29 D31:CC32 D30 G30:CC30">
    <cfRule type="expression" dxfId="25" priority="10" stopIfTrue="1">
      <formula>D$71=0</formula>
    </cfRule>
  </conditionalFormatting>
  <conditionalFormatting sqref="D35:CC35">
    <cfRule type="cellIs" dxfId="24" priority="9" stopIfTrue="1" operator="lessThan">
      <formula>0</formula>
    </cfRule>
  </conditionalFormatting>
  <conditionalFormatting sqref="D35:CC36 D38:CC39 D37 G37:CC37">
    <cfRule type="expression" dxfId="23" priority="8" stopIfTrue="1">
      <formula>D$71=0</formula>
    </cfRule>
  </conditionalFormatting>
  <conditionalFormatting sqref="D42:CC42">
    <cfRule type="cellIs" dxfId="22" priority="7" stopIfTrue="1" operator="lessThan">
      <formula>0</formula>
    </cfRule>
  </conditionalFormatting>
  <conditionalFormatting sqref="D42:CC43 D45:CC46 D44 G44:CC44">
    <cfRule type="expression" dxfId="21" priority="6" stopIfTrue="1">
      <formula>D$71=0</formula>
    </cfRule>
  </conditionalFormatting>
  <conditionalFormatting sqref="D49:CC49">
    <cfRule type="cellIs" dxfId="20" priority="5" stopIfTrue="1" operator="lessThan">
      <formula>0</formula>
    </cfRule>
  </conditionalFormatting>
  <conditionalFormatting sqref="D49:CC50 D52:CC53 D51 G51:CC51">
    <cfRule type="expression" dxfId="19" priority="4" stopIfTrue="1">
      <formula>D$71=0</formula>
    </cfRule>
  </conditionalFormatting>
  <conditionalFormatting sqref="D56:CC56">
    <cfRule type="cellIs" dxfId="18" priority="3" stopIfTrue="1" operator="lessThan">
      <formula>0</formula>
    </cfRule>
  </conditionalFormatting>
  <conditionalFormatting sqref="D62:CC63">
    <cfRule type="cellIs" dxfId="17" priority="1" stopIfTrue="1" operator="lessThan">
      <formula>0</formula>
    </cfRule>
  </conditionalFormatting>
  <conditionalFormatting sqref="D62:CC91 D56:CC57 D59:CC60 D58 G58:CC58">
    <cfRule type="expression" dxfId="16" priority="2" stopIfTrue="1">
      <formula>D$71=0</formula>
    </cfRule>
  </conditionalFormatting>
  <conditionalFormatting sqref="E21:X21 E28:X28 E35:X35 E42:X42 E49:X49 E56:X56 D20:CC20 D26:X27 Y27:CC27 D33:X34 Y34:CC34 D40:X41 Y41:CC41 D47:X48 Y48:CC48 D54:X55 Y55:CC55 D61:X61">
    <cfRule type="cellIs" dxfId="15" priority="15" stopIfTrue="1" operator="lessThan">
      <formula>0</formula>
    </cfRule>
  </conditionalFormatting>
  <pageMargins left="0.75" right="0.75" top="1" bottom="1" header="0.5" footer="0.5"/>
  <pageSetup orientation="portrait" horizontalDpi="200" verticalDpi="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B5C4-65F5-42DB-8817-6D66BA5E4298}">
  <sheetPr>
    <tabColor theme="8" tint="0.39997558519241921"/>
  </sheetPr>
  <dimension ref="B1:AI90"/>
  <sheetViews>
    <sheetView workbookViewId="0">
      <pane xSplit="13" ySplit="11" topLeftCell="N12" activePane="bottomRight" state="frozen"/>
      <selection pane="topRight" activeCell="N1" sqref="N1"/>
      <selection pane="bottomLeft" activeCell="A12" sqref="A12"/>
      <selection pane="bottomRight" activeCell="N12" sqref="N12"/>
    </sheetView>
  </sheetViews>
  <sheetFormatPr defaultRowHeight="12.75" x14ac:dyDescent="0.2"/>
  <cols>
    <col min="1" max="1" width="9.140625" customWidth="1"/>
    <col min="2" max="2" width="6" bestFit="1" customWidth="1"/>
    <col min="3" max="4" width="10.42578125" bestFit="1" customWidth="1"/>
    <col min="5" max="5" width="7.7109375" bestFit="1" customWidth="1"/>
    <col min="6" max="6" width="8" bestFit="1" customWidth="1"/>
    <col min="7" max="7" width="7.28515625" bestFit="1" customWidth="1"/>
    <col min="8" max="8" width="5" bestFit="1" customWidth="1"/>
    <col min="9" max="9" width="8.7109375" bestFit="1" customWidth="1"/>
    <col min="10" max="10" width="8.42578125" bestFit="1" customWidth="1"/>
    <col min="11" max="11" width="7.7109375" bestFit="1" customWidth="1"/>
    <col min="12" max="13" width="6.7109375" bestFit="1" customWidth="1"/>
    <col min="14" max="14" width="5.42578125" bestFit="1" customWidth="1"/>
    <col min="15" max="15" width="8.28515625" bestFit="1" customWidth="1"/>
    <col min="16" max="16" width="12.42578125" bestFit="1" customWidth="1"/>
    <col min="17" max="17" width="8.85546875" bestFit="1" customWidth="1"/>
    <col min="18" max="18" width="9.28515625" bestFit="1" customWidth="1"/>
    <col min="19" max="19" width="6" bestFit="1" customWidth="1"/>
    <col min="20" max="20" width="5.7109375" bestFit="1" customWidth="1"/>
    <col min="21" max="22" width="9" bestFit="1" customWidth="1"/>
    <col min="23" max="23" width="6" bestFit="1" customWidth="1"/>
    <col min="24" max="24" width="5.42578125" bestFit="1" customWidth="1"/>
    <col min="25" max="26" width="9" bestFit="1" customWidth="1"/>
    <col min="27" max="27" width="6" bestFit="1" customWidth="1"/>
    <col min="28" max="28" width="5.42578125" bestFit="1" customWidth="1"/>
    <col min="29" max="30" width="9" bestFit="1" customWidth="1"/>
    <col min="31" max="31" width="8.5703125" bestFit="1" customWidth="1"/>
    <col min="32" max="32" width="9.140625" customWidth="1"/>
    <col min="33" max="33" width="9.140625" bestFit="1" customWidth="1"/>
    <col min="34" max="34" width="10.5703125" bestFit="1" customWidth="1"/>
    <col min="35" max="35" width="5.7109375" bestFit="1" customWidth="1"/>
  </cols>
  <sheetData>
    <row r="1" spans="2:35" x14ac:dyDescent="0.2">
      <c r="B1" s="85" t="s">
        <v>0</v>
      </c>
      <c r="C1" s="86"/>
      <c r="D1" s="81" t="s">
        <v>1</v>
      </c>
      <c r="E1" s="81"/>
      <c r="F1" s="85" t="s">
        <v>2</v>
      </c>
      <c r="G1" s="86"/>
      <c r="H1" s="81" t="s">
        <v>3</v>
      </c>
      <c r="I1" s="81"/>
      <c r="J1" s="85" t="s">
        <v>4</v>
      </c>
      <c r="K1" s="86"/>
      <c r="L1" s="80" t="s">
        <v>5</v>
      </c>
      <c r="M1" s="81"/>
      <c r="N1" s="81"/>
    </row>
    <row r="3" spans="2:35" x14ac:dyDescent="0.2">
      <c r="B3" s="82" t="s">
        <v>6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4"/>
    </row>
    <row r="5" spans="2:35" x14ac:dyDescent="0.2">
      <c r="B5" s="77" t="s">
        <v>7</v>
      </c>
      <c r="C5" s="77"/>
      <c r="D5" s="78" t="s">
        <v>8</v>
      </c>
      <c r="E5" s="78"/>
      <c r="F5" s="78"/>
      <c r="G5" s="78"/>
      <c r="H5" s="78"/>
      <c r="I5" s="78"/>
      <c r="J5" s="77"/>
      <c r="K5" s="77"/>
      <c r="L5" s="77"/>
      <c r="M5" s="77"/>
      <c r="N5" s="77"/>
      <c r="O5" s="77"/>
      <c r="P5" s="77"/>
    </row>
    <row r="6" spans="2:35" x14ac:dyDescent="0.2">
      <c r="B6" s="77" t="s">
        <v>9</v>
      </c>
      <c r="C6" s="77"/>
      <c r="D6" s="78" t="s">
        <v>324</v>
      </c>
      <c r="E6" s="78"/>
      <c r="F6" s="78"/>
      <c r="G6" s="78"/>
      <c r="H6" s="78"/>
      <c r="I6" s="78"/>
      <c r="J6" s="77" t="s">
        <v>11</v>
      </c>
      <c r="K6" s="77"/>
      <c r="L6" s="78" t="s">
        <v>12</v>
      </c>
      <c r="M6" s="78"/>
      <c r="N6" s="77" t="s">
        <v>13</v>
      </c>
      <c r="O6" s="77"/>
      <c r="P6" s="16">
        <v>1.08</v>
      </c>
    </row>
    <row r="7" spans="2:35" x14ac:dyDescent="0.2">
      <c r="B7" s="77" t="s">
        <v>14</v>
      </c>
      <c r="C7" s="77"/>
      <c r="D7" s="78" t="s">
        <v>325</v>
      </c>
      <c r="E7" s="78"/>
      <c r="F7" s="78"/>
      <c r="G7" s="78"/>
      <c r="H7" s="78"/>
      <c r="I7" s="78"/>
      <c r="J7" s="77" t="s">
        <v>16</v>
      </c>
      <c r="K7" s="77"/>
      <c r="L7" s="78" t="s">
        <v>326</v>
      </c>
      <c r="M7" s="78"/>
      <c r="N7" s="77" t="s">
        <v>18</v>
      </c>
      <c r="O7" s="77"/>
      <c r="P7" s="15">
        <v>7</v>
      </c>
    </row>
    <row r="8" spans="2:35" x14ac:dyDescent="0.2">
      <c r="B8" s="77" t="s">
        <v>19</v>
      </c>
      <c r="C8" s="77"/>
      <c r="D8" s="17" t="s">
        <v>20</v>
      </c>
      <c r="E8" s="77" t="s">
        <v>21</v>
      </c>
      <c r="F8" s="77"/>
      <c r="G8" s="79" t="s">
        <v>22</v>
      </c>
      <c r="H8" s="78"/>
      <c r="I8" s="78"/>
      <c r="J8" s="77" t="s">
        <v>23</v>
      </c>
      <c r="K8" s="77"/>
      <c r="L8" s="78">
        <v>78</v>
      </c>
      <c r="M8" s="78"/>
      <c r="N8" s="77" t="s">
        <v>24</v>
      </c>
      <c r="O8" s="77"/>
      <c r="P8" s="5">
        <v>4</v>
      </c>
    </row>
    <row r="9" spans="2:35" x14ac:dyDescent="0.2">
      <c r="B9" s="77" t="s">
        <v>25</v>
      </c>
      <c r="C9" s="77"/>
      <c r="D9" s="15">
        <v>10</v>
      </c>
      <c r="E9" s="77" t="s">
        <v>26</v>
      </c>
      <c r="F9" s="77"/>
      <c r="G9" s="78" t="s">
        <v>27</v>
      </c>
      <c r="H9" s="78"/>
      <c r="I9" s="78"/>
      <c r="J9" s="77" t="s">
        <v>28</v>
      </c>
      <c r="K9" s="77"/>
      <c r="L9" s="78">
        <v>99</v>
      </c>
      <c r="M9" s="78"/>
      <c r="N9" s="77" t="s">
        <v>29</v>
      </c>
      <c r="O9" s="77"/>
      <c r="P9" s="15">
        <v>6.4600000000000005E-2</v>
      </c>
    </row>
    <row r="10" spans="2:35" x14ac:dyDescent="0.2">
      <c r="S10" s="75" t="s">
        <v>327</v>
      </c>
      <c r="T10" s="75"/>
      <c r="U10" s="75"/>
      <c r="V10" s="76"/>
      <c r="W10" s="75" t="s">
        <v>328</v>
      </c>
      <c r="X10" s="75"/>
      <c r="Y10" s="75"/>
      <c r="Z10" s="76"/>
      <c r="AA10" s="75" t="s">
        <v>329</v>
      </c>
      <c r="AB10" s="75"/>
      <c r="AC10" s="75"/>
      <c r="AD10" s="75"/>
    </row>
    <row r="11" spans="2:35" ht="25.5" x14ac:dyDescent="0.2">
      <c r="B11" s="18" t="s">
        <v>33</v>
      </c>
      <c r="C11" s="18" t="s">
        <v>34</v>
      </c>
      <c r="D11" s="18" t="s">
        <v>35</v>
      </c>
      <c r="E11" s="18" t="s">
        <v>36</v>
      </c>
      <c r="F11" s="18" t="s">
        <v>37</v>
      </c>
      <c r="G11" s="18" t="s">
        <v>38</v>
      </c>
      <c r="H11" s="18" t="s">
        <v>39</v>
      </c>
      <c r="I11" s="18" t="s">
        <v>40</v>
      </c>
      <c r="J11" s="18" t="s">
        <v>41</v>
      </c>
      <c r="K11" s="18" t="s">
        <v>42</v>
      </c>
      <c r="L11" s="18" t="s">
        <v>43</v>
      </c>
      <c r="M11" s="18" t="s">
        <v>29</v>
      </c>
      <c r="N11" s="18" t="s">
        <v>44</v>
      </c>
      <c r="O11" s="18" t="s">
        <v>45</v>
      </c>
      <c r="P11" s="18" t="s">
        <v>46</v>
      </c>
      <c r="Q11" s="18" t="s">
        <v>47</v>
      </c>
      <c r="R11" s="18" t="s">
        <v>48</v>
      </c>
      <c r="S11" s="19" t="s">
        <v>49</v>
      </c>
      <c r="T11" s="19" t="s">
        <v>50</v>
      </c>
      <c r="U11" s="19" t="s">
        <v>51</v>
      </c>
      <c r="V11" s="19" t="s">
        <v>52</v>
      </c>
      <c r="W11" s="19" t="s">
        <v>49</v>
      </c>
      <c r="X11" s="19" t="s">
        <v>50</v>
      </c>
      <c r="Y11" s="19" t="s">
        <v>51</v>
      </c>
      <c r="Z11" s="19" t="s">
        <v>52</v>
      </c>
      <c r="AA11" s="19" t="s">
        <v>49</v>
      </c>
      <c r="AB11" s="19" t="s">
        <v>50</v>
      </c>
      <c r="AC11" s="19" t="s">
        <v>51</v>
      </c>
      <c r="AD11" s="19" t="s">
        <v>52</v>
      </c>
      <c r="AE11" s="20" t="s">
        <v>53</v>
      </c>
      <c r="AF11" s="20" t="s">
        <v>54</v>
      </c>
      <c r="AG11" s="20" t="s">
        <v>55</v>
      </c>
      <c r="AH11" s="20" t="s">
        <v>56</v>
      </c>
      <c r="AI11" s="20" t="s">
        <v>50</v>
      </c>
    </row>
    <row r="12" spans="2:35" x14ac:dyDescent="0.2">
      <c r="B12" s="5" t="s">
        <v>57</v>
      </c>
      <c r="C12" s="21">
        <v>46153</v>
      </c>
      <c r="D12" s="5">
        <v>20</v>
      </c>
      <c r="E12" s="5">
        <v>6</v>
      </c>
      <c r="F12" s="5">
        <v>5</v>
      </c>
      <c r="G12" s="7">
        <f>'B-ADIENT CHUSION'!D64</f>
        <v>21240</v>
      </c>
      <c r="H12" s="5">
        <f>'B-ADIENT CHUSION'!D65</f>
        <v>6120</v>
      </c>
      <c r="I12" s="5">
        <f>'B-ADIENT CHUSION'!D67</f>
        <v>0</v>
      </c>
      <c r="J12" s="12" t="str">
        <f t="shared" ref="J12:J43" si="0">IF(I12=0,"N/S",ROUND( ( ((G12) * 1)/I12)*F12,1))</f>
        <v>N/S</v>
      </c>
      <c r="K12" s="5">
        <f t="shared" ref="K12:K43" ca="1" si="1">V12+Z12+AD12</f>
        <v>4410</v>
      </c>
      <c r="L12" s="5">
        <f t="array" ref="L12:L89">TRANSPOSE('B-ADIENT CHUSION'!D66:CC66)</f>
        <v>4440</v>
      </c>
      <c r="M12" s="5">
        <f ca="1">'B-ADIENT CHUSION'!$D$99</f>
        <v>0.04</v>
      </c>
      <c r="N12" s="5">
        <v>0</v>
      </c>
      <c r="O12" s="5">
        <v>5</v>
      </c>
      <c r="P12" s="5"/>
      <c r="Q12" s="5">
        <v>0</v>
      </c>
      <c r="R12" s="5">
        <f t="shared" ref="R12:R43" si="2">IF(F12=0,0,ROUND(I12/F12,0))</f>
        <v>0</v>
      </c>
      <c r="S12" s="5">
        <v>3.5</v>
      </c>
      <c r="T12" s="6">
        <v>1.2</v>
      </c>
      <c r="U12" s="5">
        <f t="shared" ref="U12:U51" si="3">E12*7-N12</f>
        <v>42</v>
      </c>
      <c r="V12" s="5">
        <f t="shared" ref="V12:V43" ca="1" si="4">ROUND(((S12*T12*U12)/M12),0)</f>
        <v>4410</v>
      </c>
      <c r="W12" s="5">
        <v>0</v>
      </c>
      <c r="X12" s="6">
        <v>0</v>
      </c>
      <c r="Y12" s="5">
        <f t="shared" ref="Y12:Y43" si="5">U12</f>
        <v>42</v>
      </c>
      <c r="Z12" s="5">
        <f t="shared" ref="Z12:Z43" ca="1" si="6">ROUND(((W12*X12*Y12)/M12),0)</f>
        <v>0</v>
      </c>
      <c r="AA12" s="7">
        <v>0</v>
      </c>
      <c r="AB12" s="6">
        <v>0</v>
      </c>
      <c r="AC12" s="5">
        <f t="shared" ref="AC12:AC43" si="7">E12*7-N12</f>
        <v>42</v>
      </c>
      <c r="AD12" s="5">
        <f t="shared" ref="AD12:AD43" ca="1" si="8">ROUND(((AA12*AB12*AC12)/M12),0)</f>
        <v>0</v>
      </c>
      <c r="AE12" s="7">
        <f t="shared" ref="AE12:AE43" si="9">S12+W12+AA12</f>
        <v>3.5</v>
      </c>
      <c r="AF12" s="5"/>
      <c r="AG12" s="7">
        <f t="shared" ref="AG12:AG43" ca="1" si="10">K12*M12</f>
        <v>176.4</v>
      </c>
      <c r="AH12" s="7">
        <f t="shared" ref="AH12:AH43" si="11">S12*U12+W12*Y12+AA12*AC12</f>
        <v>147</v>
      </c>
      <c r="AI12" s="6">
        <f t="shared" ref="AI12:AI43" ca="1" si="12">IF(AH12=0,0,AG12/AH12)</f>
        <v>1.2</v>
      </c>
    </row>
    <row r="13" spans="2:35" x14ac:dyDescent="0.2">
      <c r="B13" s="5" t="s">
        <v>57</v>
      </c>
      <c r="C13" s="21">
        <v>46160</v>
      </c>
      <c r="D13" s="5">
        <v>21</v>
      </c>
      <c r="E13" s="5">
        <v>6</v>
      </c>
      <c r="F13" s="24">
        <v>10</v>
      </c>
      <c r="G13" s="7">
        <f>(G12+H12-I12)</f>
        <v>27360</v>
      </c>
      <c r="H13" s="5">
        <v>0</v>
      </c>
      <c r="I13" s="5">
        <f>'B-ADIENT CHUSION'!E67</f>
        <v>4800</v>
      </c>
      <c r="J13" s="12">
        <f t="shared" si="0"/>
        <v>57</v>
      </c>
      <c r="K13" s="5">
        <f t="shared" ca="1" si="1"/>
        <v>4410</v>
      </c>
      <c r="L13" s="5">
        <v>4440</v>
      </c>
      <c r="M13" s="5">
        <f ca="1">'B-ADIENT CHUSION'!$D$99</f>
        <v>0.04</v>
      </c>
      <c r="N13" s="5">
        <v>0</v>
      </c>
      <c r="O13" s="5">
        <v>5</v>
      </c>
      <c r="P13" s="5"/>
      <c r="Q13" s="5">
        <v>0</v>
      </c>
      <c r="R13" s="5">
        <f t="shared" si="2"/>
        <v>480</v>
      </c>
      <c r="S13" s="5">
        <v>3.5</v>
      </c>
      <c r="T13" s="6">
        <v>1.2</v>
      </c>
      <c r="U13" s="5">
        <f t="shared" si="3"/>
        <v>42</v>
      </c>
      <c r="V13" s="5">
        <f t="shared" ca="1" si="4"/>
        <v>4410</v>
      </c>
      <c r="W13" s="5">
        <v>0</v>
      </c>
      <c r="X13" s="6">
        <v>0</v>
      </c>
      <c r="Y13" s="5">
        <f t="shared" si="5"/>
        <v>42</v>
      </c>
      <c r="Z13" s="5">
        <f t="shared" ca="1" si="6"/>
        <v>0</v>
      </c>
      <c r="AA13" s="7">
        <v>0</v>
      </c>
      <c r="AB13" s="6">
        <v>0</v>
      </c>
      <c r="AC13" s="5">
        <f t="shared" si="7"/>
        <v>42</v>
      </c>
      <c r="AD13" s="5">
        <f t="shared" ca="1" si="8"/>
        <v>0</v>
      </c>
      <c r="AE13" s="7">
        <f t="shared" si="9"/>
        <v>3.5</v>
      </c>
      <c r="AF13" s="5"/>
      <c r="AG13" s="5">
        <f t="shared" ca="1" si="10"/>
        <v>176.4</v>
      </c>
      <c r="AH13" s="5">
        <f t="shared" si="11"/>
        <v>147</v>
      </c>
      <c r="AI13" s="6">
        <f t="shared" ca="1" si="12"/>
        <v>1.2</v>
      </c>
    </row>
    <row r="14" spans="2:35" x14ac:dyDescent="0.2">
      <c r="B14" s="5" t="s">
        <v>57</v>
      </c>
      <c r="C14" s="21">
        <v>46167</v>
      </c>
      <c r="D14" s="5">
        <v>22</v>
      </c>
      <c r="E14" s="24">
        <v>3</v>
      </c>
      <c r="F14" s="5">
        <v>0</v>
      </c>
      <c r="G14" s="7">
        <f>(G13+H13-I13)</f>
        <v>22560</v>
      </c>
      <c r="H14" s="5">
        <v>0</v>
      </c>
      <c r="I14" s="5">
        <f>'B-ADIENT CHUSION'!F67</f>
        <v>4800</v>
      </c>
      <c r="J14" s="12">
        <f t="shared" si="0"/>
        <v>0</v>
      </c>
      <c r="K14" s="5">
        <f t="shared" ca="1" si="1"/>
        <v>2205</v>
      </c>
      <c r="L14" s="5">
        <v>2220</v>
      </c>
      <c r="M14" s="5">
        <f ca="1">'B-ADIENT CHUSION'!$D$99</f>
        <v>0.04</v>
      </c>
      <c r="N14" s="5">
        <v>0</v>
      </c>
      <c r="O14" s="5">
        <v>5</v>
      </c>
      <c r="P14" s="5"/>
      <c r="Q14" s="5">
        <v>0</v>
      </c>
      <c r="R14" s="5">
        <f t="shared" si="2"/>
        <v>0</v>
      </c>
      <c r="S14" s="5">
        <v>3.5</v>
      </c>
      <c r="T14" s="6">
        <v>1.2</v>
      </c>
      <c r="U14" s="5">
        <f t="shared" si="3"/>
        <v>21</v>
      </c>
      <c r="V14" s="5">
        <f t="shared" ca="1" si="4"/>
        <v>2205</v>
      </c>
      <c r="W14" s="5">
        <v>0</v>
      </c>
      <c r="X14" s="6">
        <v>0</v>
      </c>
      <c r="Y14" s="5">
        <f t="shared" si="5"/>
        <v>21</v>
      </c>
      <c r="Z14" s="5">
        <f t="shared" ca="1" si="6"/>
        <v>0</v>
      </c>
      <c r="AA14" s="5">
        <v>0</v>
      </c>
      <c r="AB14" s="6">
        <v>0</v>
      </c>
      <c r="AC14" s="5">
        <f t="shared" si="7"/>
        <v>21</v>
      </c>
      <c r="AD14" s="5">
        <f t="shared" ca="1" si="8"/>
        <v>0</v>
      </c>
      <c r="AE14" s="7">
        <f t="shared" si="9"/>
        <v>3.5</v>
      </c>
      <c r="AF14" s="5"/>
      <c r="AG14" s="5">
        <f t="shared" ca="1" si="10"/>
        <v>88.2</v>
      </c>
      <c r="AH14" s="5">
        <f t="shared" si="11"/>
        <v>73.5</v>
      </c>
      <c r="AI14" s="6">
        <f t="shared" ca="1" si="12"/>
        <v>1.2</v>
      </c>
    </row>
    <row r="15" spans="2:35" x14ac:dyDescent="0.2">
      <c r="B15" s="5" t="s">
        <v>58</v>
      </c>
      <c r="C15" s="21">
        <v>46174</v>
      </c>
      <c r="D15" s="5">
        <v>23</v>
      </c>
      <c r="E15" s="24">
        <v>5</v>
      </c>
      <c r="F15" s="5">
        <v>5</v>
      </c>
      <c r="G15" s="7">
        <f>(G14+H14-I14)</f>
        <v>17760</v>
      </c>
      <c r="H15" s="5">
        <v>0</v>
      </c>
      <c r="I15" s="5">
        <f>'B-ADIENT CHUSION'!G67</f>
        <v>3840</v>
      </c>
      <c r="J15" s="12">
        <f t="shared" si="0"/>
        <v>23.1</v>
      </c>
      <c r="K15" s="5">
        <f t="shared" ca="1" si="1"/>
        <v>3675</v>
      </c>
      <c r="L15" s="5">
        <v>0</v>
      </c>
      <c r="M15" s="5">
        <f ca="1">'B-ADIENT CHUSION'!$D$99</f>
        <v>0.04</v>
      </c>
      <c r="N15" s="5">
        <v>0</v>
      </c>
      <c r="O15" s="5">
        <v>6</v>
      </c>
      <c r="P15" s="5"/>
      <c r="Q15" s="5">
        <v>0</v>
      </c>
      <c r="R15" s="5">
        <f t="shared" si="2"/>
        <v>768</v>
      </c>
      <c r="S15" s="5">
        <v>3.5</v>
      </c>
      <c r="T15" s="6">
        <v>1.2</v>
      </c>
      <c r="U15" s="5">
        <f t="shared" si="3"/>
        <v>35</v>
      </c>
      <c r="V15" s="5">
        <f t="shared" ca="1" si="4"/>
        <v>3675</v>
      </c>
      <c r="W15" s="5">
        <v>0</v>
      </c>
      <c r="X15" s="6">
        <v>0</v>
      </c>
      <c r="Y15" s="5">
        <f t="shared" si="5"/>
        <v>35</v>
      </c>
      <c r="Z15" s="5">
        <f t="shared" ca="1" si="6"/>
        <v>0</v>
      </c>
      <c r="AA15" s="5">
        <v>0</v>
      </c>
      <c r="AB15" s="6">
        <v>0</v>
      </c>
      <c r="AC15" s="5">
        <f t="shared" si="7"/>
        <v>35</v>
      </c>
      <c r="AD15" s="5">
        <f t="shared" ca="1" si="8"/>
        <v>0</v>
      </c>
      <c r="AE15" s="7">
        <f t="shared" si="9"/>
        <v>3.5</v>
      </c>
      <c r="AF15" s="5"/>
      <c r="AG15" s="5">
        <f t="shared" ca="1" si="10"/>
        <v>147</v>
      </c>
      <c r="AH15" s="5">
        <f t="shared" si="11"/>
        <v>122.5</v>
      </c>
      <c r="AI15" s="6">
        <f t="shared" ca="1" si="12"/>
        <v>1.2</v>
      </c>
    </row>
    <row r="16" spans="2:35" x14ac:dyDescent="0.2">
      <c r="B16" s="5" t="s">
        <v>58</v>
      </c>
      <c r="C16" s="21">
        <v>46181</v>
      </c>
      <c r="D16" s="5">
        <v>24</v>
      </c>
      <c r="E16" s="5">
        <v>6</v>
      </c>
      <c r="F16" s="5">
        <v>5</v>
      </c>
      <c r="G16" s="7">
        <f>(G15+H15-I15)</f>
        <v>13920</v>
      </c>
      <c r="H16" s="5">
        <v>0</v>
      </c>
      <c r="I16" s="5">
        <f>'B-ADIENT CHUSION'!H67</f>
        <v>3840</v>
      </c>
      <c r="J16" s="12">
        <f t="shared" si="0"/>
        <v>18.100000000000001</v>
      </c>
      <c r="K16" s="5">
        <f t="shared" ca="1" si="1"/>
        <v>4410</v>
      </c>
      <c r="L16" s="5">
        <v>0</v>
      </c>
      <c r="M16" s="5">
        <f ca="1">'B-ADIENT CHUSION'!$D$99</f>
        <v>0.04</v>
      </c>
      <c r="N16" s="5">
        <v>0</v>
      </c>
      <c r="O16" s="5">
        <v>6</v>
      </c>
      <c r="P16" s="5"/>
      <c r="Q16" s="5">
        <v>0</v>
      </c>
      <c r="R16" s="5">
        <f t="shared" si="2"/>
        <v>768</v>
      </c>
      <c r="S16" s="5">
        <v>3.5</v>
      </c>
      <c r="T16" s="6">
        <v>1.2</v>
      </c>
      <c r="U16" s="5">
        <f t="shared" si="3"/>
        <v>42</v>
      </c>
      <c r="V16" s="5">
        <f t="shared" ca="1" si="4"/>
        <v>4410</v>
      </c>
      <c r="W16" s="5">
        <v>0</v>
      </c>
      <c r="X16" s="6">
        <v>0</v>
      </c>
      <c r="Y16" s="5">
        <f t="shared" si="5"/>
        <v>42</v>
      </c>
      <c r="Z16" s="5">
        <f t="shared" ca="1" si="6"/>
        <v>0</v>
      </c>
      <c r="AA16" s="5">
        <v>0</v>
      </c>
      <c r="AB16" s="6">
        <v>0</v>
      </c>
      <c r="AC16" s="5">
        <f t="shared" si="7"/>
        <v>42</v>
      </c>
      <c r="AD16" s="5">
        <f t="shared" ca="1" si="8"/>
        <v>0</v>
      </c>
      <c r="AE16" s="7">
        <f t="shared" si="9"/>
        <v>3.5</v>
      </c>
      <c r="AF16" s="5"/>
      <c r="AG16" s="5">
        <f t="shared" ca="1" si="10"/>
        <v>176.4</v>
      </c>
      <c r="AH16" s="5">
        <f t="shared" si="11"/>
        <v>147</v>
      </c>
      <c r="AI16" s="6">
        <f t="shared" ca="1" si="12"/>
        <v>1.2</v>
      </c>
    </row>
    <row r="17" spans="2:35" x14ac:dyDescent="0.2">
      <c r="B17" s="5" t="s">
        <v>58</v>
      </c>
      <c r="C17" s="21">
        <v>46188</v>
      </c>
      <c r="D17" s="5">
        <v>25</v>
      </c>
      <c r="E17" s="5">
        <v>5</v>
      </c>
      <c r="F17" s="5">
        <v>5</v>
      </c>
      <c r="G17" s="7">
        <f t="shared" ref="G17:G48" ca="1" si="13">(G16+H16-I16+K12)</f>
        <v>14490</v>
      </c>
      <c r="H17" s="5">
        <v>0</v>
      </c>
      <c r="I17" s="5">
        <f>'B-ADIENT CHUSION'!I67</f>
        <v>4800</v>
      </c>
      <c r="J17" s="12">
        <f t="shared" ca="1" si="0"/>
        <v>15.1</v>
      </c>
      <c r="K17" s="5">
        <f t="shared" ca="1" si="1"/>
        <v>3675</v>
      </c>
      <c r="L17" s="5">
        <v>0</v>
      </c>
      <c r="M17" s="5">
        <f ca="1">'B-ADIENT CHUSION'!$D$99</f>
        <v>0.04</v>
      </c>
      <c r="N17" s="5">
        <v>0</v>
      </c>
      <c r="O17" s="5">
        <v>6</v>
      </c>
      <c r="P17" s="5"/>
      <c r="Q17" s="5">
        <v>0</v>
      </c>
      <c r="R17" s="5">
        <f t="shared" si="2"/>
        <v>960</v>
      </c>
      <c r="S17" s="5">
        <v>3.5</v>
      </c>
      <c r="T17" s="6">
        <v>1.2</v>
      </c>
      <c r="U17" s="5">
        <f t="shared" si="3"/>
        <v>35</v>
      </c>
      <c r="V17" s="5">
        <f t="shared" ca="1" si="4"/>
        <v>3675</v>
      </c>
      <c r="W17" s="5">
        <v>0</v>
      </c>
      <c r="X17" s="6">
        <v>0</v>
      </c>
      <c r="Y17" s="5">
        <f t="shared" si="5"/>
        <v>35</v>
      </c>
      <c r="Z17" s="5">
        <f t="shared" ca="1" si="6"/>
        <v>0</v>
      </c>
      <c r="AA17" s="5">
        <v>0</v>
      </c>
      <c r="AB17" s="6">
        <v>0</v>
      </c>
      <c r="AC17" s="5">
        <f t="shared" si="7"/>
        <v>35</v>
      </c>
      <c r="AD17" s="5">
        <f t="shared" ca="1" si="8"/>
        <v>0</v>
      </c>
      <c r="AE17" s="7">
        <f t="shared" si="9"/>
        <v>3.5</v>
      </c>
      <c r="AF17" s="5"/>
      <c r="AG17" s="5">
        <f t="shared" ca="1" si="10"/>
        <v>147</v>
      </c>
      <c r="AH17" s="5">
        <f t="shared" si="11"/>
        <v>122.5</v>
      </c>
      <c r="AI17" s="6">
        <f t="shared" ca="1" si="12"/>
        <v>1.2</v>
      </c>
    </row>
    <row r="18" spans="2:35" x14ac:dyDescent="0.2">
      <c r="B18" s="5" t="s">
        <v>58</v>
      </c>
      <c r="C18" s="21">
        <v>46195</v>
      </c>
      <c r="D18" s="5">
        <v>26</v>
      </c>
      <c r="E18" s="28">
        <v>6</v>
      </c>
      <c r="F18" s="5">
        <v>5</v>
      </c>
      <c r="G18" s="7">
        <f t="shared" ca="1" si="13"/>
        <v>14100</v>
      </c>
      <c r="H18" s="5">
        <v>0</v>
      </c>
      <c r="I18" s="5">
        <f>'B-ADIENT CHUSION'!J67</f>
        <v>3840</v>
      </c>
      <c r="J18" s="12">
        <f t="shared" ca="1" si="0"/>
        <v>18.399999999999999</v>
      </c>
      <c r="K18" s="5">
        <f t="shared" ca="1" si="1"/>
        <v>4410</v>
      </c>
      <c r="L18" s="5">
        <v>0</v>
      </c>
      <c r="M18" s="5">
        <f ca="1">'B-ADIENT CHUSION'!$D$99</f>
        <v>0.04</v>
      </c>
      <c r="N18" s="5">
        <v>0</v>
      </c>
      <c r="O18" s="5">
        <v>6</v>
      </c>
      <c r="P18" s="5"/>
      <c r="Q18" s="5">
        <v>0</v>
      </c>
      <c r="R18" s="5">
        <f t="shared" si="2"/>
        <v>768</v>
      </c>
      <c r="S18" s="5">
        <v>3.5</v>
      </c>
      <c r="T18" s="6">
        <v>1.2</v>
      </c>
      <c r="U18" s="5">
        <f t="shared" si="3"/>
        <v>42</v>
      </c>
      <c r="V18" s="5">
        <f t="shared" ca="1" si="4"/>
        <v>4410</v>
      </c>
      <c r="W18" s="5">
        <v>0</v>
      </c>
      <c r="X18" s="6">
        <v>0</v>
      </c>
      <c r="Y18" s="5">
        <f t="shared" si="5"/>
        <v>42</v>
      </c>
      <c r="Z18" s="5">
        <f t="shared" ca="1" si="6"/>
        <v>0</v>
      </c>
      <c r="AA18" s="5">
        <v>0</v>
      </c>
      <c r="AB18" s="6">
        <v>0</v>
      </c>
      <c r="AC18" s="5">
        <f t="shared" si="7"/>
        <v>42</v>
      </c>
      <c r="AD18" s="5">
        <f t="shared" ca="1" si="8"/>
        <v>0</v>
      </c>
      <c r="AE18" s="7">
        <f t="shared" si="9"/>
        <v>3.5</v>
      </c>
      <c r="AF18" s="5"/>
      <c r="AG18" s="5">
        <f t="shared" ca="1" si="10"/>
        <v>176.4</v>
      </c>
      <c r="AH18" s="5">
        <f t="shared" si="11"/>
        <v>147</v>
      </c>
      <c r="AI18" s="6">
        <f t="shared" ca="1" si="12"/>
        <v>1.2</v>
      </c>
    </row>
    <row r="19" spans="2:35" x14ac:dyDescent="0.2">
      <c r="B19" s="5" t="s">
        <v>58</v>
      </c>
      <c r="C19" s="21">
        <v>46202</v>
      </c>
      <c r="D19" s="5">
        <v>27</v>
      </c>
      <c r="E19" s="5">
        <v>5</v>
      </c>
      <c r="F19" s="5">
        <v>5</v>
      </c>
      <c r="G19" s="7">
        <f t="shared" ca="1" si="13"/>
        <v>12465</v>
      </c>
      <c r="H19" s="5">
        <v>0</v>
      </c>
      <c r="I19" s="5">
        <f>'B-ADIENT CHUSION'!K67</f>
        <v>4800</v>
      </c>
      <c r="J19" s="12">
        <f t="shared" ca="1" si="0"/>
        <v>13</v>
      </c>
      <c r="K19" s="5">
        <f t="shared" ca="1" si="1"/>
        <v>3150</v>
      </c>
      <c r="L19" s="5">
        <v>0</v>
      </c>
      <c r="M19" s="5">
        <f ca="1">'B-ADIENT CHUSION'!$D$99</f>
        <v>0.04</v>
      </c>
      <c r="N19" s="5">
        <v>0</v>
      </c>
      <c r="O19" s="5">
        <v>6</v>
      </c>
      <c r="P19" s="5"/>
      <c r="Q19" s="5">
        <v>0</v>
      </c>
      <c r="R19" s="5">
        <f t="shared" si="2"/>
        <v>960</v>
      </c>
      <c r="S19" s="22">
        <v>3</v>
      </c>
      <c r="T19" s="23">
        <v>1.2</v>
      </c>
      <c r="U19" s="22">
        <f t="shared" si="3"/>
        <v>35</v>
      </c>
      <c r="V19" s="22">
        <f t="shared" ca="1" si="4"/>
        <v>3150</v>
      </c>
      <c r="W19" s="5">
        <v>0</v>
      </c>
      <c r="X19" s="6">
        <v>0</v>
      </c>
      <c r="Y19" s="5">
        <f t="shared" si="5"/>
        <v>35</v>
      </c>
      <c r="Z19" s="5">
        <f t="shared" ca="1" si="6"/>
        <v>0</v>
      </c>
      <c r="AA19" s="5">
        <v>0</v>
      </c>
      <c r="AB19" s="6">
        <v>0</v>
      </c>
      <c r="AC19" s="5">
        <f t="shared" si="7"/>
        <v>35</v>
      </c>
      <c r="AD19" s="5">
        <f t="shared" ca="1" si="8"/>
        <v>0</v>
      </c>
      <c r="AE19" s="7">
        <f t="shared" si="9"/>
        <v>3</v>
      </c>
      <c r="AF19" s="5"/>
      <c r="AG19" s="5">
        <f t="shared" ca="1" si="10"/>
        <v>126</v>
      </c>
      <c r="AH19" s="5">
        <f t="shared" si="11"/>
        <v>105</v>
      </c>
      <c r="AI19" s="6">
        <f t="shared" ca="1" si="12"/>
        <v>1.2</v>
      </c>
    </row>
    <row r="20" spans="2:35" x14ac:dyDescent="0.2">
      <c r="B20" s="5" t="s">
        <v>59</v>
      </c>
      <c r="C20" s="21">
        <v>46209</v>
      </c>
      <c r="D20" s="5">
        <v>28</v>
      </c>
      <c r="E20" s="5">
        <v>6</v>
      </c>
      <c r="F20" s="5">
        <v>5</v>
      </c>
      <c r="G20" s="7">
        <f t="shared" ca="1" si="13"/>
        <v>11340</v>
      </c>
      <c r="H20" s="5">
        <v>0</v>
      </c>
      <c r="I20" s="5">
        <f>'B-ADIENT CHUSION'!L67</f>
        <v>5760</v>
      </c>
      <c r="J20" s="12">
        <f t="shared" ca="1" si="0"/>
        <v>9.8000000000000007</v>
      </c>
      <c r="K20" s="5">
        <f t="shared" ca="1" si="1"/>
        <v>3780</v>
      </c>
      <c r="L20" s="5">
        <v>0</v>
      </c>
      <c r="M20" s="5">
        <f ca="1">'B-ADIENT CHUSION'!$D$99</f>
        <v>0.04</v>
      </c>
      <c r="N20" s="5">
        <v>0</v>
      </c>
      <c r="O20" s="5">
        <v>7</v>
      </c>
      <c r="P20" s="5"/>
      <c r="Q20" s="5">
        <v>0</v>
      </c>
      <c r="R20" s="5">
        <f t="shared" si="2"/>
        <v>1152</v>
      </c>
      <c r="S20" s="5">
        <v>3</v>
      </c>
      <c r="T20" s="6">
        <v>1.2</v>
      </c>
      <c r="U20" s="5">
        <f t="shared" si="3"/>
        <v>42</v>
      </c>
      <c r="V20" s="5">
        <f t="shared" ca="1" si="4"/>
        <v>3780</v>
      </c>
      <c r="W20" s="5">
        <v>0</v>
      </c>
      <c r="X20" s="6">
        <v>0</v>
      </c>
      <c r="Y20" s="5">
        <f t="shared" si="5"/>
        <v>42</v>
      </c>
      <c r="Z20" s="5">
        <f t="shared" ca="1" si="6"/>
        <v>0</v>
      </c>
      <c r="AA20" s="5">
        <v>0</v>
      </c>
      <c r="AB20" s="6">
        <v>0</v>
      </c>
      <c r="AC20" s="5">
        <f t="shared" si="7"/>
        <v>42</v>
      </c>
      <c r="AD20" s="5">
        <f t="shared" ca="1" si="8"/>
        <v>0</v>
      </c>
      <c r="AE20" s="7">
        <f t="shared" si="9"/>
        <v>3</v>
      </c>
      <c r="AF20" s="5"/>
      <c r="AG20" s="5">
        <f t="shared" ca="1" si="10"/>
        <v>151.20000000000002</v>
      </c>
      <c r="AH20" s="5">
        <f t="shared" si="11"/>
        <v>126</v>
      </c>
      <c r="AI20" s="6">
        <f t="shared" ca="1" si="12"/>
        <v>1.2000000000000002</v>
      </c>
    </row>
    <row r="21" spans="2:35" x14ac:dyDescent="0.2">
      <c r="B21" s="5" t="s">
        <v>59</v>
      </c>
      <c r="C21" s="21">
        <v>46216</v>
      </c>
      <c r="D21" s="5">
        <v>29</v>
      </c>
      <c r="E21" s="22">
        <v>0</v>
      </c>
      <c r="F21" s="24">
        <v>10</v>
      </c>
      <c r="G21" s="7">
        <f t="shared" ca="1" si="13"/>
        <v>9990</v>
      </c>
      <c r="H21" s="5">
        <v>0</v>
      </c>
      <c r="I21" s="5">
        <f>'B-ADIENT CHUSION'!M67</f>
        <v>7680</v>
      </c>
      <c r="J21" s="12">
        <f t="shared" ca="1" si="0"/>
        <v>13</v>
      </c>
      <c r="K21" s="5">
        <f t="shared" ca="1" si="1"/>
        <v>0</v>
      </c>
      <c r="L21" s="5">
        <v>0</v>
      </c>
      <c r="M21" s="5">
        <f ca="1">'B-ADIENT CHUSION'!$D$99</f>
        <v>0.04</v>
      </c>
      <c r="N21" s="5">
        <v>0</v>
      </c>
      <c r="O21" s="5">
        <v>7</v>
      </c>
      <c r="P21" s="5"/>
      <c r="Q21" s="5">
        <v>0</v>
      </c>
      <c r="R21" s="5">
        <f t="shared" si="2"/>
        <v>768</v>
      </c>
      <c r="S21" s="5">
        <v>3</v>
      </c>
      <c r="T21" s="6">
        <v>1.2</v>
      </c>
      <c r="U21" s="5">
        <f t="shared" si="3"/>
        <v>0</v>
      </c>
      <c r="V21" s="5">
        <f t="shared" ca="1" si="4"/>
        <v>0</v>
      </c>
      <c r="W21" s="5">
        <v>0</v>
      </c>
      <c r="X21" s="6">
        <v>0</v>
      </c>
      <c r="Y21" s="5">
        <f t="shared" si="5"/>
        <v>0</v>
      </c>
      <c r="Z21" s="5">
        <f t="shared" ca="1" si="6"/>
        <v>0</v>
      </c>
      <c r="AA21" s="5">
        <v>0</v>
      </c>
      <c r="AB21" s="6">
        <v>0</v>
      </c>
      <c r="AC21" s="5">
        <f t="shared" si="7"/>
        <v>0</v>
      </c>
      <c r="AD21" s="5">
        <f t="shared" ca="1" si="8"/>
        <v>0</v>
      </c>
      <c r="AE21" s="7">
        <f t="shared" si="9"/>
        <v>3</v>
      </c>
      <c r="AF21" s="5"/>
      <c r="AG21" s="5">
        <f t="shared" ca="1" si="10"/>
        <v>0</v>
      </c>
      <c r="AH21" s="5">
        <f t="shared" si="11"/>
        <v>0</v>
      </c>
      <c r="AI21" s="6">
        <f t="shared" si="12"/>
        <v>0</v>
      </c>
    </row>
    <row r="22" spans="2:35" x14ac:dyDescent="0.2">
      <c r="B22" s="5" t="s">
        <v>59</v>
      </c>
      <c r="C22" s="21">
        <v>46223</v>
      </c>
      <c r="D22" s="5">
        <v>30</v>
      </c>
      <c r="E22" s="22">
        <v>0</v>
      </c>
      <c r="F22" s="29">
        <v>5</v>
      </c>
      <c r="G22" s="7">
        <f t="shared" ca="1" si="13"/>
        <v>5985</v>
      </c>
      <c r="H22" s="5">
        <v>0</v>
      </c>
      <c r="I22" s="5">
        <f>'B-ADIENT CHUSION'!N67</f>
        <v>0</v>
      </c>
      <c r="J22" s="12" t="str">
        <f t="shared" si="0"/>
        <v>N/S</v>
      </c>
      <c r="K22" s="5">
        <f t="shared" ca="1" si="1"/>
        <v>0</v>
      </c>
      <c r="L22" s="5">
        <v>0</v>
      </c>
      <c r="M22" s="5">
        <f ca="1">'B-ADIENT CHUSION'!$D$99</f>
        <v>0.04</v>
      </c>
      <c r="N22" s="5">
        <v>0</v>
      </c>
      <c r="O22" s="5">
        <v>7</v>
      </c>
      <c r="P22" s="5"/>
      <c r="Q22" s="5">
        <v>0</v>
      </c>
      <c r="R22" s="5">
        <f t="shared" si="2"/>
        <v>0</v>
      </c>
      <c r="S22" s="5">
        <v>3</v>
      </c>
      <c r="T22" s="6">
        <v>1.2</v>
      </c>
      <c r="U22" s="5">
        <f t="shared" si="3"/>
        <v>0</v>
      </c>
      <c r="V22" s="5">
        <f t="shared" ca="1" si="4"/>
        <v>0</v>
      </c>
      <c r="W22" s="5">
        <v>0</v>
      </c>
      <c r="X22" s="6">
        <v>0</v>
      </c>
      <c r="Y22" s="5">
        <f t="shared" si="5"/>
        <v>0</v>
      </c>
      <c r="Z22" s="5">
        <f t="shared" ca="1" si="6"/>
        <v>0</v>
      </c>
      <c r="AA22" s="5">
        <v>0</v>
      </c>
      <c r="AB22" s="6">
        <v>0</v>
      </c>
      <c r="AC22" s="5">
        <f t="shared" si="7"/>
        <v>0</v>
      </c>
      <c r="AD22" s="5">
        <f t="shared" ca="1" si="8"/>
        <v>0</v>
      </c>
      <c r="AE22" s="7">
        <f t="shared" si="9"/>
        <v>3</v>
      </c>
      <c r="AF22" s="5"/>
      <c r="AG22" s="5">
        <f t="shared" ca="1" si="10"/>
        <v>0</v>
      </c>
      <c r="AH22" s="5">
        <f t="shared" si="11"/>
        <v>0</v>
      </c>
      <c r="AI22" s="6">
        <f t="shared" si="12"/>
        <v>0</v>
      </c>
    </row>
    <row r="23" spans="2:35" x14ac:dyDescent="0.2">
      <c r="B23" s="5" t="s">
        <v>59</v>
      </c>
      <c r="C23" s="21">
        <v>46230</v>
      </c>
      <c r="D23" s="5">
        <v>31</v>
      </c>
      <c r="E23" s="5">
        <v>6</v>
      </c>
      <c r="F23" s="29">
        <v>5</v>
      </c>
      <c r="G23" s="7">
        <f t="shared" ca="1" si="13"/>
        <v>10395</v>
      </c>
      <c r="H23" s="5">
        <v>0</v>
      </c>
      <c r="I23" s="5">
        <f>'B-ADIENT CHUSION'!O67</f>
        <v>0</v>
      </c>
      <c r="J23" s="12" t="str">
        <f t="shared" si="0"/>
        <v>N/S</v>
      </c>
      <c r="K23" s="5">
        <f t="shared" ca="1" si="1"/>
        <v>3780</v>
      </c>
      <c r="L23" s="5">
        <v>0</v>
      </c>
      <c r="M23" s="5">
        <f ca="1">'B-ADIENT CHUSION'!$D$99</f>
        <v>0.04</v>
      </c>
      <c r="N23" s="5">
        <v>0</v>
      </c>
      <c r="O23" s="5">
        <v>7</v>
      </c>
      <c r="P23" s="5"/>
      <c r="Q23" s="5">
        <v>0</v>
      </c>
      <c r="R23" s="5">
        <f t="shared" si="2"/>
        <v>0</v>
      </c>
      <c r="S23" s="5">
        <v>3</v>
      </c>
      <c r="T23" s="6">
        <v>1.2</v>
      </c>
      <c r="U23" s="5">
        <f t="shared" si="3"/>
        <v>42</v>
      </c>
      <c r="V23" s="5">
        <f t="shared" ca="1" si="4"/>
        <v>3780</v>
      </c>
      <c r="W23" s="5">
        <v>0</v>
      </c>
      <c r="X23" s="6">
        <v>0</v>
      </c>
      <c r="Y23" s="5">
        <f t="shared" si="5"/>
        <v>42</v>
      </c>
      <c r="Z23" s="5">
        <f t="shared" ca="1" si="6"/>
        <v>0</v>
      </c>
      <c r="AA23" s="5">
        <v>0</v>
      </c>
      <c r="AB23" s="6">
        <v>0</v>
      </c>
      <c r="AC23" s="5">
        <f t="shared" si="7"/>
        <v>42</v>
      </c>
      <c r="AD23" s="5">
        <f t="shared" ca="1" si="8"/>
        <v>0</v>
      </c>
      <c r="AE23" s="7">
        <f t="shared" si="9"/>
        <v>3</v>
      </c>
      <c r="AF23" s="5" t="e">
        <f t="shared" ref="AF23:AF54" si="14">ROUND( ((SUM(I22:I23)*1)/SUM(Q22:Q23)*100),1)</f>
        <v>#DIV/0!</v>
      </c>
      <c r="AG23" s="5">
        <f t="shared" ca="1" si="10"/>
        <v>151.20000000000002</v>
      </c>
      <c r="AH23" s="5">
        <f t="shared" si="11"/>
        <v>126</v>
      </c>
      <c r="AI23" s="6">
        <f t="shared" ca="1" si="12"/>
        <v>1.2000000000000002</v>
      </c>
    </row>
    <row r="24" spans="2:35" x14ac:dyDescent="0.2">
      <c r="B24" s="5" t="s">
        <v>60</v>
      </c>
      <c r="C24" s="21">
        <v>46237</v>
      </c>
      <c r="D24" s="5">
        <v>32</v>
      </c>
      <c r="E24" s="30">
        <v>6</v>
      </c>
      <c r="F24" s="29">
        <v>5</v>
      </c>
      <c r="G24" s="7">
        <f t="shared" ca="1" si="13"/>
        <v>13545</v>
      </c>
      <c r="H24" s="5">
        <v>0</v>
      </c>
      <c r="I24" s="5">
        <f>'B-ADIENT CHUSION'!P67</f>
        <v>0</v>
      </c>
      <c r="J24" s="12" t="str">
        <f t="shared" si="0"/>
        <v>N/S</v>
      </c>
      <c r="K24" s="5">
        <f t="shared" ca="1" si="1"/>
        <v>3780</v>
      </c>
      <c r="L24" s="5">
        <v>0</v>
      </c>
      <c r="M24" s="5">
        <f ca="1">'B-ADIENT CHUSION'!$D$99</f>
        <v>0.04</v>
      </c>
      <c r="N24" s="5">
        <v>0</v>
      </c>
      <c r="O24" s="5">
        <v>8</v>
      </c>
      <c r="P24" s="5"/>
      <c r="Q24" s="5">
        <v>0</v>
      </c>
      <c r="R24" s="5">
        <f t="shared" si="2"/>
        <v>0</v>
      </c>
      <c r="S24" s="5">
        <v>3</v>
      </c>
      <c r="T24" s="6">
        <v>1.2</v>
      </c>
      <c r="U24" s="5">
        <f t="shared" si="3"/>
        <v>42</v>
      </c>
      <c r="V24" s="5">
        <f t="shared" ca="1" si="4"/>
        <v>3780</v>
      </c>
      <c r="W24" s="5">
        <v>0</v>
      </c>
      <c r="X24" s="6">
        <v>0</v>
      </c>
      <c r="Y24" s="5">
        <f t="shared" si="5"/>
        <v>42</v>
      </c>
      <c r="Z24" s="5">
        <f t="shared" ca="1" si="6"/>
        <v>0</v>
      </c>
      <c r="AA24" s="5">
        <v>0</v>
      </c>
      <c r="AB24" s="6">
        <v>0</v>
      </c>
      <c r="AC24" s="5">
        <f t="shared" si="7"/>
        <v>42</v>
      </c>
      <c r="AD24" s="5">
        <f t="shared" ca="1" si="8"/>
        <v>0</v>
      </c>
      <c r="AE24" s="7">
        <f t="shared" si="9"/>
        <v>3</v>
      </c>
      <c r="AF24" s="5" t="e">
        <f t="shared" si="14"/>
        <v>#DIV/0!</v>
      </c>
      <c r="AG24" s="5">
        <f t="shared" ca="1" si="10"/>
        <v>151.20000000000002</v>
      </c>
      <c r="AH24" s="5">
        <f t="shared" si="11"/>
        <v>126</v>
      </c>
      <c r="AI24" s="6">
        <f t="shared" ca="1" si="12"/>
        <v>1.2000000000000002</v>
      </c>
    </row>
    <row r="25" spans="2:35" x14ac:dyDescent="0.2">
      <c r="B25" s="5" t="s">
        <v>60</v>
      </c>
      <c r="C25" s="21">
        <v>46244</v>
      </c>
      <c r="D25" s="5">
        <v>33</v>
      </c>
      <c r="E25" s="30">
        <v>6</v>
      </c>
      <c r="F25" s="31">
        <v>4</v>
      </c>
      <c r="G25" s="7">
        <f t="shared" ca="1" si="13"/>
        <v>17325</v>
      </c>
      <c r="H25" s="5">
        <v>0</v>
      </c>
      <c r="I25" s="5">
        <f>'B-ADIENT CHUSION'!Q67</f>
        <v>0</v>
      </c>
      <c r="J25" s="12" t="str">
        <f t="shared" si="0"/>
        <v>N/S</v>
      </c>
      <c r="K25" s="5">
        <f t="shared" ca="1" si="1"/>
        <v>3780</v>
      </c>
      <c r="L25" s="5">
        <v>0</v>
      </c>
      <c r="M25" s="5">
        <f ca="1">'B-ADIENT CHUSION'!$D$99</f>
        <v>0.04</v>
      </c>
      <c r="N25" s="5">
        <v>0</v>
      </c>
      <c r="O25" s="5">
        <v>8</v>
      </c>
      <c r="P25" s="5"/>
      <c r="Q25" s="5">
        <v>0</v>
      </c>
      <c r="R25" s="5">
        <f t="shared" si="2"/>
        <v>0</v>
      </c>
      <c r="S25" s="5">
        <v>3</v>
      </c>
      <c r="T25" s="6">
        <v>1.2</v>
      </c>
      <c r="U25" s="5">
        <f t="shared" si="3"/>
        <v>42</v>
      </c>
      <c r="V25" s="5">
        <f t="shared" ca="1" si="4"/>
        <v>3780</v>
      </c>
      <c r="W25" s="5">
        <v>0</v>
      </c>
      <c r="X25" s="6">
        <v>0</v>
      </c>
      <c r="Y25" s="5">
        <f t="shared" si="5"/>
        <v>42</v>
      </c>
      <c r="Z25" s="5">
        <f t="shared" ca="1" si="6"/>
        <v>0</v>
      </c>
      <c r="AA25" s="5">
        <v>0</v>
      </c>
      <c r="AB25" s="6">
        <v>0</v>
      </c>
      <c r="AC25" s="5">
        <f t="shared" si="7"/>
        <v>42</v>
      </c>
      <c r="AD25" s="5">
        <f t="shared" ca="1" si="8"/>
        <v>0</v>
      </c>
      <c r="AE25" s="7">
        <f t="shared" si="9"/>
        <v>3</v>
      </c>
      <c r="AF25" s="5" t="e">
        <f t="shared" si="14"/>
        <v>#DIV/0!</v>
      </c>
      <c r="AG25" s="5">
        <f t="shared" ca="1" si="10"/>
        <v>151.20000000000002</v>
      </c>
      <c r="AH25" s="5">
        <f t="shared" si="11"/>
        <v>126</v>
      </c>
      <c r="AI25" s="6">
        <f t="shared" ca="1" si="12"/>
        <v>1.2000000000000002</v>
      </c>
    </row>
    <row r="26" spans="2:35" x14ac:dyDescent="0.2">
      <c r="B26" s="5" t="s">
        <v>60</v>
      </c>
      <c r="C26" s="21">
        <v>46251</v>
      </c>
      <c r="D26" s="5">
        <v>34</v>
      </c>
      <c r="E26" s="5">
        <v>6</v>
      </c>
      <c r="F26" s="5">
        <v>5</v>
      </c>
      <c r="G26" s="7">
        <f t="shared" ca="1" si="13"/>
        <v>17325</v>
      </c>
      <c r="H26" s="5">
        <v>0</v>
      </c>
      <c r="I26" s="5">
        <f>'B-ADIENT CHUSION'!R67</f>
        <v>3840</v>
      </c>
      <c r="J26" s="12">
        <f t="shared" ca="1" si="0"/>
        <v>22.6</v>
      </c>
      <c r="K26" s="5">
        <f t="shared" ca="1" si="1"/>
        <v>3780</v>
      </c>
      <c r="L26" s="5">
        <v>0</v>
      </c>
      <c r="M26" s="5">
        <f ca="1">'B-ADIENT CHUSION'!$D$99</f>
        <v>0.04</v>
      </c>
      <c r="N26" s="5">
        <v>0</v>
      </c>
      <c r="O26" s="5">
        <v>8</v>
      </c>
      <c r="P26" s="5"/>
      <c r="Q26" s="5">
        <v>0</v>
      </c>
      <c r="R26" s="5">
        <f t="shared" si="2"/>
        <v>768</v>
      </c>
      <c r="S26" s="5">
        <v>3</v>
      </c>
      <c r="T26" s="6">
        <v>1.2</v>
      </c>
      <c r="U26" s="5">
        <f t="shared" si="3"/>
        <v>42</v>
      </c>
      <c r="V26" s="5">
        <f t="shared" ca="1" si="4"/>
        <v>3780</v>
      </c>
      <c r="W26" s="5">
        <v>0</v>
      </c>
      <c r="X26" s="6">
        <v>0</v>
      </c>
      <c r="Y26" s="5">
        <f t="shared" si="5"/>
        <v>42</v>
      </c>
      <c r="Z26" s="5">
        <f t="shared" ca="1" si="6"/>
        <v>0</v>
      </c>
      <c r="AA26" s="5">
        <v>0</v>
      </c>
      <c r="AB26" s="6">
        <v>0</v>
      </c>
      <c r="AC26" s="5">
        <f t="shared" si="7"/>
        <v>42</v>
      </c>
      <c r="AD26" s="5">
        <f t="shared" ca="1" si="8"/>
        <v>0</v>
      </c>
      <c r="AE26" s="7">
        <f t="shared" si="9"/>
        <v>3</v>
      </c>
      <c r="AF26" s="5" t="e">
        <f t="shared" si="14"/>
        <v>#DIV/0!</v>
      </c>
      <c r="AG26" s="5">
        <f t="shared" ca="1" si="10"/>
        <v>151.20000000000002</v>
      </c>
      <c r="AH26" s="5">
        <f t="shared" si="11"/>
        <v>126</v>
      </c>
      <c r="AI26" s="6">
        <f t="shared" ca="1" si="12"/>
        <v>1.2000000000000002</v>
      </c>
    </row>
    <row r="27" spans="2:35" x14ac:dyDescent="0.2">
      <c r="B27" s="5" t="s">
        <v>60</v>
      </c>
      <c r="C27" s="21">
        <v>46258</v>
      </c>
      <c r="D27" s="5">
        <v>35</v>
      </c>
      <c r="E27" s="5">
        <v>5</v>
      </c>
      <c r="F27" s="5">
        <v>5</v>
      </c>
      <c r="G27" s="7">
        <f t="shared" ca="1" si="13"/>
        <v>13485</v>
      </c>
      <c r="H27" s="5">
        <v>0</v>
      </c>
      <c r="I27" s="5">
        <f>'B-ADIENT CHUSION'!S67</f>
        <v>3840</v>
      </c>
      <c r="J27" s="12">
        <f t="shared" ca="1" si="0"/>
        <v>17.600000000000001</v>
      </c>
      <c r="K27" s="5">
        <f t="shared" ca="1" si="1"/>
        <v>3150</v>
      </c>
      <c r="L27" s="5">
        <v>0</v>
      </c>
      <c r="M27" s="5">
        <f ca="1">'B-ADIENT CHUSION'!$D$99</f>
        <v>0.04</v>
      </c>
      <c r="N27" s="5">
        <v>0</v>
      </c>
      <c r="O27" s="5">
        <v>8</v>
      </c>
      <c r="P27" s="5"/>
      <c r="Q27" s="5">
        <v>0</v>
      </c>
      <c r="R27" s="5">
        <f t="shared" si="2"/>
        <v>768</v>
      </c>
      <c r="S27" s="5">
        <v>3</v>
      </c>
      <c r="T27" s="6">
        <v>1.2</v>
      </c>
      <c r="U27" s="5">
        <f t="shared" si="3"/>
        <v>35</v>
      </c>
      <c r="V27" s="5">
        <f t="shared" ca="1" si="4"/>
        <v>3150</v>
      </c>
      <c r="W27" s="5">
        <v>0</v>
      </c>
      <c r="X27" s="6">
        <v>0</v>
      </c>
      <c r="Y27" s="5">
        <f t="shared" si="5"/>
        <v>35</v>
      </c>
      <c r="Z27" s="5">
        <f t="shared" ca="1" si="6"/>
        <v>0</v>
      </c>
      <c r="AA27" s="5">
        <v>0</v>
      </c>
      <c r="AB27" s="6">
        <v>0</v>
      </c>
      <c r="AC27" s="5">
        <f t="shared" si="7"/>
        <v>35</v>
      </c>
      <c r="AD27" s="5">
        <f t="shared" ca="1" si="8"/>
        <v>0</v>
      </c>
      <c r="AE27" s="7">
        <f t="shared" si="9"/>
        <v>3</v>
      </c>
      <c r="AF27" s="5" t="e">
        <f t="shared" si="14"/>
        <v>#DIV/0!</v>
      </c>
      <c r="AG27" s="5">
        <f t="shared" ca="1" si="10"/>
        <v>126</v>
      </c>
      <c r="AH27" s="5">
        <f t="shared" si="11"/>
        <v>105</v>
      </c>
      <c r="AI27" s="6">
        <f t="shared" ca="1" si="12"/>
        <v>1.2</v>
      </c>
    </row>
    <row r="28" spans="2:35" x14ac:dyDescent="0.2">
      <c r="B28" s="5" t="s">
        <v>60</v>
      </c>
      <c r="C28" s="21">
        <v>46265</v>
      </c>
      <c r="D28" s="5">
        <v>36</v>
      </c>
      <c r="E28" s="5">
        <v>6</v>
      </c>
      <c r="F28" s="5">
        <v>5</v>
      </c>
      <c r="G28" s="7">
        <f t="shared" ca="1" si="13"/>
        <v>13425</v>
      </c>
      <c r="H28" s="5">
        <v>0</v>
      </c>
      <c r="I28" s="5">
        <f>'B-ADIENT CHUSION'!T67</f>
        <v>3840</v>
      </c>
      <c r="J28" s="12">
        <f t="shared" ca="1" si="0"/>
        <v>17.5</v>
      </c>
      <c r="K28" s="5">
        <f t="shared" ca="1" si="1"/>
        <v>3780</v>
      </c>
      <c r="L28" s="5">
        <v>0</v>
      </c>
      <c r="M28" s="5">
        <f ca="1">'B-ADIENT CHUSION'!$D$99</f>
        <v>0.04</v>
      </c>
      <c r="N28" s="5">
        <v>0</v>
      </c>
      <c r="O28" s="5">
        <v>8</v>
      </c>
      <c r="P28" s="5"/>
      <c r="Q28" s="5">
        <v>0</v>
      </c>
      <c r="R28" s="5">
        <f t="shared" si="2"/>
        <v>768</v>
      </c>
      <c r="S28" s="5">
        <v>3</v>
      </c>
      <c r="T28" s="6">
        <v>1.2</v>
      </c>
      <c r="U28" s="5">
        <f t="shared" si="3"/>
        <v>42</v>
      </c>
      <c r="V28" s="5">
        <f t="shared" ca="1" si="4"/>
        <v>3780</v>
      </c>
      <c r="W28" s="5">
        <v>0</v>
      </c>
      <c r="X28" s="6">
        <v>0</v>
      </c>
      <c r="Y28" s="5">
        <f t="shared" si="5"/>
        <v>42</v>
      </c>
      <c r="Z28" s="5">
        <f t="shared" ca="1" si="6"/>
        <v>0</v>
      </c>
      <c r="AA28" s="5">
        <v>0</v>
      </c>
      <c r="AB28" s="6">
        <v>0</v>
      </c>
      <c r="AC28" s="5">
        <f t="shared" si="7"/>
        <v>42</v>
      </c>
      <c r="AD28" s="5">
        <f t="shared" ca="1" si="8"/>
        <v>0</v>
      </c>
      <c r="AE28" s="7">
        <f t="shared" si="9"/>
        <v>3</v>
      </c>
      <c r="AF28" s="5" t="e">
        <f t="shared" si="14"/>
        <v>#DIV/0!</v>
      </c>
      <c r="AG28" s="5">
        <f t="shared" ca="1" si="10"/>
        <v>151.20000000000002</v>
      </c>
      <c r="AH28" s="5">
        <f t="shared" si="11"/>
        <v>126</v>
      </c>
      <c r="AI28" s="6">
        <f t="shared" ca="1" si="12"/>
        <v>1.2000000000000002</v>
      </c>
    </row>
    <row r="29" spans="2:35" x14ac:dyDescent="0.2">
      <c r="B29" s="5" t="s">
        <v>61</v>
      </c>
      <c r="C29" s="21">
        <v>46272</v>
      </c>
      <c r="D29" s="5">
        <v>37</v>
      </c>
      <c r="E29" s="5">
        <v>6</v>
      </c>
      <c r="F29" s="5">
        <v>5</v>
      </c>
      <c r="G29" s="7">
        <f t="shared" ca="1" si="13"/>
        <v>13365</v>
      </c>
      <c r="H29" s="5">
        <v>0</v>
      </c>
      <c r="I29" s="5">
        <f>'B-ADIENT CHUSION'!U67</f>
        <v>4080</v>
      </c>
      <c r="J29" s="12">
        <f t="shared" ca="1" si="0"/>
        <v>16.399999999999999</v>
      </c>
      <c r="K29" s="5">
        <f t="shared" ca="1" si="1"/>
        <v>3780</v>
      </c>
      <c r="L29" s="5">
        <v>0</v>
      </c>
      <c r="M29" s="5">
        <f ca="1">'B-ADIENT CHUSION'!$D$99</f>
        <v>0.04</v>
      </c>
      <c r="N29" s="5">
        <v>0</v>
      </c>
      <c r="O29" s="5">
        <v>9</v>
      </c>
      <c r="P29" s="5"/>
      <c r="Q29" s="5">
        <v>0</v>
      </c>
      <c r="R29" s="5">
        <f t="shared" si="2"/>
        <v>816</v>
      </c>
      <c r="S29" s="5">
        <v>3</v>
      </c>
      <c r="T29" s="6">
        <v>1.2</v>
      </c>
      <c r="U29" s="5">
        <f t="shared" si="3"/>
        <v>42</v>
      </c>
      <c r="V29" s="5">
        <f t="shared" ca="1" si="4"/>
        <v>3780</v>
      </c>
      <c r="W29" s="5">
        <v>0</v>
      </c>
      <c r="X29" s="6">
        <v>0</v>
      </c>
      <c r="Y29" s="5">
        <f t="shared" si="5"/>
        <v>42</v>
      </c>
      <c r="Z29" s="5">
        <f t="shared" ca="1" si="6"/>
        <v>0</v>
      </c>
      <c r="AA29" s="5">
        <v>0</v>
      </c>
      <c r="AB29" s="6">
        <v>0</v>
      </c>
      <c r="AC29" s="5">
        <f t="shared" si="7"/>
        <v>42</v>
      </c>
      <c r="AD29" s="5">
        <f t="shared" ca="1" si="8"/>
        <v>0</v>
      </c>
      <c r="AE29" s="7">
        <f t="shared" si="9"/>
        <v>3</v>
      </c>
      <c r="AF29" s="5" t="e">
        <f t="shared" si="14"/>
        <v>#DIV/0!</v>
      </c>
      <c r="AG29" s="5">
        <f t="shared" ca="1" si="10"/>
        <v>151.20000000000002</v>
      </c>
      <c r="AH29" s="5">
        <f t="shared" si="11"/>
        <v>126</v>
      </c>
      <c r="AI29" s="6">
        <f t="shared" ca="1" si="12"/>
        <v>1.2000000000000002</v>
      </c>
    </row>
    <row r="30" spans="2:35" x14ac:dyDescent="0.2">
      <c r="B30" s="5" t="s">
        <v>61</v>
      </c>
      <c r="C30" s="21">
        <v>46279</v>
      </c>
      <c r="D30" s="5">
        <v>38</v>
      </c>
      <c r="E30" s="5">
        <v>6</v>
      </c>
      <c r="F30" s="5">
        <v>5</v>
      </c>
      <c r="G30" s="7">
        <f t="shared" ca="1" si="13"/>
        <v>13065</v>
      </c>
      <c r="H30" s="5">
        <v>0</v>
      </c>
      <c r="I30" s="5">
        <f>'B-ADIENT CHUSION'!V67</f>
        <v>4080</v>
      </c>
      <c r="J30" s="12">
        <f t="shared" ca="1" si="0"/>
        <v>16</v>
      </c>
      <c r="K30" s="5">
        <f t="shared" ca="1" si="1"/>
        <v>3780</v>
      </c>
      <c r="L30" s="5">
        <v>0</v>
      </c>
      <c r="M30" s="5">
        <f ca="1">'B-ADIENT CHUSION'!$D$99</f>
        <v>0.04</v>
      </c>
      <c r="N30" s="5">
        <v>0</v>
      </c>
      <c r="O30" s="5">
        <v>9</v>
      </c>
      <c r="P30" s="5"/>
      <c r="Q30" s="5">
        <v>0</v>
      </c>
      <c r="R30" s="5">
        <f t="shared" si="2"/>
        <v>816</v>
      </c>
      <c r="S30" s="5">
        <v>3</v>
      </c>
      <c r="T30" s="6">
        <v>1.2</v>
      </c>
      <c r="U30" s="5">
        <f t="shared" si="3"/>
        <v>42</v>
      </c>
      <c r="V30" s="5">
        <f t="shared" ca="1" si="4"/>
        <v>3780</v>
      </c>
      <c r="W30" s="5">
        <v>0</v>
      </c>
      <c r="X30" s="6">
        <v>0</v>
      </c>
      <c r="Y30" s="5">
        <f t="shared" si="5"/>
        <v>42</v>
      </c>
      <c r="Z30" s="5">
        <f t="shared" ca="1" si="6"/>
        <v>0</v>
      </c>
      <c r="AA30" s="5">
        <v>0</v>
      </c>
      <c r="AB30" s="6">
        <v>0</v>
      </c>
      <c r="AC30" s="5">
        <f t="shared" si="7"/>
        <v>42</v>
      </c>
      <c r="AD30" s="5">
        <f t="shared" ca="1" si="8"/>
        <v>0</v>
      </c>
      <c r="AE30" s="7">
        <f t="shared" si="9"/>
        <v>3</v>
      </c>
      <c r="AF30" s="5" t="e">
        <f t="shared" si="14"/>
        <v>#DIV/0!</v>
      </c>
      <c r="AG30" s="5">
        <f t="shared" ca="1" si="10"/>
        <v>151.20000000000002</v>
      </c>
      <c r="AH30" s="5">
        <f t="shared" si="11"/>
        <v>126</v>
      </c>
      <c r="AI30" s="6">
        <f t="shared" ca="1" si="12"/>
        <v>1.2000000000000002</v>
      </c>
    </row>
    <row r="31" spans="2:35" x14ac:dyDescent="0.2">
      <c r="B31" s="5" t="s">
        <v>61</v>
      </c>
      <c r="C31" s="21">
        <v>46286</v>
      </c>
      <c r="D31" s="5">
        <v>39</v>
      </c>
      <c r="E31" s="5">
        <v>4</v>
      </c>
      <c r="F31" s="5">
        <v>5</v>
      </c>
      <c r="G31" s="7">
        <f t="shared" ca="1" si="13"/>
        <v>12765</v>
      </c>
      <c r="H31" s="5">
        <v>0</v>
      </c>
      <c r="I31" s="5">
        <f>'B-ADIENT CHUSION'!W67</f>
        <v>4080</v>
      </c>
      <c r="J31" s="12">
        <f t="shared" ca="1" si="0"/>
        <v>15.6</v>
      </c>
      <c r="K31" s="5">
        <f t="shared" ca="1" si="1"/>
        <v>2520</v>
      </c>
      <c r="L31" s="5">
        <v>0</v>
      </c>
      <c r="M31" s="5">
        <f ca="1">'B-ADIENT CHUSION'!$D$99</f>
        <v>0.04</v>
      </c>
      <c r="N31" s="5">
        <v>0</v>
      </c>
      <c r="O31" s="5">
        <v>9</v>
      </c>
      <c r="P31" s="5"/>
      <c r="Q31" s="5">
        <v>0</v>
      </c>
      <c r="R31" s="5">
        <f t="shared" si="2"/>
        <v>816</v>
      </c>
      <c r="S31" s="5">
        <v>3</v>
      </c>
      <c r="T31" s="6">
        <v>1.2</v>
      </c>
      <c r="U31" s="5">
        <f t="shared" si="3"/>
        <v>28</v>
      </c>
      <c r="V31" s="5">
        <f t="shared" ca="1" si="4"/>
        <v>2520</v>
      </c>
      <c r="W31" s="5">
        <v>0</v>
      </c>
      <c r="X31" s="6">
        <v>0</v>
      </c>
      <c r="Y31" s="5">
        <f t="shared" si="5"/>
        <v>28</v>
      </c>
      <c r="Z31" s="5">
        <f t="shared" ca="1" si="6"/>
        <v>0</v>
      </c>
      <c r="AA31" s="5">
        <v>0</v>
      </c>
      <c r="AB31" s="6">
        <v>0</v>
      </c>
      <c r="AC31" s="5">
        <f t="shared" si="7"/>
        <v>28</v>
      </c>
      <c r="AD31" s="5">
        <f t="shared" ca="1" si="8"/>
        <v>0</v>
      </c>
      <c r="AE31" s="7">
        <f t="shared" si="9"/>
        <v>3</v>
      </c>
      <c r="AF31" s="5" t="e">
        <f t="shared" si="14"/>
        <v>#DIV/0!</v>
      </c>
      <c r="AG31" s="5">
        <f t="shared" ca="1" si="10"/>
        <v>100.8</v>
      </c>
      <c r="AH31" s="5">
        <f t="shared" si="11"/>
        <v>84</v>
      </c>
      <c r="AI31" s="6">
        <f t="shared" ca="1" si="12"/>
        <v>1.2</v>
      </c>
    </row>
    <row r="32" spans="2:35" x14ac:dyDescent="0.2">
      <c r="B32" s="5" t="s">
        <v>61</v>
      </c>
      <c r="C32" s="21">
        <v>46293</v>
      </c>
      <c r="D32" s="5">
        <v>40</v>
      </c>
      <c r="E32" s="5">
        <v>5</v>
      </c>
      <c r="F32" s="5">
        <v>5</v>
      </c>
      <c r="G32" s="7">
        <f t="shared" ca="1" si="13"/>
        <v>11835</v>
      </c>
      <c r="H32" s="5">
        <v>0</v>
      </c>
      <c r="I32" s="5">
        <f>'B-ADIENT CHUSION'!X67</f>
        <v>4080</v>
      </c>
      <c r="J32" s="12">
        <f t="shared" ca="1" si="0"/>
        <v>14.5</v>
      </c>
      <c r="K32" s="5">
        <f t="shared" ca="1" si="1"/>
        <v>3150</v>
      </c>
      <c r="L32" s="5">
        <v>0</v>
      </c>
      <c r="M32" s="5">
        <f ca="1">'B-ADIENT CHUSION'!$D$99</f>
        <v>0.04</v>
      </c>
      <c r="N32" s="5">
        <v>0</v>
      </c>
      <c r="O32" s="5">
        <v>9</v>
      </c>
      <c r="P32" s="5"/>
      <c r="Q32" s="5">
        <v>0</v>
      </c>
      <c r="R32" s="5">
        <f t="shared" si="2"/>
        <v>816</v>
      </c>
      <c r="S32" s="5">
        <v>3</v>
      </c>
      <c r="T32" s="6">
        <v>1.2</v>
      </c>
      <c r="U32" s="5">
        <f t="shared" si="3"/>
        <v>35</v>
      </c>
      <c r="V32" s="5">
        <f t="shared" ca="1" si="4"/>
        <v>3150</v>
      </c>
      <c r="W32" s="5">
        <v>0</v>
      </c>
      <c r="X32" s="6">
        <v>0</v>
      </c>
      <c r="Y32" s="5">
        <f t="shared" si="5"/>
        <v>35</v>
      </c>
      <c r="Z32" s="5">
        <f t="shared" ca="1" si="6"/>
        <v>0</v>
      </c>
      <c r="AA32" s="5">
        <v>0</v>
      </c>
      <c r="AB32" s="6">
        <v>0</v>
      </c>
      <c r="AC32" s="5">
        <f t="shared" si="7"/>
        <v>35</v>
      </c>
      <c r="AD32" s="5">
        <f t="shared" ca="1" si="8"/>
        <v>0</v>
      </c>
      <c r="AE32" s="7">
        <f t="shared" si="9"/>
        <v>3</v>
      </c>
      <c r="AF32" s="5" t="e">
        <f t="shared" si="14"/>
        <v>#DIV/0!</v>
      </c>
      <c r="AG32" s="5">
        <f t="shared" ca="1" si="10"/>
        <v>126</v>
      </c>
      <c r="AH32" s="5">
        <f t="shared" si="11"/>
        <v>105</v>
      </c>
      <c r="AI32" s="6">
        <f t="shared" ca="1" si="12"/>
        <v>1.2</v>
      </c>
    </row>
    <row r="33" spans="2:35" x14ac:dyDescent="0.2">
      <c r="B33" s="5" t="s">
        <v>62</v>
      </c>
      <c r="C33" s="21">
        <v>46300</v>
      </c>
      <c r="D33" s="5">
        <v>41</v>
      </c>
      <c r="E33" s="5">
        <v>5</v>
      </c>
      <c r="F33" s="5">
        <v>5</v>
      </c>
      <c r="G33" s="7">
        <f t="shared" ca="1" si="13"/>
        <v>11535</v>
      </c>
      <c r="H33" s="5">
        <v>0</v>
      </c>
      <c r="I33" s="5">
        <f>'B-ADIENT CHUSION'!Y67</f>
        <v>2640</v>
      </c>
      <c r="J33" s="12">
        <f t="shared" ca="1" si="0"/>
        <v>21.8</v>
      </c>
      <c r="K33" s="5">
        <f t="shared" ca="1" si="1"/>
        <v>3150</v>
      </c>
      <c r="L33" s="5">
        <v>0</v>
      </c>
      <c r="M33" s="5">
        <f ca="1">'B-ADIENT CHUSION'!$D$99</f>
        <v>0.04</v>
      </c>
      <c r="N33" s="5">
        <v>0</v>
      </c>
      <c r="O33" s="5">
        <v>10</v>
      </c>
      <c r="P33" s="5"/>
      <c r="Q33" s="5">
        <v>0</v>
      </c>
      <c r="R33" s="5">
        <f t="shared" si="2"/>
        <v>528</v>
      </c>
      <c r="S33" s="5">
        <v>3</v>
      </c>
      <c r="T33" s="6">
        <v>1.2</v>
      </c>
      <c r="U33" s="5">
        <f t="shared" si="3"/>
        <v>35</v>
      </c>
      <c r="V33" s="5">
        <f t="shared" ca="1" si="4"/>
        <v>3150</v>
      </c>
      <c r="W33" s="5">
        <v>0</v>
      </c>
      <c r="X33" s="6">
        <v>0</v>
      </c>
      <c r="Y33" s="5">
        <f t="shared" si="5"/>
        <v>35</v>
      </c>
      <c r="Z33" s="5">
        <f t="shared" ca="1" si="6"/>
        <v>0</v>
      </c>
      <c r="AA33" s="5">
        <v>0</v>
      </c>
      <c r="AB33" s="6">
        <v>0</v>
      </c>
      <c r="AC33" s="5">
        <f t="shared" si="7"/>
        <v>35</v>
      </c>
      <c r="AD33" s="5">
        <f t="shared" ca="1" si="8"/>
        <v>0</v>
      </c>
      <c r="AE33" s="7">
        <f t="shared" si="9"/>
        <v>3</v>
      </c>
      <c r="AF33" s="5" t="e">
        <f t="shared" si="14"/>
        <v>#DIV/0!</v>
      </c>
      <c r="AG33" s="5">
        <f t="shared" ca="1" si="10"/>
        <v>126</v>
      </c>
      <c r="AH33" s="5">
        <f t="shared" si="11"/>
        <v>105</v>
      </c>
      <c r="AI33" s="6">
        <f t="shared" ca="1" si="12"/>
        <v>1.2</v>
      </c>
    </row>
    <row r="34" spans="2:35" x14ac:dyDescent="0.2">
      <c r="B34" s="5" t="s">
        <v>62</v>
      </c>
      <c r="C34" s="21">
        <v>46307</v>
      </c>
      <c r="D34" s="5">
        <v>42</v>
      </c>
      <c r="E34" s="5">
        <v>6</v>
      </c>
      <c r="F34" s="5">
        <v>5</v>
      </c>
      <c r="G34" s="7">
        <f t="shared" ca="1" si="13"/>
        <v>12675</v>
      </c>
      <c r="H34" s="5">
        <v>0</v>
      </c>
      <c r="I34" s="5">
        <f>'B-ADIENT CHUSION'!Z67</f>
        <v>2640</v>
      </c>
      <c r="J34" s="12">
        <f t="shared" ca="1" si="0"/>
        <v>24</v>
      </c>
      <c r="K34" s="5">
        <f t="shared" ca="1" si="1"/>
        <v>3780</v>
      </c>
      <c r="L34" s="5">
        <v>0</v>
      </c>
      <c r="M34" s="5">
        <f ca="1">'B-ADIENT CHUSION'!$D$99</f>
        <v>0.04</v>
      </c>
      <c r="N34" s="5">
        <v>0</v>
      </c>
      <c r="O34" s="5">
        <v>10</v>
      </c>
      <c r="P34" s="5"/>
      <c r="Q34" s="5">
        <v>0</v>
      </c>
      <c r="R34" s="5">
        <f t="shared" si="2"/>
        <v>528</v>
      </c>
      <c r="S34" s="5">
        <v>3</v>
      </c>
      <c r="T34" s="6">
        <v>1.2</v>
      </c>
      <c r="U34" s="5">
        <f t="shared" si="3"/>
        <v>42</v>
      </c>
      <c r="V34" s="5">
        <f t="shared" ca="1" si="4"/>
        <v>3780</v>
      </c>
      <c r="W34" s="5">
        <v>0</v>
      </c>
      <c r="X34" s="6">
        <v>0</v>
      </c>
      <c r="Y34" s="5">
        <f t="shared" si="5"/>
        <v>42</v>
      </c>
      <c r="Z34" s="5">
        <f t="shared" ca="1" si="6"/>
        <v>0</v>
      </c>
      <c r="AA34" s="5">
        <v>0</v>
      </c>
      <c r="AB34" s="6">
        <v>0</v>
      </c>
      <c r="AC34" s="5">
        <f t="shared" si="7"/>
        <v>42</v>
      </c>
      <c r="AD34" s="5">
        <f t="shared" ca="1" si="8"/>
        <v>0</v>
      </c>
      <c r="AE34" s="7">
        <f t="shared" si="9"/>
        <v>3</v>
      </c>
      <c r="AF34" s="5" t="e">
        <f t="shared" si="14"/>
        <v>#DIV/0!</v>
      </c>
      <c r="AG34" s="5">
        <f t="shared" ca="1" si="10"/>
        <v>151.20000000000002</v>
      </c>
      <c r="AH34" s="5">
        <f t="shared" si="11"/>
        <v>126</v>
      </c>
      <c r="AI34" s="6">
        <f t="shared" ca="1" si="12"/>
        <v>1.2000000000000002</v>
      </c>
    </row>
    <row r="35" spans="2:35" x14ac:dyDescent="0.2">
      <c r="B35" s="5" t="s">
        <v>62</v>
      </c>
      <c r="C35" s="21">
        <v>46314</v>
      </c>
      <c r="D35" s="5">
        <v>43</v>
      </c>
      <c r="E35" s="5">
        <v>6</v>
      </c>
      <c r="F35" s="5">
        <v>5</v>
      </c>
      <c r="G35" s="7">
        <f t="shared" ca="1" si="13"/>
        <v>13815</v>
      </c>
      <c r="H35" s="5">
        <v>0</v>
      </c>
      <c r="I35" s="5">
        <f>'B-ADIENT CHUSION'!AA67</f>
        <v>2640</v>
      </c>
      <c r="J35" s="12">
        <f t="shared" ca="1" si="0"/>
        <v>26.2</v>
      </c>
      <c r="K35" s="5">
        <f t="shared" ca="1" si="1"/>
        <v>3780</v>
      </c>
      <c r="L35" s="5">
        <v>0</v>
      </c>
      <c r="M35" s="5">
        <f ca="1">'B-ADIENT CHUSION'!$D$99</f>
        <v>0.04</v>
      </c>
      <c r="N35" s="5">
        <v>0</v>
      </c>
      <c r="O35" s="5">
        <v>10</v>
      </c>
      <c r="P35" s="5"/>
      <c r="Q35" s="5">
        <v>0</v>
      </c>
      <c r="R35" s="5">
        <f t="shared" si="2"/>
        <v>528</v>
      </c>
      <c r="S35" s="5">
        <v>3</v>
      </c>
      <c r="T35" s="6">
        <v>1.2</v>
      </c>
      <c r="U35" s="5">
        <f t="shared" si="3"/>
        <v>42</v>
      </c>
      <c r="V35" s="5">
        <f t="shared" ca="1" si="4"/>
        <v>3780</v>
      </c>
      <c r="W35" s="5">
        <v>0</v>
      </c>
      <c r="X35" s="6">
        <v>0</v>
      </c>
      <c r="Y35" s="5">
        <f t="shared" si="5"/>
        <v>42</v>
      </c>
      <c r="Z35" s="5">
        <f t="shared" ca="1" si="6"/>
        <v>0</v>
      </c>
      <c r="AA35" s="5">
        <v>0</v>
      </c>
      <c r="AB35" s="6">
        <v>0</v>
      </c>
      <c r="AC35" s="5">
        <f t="shared" si="7"/>
        <v>42</v>
      </c>
      <c r="AD35" s="5">
        <f t="shared" ca="1" si="8"/>
        <v>0</v>
      </c>
      <c r="AE35" s="7">
        <f t="shared" si="9"/>
        <v>3</v>
      </c>
      <c r="AF35" s="5" t="e">
        <f t="shared" si="14"/>
        <v>#DIV/0!</v>
      </c>
      <c r="AG35" s="5">
        <f t="shared" ca="1" si="10"/>
        <v>151.20000000000002</v>
      </c>
      <c r="AH35" s="5">
        <f t="shared" si="11"/>
        <v>126</v>
      </c>
      <c r="AI35" s="6">
        <f t="shared" ca="1" si="12"/>
        <v>1.2000000000000002</v>
      </c>
    </row>
    <row r="36" spans="2:35" x14ac:dyDescent="0.2">
      <c r="B36" s="5" t="s">
        <v>62</v>
      </c>
      <c r="C36" s="21">
        <v>46321</v>
      </c>
      <c r="D36" s="5">
        <v>44</v>
      </c>
      <c r="E36" s="5">
        <v>6</v>
      </c>
      <c r="F36" s="5">
        <v>5</v>
      </c>
      <c r="G36" s="7">
        <f t="shared" ca="1" si="13"/>
        <v>13695</v>
      </c>
      <c r="H36" s="5">
        <v>0</v>
      </c>
      <c r="I36" s="5">
        <f>'B-ADIENT CHUSION'!AB67</f>
        <v>2640</v>
      </c>
      <c r="J36" s="12">
        <f t="shared" ca="1" si="0"/>
        <v>25.9</v>
      </c>
      <c r="K36" s="5">
        <f t="shared" ca="1" si="1"/>
        <v>3780</v>
      </c>
      <c r="L36" s="5">
        <v>0</v>
      </c>
      <c r="M36" s="5">
        <f ca="1">'B-ADIENT CHUSION'!$D$99</f>
        <v>0.04</v>
      </c>
      <c r="N36" s="5">
        <v>0</v>
      </c>
      <c r="O36" s="5">
        <v>10</v>
      </c>
      <c r="P36" s="5"/>
      <c r="Q36" s="5">
        <v>0</v>
      </c>
      <c r="R36" s="5">
        <f t="shared" si="2"/>
        <v>528</v>
      </c>
      <c r="S36" s="5">
        <v>3</v>
      </c>
      <c r="T36" s="6">
        <v>1.2</v>
      </c>
      <c r="U36" s="5">
        <f t="shared" si="3"/>
        <v>42</v>
      </c>
      <c r="V36" s="5">
        <f t="shared" ca="1" si="4"/>
        <v>3780</v>
      </c>
      <c r="W36" s="5">
        <v>0</v>
      </c>
      <c r="X36" s="6">
        <v>0</v>
      </c>
      <c r="Y36" s="5">
        <f t="shared" si="5"/>
        <v>42</v>
      </c>
      <c r="Z36" s="5">
        <f t="shared" ca="1" si="6"/>
        <v>0</v>
      </c>
      <c r="AA36" s="5">
        <v>0</v>
      </c>
      <c r="AB36" s="6">
        <v>0</v>
      </c>
      <c r="AC36" s="5">
        <f t="shared" si="7"/>
        <v>42</v>
      </c>
      <c r="AD36" s="5">
        <f t="shared" ca="1" si="8"/>
        <v>0</v>
      </c>
      <c r="AE36" s="7">
        <f t="shared" si="9"/>
        <v>3</v>
      </c>
      <c r="AF36" s="5" t="e">
        <f t="shared" si="14"/>
        <v>#DIV/0!</v>
      </c>
      <c r="AG36" s="5">
        <f t="shared" ca="1" si="10"/>
        <v>151.20000000000002</v>
      </c>
      <c r="AH36" s="5">
        <f t="shared" si="11"/>
        <v>126</v>
      </c>
      <c r="AI36" s="6">
        <f t="shared" ca="1" si="12"/>
        <v>1.2000000000000002</v>
      </c>
    </row>
    <row r="37" spans="2:35" x14ac:dyDescent="0.2">
      <c r="B37" s="5" t="s">
        <v>63</v>
      </c>
      <c r="C37" s="21">
        <v>46328</v>
      </c>
      <c r="D37" s="5">
        <v>45</v>
      </c>
      <c r="E37" s="5">
        <v>6</v>
      </c>
      <c r="F37" s="5">
        <v>5</v>
      </c>
      <c r="G37" s="7">
        <f t="shared" ca="1" si="13"/>
        <v>14205</v>
      </c>
      <c r="H37" s="5">
        <v>0</v>
      </c>
      <c r="I37" s="5">
        <f>'B-ADIENT CHUSION'!AC67</f>
        <v>3840</v>
      </c>
      <c r="J37" s="12">
        <f t="shared" ca="1" si="0"/>
        <v>18.5</v>
      </c>
      <c r="K37" s="5">
        <f t="shared" ca="1" si="1"/>
        <v>3780</v>
      </c>
      <c r="L37" s="5">
        <v>0</v>
      </c>
      <c r="M37" s="5">
        <f ca="1">'B-ADIENT CHUSION'!$D$99</f>
        <v>0.04</v>
      </c>
      <c r="N37" s="5">
        <v>0</v>
      </c>
      <c r="O37" s="5">
        <v>11</v>
      </c>
      <c r="P37" s="5"/>
      <c r="Q37" s="5">
        <v>0</v>
      </c>
      <c r="R37" s="5">
        <f t="shared" si="2"/>
        <v>768</v>
      </c>
      <c r="S37" s="5">
        <v>3</v>
      </c>
      <c r="T37" s="6">
        <v>1.2</v>
      </c>
      <c r="U37" s="5">
        <f t="shared" si="3"/>
        <v>42</v>
      </c>
      <c r="V37" s="5">
        <f t="shared" ca="1" si="4"/>
        <v>3780</v>
      </c>
      <c r="W37" s="5">
        <v>0</v>
      </c>
      <c r="X37" s="6">
        <v>0</v>
      </c>
      <c r="Y37" s="5">
        <f t="shared" si="5"/>
        <v>42</v>
      </c>
      <c r="Z37" s="5">
        <f t="shared" ca="1" si="6"/>
        <v>0</v>
      </c>
      <c r="AA37" s="5">
        <v>0</v>
      </c>
      <c r="AB37" s="6">
        <v>0</v>
      </c>
      <c r="AC37" s="5">
        <f t="shared" si="7"/>
        <v>42</v>
      </c>
      <c r="AD37" s="5">
        <f t="shared" ca="1" si="8"/>
        <v>0</v>
      </c>
      <c r="AE37" s="7">
        <f t="shared" si="9"/>
        <v>3</v>
      </c>
      <c r="AF37" s="5" t="e">
        <f t="shared" si="14"/>
        <v>#DIV/0!</v>
      </c>
      <c r="AG37" s="5">
        <f t="shared" ca="1" si="10"/>
        <v>151.20000000000002</v>
      </c>
      <c r="AH37" s="5">
        <f t="shared" si="11"/>
        <v>126</v>
      </c>
      <c r="AI37" s="6">
        <f t="shared" ca="1" si="12"/>
        <v>1.2000000000000002</v>
      </c>
    </row>
    <row r="38" spans="2:35" x14ac:dyDescent="0.2">
      <c r="B38" s="5" t="s">
        <v>63</v>
      </c>
      <c r="C38" s="21">
        <v>46335</v>
      </c>
      <c r="D38" s="5">
        <v>46</v>
      </c>
      <c r="E38" s="5">
        <v>6</v>
      </c>
      <c r="F38" s="31">
        <v>4</v>
      </c>
      <c r="G38" s="7">
        <f t="shared" ca="1" si="13"/>
        <v>13515</v>
      </c>
      <c r="H38" s="5">
        <v>0</v>
      </c>
      <c r="I38" s="5">
        <f>'B-ADIENT CHUSION'!AD67</f>
        <v>3840</v>
      </c>
      <c r="J38" s="12">
        <f t="shared" ca="1" si="0"/>
        <v>14.1</v>
      </c>
      <c r="K38" s="5">
        <f t="shared" ca="1" si="1"/>
        <v>3780</v>
      </c>
      <c r="L38" s="5">
        <v>0</v>
      </c>
      <c r="M38" s="5">
        <f ca="1">'B-ADIENT CHUSION'!$D$99</f>
        <v>0.04</v>
      </c>
      <c r="N38" s="5">
        <v>0</v>
      </c>
      <c r="O38" s="5">
        <v>11</v>
      </c>
      <c r="P38" s="5"/>
      <c r="Q38" s="5">
        <v>0</v>
      </c>
      <c r="R38" s="5">
        <f t="shared" si="2"/>
        <v>960</v>
      </c>
      <c r="S38" s="5">
        <v>3</v>
      </c>
      <c r="T38" s="6">
        <v>1.2</v>
      </c>
      <c r="U38" s="5">
        <f t="shared" si="3"/>
        <v>42</v>
      </c>
      <c r="V38" s="5">
        <f t="shared" ca="1" si="4"/>
        <v>3780</v>
      </c>
      <c r="W38" s="5">
        <v>0</v>
      </c>
      <c r="X38" s="6">
        <v>0</v>
      </c>
      <c r="Y38" s="5">
        <f t="shared" si="5"/>
        <v>42</v>
      </c>
      <c r="Z38" s="5">
        <f t="shared" ca="1" si="6"/>
        <v>0</v>
      </c>
      <c r="AA38" s="5">
        <v>0</v>
      </c>
      <c r="AB38" s="6">
        <v>0</v>
      </c>
      <c r="AC38" s="5">
        <f t="shared" si="7"/>
        <v>42</v>
      </c>
      <c r="AD38" s="5">
        <f t="shared" ca="1" si="8"/>
        <v>0</v>
      </c>
      <c r="AE38" s="7">
        <f t="shared" si="9"/>
        <v>3</v>
      </c>
      <c r="AF38" s="5" t="e">
        <f t="shared" si="14"/>
        <v>#DIV/0!</v>
      </c>
      <c r="AG38" s="5">
        <f t="shared" ca="1" si="10"/>
        <v>151.20000000000002</v>
      </c>
      <c r="AH38" s="5">
        <f t="shared" si="11"/>
        <v>126</v>
      </c>
      <c r="AI38" s="6">
        <f t="shared" ca="1" si="12"/>
        <v>1.2000000000000002</v>
      </c>
    </row>
    <row r="39" spans="2:35" x14ac:dyDescent="0.2">
      <c r="B39" s="5" t="s">
        <v>63</v>
      </c>
      <c r="C39" s="21">
        <v>46342</v>
      </c>
      <c r="D39" s="5">
        <v>47</v>
      </c>
      <c r="E39" s="5">
        <v>6</v>
      </c>
      <c r="F39" s="5">
        <v>5</v>
      </c>
      <c r="G39" s="7">
        <f t="shared" ca="1" si="13"/>
        <v>13455</v>
      </c>
      <c r="H39" s="5">
        <v>0</v>
      </c>
      <c r="I39" s="5">
        <f>'B-ADIENT CHUSION'!AE67</f>
        <v>3840</v>
      </c>
      <c r="J39" s="12">
        <f t="shared" ca="1" si="0"/>
        <v>17.5</v>
      </c>
      <c r="K39" s="5">
        <f t="shared" ca="1" si="1"/>
        <v>3780</v>
      </c>
      <c r="L39" s="5">
        <v>0</v>
      </c>
      <c r="M39" s="5">
        <f ca="1">'B-ADIENT CHUSION'!$D$99</f>
        <v>0.04</v>
      </c>
      <c r="N39" s="5">
        <v>0</v>
      </c>
      <c r="O39" s="5">
        <v>11</v>
      </c>
      <c r="P39" s="5"/>
      <c r="Q39" s="5">
        <v>0</v>
      </c>
      <c r="R39" s="5">
        <f t="shared" si="2"/>
        <v>768</v>
      </c>
      <c r="S39" s="5">
        <v>3</v>
      </c>
      <c r="T39" s="6">
        <v>1.2</v>
      </c>
      <c r="U39" s="5">
        <f t="shared" si="3"/>
        <v>42</v>
      </c>
      <c r="V39" s="5">
        <f t="shared" ca="1" si="4"/>
        <v>3780</v>
      </c>
      <c r="W39" s="5">
        <v>0</v>
      </c>
      <c r="X39" s="6">
        <v>0</v>
      </c>
      <c r="Y39" s="5">
        <f t="shared" si="5"/>
        <v>42</v>
      </c>
      <c r="Z39" s="5">
        <f t="shared" ca="1" si="6"/>
        <v>0</v>
      </c>
      <c r="AA39" s="5">
        <v>0</v>
      </c>
      <c r="AB39" s="6">
        <v>0</v>
      </c>
      <c r="AC39" s="5">
        <f t="shared" si="7"/>
        <v>42</v>
      </c>
      <c r="AD39" s="5">
        <f t="shared" ca="1" si="8"/>
        <v>0</v>
      </c>
      <c r="AE39" s="7">
        <f t="shared" si="9"/>
        <v>3</v>
      </c>
      <c r="AF39" s="5" t="e">
        <f t="shared" si="14"/>
        <v>#DIV/0!</v>
      </c>
      <c r="AG39" s="5">
        <f t="shared" ca="1" si="10"/>
        <v>151.20000000000002</v>
      </c>
      <c r="AH39" s="5">
        <f t="shared" si="11"/>
        <v>126</v>
      </c>
      <c r="AI39" s="6">
        <f t="shared" ca="1" si="12"/>
        <v>1.2000000000000002</v>
      </c>
    </row>
    <row r="40" spans="2:35" x14ac:dyDescent="0.2">
      <c r="B40" s="5" t="s">
        <v>63</v>
      </c>
      <c r="C40" s="21">
        <v>46349</v>
      </c>
      <c r="D40" s="5">
        <v>48</v>
      </c>
      <c r="E40" s="5">
        <v>6</v>
      </c>
      <c r="F40" s="5">
        <v>5</v>
      </c>
      <c r="G40" s="7">
        <f t="shared" ca="1" si="13"/>
        <v>13395</v>
      </c>
      <c r="H40" s="5">
        <v>0</v>
      </c>
      <c r="I40" s="5">
        <f>'B-ADIENT CHUSION'!AF67</f>
        <v>3840</v>
      </c>
      <c r="J40" s="12">
        <f t="shared" ca="1" si="0"/>
        <v>17.399999999999999</v>
      </c>
      <c r="K40" s="5">
        <f t="shared" ca="1" si="1"/>
        <v>3780</v>
      </c>
      <c r="L40" s="5">
        <v>0</v>
      </c>
      <c r="M40" s="5">
        <f ca="1">'B-ADIENT CHUSION'!$D$99</f>
        <v>0.04</v>
      </c>
      <c r="N40" s="5">
        <v>0</v>
      </c>
      <c r="O40" s="5">
        <v>11</v>
      </c>
      <c r="P40" s="5"/>
      <c r="Q40" s="5">
        <v>0</v>
      </c>
      <c r="R40" s="5">
        <f t="shared" si="2"/>
        <v>768</v>
      </c>
      <c r="S40" s="5">
        <v>3</v>
      </c>
      <c r="T40" s="6">
        <v>1.2</v>
      </c>
      <c r="U40" s="5">
        <f t="shared" si="3"/>
        <v>42</v>
      </c>
      <c r="V40" s="5">
        <f t="shared" ca="1" si="4"/>
        <v>3780</v>
      </c>
      <c r="W40" s="5">
        <v>0</v>
      </c>
      <c r="X40" s="6">
        <v>0</v>
      </c>
      <c r="Y40" s="5">
        <f t="shared" si="5"/>
        <v>42</v>
      </c>
      <c r="Z40" s="5">
        <f t="shared" ca="1" si="6"/>
        <v>0</v>
      </c>
      <c r="AA40" s="5">
        <v>0</v>
      </c>
      <c r="AB40" s="6">
        <v>0</v>
      </c>
      <c r="AC40" s="5">
        <f t="shared" si="7"/>
        <v>42</v>
      </c>
      <c r="AD40" s="5">
        <f t="shared" ca="1" si="8"/>
        <v>0</v>
      </c>
      <c r="AE40" s="7">
        <f t="shared" si="9"/>
        <v>3</v>
      </c>
      <c r="AF40" s="5" t="e">
        <f t="shared" si="14"/>
        <v>#DIV/0!</v>
      </c>
      <c r="AG40" s="5">
        <f t="shared" ca="1" si="10"/>
        <v>151.20000000000002</v>
      </c>
      <c r="AH40" s="5">
        <f t="shared" si="11"/>
        <v>126</v>
      </c>
      <c r="AI40" s="6">
        <f t="shared" ca="1" si="12"/>
        <v>1.2000000000000002</v>
      </c>
    </row>
    <row r="41" spans="2:35" x14ac:dyDescent="0.2">
      <c r="B41" s="5" t="s">
        <v>63</v>
      </c>
      <c r="C41" s="21">
        <v>46356</v>
      </c>
      <c r="D41" s="5">
        <v>49</v>
      </c>
      <c r="E41" s="5">
        <v>6</v>
      </c>
      <c r="F41" s="5">
        <v>5</v>
      </c>
      <c r="G41" s="7">
        <f t="shared" ca="1" si="13"/>
        <v>13335</v>
      </c>
      <c r="H41" s="5">
        <v>0</v>
      </c>
      <c r="I41" s="5">
        <f>'B-ADIENT CHUSION'!AG67</f>
        <v>3840</v>
      </c>
      <c r="J41" s="12">
        <f t="shared" ca="1" si="0"/>
        <v>17.399999999999999</v>
      </c>
      <c r="K41" s="5">
        <f t="shared" ca="1" si="1"/>
        <v>3780</v>
      </c>
      <c r="L41" s="5">
        <v>0</v>
      </c>
      <c r="M41" s="5">
        <f ca="1">'B-ADIENT CHUSION'!$D$99</f>
        <v>0.04</v>
      </c>
      <c r="N41" s="5">
        <v>0</v>
      </c>
      <c r="O41" s="5">
        <v>11</v>
      </c>
      <c r="P41" s="5"/>
      <c r="Q41" s="5">
        <v>0</v>
      </c>
      <c r="R41" s="5">
        <f t="shared" si="2"/>
        <v>768</v>
      </c>
      <c r="S41" s="5">
        <v>3</v>
      </c>
      <c r="T41" s="6">
        <v>1.2</v>
      </c>
      <c r="U41" s="5">
        <f t="shared" si="3"/>
        <v>42</v>
      </c>
      <c r="V41" s="5">
        <f t="shared" ca="1" si="4"/>
        <v>3780</v>
      </c>
      <c r="W41" s="5">
        <v>0</v>
      </c>
      <c r="X41" s="6">
        <v>0</v>
      </c>
      <c r="Y41" s="5">
        <f t="shared" si="5"/>
        <v>42</v>
      </c>
      <c r="Z41" s="5">
        <f t="shared" ca="1" si="6"/>
        <v>0</v>
      </c>
      <c r="AA41" s="5">
        <v>0</v>
      </c>
      <c r="AB41" s="6">
        <v>0</v>
      </c>
      <c r="AC41" s="5">
        <f t="shared" si="7"/>
        <v>42</v>
      </c>
      <c r="AD41" s="5">
        <f t="shared" ca="1" si="8"/>
        <v>0</v>
      </c>
      <c r="AE41" s="7">
        <f t="shared" si="9"/>
        <v>3</v>
      </c>
      <c r="AF41" s="5" t="e">
        <f t="shared" si="14"/>
        <v>#DIV/0!</v>
      </c>
      <c r="AG41" s="5">
        <f t="shared" ca="1" si="10"/>
        <v>151.20000000000002</v>
      </c>
      <c r="AH41" s="5">
        <f t="shared" si="11"/>
        <v>126</v>
      </c>
      <c r="AI41" s="6">
        <f t="shared" ca="1" si="12"/>
        <v>1.2000000000000002</v>
      </c>
    </row>
    <row r="42" spans="2:35" x14ac:dyDescent="0.2">
      <c r="B42" s="5" t="s">
        <v>64</v>
      </c>
      <c r="C42" s="21">
        <v>46363</v>
      </c>
      <c r="D42" s="5">
        <v>50</v>
      </c>
      <c r="E42" s="5">
        <v>6</v>
      </c>
      <c r="F42" s="5">
        <v>5</v>
      </c>
      <c r="G42" s="7">
        <f t="shared" ca="1" si="13"/>
        <v>13275</v>
      </c>
      <c r="H42" s="5">
        <v>0</v>
      </c>
      <c r="I42" s="5">
        <f>'B-ADIENT CHUSION'!AH67</f>
        <v>4800</v>
      </c>
      <c r="J42" s="12">
        <f t="shared" ca="1" si="0"/>
        <v>13.8</v>
      </c>
      <c r="K42" s="5">
        <f t="shared" ca="1" si="1"/>
        <v>3780</v>
      </c>
      <c r="L42" s="5">
        <v>0</v>
      </c>
      <c r="M42" s="5">
        <f ca="1">'B-ADIENT CHUSION'!$D$99</f>
        <v>0.04</v>
      </c>
      <c r="N42" s="5">
        <v>0</v>
      </c>
      <c r="O42" s="5">
        <v>12</v>
      </c>
      <c r="P42" s="5"/>
      <c r="Q42" s="5">
        <v>0</v>
      </c>
      <c r="R42" s="5">
        <f t="shared" si="2"/>
        <v>960</v>
      </c>
      <c r="S42" s="5">
        <v>3</v>
      </c>
      <c r="T42" s="6">
        <v>1.2</v>
      </c>
      <c r="U42" s="5">
        <f t="shared" si="3"/>
        <v>42</v>
      </c>
      <c r="V42" s="5">
        <f t="shared" ca="1" si="4"/>
        <v>3780</v>
      </c>
      <c r="W42" s="5">
        <v>0</v>
      </c>
      <c r="X42" s="6">
        <v>0</v>
      </c>
      <c r="Y42" s="5">
        <f t="shared" si="5"/>
        <v>42</v>
      </c>
      <c r="Z42" s="5">
        <f t="shared" ca="1" si="6"/>
        <v>0</v>
      </c>
      <c r="AA42" s="5">
        <v>0</v>
      </c>
      <c r="AB42" s="6">
        <v>0</v>
      </c>
      <c r="AC42" s="5">
        <f t="shared" si="7"/>
        <v>42</v>
      </c>
      <c r="AD42" s="5">
        <f t="shared" ca="1" si="8"/>
        <v>0</v>
      </c>
      <c r="AE42" s="7">
        <f t="shared" si="9"/>
        <v>3</v>
      </c>
      <c r="AF42" s="5" t="e">
        <f t="shared" si="14"/>
        <v>#DIV/0!</v>
      </c>
      <c r="AG42" s="5">
        <f t="shared" ca="1" si="10"/>
        <v>151.20000000000002</v>
      </c>
      <c r="AH42" s="5">
        <f t="shared" si="11"/>
        <v>126</v>
      </c>
      <c r="AI42" s="6">
        <f t="shared" ca="1" si="12"/>
        <v>1.2000000000000002</v>
      </c>
    </row>
    <row r="43" spans="2:35" x14ac:dyDescent="0.2">
      <c r="B43" s="5" t="s">
        <v>64</v>
      </c>
      <c r="C43" s="21">
        <v>46370</v>
      </c>
      <c r="D43" s="5">
        <v>51</v>
      </c>
      <c r="E43" s="5">
        <v>6</v>
      </c>
      <c r="F43" s="24">
        <v>10</v>
      </c>
      <c r="G43" s="7">
        <f t="shared" ca="1" si="13"/>
        <v>12255</v>
      </c>
      <c r="H43" s="5">
        <v>0</v>
      </c>
      <c r="I43" s="5">
        <f>'B-ADIENT CHUSION'!AI67</f>
        <v>4800</v>
      </c>
      <c r="J43" s="12">
        <f t="shared" ca="1" si="0"/>
        <v>25.5</v>
      </c>
      <c r="K43" s="5">
        <f t="shared" ca="1" si="1"/>
        <v>3780</v>
      </c>
      <c r="L43" s="5">
        <v>0</v>
      </c>
      <c r="M43" s="5">
        <f ca="1">'B-ADIENT CHUSION'!$D$99</f>
        <v>0.04</v>
      </c>
      <c r="N43" s="5">
        <v>0</v>
      </c>
      <c r="O43" s="5">
        <v>12</v>
      </c>
      <c r="P43" s="5"/>
      <c r="Q43" s="5">
        <v>0</v>
      </c>
      <c r="R43" s="5">
        <f t="shared" si="2"/>
        <v>480</v>
      </c>
      <c r="S43" s="5">
        <v>3</v>
      </c>
      <c r="T43" s="6">
        <v>1.2</v>
      </c>
      <c r="U43" s="5">
        <f t="shared" si="3"/>
        <v>42</v>
      </c>
      <c r="V43" s="5">
        <f t="shared" ca="1" si="4"/>
        <v>3780</v>
      </c>
      <c r="W43" s="5">
        <v>0</v>
      </c>
      <c r="X43" s="6">
        <v>0</v>
      </c>
      <c r="Y43" s="5">
        <f t="shared" si="5"/>
        <v>42</v>
      </c>
      <c r="Z43" s="5">
        <f t="shared" ca="1" si="6"/>
        <v>0</v>
      </c>
      <c r="AA43" s="5">
        <v>0</v>
      </c>
      <c r="AB43" s="6">
        <v>0</v>
      </c>
      <c r="AC43" s="5">
        <f t="shared" si="7"/>
        <v>42</v>
      </c>
      <c r="AD43" s="5">
        <f t="shared" ca="1" si="8"/>
        <v>0</v>
      </c>
      <c r="AE43" s="7">
        <f t="shared" si="9"/>
        <v>3</v>
      </c>
      <c r="AF43" s="5" t="e">
        <f t="shared" si="14"/>
        <v>#DIV/0!</v>
      </c>
      <c r="AG43" s="5">
        <f t="shared" ca="1" si="10"/>
        <v>151.20000000000002</v>
      </c>
      <c r="AH43" s="5">
        <f t="shared" si="11"/>
        <v>126</v>
      </c>
      <c r="AI43" s="6">
        <f t="shared" ca="1" si="12"/>
        <v>1.2000000000000002</v>
      </c>
    </row>
    <row r="44" spans="2:35" x14ac:dyDescent="0.2">
      <c r="B44" s="5" t="s">
        <v>64</v>
      </c>
      <c r="C44" s="21">
        <v>46377</v>
      </c>
      <c r="D44" s="5">
        <v>52</v>
      </c>
      <c r="E44" s="5">
        <v>6</v>
      </c>
      <c r="F44" s="32">
        <v>6</v>
      </c>
      <c r="G44" s="7">
        <f t="shared" ca="1" si="13"/>
        <v>11235</v>
      </c>
      <c r="H44" s="5">
        <v>0</v>
      </c>
      <c r="I44" s="5">
        <f>'B-ADIENT CHUSION'!AJ67</f>
        <v>0</v>
      </c>
      <c r="J44" s="12" t="str">
        <f t="shared" ref="J44:J75" si="15">IF(I44=0,"N/S",ROUND( ( ((G44) * 1)/I44)*F44,1))</f>
        <v>N/S</v>
      </c>
      <c r="K44" s="5">
        <f t="shared" ref="K44:K75" ca="1" si="16">V44+Z44+AD44</f>
        <v>3780</v>
      </c>
      <c r="L44" s="5">
        <v>0</v>
      </c>
      <c r="M44" s="5">
        <f ca="1">'B-ADIENT CHUSION'!$D$99</f>
        <v>0.04</v>
      </c>
      <c r="N44" s="5">
        <v>0</v>
      </c>
      <c r="O44" s="5">
        <v>12</v>
      </c>
      <c r="P44" s="5"/>
      <c r="Q44" s="5">
        <v>0</v>
      </c>
      <c r="R44" s="5">
        <f t="shared" ref="R44:R75" si="17">IF(F44=0,0,ROUND(I44/F44,0))</f>
        <v>0</v>
      </c>
      <c r="S44" s="5">
        <v>3</v>
      </c>
      <c r="T44" s="6">
        <v>1.2</v>
      </c>
      <c r="U44" s="5">
        <f t="shared" si="3"/>
        <v>42</v>
      </c>
      <c r="V44" s="5">
        <f t="shared" ref="V44:V75" ca="1" si="18">ROUND(((S44*T44*U44)/M44),0)</f>
        <v>3780</v>
      </c>
      <c r="W44" s="5">
        <v>0</v>
      </c>
      <c r="X44" s="6">
        <v>0</v>
      </c>
      <c r="Y44" s="5">
        <f t="shared" ref="Y44:Y75" si="19">U44</f>
        <v>42</v>
      </c>
      <c r="Z44" s="5">
        <f t="shared" ref="Z44:Z75" ca="1" si="20">ROUND(((W44*X44*Y44)/M44),0)</f>
        <v>0</v>
      </c>
      <c r="AA44" s="5">
        <v>0</v>
      </c>
      <c r="AB44" s="6">
        <v>0</v>
      </c>
      <c r="AC44" s="5">
        <f t="shared" ref="AC44:AC75" si="21">E44*7-N44</f>
        <v>42</v>
      </c>
      <c r="AD44" s="5">
        <f t="shared" ref="AD44:AD75" ca="1" si="22">ROUND(((AA44*AB44*AC44)/M44),0)</f>
        <v>0</v>
      </c>
      <c r="AE44" s="7">
        <f t="shared" ref="AE44:AE75" si="23">S44+W44+AA44</f>
        <v>3</v>
      </c>
      <c r="AF44" s="5" t="e">
        <f t="shared" si="14"/>
        <v>#DIV/0!</v>
      </c>
      <c r="AG44" s="5">
        <f t="shared" ref="AG44:AG75" ca="1" si="24">K44*M44</f>
        <v>151.20000000000002</v>
      </c>
      <c r="AH44" s="5">
        <f t="shared" ref="AH44:AH75" si="25">S44*U44+W44*Y44+AA44*AC44</f>
        <v>126</v>
      </c>
      <c r="AI44" s="6">
        <f t="shared" ref="AI44:AI75" ca="1" si="26">IF(AH44=0,0,AG44/AH44)</f>
        <v>1.2000000000000002</v>
      </c>
    </row>
    <row r="45" spans="2:35" x14ac:dyDescent="0.2">
      <c r="B45" s="5" t="s">
        <v>64</v>
      </c>
      <c r="C45" s="21">
        <v>46384</v>
      </c>
      <c r="D45" s="5">
        <v>53</v>
      </c>
      <c r="E45" s="5">
        <v>0</v>
      </c>
      <c r="F45" s="32">
        <v>6</v>
      </c>
      <c r="G45" s="7">
        <f t="shared" ca="1" si="13"/>
        <v>15015</v>
      </c>
      <c r="H45" s="5">
        <v>0</v>
      </c>
      <c r="I45" s="5">
        <f>'B-ADIENT CHUSION'!AK67</f>
        <v>0</v>
      </c>
      <c r="J45" s="12" t="str">
        <f t="shared" si="15"/>
        <v>N/S</v>
      </c>
      <c r="K45" s="5">
        <f t="shared" ca="1" si="16"/>
        <v>0</v>
      </c>
      <c r="L45" s="5">
        <v>0</v>
      </c>
      <c r="M45" s="5">
        <f ca="1">'B-ADIENT CHUSION'!$D$99</f>
        <v>0.04</v>
      </c>
      <c r="N45" s="5">
        <v>0</v>
      </c>
      <c r="O45" s="5">
        <v>12</v>
      </c>
      <c r="P45" s="5"/>
      <c r="Q45" s="5">
        <v>0</v>
      </c>
      <c r="R45" s="5">
        <f t="shared" si="17"/>
        <v>0</v>
      </c>
      <c r="S45" s="5">
        <v>3</v>
      </c>
      <c r="T45" s="6">
        <v>1.2</v>
      </c>
      <c r="U45" s="5">
        <f t="shared" si="3"/>
        <v>0</v>
      </c>
      <c r="V45" s="5">
        <f t="shared" ca="1" si="18"/>
        <v>0</v>
      </c>
      <c r="W45" s="5">
        <v>0</v>
      </c>
      <c r="X45" s="6">
        <v>0</v>
      </c>
      <c r="Y45" s="5">
        <f t="shared" si="19"/>
        <v>0</v>
      </c>
      <c r="Z45" s="5">
        <f t="shared" ca="1" si="20"/>
        <v>0</v>
      </c>
      <c r="AA45" s="5">
        <v>0</v>
      </c>
      <c r="AB45" s="6">
        <v>0</v>
      </c>
      <c r="AC45" s="5">
        <f t="shared" si="21"/>
        <v>0</v>
      </c>
      <c r="AD45" s="5">
        <f t="shared" ca="1" si="22"/>
        <v>0</v>
      </c>
      <c r="AE45" s="7">
        <f t="shared" si="23"/>
        <v>3</v>
      </c>
      <c r="AF45" s="5" t="e">
        <f t="shared" si="14"/>
        <v>#DIV/0!</v>
      </c>
      <c r="AG45" s="5">
        <f t="shared" ca="1" si="24"/>
        <v>0</v>
      </c>
      <c r="AH45" s="5">
        <f t="shared" si="25"/>
        <v>0</v>
      </c>
      <c r="AI45" s="6">
        <f t="shared" si="26"/>
        <v>0</v>
      </c>
    </row>
    <row r="46" spans="2:35" x14ac:dyDescent="0.2">
      <c r="B46" s="5" t="s">
        <v>65</v>
      </c>
      <c r="C46" s="21">
        <v>46391</v>
      </c>
      <c r="D46" s="5">
        <v>1</v>
      </c>
      <c r="E46" s="5">
        <v>6</v>
      </c>
      <c r="F46" s="29">
        <v>0</v>
      </c>
      <c r="G46" s="7">
        <f t="shared" ca="1" si="13"/>
        <v>18795</v>
      </c>
      <c r="H46" s="5">
        <v>0</v>
      </c>
      <c r="I46" s="5">
        <f>'B-ADIENT CHUSION'!AL67</f>
        <v>0</v>
      </c>
      <c r="J46" s="12" t="str">
        <f t="shared" si="15"/>
        <v>N/S</v>
      </c>
      <c r="K46" s="5">
        <f t="shared" ca="1" si="16"/>
        <v>3780</v>
      </c>
      <c r="L46" s="5">
        <v>0</v>
      </c>
      <c r="M46" s="5">
        <f ca="1">'B-ADIENT CHUSION'!$D$99</f>
        <v>0.04</v>
      </c>
      <c r="N46" s="5">
        <v>0</v>
      </c>
      <c r="O46" s="5">
        <v>1</v>
      </c>
      <c r="P46" s="5"/>
      <c r="Q46" s="5">
        <v>0</v>
      </c>
      <c r="R46" s="5">
        <f t="shared" si="17"/>
        <v>0</v>
      </c>
      <c r="S46" s="5">
        <v>3</v>
      </c>
      <c r="T46" s="6">
        <v>1.2</v>
      </c>
      <c r="U46" s="5">
        <f t="shared" si="3"/>
        <v>42</v>
      </c>
      <c r="V46" s="5">
        <f t="shared" ca="1" si="18"/>
        <v>3780</v>
      </c>
      <c r="W46" s="5">
        <v>0</v>
      </c>
      <c r="X46" s="6">
        <v>0</v>
      </c>
      <c r="Y46" s="5">
        <f t="shared" si="19"/>
        <v>42</v>
      </c>
      <c r="Z46" s="5">
        <f t="shared" ca="1" si="20"/>
        <v>0</v>
      </c>
      <c r="AA46" s="5">
        <v>0</v>
      </c>
      <c r="AB46" s="6">
        <v>0</v>
      </c>
      <c r="AC46" s="5">
        <f t="shared" si="21"/>
        <v>42</v>
      </c>
      <c r="AD46" s="5">
        <f t="shared" ca="1" si="22"/>
        <v>0</v>
      </c>
      <c r="AE46" s="7">
        <f t="shared" si="23"/>
        <v>3</v>
      </c>
      <c r="AF46" s="5" t="e">
        <f t="shared" si="14"/>
        <v>#DIV/0!</v>
      </c>
      <c r="AG46" s="5">
        <f t="shared" ca="1" si="24"/>
        <v>151.20000000000002</v>
      </c>
      <c r="AH46" s="5">
        <f t="shared" si="25"/>
        <v>126</v>
      </c>
      <c r="AI46" s="6">
        <f t="shared" ca="1" si="26"/>
        <v>1.2000000000000002</v>
      </c>
    </row>
    <row r="47" spans="2:35" x14ac:dyDescent="0.2">
      <c r="B47" s="5" t="s">
        <v>65</v>
      </c>
      <c r="C47" s="21">
        <v>46398</v>
      </c>
      <c r="D47" s="5">
        <v>2</v>
      </c>
      <c r="E47" s="5">
        <v>4</v>
      </c>
      <c r="F47" s="5">
        <v>0</v>
      </c>
      <c r="G47" s="7">
        <f t="shared" ca="1" si="13"/>
        <v>22575</v>
      </c>
      <c r="H47" s="5">
        <v>0</v>
      </c>
      <c r="I47" s="5">
        <f>'B-ADIENT CHUSION'!AM67</f>
        <v>0</v>
      </c>
      <c r="J47" s="12" t="str">
        <f t="shared" si="15"/>
        <v>N/S</v>
      </c>
      <c r="K47" s="5">
        <f t="shared" ca="1" si="16"/>
        <v>2520</v>
      </c>
      <c r="L47" s="5">
        <v>0</v>
      </c>
      <c r="M47" s="5">
        <f ca="1">'B-ADIENT CHUSION'!$D$99</f>
        <v>0.04</v>
      </c>
      <c r="N47" s="5">
        <v>0</v>
      </c>
      <c r="O47" s="5">
        <v>1</v>
      </c>
      <c r="P47" s="5"/>
      <c r="Q47" s="5">
        <v>0</v>
      </c>
      <c r="R47" s="5">
        <f t="shared" si="17"/>
        <v>0</v>
      </c>
      <c r="S47" s="5">
        <v>3</v>
      </c>
      <c r="T47" s="6">
        <v>1.2</v>
      </c>
      <c r="U47" s="5">
        <f t="shared" si="3"/>
        <v>28</v>
      </c>
      <c r="V47" s="5">
        <f t="shared" ca="1" si="18"/>
        <v>2520</v>
      </c>
      <c r="W47" s="5">
        <v>0</v>
      </c>
      <c r="X47" s="6">
        <v>0</v>
      </c>
      <c r="Y47" s="5">
        <f t="shared" si="19"/>
        <v>28</v>
      </c>
      <c r="Z47" s="5">
        <f t="shared" ca="1" si="20"/>
        <v>0</v>
      </c>
      <c r="AA47" s="5">
        <v>0</v>
      </c>
      <c r="AB47" s="6">
        <v>0</v>
      </c>
      <c r="AC47" s="5">
        <f t="shared" si="21"/>
        <v>28</v>
      </c>
      <c r="AD47" s="5">
        <f t="shared" ca="1" si="22"/>
        <v>0</v>
      </c>
      <c r="AE47" s="7">
        <f t="shared" si="23"/>
        <v>3</v>
      </c>
      <c r="AF47" s="5" t="e">
        <f t="shared" si="14"/>
        <v>#DIV/0!</v>
      </c>
      <c r="AG47" s="5">
        <f t="shared" ca="1" si="24"/>
        <v>100.8</v>
      </c>
      <c r="AH47" s="5">
        <f t="shared" si="25"/>
        <v>84</v>
      </c>
      <c r="AI47" s="6">
        <f t="shared" ca="1" si="26"/>
        <v>1.2</v>
      </c>
    </row>
    <row r="48" spans="2:35" x14ac:dyDescent="0.2">
      <c r="B48" s="5" t="s">
        <v>65</v>
      </c>
      <c r="C48" s="21">
        <v>46405</v>
      </c>
      <c r="D48" s="5">
        <v>3</v>
      </c>
      <c r="E48" s="5">
        <v>6</v>
      </c>
      <c r="F48" s="5">
        <v>5</v>
      </c>
      <c r="G48" s="7">
        <f t="shared" ca="1" si="13"/>
        <v>26355</v>
      </c>
      <c r="H48" s="5">
        <v>0</v>
      </c>
      <c r="I48" s="5">
        <f>'B-ADIENT CHUSION'!AN67</f>
        <v>3686</v>
      </c>
      <c r="J48" s="12">
        <f t="shared" ca="1" si="15"/>
        <v>35.799999999999997</v>
      </c>
      <c r="K48" s="5">
        <f t="shared" ca="1" si="16"/>
        <v>3780</v>
      </c>
      <c r="L48" s="5">
        <v>0</v>
      </c>
      <c r="M48" s="5">
        <f ca="1">'B-ADIENT CHUSION'!$D$99</f>
        <v>0.04</v>
      </c>
      <c r="N48" s="5">
        <v>0</v>
      </c>
      <c r="O48" s="5">
        <v>1</v>
      </c>
      <c r="P48" s="5"/>
      <c r="Q48" s="5">
        <v>0</v>
      </c>
      <c r="R48" s="5">
        <f t="shared" si="17"/>
        <v>737</v>
      </c>
      <c r="S48" s="5">
        <v>3</v>
      </c>
      <c r="T48" s="6">
        <v>1.2</v>
      </c>
      <c r="U48" s="5">
        <f t="shared" si="3"/>
        <v>42</v>
      </c>
      <c r="V48" s="5">
        <f t="shared" ca="1" si="18"/>
        <v>3780</v>
      </c>
      <c r="W48" s="5">
        <v>0</v>
      </c>
      <c r="X48" s="6">
        <v>0</v>
      </c>
      <c r="Y48" s="5">
        <f t="shared" si="19"/>
        <v>42</v>
      </c>
      <c r="Z48" s="5">
        <f t="shared" ca="1" si="20"/>
        <v>0</v>
      </c>
      <c r="AA48" s="5">
        <v>0</v>
      </c>
      <c r="AB48" s="6">
        <v>0</v>
      </c>
      <c r="AC48" s="5">
        <f t="shared" si="21"/>
        <v>42</v>
      </c>
      <c r="AD48" s="5">
        <f t="shared" ca="1" si="22"/>
        <v>0</v>
      </c>
      <c r="AE48" s="7">
        <f t="shared" si="23"/>
        <v>3</v>
      </c>
      <c r="AF48" s="5" t="e">
        <f t="shared" si="14"/>
        <v>#DIV/0!</v>
      </c>
      <c r="AG48" s="5">
        <f t="shared" ca="1" si="24"/>
        <v>151.20000000000002</v>
      </c>
      <c r="AH48" s="5">
        <f t="shared" si="25"/>
        <v>126</v>
      </c>
      <c r="AI48" s="6">
        <f t="shared" ca="1" si="26"/>
        <v>1.2000000000000002</v>
      </c>
    </row>
    <row r="49" spans="2:35" x14ac:dyDescent="0.2">
      <c r="B49" s="5" t="s">
        <v>65</v>
      </c>
      <c r="C49" s="21">
        <v>46412</v>
      </c>
      <c r="D49" s="5">
        <v>4</v>
      </c>
      <c r="E49" s="5">
        <v>6</v>
      </c>
      <c r="F49" s="5">
        <v>5</v>
      </c>
      <c r="G49" s="7">
        <f t="shared" ref="G49:G80" ca="1" si="27">(G48+H48-I48+K44)</f>
        <v>26449</v>
      </c>
      <c r="H49" s="5">
        <v>0</v>
      </c>
      <c r="I49" s="5">
        <f>'B-ADIENT CHUSION'!AO67</f>
        <v>3686</v>
      </c>
      <c r="J49" s="12">
        <f t="shared" ca="1" si="15"/>
        <v>35.9</v>
      </c>
      <c r="K49" s="5">
        <f t="shared" ca="1" si="16"/>
        <v>3780</v>
      </c>
      <c r="L49" s="5">
        <v>0</v>
      </c>
      <c r="M49" s="5">
        <f ca="1">'B-ADIENT CHUSION'!$D$99</f>
        <v>0.04</v>
      </c>
      <c r="N49" s="5">
        <v>0</v>
      </c>
      <c r="O49" s="5">
        <v>1</v>
      </c>
      <c r="P49" s="5"/>
      <c r="Q49" s="5">
        <v>0</v>
      </c>
      <c r="R49" s="5">
        <f t="shared" si="17"/>
        <v>737</v>
      </c>
      <c r="S49" s="5">
        <v>3</v>
      </c>
      <c r="T49" s="6">
        <v>1.2</v>
      </c>
      <c r="U49" s="5">
        <f t="shared" si="3"/>
        <v>42</v>
      </c>
      <c r="V49" s="5">
        <f t="shared" ca="1" si="18"/>
        <v>3780</v>
      </c>
      <c r="W49" s="5">
        <v>0</v>
      </c>
      <c r="X49" s="6">
        <v>0</v>
      </c>
      <c r="Y49" s="5">
        <f t="shared" si="19"/>
        <v>42</v>
      </c>
      <c r="Z49" s="5">
        <f t="shared" ca="1" si="20"/>
        <v>0</v>
      </c>
      <c r="AA49" s="5">
        <v>0</v>
      </c>
      <c r="AB49" s="6">
        <v>0</v>
      </c>
      <c r="AC49" s="5">
        <f t="shared" si="21"/>
        <v>42</v>
      </c>
      <c r="AD49" s="5">
        <f t="shared" ca="1" si="22"/>
        <v>0</v>
      </c>
      <c r="AE49" s="7">
        <f t="shared" si="23"/>
        <v>3</v>
      </c>
      <c r="AF49" s="5" t="e">
        <f t="shared" si="14"/>
        <v>#DIV/0!</v>
      </c>
      <c r="AG49" s="5">
        <f t="shared" ca="1" si="24"/>
        <v>151.20000000000002</v>
      </c>
      <c r="AH49" s="5">
        <f t="shared" si="25"/>
        <v>126</v>
      </c>
      <c r="AI49" s="6">
        <f t="shared" ca="1" si="26"/>
        <v>1.2000000000000002</v>
      </c>
    </row>
    <row r="50" spans="2:35" x14ac:dyDescent="0.2">
      <c r="B50" s="5" t="s">
        <v>66</v>
      </c>
      <c r="C50" s="21">
        <v>46419</v>
      </c>
      <c r="D50" s="5">
        <v>5</v>
      </c>
      <c r="E50" s="5">
        <v>5</v>
      </c>
      <c r="F50" s="5">
        <v>5</v>
      </c>
      <c r="G50" s="7">
        <f t="shared" ca="1" si="27"/>
        <v>22763</v>
      </c>
      <c r="H50" s="5">
        <v>0</v>
      </c>
      <c r="I50" s="5">
        <f>'B-ADIENT CHUSION'!AP67</f>
        <v>3686</v>
      </c>
      <c r="J50" s="12">
        <f t="shared" ca="1" si="15"/>
        <v>30.9</v>
      </c>
      <c r="K50" s="5">
        <f t="shared" ca="1" si="16"/>
        <v>3150</v>
      </c>
      <c r="L50" s="5">
        <v>0</v>
      </c>
      <c r="M50" s="5">
        <f ca="1">'B-ADIENT CHUSION'!$D$99</f>
        <v>0.04</v>
      </c>
      <c r="N50" s="5">
        <v>0</v>
      </c>
      <c r="O50" s="5">
        <v>2</v>
      </c>
      <c r="P50" s="5"/>
      <c r="Q50" s="5">
        <v>0</v>
      </c>
      <c r="R50" s="5">
        <f t="shared" si="17"/>
        <v>737</v>
      </c>
      <c r="S50" s="5">
        <v>3</v>
      </c>
      <c r="T50" s="6">
        <v>1.2</v>
      </c>
      <c r="U50" s="5">
        <f t="shared" si="3"/>
        <v>35</v>
      </c>
      <c r="V50" s="5">
        <f t="shared" ca="1" si="18"/>
        <v>3150</v>
      </c>
      <c r="W50" s="5">
        <v>0</v>
      </c>
      <c r="X50" s="6">
        <v>0</v>
      </c>
      <c r="Y50" s="5">
        <f t="shared" si="19"/>
        <v>35</v>
      </c>
      <c r="Z50" s="5">
        <f t="shared" ca="1" si="20"/>
        <v>0</v>
      </c>
      <c r="AA50" s="5">
        <v>0</v>
      </c>
      <c r="AB50" s="6">
        <v>0</v>
      </c>
      <c r="AC50" s="5">
        <f t="shared" si="21"/>
        <v>35</v>
      </c>
      <c r="AD50" s="5">
        <f t="shared" ca="1" si="22"/>
        <v>0</v>
      </c>
      <c r="AE50" s="7">
        <f t="shared" si="23"/>
        <v>3</v>
      </c>
      <c r="AF50" s="5" t="e">
        <f t="shared" si="14"/>
        <v>#DIV/0!</v>
      </c>
      <c r="AG50" s="5">
        <f t="shared" ca="1" si="24"/>
        <v>126</v>
      </c>
      <c r="AH50" s="5">
        <f t="shared" si="25"/>
        <v>105</v>
      </c>
      <c r="AI50" s="6">
        <f t="shared" ca="1" si="26"/>
        <v>1.2</v>
      </c>
    </row>
    <row r="51" spans="2:35" x14ac:dyDescent="0.2">
      <c r="B51" s="5" t="s">
        <v>66</v>
      </c>
      <c r="C51" s="21">
        <v>46426</v>
      </c>
      <c r="D51" s="5">
        <v>6</v>
      </c>
      <c r="E51" s="5">
        <v>6</v>
      </c>
      <c r="F51" s="5">
        <v>5</v>
      </c>
      <c r="G51" s="7">
        <f t="shared" ca="1" si="27"/>
        <v>22857</v>
      </c>
      <c r="H51" s="5">
        <v>0</v>
      </c>
      <c r="I51" s="5">
        <f>'B-ADIENT CHUSION'!AQ67</f>
        <v>4452</v>
      </c>
      <c r="J51" s="12">
        <f t="shared" ca="1" si="15"/>
        <v>25.7</v>
      </c>
      <c r="K51" s="5">
        <f t="shared" ca="1" si="16"/>
        <v>3780</v>
      </c>
      <c r="L51" s="5">
        <v>0</v>
      </c>
      <c r="M51" s="5">
        <f ca="1">'B-ADIENT CHUSION'!$D$99</f>
        <v>0.04</v>
      </c>
      <c r="N51" s="5">
        <v>0</v>
      </c>
      <c r="O51" s="5">
        <v>2</v>
      </c>
      <c r="P51" s="5"/>
      <c r="Q51" s="5">
        <v>0</v>
      </c>
      <c r="R51" s="5">
        <f t="shared" si="17"/>
        <v>890</v>
      </c>
      <c r="S51" s="5">
        <v>3</v>
      </c>
      <c r="T51" s="6">
        <v>1.2</v>
      </c>
      <c r="U51" s="5">
        <f t="shared" si="3"/>
        <v>42</v>
      </c>
      <c r="V51" s="5">
        <f t="shared" ca="1" si="18"/>
        <v>3780</v>
      </c>
      <c r="W51" s="5">
        <v>0</v>
      </c>
      <c r="X51" s="6">
        <v>0</v>
      </c>
      <c r="Y51" s="5">
        <f t="shared" si="19"/>
        <v>42</v>
      </c>
      <c r="Z51" s="5">
        <f t="shared" ca="1" si="20"/>
        <v>0</v>
      </c>
      <c r="AA51" s="5">
        <v>0</v>
      </c>
      <c r="AB51" s="6">
        <v>0</v>
      </c>
      <c r="AC51" s="5">
        <f t="shared" si="21"/>
        <v>42</v>
      </c>
      <c r="AD51" s="5">
        <f t="shared" ca="1" si="22"/>
        <v>0</v>
      </c>
      <c r="AE51" s="7">
        <f t="shared" si="23"/>
        <v>3</v>
      </c>
      <c r="AF51" s="5" t="e">
        <f t="shared" si="14"/>
        <v>#DIV/0!</v>
      </c>
      <c r="AG51" s="5">
        <f t="shared" ca="1" si="24"/>
        <v>151.20000000000002</v>
      </c>
      <c r="AH51" s="5">
        <f t="shared" si="25"/>
        <v>126</v>
      </c>
      <c r="AI51" s="6">
        <f t="shared" ca="1" si="26"/>
        <v>1.2000000000000002</v>
      </c>
    </row>
    <row r="52" spans="2:35" x14ac:dyDescent="0.2">
      <c r="B52" s="5" t="s">
        <v>66</v>
      </c>
      <c r="C52" s="21">
        <v>46433</v>
      </c>
      <c r="D52" s="5">
        <v>7</v>
      </c>
      <c r="E52" s="33">
        <v>5</v>
      </c>
      <c r="F52" s="5">
        <v>5</v>
      </c>
      <c r="G52" s="7">
        <f t="shared" ca="1" si="27"/>
        <v>20925</v>
      </c>
      <c r="H52" s="5">
        <v>0</v>
      </c>
      <c r="I52" s="5">
        <f>'B-ADIENT CHUSION'!AR67</f>
        <v>4452</v>
      </c>
      <c r="J52" s="12">
        <f t="shared" ca="1" si="15"/>
        <v>23.5</v>
      </c>
      <c r="K52" s="5">
        <f t="shared" ca="1" si="16"/>
        <v>1838</v>
      </c>
      <c r="L52" s="5">
        <v>0</v>
      </c>
      <c r="M52" s="5">
        <f ca="1">'B-ADIENT CHUSION'!$D$99</f>
        <v>0.04</v>
      </c>
      <c r="N52" s="5">
        <v>0</v>
      </c>
      <c r="O52" s="5">
        <v>2</v>
      </c>
      <c r="P52" s="5"/>
      <c r="Q52" s="5">
        <v>0</v>
      </c>
      <c r="R52" s="5">
        <f t="shared" si="17"/>
        <v>890</v>
      </c>
      <c r="S52" s="33">
        <v>3.5</v>
      </c>
      <c r="T52" s="34">
        <v>1.2</v>
      </c>
      <c r="U52" s="33">
        <f>E52*3.5-N52</f>
        <v>17.5</v>
      </c>
      <c r="V52" s="33">
        <f t="shared" ca="1" si="18"/>
        <v>1838</v>
      </c>
      <c r="W52" s="5">
        <v>0</v>
      </c>
      <c r="X52" s="6">
        <v>0</v>
      </c>
      <c r="Y52" s="5">
        <f t="shared" si="19"/>
        <v>17.5</v>
      </c>
      <c r="Z52" s="5">
        <f t="shared" ca="1" si="20"/>
        <v>0</v>
      </c>
      <c r="AA52" s="5">
        <v>0</v>
      </c>
      <c r="AB52" s="6">
        <v>0</v>
      </c>
      <c r="AC52" s="5">
        <f t="shared" si="21"/>
        <v>35</v>
      </c>
      <c r="AD52" s="5">
        <f t="shared" ca="1" si="22"/>
        <v>0</v>
      </c>
      <c r="AE52" s="7">
        <f t="shared" si="23"/>
        <v>3.5</v>
      </c>
      <c r="AF52" s="5" t="e">
        <f t="shared" si="14"/>
        <v>#DIV/0!</v>
      </c>
      <c r="AG52" s="5">
        <f t="shared" ca="1" si="24"/>
        <v>73.52</v>
      </c>
      <c r="AH52" s="5">
        <f t="shared" si="25"/>
        <v>61.25</v>
      </c>
      <c r="AI52" s="6">
        <f t="shared" ca="1" si="26"/>
        <v>1.2003265306122448</v>
      </c>
    </row>
    <row r="53" spans="2:35" x14ac:dyDescent="0.2">
      <c r="B53" s="5" t="s">
        <v>66</v>
      </c>
      <c r="C53" s="21">
        <v>46440</v>
      </c>
      <c r="D53" s="5">
        <v>8</v>
      </c>
      <c r="E53" s="33">
        <v>6</v>
      </c>
      <c r="F53" s="31">
        <v>4</v>
      </c>
      <c r="G53" s="7">
        <f t="shared" ca="1" si="27"/>
        <v>20253</v>
      </c>
      <c r="H53" s="5">
        <v>0</v>
      </c>
      <c r="I53" s="5">
        <f>'B-ADIENT CHUSION'!AS67</f>
        <v>3562</v>
      </c>
      <c r="J53" s="12">
        <f t="shared" ca="1" si="15"/>
        <v>22.7</v>
      </c>
      <c r="K53" s="5">
        <f t="shared" ca="1" si="16"/>
        <v>2205</v>
      </c>
      <c r="L53" s="5">
        <v>0</v>
      </c>
      <c r="M53" s="5">
        <f ca="1">'B-ADIENT CHUSION'!$D$99</f>
        <v>0.04</v>
      </c>
      <c r="N53" s="5">
        <v>0</v>
      </c>
      <c r="O53" s="5">
        <v>2</v>
      </c>
      <c r="P53" s="5"/>
      <c r="Q53" s="5">
        <v>0</v>
      </c>
      <c r="R53" s="5">
        <f t="shared" si="17"/>
        <v>891</v>
      </c>
      <c r="S53" s="33">
        <v>3.5</v>
      </c>
      <c r="T53" s="34">
        <v>1.2</v>
      </c>
      <c r="U53" s="33">
        <f>E53*3.5-N53</f>
        <v>21</v>
      </c>
      <c r="V53" s="33">
        <f t="shared" ca="1" si="18"/>
        <v>2205</v>
      </c>
      <c r="W53" s="5">
        <v>0</v>
      </c>
      <c r="X53" s="6">
        <v>0</v>
      </c>
      <c r="Y53" s="5">
        <f t="shared" si="19"/>
        <v>21</v>
      </c>
      <c r="Z53" s="5">
        <f t="shared" ca="1" si="20"/>
        <v>0</v>
      </c>
      <c r="AA53" s="5">
        <v>0</v>
      </c>
      <c r="AB53" s="6">
        <v>0</v>
      </c>
      <c r="AC53" s="5">
        <f t="shared" si="21"/>
        <v>42</v>
      </c>
      <c r="AD53" s="5">
        <f t="shared" ca="1" si="22"/>
        <v>0</v>
      </c>
      <c r="AE53" s="7">
        <f t="shared" si="23"/>
        <v>3.5</v>
      </c>
      <c r="AF53" s="5" t="e">
        <f t="shared" si="14"/>
        <v>#DIV/0!</v>
      </c>
      <c r="AG53" s="5">
        <f t="shared" ca="1" si="24"/>
        <v>88.2</v>
      </c>
      <c r="AH53" s="5">
        <f t="shared" si="25"/>
        <v>73.5</v>
      </c>
      <c r="AI53" s="6">
        <f t="shared" ca="1" si="26"/>
        <v>1.2</v>
      </c>
    </row>
    <row r="54" spans="2:35" x14ac:dyDescent="0.2">
      <c r="B54" s="5" t="s">
        <v>67</v>
      </c>
      <c r="C54" s="21">
        <v>46447</v>
      </c>
      <c r="D54" s="5">
        <v>9</v>
      </c>
      <c r="E54" s="33">
        <v>6</v>
      </c>
      <c r="F54" s="5">
        <v>5</v>
      </c>
      <c r="G54" s="7">
        <f t="shared" ca="1" si="27"/>
        <v>20471</v>
      </c>
      <c r="H54" s="5">
        <v>0</v>
      </c>
      <c r="I54" s="5">
        <f>'B-ADIENT CHUSION'!AT67</f>
        <v>4452</v>
      </c>
      <c r="J54" s="12">
        <f t="shared" ca="1" si="15"/>
        <v>23</v>
      </c>
      <c r="K54" s="5">
        <f t="shared" ca="1" si="16"/>
        <v>2205</v>
      </c>
      <c r="L54" s="5">
        <v>0</v>
      </c>
      <c r="M54" s="5">
        <f ca="1">'B-ADIENT CHUSION'!$D$99</f>
        <v>0.04</v>
      </c>
      <c r="N54" s="5">
        <v>0</v>
      </c>
      <c r="O54" s="5">
        <v>3</v>
      </c>
      <c r="P54" s="5"/>
      <c r="Q54" s="5">
        <v>0</v>
      </c>
      <c r="R54" s="5">
        <f t="shared" si="17"/>
        <v>890</v>
      </c>
      <c r="S54" s="33">
        <v>3.5</v>
      </c>
      <c r="T54" s="34">
        <v>1.2</v>
      </c>
      <c r="U54" s="33">
        <f>E54*3.5-N54</f>
        <v>21</v>
      </c>
      <c r="V54" s="33">
        <f t="shared" ca="1" si="18"/>
        <v>2205</v>
      </c>
      <c r="W54" s="5">
        <v>0</v>
      </c>
      <c r="X54" s="6">
        <v>0</v>
      </c>
      <c r="Y54" s="5">
        <f t="shared" si="19"/>
        <v>21</v>
      </c>
      <c r="Z54" s="5">
        <f t="shared" ca="1" si="20"/>
        <v>0</v>
      </c>
      <c r="AA54" s="5">
        <v>0</v>
      </c>
      <c r="AB54" s="6">
        <v>0</v>
      </c>
      <c r="AC54" s="5">
        <f t="shared" si="21"/>
        <v>42</v>
      </c>
      <c r="AD54" s="5">
        <f t="shared" ca="1" si="22"/>
        <v>0</v>
      </c>
      <c r="AE54" s="7">
        <f t="shared" si="23"/>
        <v>3.5</v>
      </c>
      <c r="AF54" s="5" t="e">
        <f t="shared" si="14"/>
        <v>#DIV/0!</v>
      </c>
      <c r="AG54" s="5">
        <f t="shared" ca="1" si="24"/>
        <v>88.2</v>
      </c>
      <c r="AH54" s="5">
        <f t="shared" si="25"/>
        <v>73.5</v>
      </c>
      <c r="AI54" s="6">
        <f t="shared" ca="1" si="26"/>
        <v>1.2</v>
      </c>
    </row>
    <row r="55" spans="2:35" x14ac:dyDescent="0.2">
      <c r="B55" s="5" t="s">
        <v>67</v>
      </c>
      <c r="C55" s="21">
        <v>46454</v>
      </c>
      <c r="D55" s="5">
        <v>10</v>
      </c>
      <c r="E55" s="33">
        <v>6</v>
      </c>
      <c r="F55" s="5">
        <v>5</v>
      </c>
      <c r="G55" s="7">
        <f t="shared" ca="1" si="27"/>
        <v>19169</v>
      </c>
      <c r="H55" s="5">
        <v>0</v>
      </c>
      <c r="I55" s="5">
        <f>'B-ADIENT CHUSION'!AU67</f>
        <v>4230</v>
      </c>
      <c r="J55" s="12">
        <f t="shared" ca="1" si="15"/>
        <v>22.7</v>
      </c>
      <c r="K55" s="5">
        <f t="shared" ca="1" si="16"/>
        <v>2205</v>
      </c>
      <c r="L55" s="5">
        <v>0</v>
      </c>
      <c r="M55" s="5">
        <f ca="1">'B-ADIENT CHUSION'!$D$99</f>
        <v>0.04</v>
      </c>
      <c r="N55" s="5">
        <v>0</v>
      </c>
      <c r="O55" s="5">
        <v>3</v>
      </c>
      <c r="P55" s="5"/>
      <c r="Q55" s="5">
        <v>0</v>
      </c>
      <c r="R55" s="5">
        <f t="shared" si="17"/>
        <v>846</v>
      </c>
      <c r="S55" s="33">
        <v>3.5</v>
      </c>
      <c r="T55" s="34">
        <v>1.2</v>
      </c>
      <c r="U55" s="33">
        <f>E55*3.5-N55</f>
        <v>21</v>
      </c>
      <c r="V55" s="33">
        <f t="shared" ca="1" si="18"/>
        <v>2205</v>
      </c>
      <c r="W55" s="5">
        <v>0</v>
      </c>
      <c r="X55" s="6">
        <v>0</v>
      </c>
      <c r="Y55" s="5">
        <f t="shared" si="19"/>
        <v>21</v>
      </c>
      <c r="Z55" s="5">
        <f t="shared" ca="1" si="20"/>
        <v>0</v>
      </c>
      <c r="AA55" s="5">
        <v>0</v>
      </c>
      <c r="AB55" s="6">
        <v>0</v>
      </c>
      <c r="AC55" s="5">
        <f t="shared" si="21"/>
        <v>42</v>
      </c>
      <c r="AD55" s="5">
        <f t="shared" ca="1" si="22"/>
        <v>0</v>
      </c>
      <c r="AE55" s="7">
        <f t="shared" si="23"/>
        <v>3.5</v>
      </c>
      <c r="AF55" s="5" t="e">
        <f t="shared" ref="AF55:AF89" si="28">ROUND( ((SUM(I54:I55)*1)/SUM(Q54:Q55)*100),1)</f>
        <v>#DIV/0!</v>
      </c>
      <c r="AG55" s="5">
        <f t="shared" ca="1" si="24"/>
        <v>88.2</v>
      </c>
      <c r="AH55" s="5">
        <f t="shared" si="25"/>
        <v>73.5</v>
      </c>
      <c r="AI55" s="6">
        <f t="shared" ca="1" si="26"/>
        <v>1.2</v>
      </c>
    </row>
    <row r="56" spans="2:35" x14ac:dyDescent="0.2">
      <c r="B56" s="5" t="s">
        <v>67</v>
      </c>
      <c r="C56" s="21">
        <v>46461</v>
      </c>
      <c r="D56" s="5">
        <v>11</v>
      </c>
      <c r="E56" s="33">
        <v>3</v>
      </c>
      <c r="F56" s="5">
        <v>5</v>
      </c>
      <c r="G56" s="7">
        <f t="shared" ca="1" si="27"/>
        <v>18719</v>
      </c>
      <c r="H56" s="5">
        <v>0</v>
      </c>
      <c r="I56" s="5">
        <f>'B-ADIENT CHUSION'!AV67</f>
        <v>4230</v>
      </c>
      <c r="J56" s="12">
        <f t="shared" ca="1" si="15"/>
        <v>22.1</v>
      </c>
      <c r="K56" s="5">
        <f t="shared" ca="1" si="16"/>
        <v>1103</v>
      </c>
      <c r="L56" s="5">
        <v>0</v>
      </c>
      <c r="M56" s="5">
        <f ca="1">'B-ADIENT CHUSION'!$D$99</f>
        <v>0.04</v>
      </c>
      <c r="N56" s="5">
        <v>0</v>
      </c>
      <c r="O56" s="5">
        <v>3</v>
      </c>
      <c r="P56" s="5"/>
      <c r="Q56" s="5">
        <v>0</v>
      </c>
      <c r="R56" s="5">
        <f t="shared" si="17"/>
        <v>846</v>
      </c>
      <c r="S56" s="33">
        <v>3.5</v>
      </c>
      <c r="T56" s="34">
        <v>1.2</v>
      </c>
      <c r="U56" s="33">
        <f>E56*3.5-N56</f>
        <v>10.5</v>
      </c>
      <c r="V56" s="33">
        <f t="shared" ca="1" si="18"/>
        <v>1103</v>
      </c>
      <c r="W56" s="5">
        <v>0</v>
      </c>
      <c r="X56" s="6">
        <v>0</v>
      </c>
      <c r="Y56" s="5">
        <f t="shared" si="19"/>
        <v>10.5</v>
      </c>
      <c r="Z56" s="5">
        <f t="shared" ca="1" si="20"/>
        <v>0</v>
      </c>
      <c r="AA56" s="5">
        <v>0</v>
      </c>
      <c r="AB56" s="6">
        <v>0</v>
      </c>
      <c r="AC56" s="5">
        <f t="shared" si="21"/>
        <v>21</v>
      </c>
      <c r="AD56" s="5">
        <f t="shared" ca="1" si="22"/>
        <v>0</v>
      </c>
      <c r="AE56" s="7">
        <f t="shared" si="23"/>
        <v>3.5</v>
      </c>
      <c r="AF56" s="5" t="e">
        <f t="shared" si="28"/>
        <v>#DIV/0!</v>
      </c>
      <c r="AG56" s="5">
        <f t="shared" ca="1" si="24"/>
        <v>44.12</v>
      </c>
      <c r="AH56" s="5">
        <f t="shared" si="25"/>
        <v>36.75</v>
      </c>
      <c r="AI56" s="6">
        <f t="shared" ca="1" si="26"/>
        <v>1.2005442176870749</v>
      </c>
    </row>
    <row r="57" spans="2:35" x14ac:dyDescent="0.2">
      <c r="B57" s="5" t="s">
        <v>67</v>
      </c>
      <c r="C57" s="21">
        <v>46468</v>
      </c>
      <c r="D57" s="5">
        <v>12</v>
      </c>
      <c r="E57" s="5">
        <v>4</v>
      </c>
      <c r="F57" s="5">
        <v>5</v>
      </c>
      <c r="G57" s="7">
        <f t="shared" ca="1" si="27"/>
        <v>16327</v>
      </c>
      <c r="H57" s="5">
        <v>0</v>
      </c>
      <c r="I57" s="5">
        <f>'B-ADIENT CHUSION'!AW67</f>
        <v>4230</v>
      </c>
      <c r="J57" s="12">
        <f t="shared" ca="1" si="15"/>
        <v>19.3</v>
      </c>
      <c r="K57" s="5">
        <f t="shared" ca="1" si="16"/>
        <v>2940</v>
      </c>
      <c r="L57" s="5">
        <v>0</v>
      </c>
      <c r="M57" s="5">
        <f ca="1">'B-ADIENT CHUSION'!$D$99</f>
        <v>0.04</v>
      </c>
      <c r="N57" s="5">
        <v>0</v>
      </c>
      <c r="O57" s="5">
        <v>3</v>
      </c>
      <c r="P57" s="5"/>
      <c r="Q57" s="5">
        <v>0</v>
      </c>
      <c r="R57" s="5">
        <f t="shared" si="17"/>
        <v>846</v>
      </c>
      <c r="S57" s="5">
        <v>3.5</v>
      </c>
      <c r="T57" s="6">
        <v>1.2</v>
      </c>
      <c r="U57" s="5">
        <f t="shared" ref="U57:U89" si="29">E57*7-N57</f>
        <v>28</v>
      </c>
      <c r="V57" s="5">
        <f t="shared" ca="1" si="18"/>
        <v>2940</v>
      </c>
      <c r="W57" s="5">
        <v>0</v>
      </c>
      <c r="X57" s="6">
        <v>0</v>
      </c>
      <c r="Y57" s="5">
        <f t="shared" si="19"/>
        <v>28</v>
      </c>
      <c r="Z57" s="5">
        <f t="shared" ca="1" si="20"/>
        <v>0</v>
      </c>
      <c r="AA57" s="5">
        <v>0</v>
      </c>
      <c r="AB57" s="6">
        <v>0</v>
      </c>
      <c r="AC57" s="5">
        <f t="shared" si="21"/>
        <v>28</v>
      </c>
      <c r="AD57" s="5">
        <f t="shared" ca="1" si="22"/>
        <v>0</v>
      </c>
      <c r="AE57" s="7">
        <f t="shared" si="23"/>
        <v>3.5</v>
      </c>
      <c r="AF57" s="5" t="e">
        <f t="shared" si="28"/>
        <v>#DIV/0!</v>
      </c>
      <c r="AG57" s="5">
        <f t="shared" ca="1" si="24"/>
        <v>117.60000000000001</v>
      </c>
      <c r="AH57" s="5">
        <f t="shared" si="25"/>
        <v>98</v>
      </c>
      <c r="AI57" s="6">
        <f t="shared" ca="1" si="26"/>
        <v>1.2000000000000002</v>
      </c>
    </row>
    <row r="58" spans="2:35" x14ac:dyDescent="0.2">
      <c r="B58" s="5" t="s">
        <v>67</v>
      </c>
      <c r="C58" s="21">
        <v>46475</v>
      </c>
      <c r="D58" s="5">
        <v>13</v>
      </c>
      <c r="E58" s="5">
        <v>6</v>
      </c>
      <c r="F58" s="5">
        <v>5</v>
      </c>
      <c r="G58" s="7">
        <f t="shared" ca="1" si="27"/>
        <v>14302</v>
      </c>
      <c r="H58" s="5">
        <v>0</v>
      </c>
      <c r="I58" s="5">
        <f>'B-ADIENT CHUSION'!AX67</f>
        <v>4230</v>
      </c>
      <c r="J58" s="12">
        <f t="shared" ca="1" si="15"/>
        <v>16.899999999999999</v>
      </c>
      <c r="K58" s="5">
        <f t="shared" ca="1" si="16"/>
        <v>4410</v>
      </c>
      <c r="L58" s="5">
        <v>0</v>
      </c>
      <c r="M58" s="5">
        <f ca="1">'B-ADIENT CHUSION'!$D$99</f>
        <v>0.04</v>
      </c>
      <c r="N58" s="5">
        <v>0</v>
      </c>
      <c r="O58" s="5">
        <v>3</v>
      </c>
      <c r="P58" s="5"/>
      <c r="Q58" s="5">
        <v>0</v>
      </c>
      <c r="R58" s="5">
        <f t="shared" si="17"/>
        <v>846</v>
      </c>
      <c r="S58" s="5">
        <v>3.5</v>
      </c>
      <c r="T58" s="6">
        <v>1.2</v>
      </c>
      <c r="U58" s="5">
        <f t="shared" si="29"/>
        <v>42</v>
      </c>
      <c r="V58" s="5">
        <f t="shared" ca="1" si="18"/>
        <v>4410</v>
      </c>
      <c r="W58" s="5">
        <v>0</v>
      </c>
      <c r="X58" s="6">
        <v>0</v>
      </c>
      <c r="Y58" s="5">
        <f t="shared" si="19"/>
        <v>42</v>
      </c>
      <c r="Z58" s="5">
        <f t="shared" ca="1" si="20"/>
        <v>0</v>
      </c>
      <c r="AA58" s="5">
        <v>0</v>
      </c>
      <c r="AB58" s="6">
        <v>0</v>
      </c>
      <c r="AC58" s="5">
        <f t="shared" si="21"/>
        <v>42</v>
      </c>
      <c r="AD58" s="5">
        <f t="shared" ca="1" si="22"/>
        <v>0</v>
      </c>
      <c r="AE58" s="7">
        <f t="shared" si="23"/>
        <v>3.5</v>
      </c>
      <c r="AF58" s="5" t="e">
        <f t="shared" si="28"/>
        <v>#DIV/0!</v>
      </c>
      <c r="AG58" s="5">
        <f t="shared" ca="1" si="24"/>
        <v>176.4</v>
      </c>
      <c r="AH58" s="5">
        <f t="shared" si="25"/>
        <v>147</v>
      </c>
      <c r="AI58" s="6">
        <f t="shared" ca="1" si="26"/>
        <v>1.2</v>
      </c>
    </row>
    <row r="59" spans="2:35" x14ac:dyDescent="0.2">
      <c r="B59" s="5" t="s">
        <v>68</v>
      </c>
      <c r="C59" s="21">
        <v>46482</v>
      </c>
      <c r="D59" s="5">
        <v>14</v>
      </c>
      <c r="E59" s="5">
        <v>4</v>
      </c>
      <c r="F59" s="31">
        <v>4</v>
      </c>
      <c r="G59" s="7">
        <f t="shared" ca="1" si="27"/>
        <v>12277</v>
      </c>
      <c r="H59" s="5">
        <v>0</v>
      </c>
      <c r="I59" s="5">
        <f>'B-ADIENT CHUSION'!AY67</f>
        <v>3384</v>
      </c>
      <c r="J59" s="12">
        <f t="shared" ca="1" si="15"/>
        <v>14.5</v>
      </c>
      <c r="K59" s="5">
        <f t="shared" ca="1" si="16"/>
        <v>2940</v>
      </c>
      <c r="L59" s="5">
        <v>0</v>
      </c>
      <c r="M59" s="5">
        <f ca="1">'B-ADIENT CHUSION'!$D$99</f>
        <v>0.04</v>
      </c>
      <c r="N59" s="5">
        <v>0</v>
      </c>
      <c r="O59" s="5">
        <v>4</v>
      </c>
      <c r="P59" s="5"/>
      <c r="Q59" s="5">
        <v>0</v>
      </c>
      <c r="R59" s="5">
        <f t="shared" si="17"/>
        <v>846</v>
      </c>
      <c r="S59" s="5">
        <v>3.5</v>
      </c>
      <c r="T59" s="6">
        <v>1.2</v>
      </c>
      <c r="U59" s="5">
        <f t="shared" si="29"/>
        <v>28</v>
      </c>
      <c r="V59" s="5">
        <f t="shared" ca="1" si="18"/>
        <v>2940</v>
      </c>
      <c r="W59" s="5">
        <v>0</v>
      </c>
      <c r="X59" s="6">
        <v>0</v>
      </c>
      <c r="Y59" s="5">
        <f t="shared" si="19"/>
        <v>28</v>
      </c>
      <c r="Z59" s="5">
        <f t="shared" ca="1" si="20"/>
        <v>0</v>
      </c>
      <c r="AA59" s="5">
        <v>0</v>
      </c>
      <c r="AB59" s="6">
        <v>0</v>
      </c>
      <c r="AC59" s="5">
        <f t="shared" si="21"/>
        <v>28</v>
      </c>
      <c r="AD59" s="5">
        <f t="shared" ca="1" si="22"/>
        <v>0</v>
      </c>
      <c r="AE59" s="7">
        <f t="shared" si="23"/>
        <v>3.5</v>
      </c>
      <c r="AF59" s="5" t="e">
        <f t="shared" si="28"/>
        <v>#DIV/0!</v>
      </c>
      <c r="AG59" s="5">
        <f t="shared" ca="1" si="24"/>
        <v>117.60000000000001</v>
      </c>
      <c r="AH59" s="5">
        <f t="shared" si="25"/>
        <v>98</v>
      </c>
      <c r="AI59" s="6">
        <f t="shared" ca="1" si="26"/>
        <v>1.2000000000000002</v>
      </c>
    </row>
    <row r="60" spans="2:35" x14ac:dyDescent="0.2">
      <c r="B60" s="5" t="s">
        <v>68</v>
      </c>
      <c r="C60" s="21">
        <v>46489</v>
      </c>
      <c r="D60" s="5">
        <v>15</v>
      </c>
      <c r="E60" s="5">
        <v>6</v>
      </c>
      <c r="F60" s="5">
        <v>5</v>
      </c>
      <c r="G60" s="7">
        <f t="shared" ca="1" si="27"/>
        <v>11098</v>
      </c>
      <c r="H60" s="5">
        <v>0</v>
      </c>
      <c r="I60" s="5">
        <f>'B-ADIENT CHUSION'!AZ67</f>
        <v>3384</v>
      </c>
      <c r="J60" s="12">
        <f t="shared" ca="1" si="15"/>
        <v>16.399999999999999</v>
      </c>
      <c r="K60" s="5">
        <f t="shared" ca="1" si="16"/>
        <v>4410</v>
      </c>
      <c r="L60" s="5">
        <v>0</v>
      </c>
      <c r="M60" s="5">
        <f ca="1">'B-ADIENT CHUSION'!$D$99</f>
        <v>0.04</v>
      </c>
      <c r="N60" s="5">
        <v>0</v>
      </c>
      <c r="O60" s="5">
        <v>4</v>
      </c>
      <c r="P60" s="5"/>
      <c r="Q60" s="5">
        <v>0</v>
      </c>
      <c r="R60" s="5">
        <f t="shared" si="17"/>
        <v>677</v>
      </c>
      <c r="S60" s="5">
        <v>3.5</v>
      </c>
      <c r="T60" s="6">
        <v>1.2</v>
      </c>
      <c r="U60" s="5">
        <f t="shared" si="29"/>
        <v>42</v>
      </c>
      <c r="V60" s="5">
        <f t="shared" ca="1" si="18"/>
        <v>4410</v>
      </c>
      <c r="W60" s="5">
        <v>0</v>
      </c>
      <c r="X60" s="6">
        <v>0</v>
      </c>
      <c r="Y60" s="5">
        <f t="shared" si="19"/>
        <v>42</v>
      </c>
      <c r="Z60" s="5">
        <f t="shared" ca="1" si="20"/>
        <v>0</v>
      </c>
      <c r="AA60" s="5">
        <v>0</v>
      </c>
      <c r="AB60" s="6">
        <v>0</v>
      </c>
      <c r="AC60" s="5">
        <f t="shared" si="21"/>
        <v>42</v>
      </c>
      <c r="AD60" s="5">
        <f t="shared" ca="1" si="22"/>
        <v>0</v>
      </c>
      <c r="AE60" s="7">
        <f t="shared" si="23"/>
        <v>3.5</v>
      </c>
      <c r="AF60" s="5" t="e">
        <f t="shared" si="28"/>
        <v>#DIV/0!</v>
      </c>
      <c r="AG60" s="5">
        <f t="shared" ca="1" si="24"/>
        <v>176.4</v>
      </c>
      <c r="AH60" s="5">
        <f t="shared" si="25"/>
        <v>147</v>
      </c>
      <c r="AI60" s="6">
        <f t="shared" ca="1" si="26"/>
        <v>1.2</v>
      </c>
    </row>
    <row r="61" spans="2:35" x14ac:dyDescent="0.2">
      <c r="B61" s="5" t="s">
        <v>68</v>
      </c>
      <c r="C61" s="21">
        <v>46496</v>
      </c>
      <c r="D61" s="5">
        <v>16</v>
      </c>
      <c r="E61" s="5">
        <v>6</v>
      </c>
      <c r="F61" s="5">
        <v>5</v>
      </c>
      <c r="G61" s="7">
        <f t="shared" ca="1" si="27"/>
        <v>8817</v>
      </c>
      <c r="H61" s="5">
        <v>0</v>
      </c>
      <c r="I61" s="5">
        <f>'B-ADIENT CHUSION'!BA67</f>
        <v>3384</v>
      </c>
      <c r="J61" s="12">
        <f t="shared" ca="1" si="15"/>
        <v>13</v>
      </c>
      <c r="K61" s="5">
        <f t="shared" ca="1" si="16"/>
        <v>4410</v>
      </c>
      <c r="L61" s="5">
        <v>0</v>
      </c>
      <c r="M61" s="5">
        <f ca="1">'B-ADIENT CHUSION'!$D$99</f>
        <v>0.04</v>
      </c>
      <c r="N61" s="5">
        <v>0</v>
      </c>
      <c r="O61" s="5">
        <v>4</v>
      </c>
      <c r="P61" s="5"/>
      <c r="Q61" s="5">
        <v>0</v>
      </c>
      <c r="R61" s="5">
        <f t="shared" si="17"/>
        <v>677</v>
      </c>
      <c r="S61" s="5">
        <v>3.5</v>
      </c>
      <c r="T61" s="6">
        <v>1.2</v>
      </c>
      <c r="U61" s="5">
        <f t="shared" si="29"/>
        <v>42</v>
      </c>
      <c r="V61" s="5">
        <f t="shared" ca="1" si="18"/>
        <v>4410</v>
      </c>
      <c r="W61" s="5">
        <v>0</v>
      </c>
      <c r="X61" s="6">
        <v>0</v>
      </c>
      <c r="Y61" s="5">
        <f t="shared" si="19"/>
        <v>42</v>
      </c>
      <c r="Z61" s="5">
        <f t="shared" ca="1" si="20"/>
        <v>0</v>
      </c>
      <c r="AA61" s="5">
        <v>0</v>
      </c>
      <c r="AB61" s="6">
        <v>0</v>
      </c>
      <c r="AC61" s="5">
        <f t="shared" si="21"/>
        <v>42</v>
      </c>
      <c r="AD61" s="5">
        <f t="shared" ca="1" si="22"/>
        <v>0</v>
      </c>
      <c r="AE61" s="7">
        <f t="shared" si="23"/>
        <v>3.5</v>
      </c>
      <c r="AF61" s="5" t="e">
        <f t="shared" si="28"/>
        <v>#DIV/0!</v>
      </c>
      <c r="AG61" s="5">
        <f t="shared" ca="1" si="24"/>
        <v>176.4</v>
      </c>
      <c r="AH61" s="5">
        <f t="shared" si="25"/>
        <v>147</v>
      </c>
      <c r="AI61" s="6">
        <f t="shared" ca="1" si="26"/>
        <v>1.2</v>
      </c>
    </row>
    <row r="62" spans="2:35" x14ac:dyDescent="0.2">
      <c r="B62" s="5" t="s">
        <v>68</v>
      </c>
      <c r="C62" s="21">
        <v>46503</v>
      </c>
      <c r="D62" s="5">
        <v>17</v>
      </c>
      <c r="E62" s="5">
        <v>3</v>
      </c>
      <c r="F62" s="5">
        <v>5</v>
      </c>
      <c r="G62" s="7">
        <f t="shared" ca="1" si="27"/>
        <v>8373</v>
      </c>
      <c r="H62" s="5">
        <v>0</v>
      </c>
      <c r="I62" s="5">
        <f>'B-ADIENT CHUSION'!BB67</f>
        <v>3384</v>
      </c>
      <c r="J62" s="12">
        <f t="shared" ca="1" si="15"/>
        <v>12.4</v>
      </c>
      <c r="K62" s="5">
        <f t="shared" ca="1" si="16"/>
        <v>2205</v>
      </c>
      <c r="L62" s="5">
        <v>0</v>
      </c>
      <c r="M62" s="5">
        <f ca="1">'B-ADIENT CHUSION'!$D$99</f>
        <v>0.04</v>
      </c>
      <c r="N62" s="5">
        <v>0</v>
      </c>
      <c r="O62" s="5">
        <v>4</v>
      </c>
      <c r="P62" s="5"/>
      <c r="Q62" s="5">
        <v>0</v>
      </c>
      <c r="R62" s="5">
        <f t="shared" si="17"/>
        <v>677</v>
      </c>
      <c r="S62" s="5">
        <v>3.5</v>
      </c>
      <c r="T62" s="6">
        <v>1.2</v>
      </c>
      <c r="U62" s="5">
        <f t="shared" si="29"/>
        <v>21</v>
      </c>
      <c r="V62" s="5">
        <f t="shared" ca="1" si="18"/>
        <v>2205</v>
      </c>
      <c r="W62" s="5">
        <v>0</v>
      </c>
      <c r="X62" s="6">
        <v>0</v>
      </c>
      <c r="Y62" s="5">
        <f t="shared" si="19"/>
        <v>21</v>
      </c>
      <c r="Z62" s="5">
        <f t="shared" ca="1" si="20"/>
        <v>0</v>
      </c>
      <c r="AA62" s="5">
        <v>0</v>
      </c>
      <c r="AB62" s="6">
        <v>0</v>
      </c>
      <c r="AC62" s="5">
        <f t="shared" si="21"/>
        <v>21</v>
      </c>
      <c r="AD62" s="5">
        <f t="shared" ca="1" si="22"/>
        <v>0</v>
      </c>
      <c r="AE62" s="7">
        <f t="shared" si="23"/>
        <v>3.5</v>
      </c>
      <c r="AF62" s="5" t="e">
        <f t="shared" si="28"/>
        <v>#DIV/0!</v>
      </c>
      <c r="AG62" s="5">
        <f t="shared" ca="1" si="24"/>
        <v>88.2</v>
      </c>
      <c r="AH62" s="5">
        <f t="shared" si="25"/>
        <v>73.5</v>
      </c>
      <c r="AI62" s="6">
        <f t="shared" ca="1" si="26"/>
        <v>1.2</v>
      </c>
    </row>
    <row r="63" spans="2:35" x14ac:dyDescent="0.2">
      <c r="B63" s="5" t="s">
        <v>57</v>
      </c>
      <c r="C63" s="21">
        <v>46510</v>
      </c>
      <c r="D63" s="5">
        <v>18</v>
      </c>
      <c r="E63" s="5">
        <v>6</v>
      </c>
      <c r="F63" s="31">
        <v>4</v>
      </c>
      <c r="G63" s="7">
        <f t="shared" ca="1" si="27"/>
        <v>9399</v>
      </c>
      <c r="H63" s="5">
        <v>0</v>
      </c>
      <c r="I63" s="5">
        <f>'B-ADIENT CHUSION'!BC67</f>
        <v>3384</v>
      </c>
      <c r="J63" s="12">
        <f t="shared" ca="1" si="15"/>
        <v>11.1</v>
      </c>
      <c r="K63" s="5">
        <f t="shared" ca="1" si="16"/>
        <v>3780</v>
      </c>
      <c r="L63" s="5">
        <v>0</v>
      </c>
      <c r="M63" s="5">
        <f ca="1">'B-ADIENT CHUSION'!$D$99</f>
        <v>0.04</v>
      </c>
      <c r="N63" s="5">
        <v>0</v>
      </c>
      <c r="O63" s="5">
        <v>5</v>
      </c>
      <c r="P63" s="5"/>
      <c r="Q63" s="5">
        <v>0</v>
      </c>
      <c r="R63" s="5">
        <f t="shared" si="17"/>
        <v>846</v>
      </c>
      <c r="S63" s="22">
        <v>3</v>
      </c>
      <c r="T63" s="23">
        <v>1.2</v>
      </c>
      <c r="U63" s="22">
        <f t="shared" si="29"/>
        <v>42</v>
      </c>
      <c r="V63" s="22">
        <f t="shared" ca="1" si="18"/>
        <v>3780</v>
      </c>
      <c r="W63" s="5">
        <v>0</v>
      </c>
      <c r="X63" s="6">
        <v>0</v>
      </c>
      <c r="Y63" s="5">
        <f t="shared" si="19"/>
        <v>42</v>
      </c>
      <c r="Z63" s="5">
        <f t="shared" ca="1" si="20"/>
        <v>0</v>
      </c>
      <c r="AA63" s="5">
        <v>0</v>
      </c>
      <c r="AB63" s="6">
        <v>0</v>
      </c>
      <c r="AC63" s="5">
        <f t="shared" si="21"/>
        <v>42</v>
      </c>
      <c r="AD63" s="5">
        <f t="shared" ca="1" si="22"/>
        <v>0</v>
      </c>
      <c r="AE63" s="7">
        <f t="shared" si="23"/>
        <v>3</v>
      </c>
      <c r="AF63" s="5" t="e">
        <f t="shared" si="28"/>
        <v>#DIV/0!</v>
      </c>
      <c r="AG63" s="5">
        <f t="shared" ca="1" si="24"/>
        <v>151.20000000000002</v>
      </c>
      <c r="AH63" s="5">
        <f t="shared" si="25"/>
        <v>126</v>
      </c>
      <c r="AI63" s="6">
        <f t="shared" ca="1" si="26"/>
        <v>1.2000000000000002</v>
      </c>
    </row>
    <row r="64" spans="2:35" x14ac:dyDescent="0.2">
      <c r="B64" s="5" t="s">
        <v>57</v>
      </c>
      <c r="C64" s="21">
        <v>46517</v>
      </c>
      <c r="D64" s="5">
        <v>19</v>
      </c>
      <c r="E64" s="5">
        <v>3</v>
      </c>
      <c r="F64" s="5">
        <v>5</v>
      </c>
      <c r="G64" s="7">
        <f t="shared" ca="1" si="27"/>
        <v>8955</v>
      </c>
      <c r="H64" s="5">
        <v>0</v>
      </c>
      <c r="I64" s="5">
        <f>'B-ADIENT CHUSION'!BD67</f>
        <v>3384</v>
      </c>
      <c r="J64" s="12">
        <f t="shared" ca="1" si="15"/>
        <v>13.2</v>
      </c>
      <c r="K64" s="5">
        <f t="shared" ca="1" si="16"/>
        <v>1890</v>
      </c>
      <c r="L64" s="5">
        <v>0</v>
      </c>
      <c r="M64" s="5">
        <f ca="1">'B-ADIENT CHUSION'!$D$99</f>
        <v>0.04</v>
      </c>
      <c r="N64" s="5">
        <v>0</v>
      </c>
      <c r="O64" s="5">
        <v>5</v>
      </c>
      <c r="P64" s="5"/>
      <c r="Q64" s="5">
        <v>0</v>
      </c>
      <c r="R64" s="5">
        <f t="shared" si="17"/>
        <v>677</v>
      </c>
      <c r="S64" s="5">
        <v>3</v>
      </c>
      <c r="T64" s="6">
        <v>1.2</v>
      </c>
      <c r="U64" s="5">
        <f t="shared" si="29"/>
        <v>21</v>
      </c>
      <c r="V64" s="5">
        <f t="shared" ca="1" si="18"/>
        <v>1890</v>
      </c>
      <c r="W64" s="5">
        <v>0</v>
      </c>
      <c r="X64" s="6">
        <v>0</v>
      </c>
      <c r="Y64" s="5">
        <f t="shared" si="19"/>
        <v>21</v>
      </c>
      <c r="Z64" s="5">
        <f t="shared" ca="1" si="20"/>
        <v>0</v>
      </c>
      <c r="AA64" s="5">
        <v>0</v>
      </c>
      <c r="AB64" s="6">
        <v>0</v>
      </c>
      <c r="AC64" s="5">
        <f t="shared" si="21"/>
        <v>21</v>
      </c>
      <c r="AD64" s="5">
        <f t="shared" ca="1" si="22"/>
        <v>0</v>
      </c>
      <c r="AE64" s="7">
        <f t="shared" si="23"/>
        <v>3</v>
      </c>
      <c r="AF64" s="5" t="e">
        <f t="shared" si="28"/>
        <v>#DIV/0!</v>
      </c>
      <c r="AG64" s="5">
        <f t="shared" ca="1" si="24"/>
        <v>75.600000000000009</v>
      </c>
      <c r="AH64" s="5">
        <f t="shared" si="25"/>
        <v>63</v>
      </c>
      <c r="AI64" s="6">
        <f t="shared" ca="1" si="26"/>
        <v>1.2000000000000002</v>
      </c>
    </row>
    <row r="65" spans="2:35" x14ac:dyDescent="0.2">
      <c r="B65" s="5" t="s">
        <v>57</v>
      </c>
      <c r="C65" s="21">
        <v>46524</v>
      </c>
      <c r="D65" s="5">
        <v>20</v>
      </c>
      <c r="E65" s="5">
        <v>6</v>
      </c>
      <c r="F65" s="31">
        <v>3</v>
      </c>
      <c r="G65" s="7">
        <f t="shared" ca="1" si="27"/>
        <v>9981</v>
      </c>
      <c r="H65" s="5">
        <v>0</v>
      </c>
      <c r="I65" s="5">
        <f>'B-ADIENT CHUSION'!BE67</f>
        <v>3384</v>
      </c>
      <c r="J65" s="12">
        <f t="shared" ca="1" si="15"/>
        <v>8.8000000000000007</v>
      </c>
      <c r="K65" s="5">
        <f t="shared" ca="1" si="16"/>
        <v>3780</v>
      </c>
      <c r="L65" s="5">
        <v>0</v>
      </c>
      <c r="M65" s="5">
        <f ca="1">'B-ADIENT CHUSION'!$D$99</f>
        <v>0.04</v>
      </c>
      <c r="N65" s="5">
        <v>0</v>
      </c>
      <c r="O65" s="5">
        <v>5</v>
      </c>
      <c r="P65" s="5"/>
      <c r="Q65" s="5">
        <v>0</v>
      </c>
      <c r="R65" s="5">
        <f t="shared" si="17"/>
        <v>1128</v>
      </c>
      <c r="S65" s="5">
        <v>3</v>
      </c>
      <c r="T65" s="6">
        <v>1.2</v>
      </c>
      <c r="U65" s="5">
        <f t="shared" si="29"/>
        <v>42</v>
      </c>
      <c r="V65" s="5">
        <f t="shared" ca="1" si="18"/>
        <v>3780</v>
      </c>
      <c r="W65" s="5">
        <v>0</v>
      </c>
      <c r="X65" s="6">
        <v>0</v>
      </c>
      <c r="Y65" s="5">
        <f t="shared" si="19"/>
        <v>42</v>
      </c>
      <c r="Z65" s="5">
        <f t="shared" ca="1" si="20"/>
        <v>0</v>
      </c>
      <c r="AA65" s="5">
        <v>0</v>
      </c>
      <c r="AB65" s="6">
        <v>0</v>
      </c>
      <c r="AC65" s="5">
        <f t="shared" si="21"/>
        <v>42</v>
      </c>
      <c r="AD65" s="5">
        <f t="shared" ca="1" si="22"/>
        <v>0</v>
      </c>
      <c r="AE65" s="7">
        <f t="shared" si="23"/>
        <v>3</v>
      </c>
      <c r="AF65" s="5" t="e">
        <f t="shared" si="28"/>
        <v>#DIV/0!</v>
      </c>
      <c r="AG65" s="5">
        <f t="shared" ca="1" si="24"/>
        <v>151.20000000000002</v>
      </c>
      <c r="AH65" s="5">
        <f t="shared" si="25"/>
        <v>126</v>
      </c>
      <c r="AI65" s="6">
        <f t="shared" ca="1" si="26"/>
        <v>1.2000000000000002</v>
      </c>
    </row>
    <row r="66" spans="2:35" x14ac:dyDescent="0.2">
      <c r="B66" s="5" t="s">
        <v>57</v>
      </c>
      <c r="C66" s="21">
        <v>46531</v>
      </c>
      <c r="D66" s="5">
        <v>21</v>
      </c>
      <c r="E66" s="5">
        <v>6</v>
      </c>
      <c r="F66" s="5">
        <v>5</v>
      </c>
      <c r="G66" s="7">
        <f t="shared" ca="1" si="27"/>
        <v>11007</v>
      </c>
      <c r="H66" s="5">
        <v>0</v>
      </c>
      <c r="I66" s="5">
        <f>'B-ADIENT CHUSION'!BF67</f>
        <v>3384</v>
      </c>
      <c r="J66" s="12">
        <f t="shared" ca="1" si="15"/>
        <v>16.3</v>
      </c>
      <c r="K66" s="5">
        <f t="shared" ca="1" si="16"/>
        <v>3780</v>
      </c>
      <c r="L66" s="5">
        <v>0</v>
      </c>
      <c r="M66" s="5">
        <f ca="1">'B-ADIENT CHUSION'!$D$99</f>
        <v>0.04</v>
      </c>
      <c r="N66" s="5">
        <v>0</v>
      </c>
      <c r="O66" s="5">
        <v>5</v>
      </c>
      <c r="P66" s="5"/>
      <c r="Q66" s="5">
        <v>0</v>
      </c>
      <c r="R66" s="5">
        <f t="shared" si="17"/>
        <v>677</v>
      </c>
      <c r="S66" s="5">
        <v>3</v>
      </c>
      <c r="T66" s="6">
        <v>1.2</v>
      </c>
      <c r="U66" s="5">
        <f t="shared" si="29"/>
        <v>42</v>
      </c>
      <c r="V66" s="5">
        <f t="shared" ca="1" si="18"/>
        <v>3780</v>
      </c>
      <c r="W66" s="5">
        <v>0</v>
      </c>
      <c r="X66" s="6">
        <v>0</v>
      </c>
      <c r="Y66" s="5">
        <f t="shared" si="19"/>
        <v>42</v>
      </c>
      <c r="Z66" s="5">
        <f t="shared" ca="1" si="20"/>
        <v>0</v>
      </c>
      <c r="AA66" s="5">
        <v>0</v>
      </c>
      <c r="AB66" s="6">
        <v>0</v>
      </c>
      <c r="AC66" s="5">
        <f t="shared" si="21"/>
        <v>42</v>
      </c>
      <c r="AD66" s="5">
        <f t="shared" ca="1" si="22"/>
        <v>0</v>
      </c>
      <c r="AE66" s="7">
        <f t="shared" si="23"/>
        <v>3</v>
      </c>
      <c r="AF66" s="5" t="e">
        <f t="shared" si="28"/>
        <v>#DIV/0!</v>
      </c>
      <c r="AG66" s="5">
        <f t="shared" ca="1" si="24"/>
        <v>151.20000000000002</v>
      </c>
      <c r="AH66" s="5">
        <f t="shared" si="25"/>
        <v>126</v>
      </c>
      <c r="AI66" s="6">
        <f t="shared" ca="1" si="26"/>
        <v>1.2000000000000002</v>
      </c>
    </row>
    <row r="67" spans="2:35" x14ac:dyDescent="0.2">
      <c r="B67" s="5" t="s">
        <v>57</v>
      </c>
      <c r="C67" s="21">
        <v>46538</v>
      </c>
      <c r="D67" s="5">
        <v>22</v>
      </c>
      <c r="E67" s="5">
        <v>6</v>
      </c>
      <c r="F67" s="31">
        <v>4</v>
      </c>
      <c r="G67" s="7">
        <f t="shared" ca="1" si="27"/>
        <v>9828</v>
      </c>
      <c r="H67" s="5">
        <v>0</v>
      </c>
      <c r="I67" s="5">
        <f>'B-ADIENT CHUSION'!BG67</f>
        <v>3384</v>
      </c>
      <c r="J67" s="12">
        <f t="shared" ca="1" si="15"/>
        <v>11.6</v>
      </c>
      <c r="K67" s="5">
        <f t="shared" ca="1" si="16"/>
        <v>3780</v>
      </c>
      <c r="L67" s="5">
        <v>0</v>
      </c>
      <c r="M67" s="5">
        <f ca="1">'B-ADIENT CHUSION'!$D$99</f>
        <v>0.04</v>
      </c>
      <c r="N67" s="5">
        <v>0</v>
      </c>
      <c r="O67" s="5">
        <v>5</v>
      </c>
      <c r="P67" s="5"/>
      <c r="Q67" s="5">
        <v>0</v>
      </c>
      <c r="R67" s="5">
        <f t="shared" si="17"/>
        <v>846</v>
      </c>
      <c r="S67" s="5">
        <v>3</v>
      </c>
      <c r="T67" s="6">
        <v>1.2</v>
      </c>
      <c r="U67" s="5">
        <f t="shared" si="29"/>
        <v>42</v>
      </c>
      <c r="V67" s="5">
        <f t="shared" ca="1" si="18"/>
        <v>3780</v>
      </c>
      <c r="W67" s="5">
        <v>0</v>
      </c>
      <c r="X67" s="6">
        <v>0</v>
      </c>
      <c r="Y67" s="5">
        <f t="shared" si="19"/>
        <v>42</v>
      </c>
      <c r="Z67" s="5">
        <f t="shared" ca="1" si="20"/>
        <v>0</v>
      </c>
      <c r="AA67" s="5">
        <v>0</v>
      </c>
      <c r="AB67" s="6">
        <v>0</v>
      </c>
      <c r="AC67" s="5">
        <f t="shared" si="21"/>
        <v>42</v>
      </c>
      <c r="AD67" s="5">
        <f t="shared" ca="1" si="22"/>
        <v>0</v>
      </c>
      <c r="AE67" s="7">
        <f t="shared" si="23"/>
        <v>3</v>
      </c>
      <c r="AF67" s="5" t="e">
        <f t="shared" si="28"/>
        <v>#DIV/0!</v>
      </c>
      <c r="AG67" s="5">
        <f t="shared" ca="1" si="24"/>
        <v>151.20000000000002</v>
      </c>
      <c r="AH67" s="5">
        <f t="shared" si="25"/>
        <v>126</v>
      </c>
      <c r="AI67" s="6">
        <f t="shared" ca="1" si="26"/>
        <v>1.2000000000000002</v>
      </c>
    </row>
    <row r="68" spans="2:35" x14ac:dyDescent="0.2">
      <c r="B68" s="5" t="s">
        <v>58</v>
      </c>
      <c r="C68" s="21">
        <v>46545</v>
      </c>
      <c r="D68" s="5">
        <v>23</v>
      </c>
      <c r="E68" s="5">
        <v>6</v>
      </c>
      <c r="F68" s="5">
        <v>5</v>
      </c>
      <c r="G68" s="7">
        <f t="shared" ca="1" si="27"/>
        <v>10224</v>
      </c>
      <c r="H68" s="5">
        <v>0</v>
      </c>
      <c r="I68" s="5">
        <f>'B-ADIENT CHUSION'!BH67</f>
        <v>3384</v>
      </c>
      <c r="J68" s="12">
        <f t="shared" ca="1" si="15"/>
        <v>15.1</v>
      </c>
      <c r="K68" s="5">
        <f t="shared" ca="1" si="16"/>
        <v>3780</v>
      </c>
      <c r="L68" s="5">
        <v>0</v>
      </c>
      <c r="M68" s="5">
        <f ca="1">'B-ADIENT CHUSION'!$D$99</f>
        <v>0.04</v>
      </c>
      <c r="N68" s="5">
        <v>0</v>
      </c>
      <c r="O68" s="5">
        <v>6</v>
      </c>
      <c r="P68" s="5"/>
      <c r="Q68" s="5">
        <v>0</v>
      </c>
      <c r="R68" s="5">
        <f t="shared" si="17"/>
        <v>677</v>
      </c>
      <c r="S68" s="5">
        <v>3</v>
      </c>
      <c r="T68" s="6">
        <v>1.2</v>
      </c>
      <c r="U68" s="5">
        <f t="shared" si="29"/>
        <v>42</v>
      </c>
      <c r="V68" s="5">
        <f t="shared" ca="1" si="18"/>
        <v>3780</v>
      </c>
      <c r="W68" s="5">
        <v>0</v>
      </c>
      <c r="X68" s="6">
        <v>0</v>
      </c>
      <c r="Y68" s="5">
        <f t="shared" si="19"/>
        <v>42</v>
      </c>
      <c r="Z68" s="5">
        <f t="shared" ca="1" si="20"/>
        <v>0</v>
      </c>
      <c r="AA68" s="5">
        <v>0</v>
      </c>
      <c r="AB68" s="6">
        <v>0</v>
      </c>
      <c r="AC68" s="5">
        <f t="shared" si="21"/>
        <v>42</v>
      </c>
      <c r="AD68" s="5">
        <f t="shared" ca="1" si="22"/>
        <v>0</v>
      </c>
      <c r="AE68" s="7">
        <f t="shared" si="23"/>
        <v>3</v>
      </c>
      <c r="AF68" s="5" t="e">
        <f t="shared" si="28"/>
        <v>#DIV/0!</v>
      </c>
      <c r="AG68" s="5">
        <f t="shared" ca="1" si="24"/>
        <v>151.20000000000002</v>
      </c>
      <c r="AH68" s="5">
        <f t="shared" si="25"/>
        <v>126</v>
      </c>
      <c r="AI68" s="6">
        <f t="shared" ca="1" si="26"/>
        <v>1.2000000000000002</v>
      </c>
    </row>
    <row r="69" spans="2:35" x14ac:dyDescent="0.2">
      <c r="B69" s="5" t="s">
        <v>58</v>
      </c>
      <c r="C69" s="21">
        <v>46552</v>
      </c>
      <c r="D69" s="5">
        <v>24</v>
      </c>
      <c r="E69" s="5">
        <v>5</v>
      </c>
      <c r="F69" s="5">
        <v>5</v>
      </c>
      <c r="G69" s="7">
        <f t="shared" ca="1" si="27"/>
        <v>8730</v>
      </c>
      <c r="H69" s="5">
        <v>0</v>
      </c>
      <c r="I69" s="5">
        <f>'B-ADIENT CHUSION'!BI67</f>
        <v>3384</v>
      </c>
      <c r="J69" s="12">
        <f t="shared" ca="1" si="15"/>
        <v>12.9</v>
      </c>
      <c r="K69" s="5">
        <f t="shared" ca="1" si="16"/>
        <v>3150</v>
      </c>
      <c r="L69" s="5">
        <v>0</v>
      </c>
      <c r="M69" s="5">
        <f ca="1">'B-ADIENT CHUSION'!$D$99</f>
        <v>0.04</v>
      </c>
      <c r="N69" s="5">
        <v>0</v>
      </c>
      <c r="O69" s="5">
        <v>6</v>
      </c>
      <c r="P69" s="5"/>
      <c r="Q69" s="5">
        <v>0</v>
      </c>
      <c r="R69" s="5">
        <f t="shared" si="17"/>
        <v>677</v>
      </c>
      <c r="S69" s="5">
        <v>3</v>
      </c>
      <c r="T69" s="6">
        <v>1.2</v>
      </c>
      <c r="U69" s="5">
        <f t="shared" si="29"/>
        <v>35</v>
      </c>
      <c r="V69" s="5">
        <f t="shared" ca="1" si="18"/>
        <v>3150</v>
      </c>
      <c r="W69" s="5">
        <v>0</v>
      </c>
      <c r="X69" s="6">
        <v>0</v>
      </c>
      <c r="Y69" s="5">
        <f t="shared" si="19"/>
        <v>35</v>
      </c>
      <c r="Z69" s="5">
        <f t="shared" ca="1" si="20"/>
        <v>0</v>
      </c>
      <c r="AA69" s="5">
        <v>0</v>
      </c>
      <c r="AB69" s="6">
        <v>0</v>
      </c>
      <c r="AC69" s="5">
        <f t="shared" si="21"/>
        <v>35</v>
      </c>
      <c r="AD69" s="5">
        <f t="shared" ca="1" si="22"/>
        <v>0</v>
      </c>
      <c r="AE69" s="7">
        <f t="shared" si="23"/>
        <v>3</v>
      </c>
      <c r="AF69" s="5" t="e">
        <f t="shared" si="28"/>
        <v>#DIV/0!</v>
      </c>
      <c r="AG69" s="5">
        <f t="shared" ca="1" si="24"/>
        <v>126</v>
      </c>
      <c r="AH69" s="5">
        <f t="shared" si="25"/>
        <v>105</v>
      </c>
      <c r="AI69" s="6">
        <f t="shared" ca="1" si="26"/>
        <v>1.2</v>
      </c>
    </row>
    <row r="70" spans="2:35" x14ac:dyDescent="0.2">
      <c r="B70" s="5" t="s">
        <v>58</v>
      </c>
      <c r="C70" s="21">
        <v>46559</v>
      </c>
      <c r="D70" s="5">
        <v>25</v>
      </c>
      <c r="E70" s="5">
        <v>6</v>
      </c>
      <c r="F70" s="5">
        <v>5</v>
      </c>
      <c r="G70" s="7">
        <f t="shared" ca="1" si="27"/>
        <v>9126</v>
      </c>
      <c r="H70" s="5">
        <v>0</v>
      </c>
      <c r="I70" s="5">
        <f>'B-ADIENT CHUSION'!BJ67</f>
        <v>3384</v>
      </c>
      <c r="J70" s="12">
        <f t="shared" ca="1" si="15"/>
        <v>13.5</v>
      </c>
      <c r="K70" s="5">
        <f t="shared" ca="1" si="16"/>
        <v>3780</v>
      </c>
      <c r="L70" s="5">
        <v>0</v>
      </c>
      <c r="M70" s="5">
        <f ca="1">'B-ADIENT CHUSION'!$D$99</f>
        <v>0.04</v>
      </c>
      <c r="N70" s="5">
        <v>0</v>
      </c>
      <c r="O70" s="5">
        <v>6</v>
      </c>
      <c r="P70" s="5"/>
      <c r="Q70" s="5">
        <v>0</v>
      </c>
      <c r="R70" s="5">
        <f t="shared" si="17"/>
        <v>677</v>
      </c>
      <c r="S70" s="5">
        <v>3</v>
      </c>
      <c r="T70" s="6">
        <v>1.2</v>
      </c>
      <c r="U70" s="5">
        <f t="shared" si="29"/>
        <v>42</v>
      </c>
      <c r="V70" s="5">
        <f t="shared" ca="1" si="18"/>
        <v>3780</v>
      </c>
      <c r="W70" s="5">
        <v>0</v>
      </c>
      <c r="X70" s="6">
        <v>0</v>
      </c>
      <c r="Y70" s="5">
        <f t="shared" si="19"/>
        <v>42</v>
      </c>
      <c r="Z70" s="5">
        <f t="shared" ca="1" si="20"/>
        <v>0</v>
      </c>
      <c r="AA70" s="5">
        <v>0</v>
      </c>
      <c r="AB70" s="6">
        <v>0</v>
      </c>
      <c r="AC70" s="5">
        <f t="shared" si="21"/>
        <v>42</v>
      </c>
      <c r="AD70" s="5">
        <f t="shared" ca="1" si="22"/>
        <v>0</v>
      </c>
      <c r="AE70" s="7">
        <f t="shared" si="23"/>
        <v>3</v>
      </c>
      <c r="AF70" s="5" t="e">
        <f t="shared" si="28"/>
        <v>#DIV/0!</v>
      </c>
      <c r="AG70" s="5">
        <f t="shared" ca="1" si="24"/>
        <v>151.20000000000002</v>
      </c>
      <c r="AH70" s="5">
        <f t="shared" si="25"/>
        <v>126</v>
      </c>
      <c r="AI70" s="6">
        <f t="shared" ca="1" si="26"/>
        <v>1.2000000000000002</v>
      </c>
    </row>
    <row r="71" spans="2:35" x14ac:dyDescent="0.2">
      <c r="B71" s="5" t="s">
        <v>58</v>
      </c>
      <c r="C71" s="21">
        <v>46566</v>
      </c>
      <c r="D71" s="5">
        <v>26</v>
      </c>
      <c r="E71" s="5">
        <v>4</v>
      </c>
      <c r="F71" s="5">
        <v>5</v>
      </c>
      <c r="G71" s="7">
        <f t="shared" ca="1" si="27"/>
        <v>9522</v>
      </c>
      <c r="H71" s="5">
        <v>0</v>
      </c>
      <c r="I71" s="5">
        <f>'B-ADIENT CHUSION'!BK67</f>
        <v>3384</v>
      </c>
      <c r="J71" s="12">
        <f t="shared" ca="1" si="15"/>
        <v>14.1</v>
      </c>
      <c r="K71" s="5">
        <f t="shared" ca="1" si="16"/>
        <v>2520</v>
      </c>
      <c r="L71" s="5">
        <v>0</v>
      </c>
      <c r="M71" s="5">
        <f ca="1">'B-ADIENT CHUSION'!$D$99</f>
        <v>0.04</v>
      </c>
      <c r="N71" s="5">
        <v>0</v>
      </c>
      <c r="O71" s="5">
        <v>6</v>
      </c>
      <c r="P71" s="5"/>
      <c r="Q71" s="5">
        <v>0</v>
      </c>
      <c r="R71" s="5">
        <f t="shared" si="17"/>
        <v>677</v>
      </c>
      <c r="S71" s="5">
        <v>3</v>
      </c>
      <c r="T71" s="6">
        <v>1.2</v>
      </c>
      <c r="U71" s="5">
        <f t="shared" si="29"/>
        <v>28</v>
      </c>
      <c r="V71" s="5">
        <f t="shared" ca="1" si="18"/>
        <v>2520</v>
      </c>
      <c r="W71" s="5">
        <v>0</v>
      </c>
      <c r="X71" s="6">
        <v>0</v>
      </c>
      <c r="Y71" s="5">
        <f t="shared" si="19"/>
        <v>28</v>
      </c>
      <c r="Z71" s="5">
        <f t="shared" ca="1" si="20"/>
        <v>0</v>
      </c>
      <c r="AA71" s="5">
        <v>0</v>
      </c>
      <c r="AB71" s="6">
        <v>0</v>
      </c>
      <c r="AC71" s="5">
        <f t="shared" si="21"/>
        <v>28</v>
      </c>
      <c r="AD71" s="5">
        <f t="shared" ca="1" si="22"/>
        <v>0</v>
      </c>
      <c r="AE71" s="7">
        <f t="shared" si="23"/>
        <v>3</v>
      </c>
      <c r="AF71" s="5" t="e">
        <f t="shared" si="28"/>
        <v>#DIV/0!</v>
      </c>
      <c r="AG71" s="5">
        <f t="shared" ca="1" si="24"/>
        <v>100.8</v>
      </c>
      <c r="AH71" s="5">
        <f t="shared" si="25"/>
        <v>84</v>
      </c>
      <c r="AI71" s="6">
        <f t="shared" ca="1" si="26"/>
        <v>1.2</v>
      </c>
    </row>
    <row r="72" spans="2:35" x14ac:dyDescent="0.2">
      <c r="B72" s="5" t="s">
        <v>59</v>
      </c>
      <c r="C72" s="21">
        <v>46573</v>
      </c>
      <c r="D72" s="5">
        <v>27</v>
      </c>
      <c r="E72" s="5">
        <v>1</v>
      </c>
      <c r="F72" s="5">
        <v>5</v>
      </c>
      <c r="G72" s="7">
        <f t="shared" ca="1" si="27"/>
        <v>9918</v>
      </c>
      <c r="H72" s="5">
        <v>0</v>
      </c>
      <c r="I72" s="5">
        <f>'B-ADIENT CHUSION'!BL67</f>
        <v>3365</v>
      </c>
      <c r="J72" s="12">
        <f t="shared" ca="1" si="15"/>
        <v>14.7</v>
      </c>
      <c r="K72" s="5">
        <f t="shared" ca="1" si="16"/>
        <v>630</v>
      </c>
      <c r="L72" s="5">
        <v>0</v>
      </c>
      <c r="M72" s="5">
        <f ca="1">'B-ADIENT CHUSION'!$D$99</f>
        <v>0.04</v>
      </c>
      <c r="N72" s="5">
        <v>0</v>
      </c>
      <c r="O72" s="5">
        <v>7</v>
      </c>
      <c r="P72" s="5"/>
      <c r="Q72" s="5">
        <v>0</v>
      </c>
      <c r="R72" s="5">
        <f t="shared" si="17"/>
        <v>673</v>
      </c>
      <c r="S72" s="5">
        <v>3</v>
      </c>
      <c r="T72" s="6">
        <v>1.2</v>
      </c>
      <c r="U72" s="5">
        <f t="shared" si="29"/>
        <v>7</v>
      </c>
      <c r="V72" s="5">
        <f t="shared" ca="1" si="18"/>
        <v>630</v>
      </c>
      <c r="W72" s="5">
        <v>0</v>
      </c>
      <c r="X72" s="6">
        <v>0</v>
      </c>
      <c r="Y72" s="5">
        <f t="shared" si="19"/>
        <v>7</v>
      </c>
      <c r="Z72" s="5">
        <f t="shared" ca="1" si="20"/>
        <v>0</v>
      </c>
      <c r="AA72" s="5">
        <v>0</v>
      </c>
      <c r="AB72" s="6">
        <v>0</v>
      </c>
      <c r="AC72" s="5">
        <f t="shared" si="21"/>
        <v>7</v>
      </c>
      <c r="AD72" s="5">
        <f t="shared" ca="1" si="22"/>
        <v>0</v>
      </c>
      <c r="AE72" s="7">
        <f t="shared" si="23"/>
        <v>3</v>
      </c>
      <c r="AF72" s="5" t="e">
        <f t="shared" si="28"/>
        <v>#DIV/0!</v>
      </c>
      <c r="AG72" s="5">
        <f t="shared" ca="1" si="24"/>
        <v>25.2</v>
      </c>
      <c r="AH72" s="5">
        <f t="shared" si="25"/>
        <v>21</v>
      </c>
      <c r="AI72" s="6">
        <f t="shared" ca="1" si="26"/>
        <v>1.2</v>
      </c>
    </row>
    <row r="73" spans="2:35" x14ac:dyDescent="0.2">
      <c r="B73" s="5" t="s">
        <v>59</v>
      </c>
      <c r="C73" s="21">
        <v>46580</v>
      </c>
      <c r="D73" s="5">
        <v>28</v>
      </c>
      <c r="E73" s="5">
        <v>6</v>
      </c>
      <c r="F73" s="5">
        <v>5</v>
      </c>
      <c r="G73" s="7">
        <f t="shared" ca="1" si="27"/>
        <v>10333</v>
      </c>
      <c r="H73" s="5">
        <v>0</v>
      </c>
      <c r="I73" s="5">
        <f>'B-ADIENT CHUSION'!BM67</f>
        <v>3365</v>
      </c>
      <c r="J73" s="12">
        <f t="shared" ca="1" si="15"/>
        <v>15.4</v>
      </c>
      <c r="K73" s="5">
        <f t="shared" ca="1" si="16"/>
        <v>3780</v>
      </c>
      <c r="L73" s="5">
        <v>0</v>
      </c>
      <c r="M73" s="5">
        <f ca="1">'B-ADIENT CHUSION'!$D$99</f>
        <v>0.04</v>
      </c>
      <c r="N73" s="5">
        <v>0</v>
      </c>
      <c r="O73" s="5">
        <v>7</v>
      </c>
      <c r="P73" s="5"/>
      <c r="Q73" s="5">
        <v>0</v>
      </c>
      <c r="R73" s="5">
        <f t="shared" si="17"/>
        <v>673</v>
      </c>
      <c r="S73" s="5">
        <v>3</v>
      </c>
      <c r="T73" s="6">
        <v>1.2</v>
      </c>
      <c r="U73" s="5">
        <f t="shared" si="29"/>
        <v>42</v>
      </c>
      <c r="V73" s="5">
        <f t="shared" ca="1" si="18"/>
        <v>3780</v>
      </c>
      <c r="W73" s="5">
        <v>0</v>
      </c>
      <c r="X73" s="6">
        <v>0</v>
      </c>
      <c r="Y73" s="5">
        <f t="shared" si="19"/>
        <v>42</v>
      </c>
      <c r="Z73" s="5">
        <f t="shared" ca="1" si="20"/>
        <v>0</v>
      </c>
      <c r="AA73" s="5">
        <v>0</v>
      </c>
      <c r="AB73" s="6">
        <v>0</v>
      </c>
      <c r="AC73" s="5">
        <f t="shared" si="21"/>
        <v>42</v>
      </c>
      <c r="AD73" s="5">
        <f t="shared" ca="1" si="22"/>
        <v>0</v>
      </c>
      <c r="AE73" s="7">
        <f t="shared" si="23"/>
        <v>3</v>
      </c>
      <c r="AF73" s="5" t="e">
        <f t="shared" si="28"/>
        <v>#DIV/0!</v>
      </c>
      <c r="AG73" s="5">
        <f t="shared" ca="1" si="24"/>
        <v>151.20000000000002</v>
      </c>
      <c r="AH73" s="5">
        <f t="shared" si="25"/>
        <v>126</v>
      </c>
      <c r="AI73" s="6">
        <f t="shared" ca="1" si="26"/>
        <v>1.2000000000000002</v>
      </c>
    </row>
    <row r="74" spans="2:35" x14ac:dyDescent="0.2">
      <c r="B74" s="5" t="s">
        <v>59</v>
      </c>
      <c r="C74" s="21">
        <v>46587</v>
      </c>
      <c r="D74" s="5">
        <v>29</v>
      </c>
      <c r="E74" s="5">
        <v>6</v>
      </c>
      <c r="F74" s="24">
        <v>9</v>
      </c>
      <c r="G74" s="7">
        <f t="shared" ca="1" si="27"/>
        <v>10118</v>
      </c>
      <c r="H74" s="5">
        <v>0</v>
      </c>
      <c r="I74" s="5">
        <f>'B-ADIENT CHUSION'!BN67</f>
        <v>6142</v>
      </c>
      <c r="J74" s="12">
        <f t="shared" ca="1" si="15"/>
        <v>14.8</v>
      </c>
      <c r="K74" s="5">
        <f t="shared" ca="1" si="16"/>
        <v>3780</v>
      </c>
      <c r="L74" s="5">
        <v>0</v>
      </c>
      <c r="M74" s="5">
        <f ca="1">'B-ADIENT CHUSION'!$D$99</f>
        <v>0.04</v>
      </c>
      <c r="N74" s="5">
        <v>0</v>
      </c>
      <c r="O74" s="5">
        <v>7</v>
      </c>
      <c r="P74" s="5"/>
      <c r="Q74" s="5">
        <v>0</v>
      </c>
      <c r="R74" s="5">
        <f t="shared" si="17"/>
        <v>682</v>
      </c>
      <c r="S74" s="5">
        <v>3</v>
      </c>
      <c r="T74" s="6">
        <v>1.2</v>
      </c>
      <c r="U74" s="5">
        <f t="shared" si="29"/>
        <v>42</v>
      </c>
      <c r="V74" s="5">
        <f t="shared" ca="1" si="18"/>
        <v>3780</v>
      </c>
      <c r="W74" s="5">
        <v>0</v>
      </c>
      <c r="X74" s="6">
        <v>0</v>
      </c>
      <c r="Y74" s="5">
        <f t="shared" si="19"/>
        <v>42</v>
      </c>
      <c r="Z74" s="5">
        <f t="shared" ca="1" si="20"/>
        <v>0</v>
      </c>
      <c r="AA74" s="5">
        <v>0</v>
      </c>
      <c r="AB74" s="6">
        <v>0</v>
      </c>
      <c r="AC74" s="5">
        <f t="shared" si="21"/>
        <v>42</v>
      </c>
      <c r="AD74" s="5">
        <f t="shared" ca="1" si="22"/>
        <v>0</v>
      </c>
      <c r="AE74" s="7">
        <f t="shared" si="23"/>
        <v>3</v>
      </c>
      <c r="AF74" s="5" t="e">
        <f t="shared" si="28"/>
        <v>#DIV/0!</v>
      </c>
      <c r="AG74" s="5">
        <f t="shared" ca="1" si="24"/>
        <v>151.20000000000002</v>
      </c>
      <c r="AH74" s="5">
        <f t="shared" si="25"/>
        <v>126</v>
      </c>
      <c r="AI74" s="6">
        <f t="shared" ca="1" si="26"/>
        <v>1.2000000000000002</v>
      </c>
    </row>
    <row r="75" spans="2:35" x14ac:dyDescent="0.2">
      <c r="B75" s="5" t="s">
        <v>59</v>
      </c>
      <c r="C75" s="21">
        <v>46594</v>
      </c>
      <c r="D75" s="5">
        <v>30</v>
      </c>
      <c r="E75" s="5">
        <v>5</v>
      </c>
      <c r="F75" s="29">
        <v>6</v>
      </c>
      <c r="G75" s="7">
        <f t="shared" ca="1" si="27"/>
        <v>7756</v>
      </c>
      <c r="H75" s="5">
        <v>0</v>
      </c>
      <c r="I75" s="5">
        <f>'B-ADIENT CHUSION'!BO67</f>
        <v>0</v>
      </c>
      <c r="J75" s="12" t="str">
        <f t="shared" si="15"/>
        <v>N/S</v>
      </c>
      <c r="K75" s="5">
        <f t="shared" ca="1" si="16"/>
        <v>3150</v>
      </c>
      <c r="L75" s="5">
        <v>0</v>
      </c>
      <c r="M75" s="5">
        <f ca="1">'B-ADIENT CHUSION'!$D$99</f>
        <v>0.04</v>
      </c>
      <c r="N75" s="5">
        <v>0</v>
      </c>
      <c r="O75" s="5">
        <v>7</v>
      </c>
      <c r="P75" s="5"/>
      <c r="Q75" s="5">
        <v>0</v>
      </c>
      <c r="R75" s="5">
        <f t="shared" si="17"/>
        <v>0</v>
      </c>
      <c r="S75" s="5">
        <v>3</v>
      </c>
      <c r="T75" s="6">
        <v>1.2</v>
      </c>
      <c r="U75" s="5">
        <f t="shared" si="29"/>
        <v>35</v>
      </c>
      <c r="V75" s="5">
        <f t="shared" ca="1" si="18"/>
        <v>3150</v>
      </c>
      <c r="W75" s="5">
        <v>0</v>
      </c>
      <c r="X75" s="6">
        <v>0</v>
      </c>
      <c r="Y75" s="5">
        <f t="shared" si="19"/>
        <v>35</v>
      </c>
      <c r="Z75" s="5">
        <f t="shared" ca="1" si="20"/>
        <v>0</v>
      </c>
      <c r="AA75" s="5">
        <v>0</v>
      </c>
      <c r="AB75" s="6">
        <v>0</v>
      </c>
      <c r="AC75" s="5">
        <f t="shared" si="21"/>
        <v>35</v>
      </c>
      <c r="AD75" s="5">
        <f t="shared" ca="1" si="22"/>
        <v>0</v>
      </c>
      <c r="AE75" s="7">
        <f t="shared" si="23"/>
        <v>3</v>
      </c>
      <c r="AF75" s="5" t="e">
        <f t="shared" si="28"/>
        <v>#DIV/0!</v>
      </c>
      <c r="AG75" s="5">
        <f t="shared" ca="1" si="24"/>
        <v>126</v>
      </c>
      <c r="AH75" s="5">
        <f t="shared" si="25"/>
        <v>105</v>
      </c>
      <c r="AI75" s="6">
        <f t="shared" ca="1" si="26"/>
        <v>1.2</v>
      </c>
    </row>
    <row r="76" spans="2:35" x14ac:dyDescent="0.2">
      <c r="B76" s="5" t="s">
        <v>60</v>
      </c>
      <c r="C76" s="21">
        <v>46601</v>
      </c>
      <c r="D76" s="5">
        <v>31</v>
      </c>
      <c r="E76" s="5">
        <v>6</v>
      </c>
      <c r="F76" s="29">
        <v>6</v>
      </c>
      <c r="G76" s="7">
        <f t="shared" ca="1" si="27"/>
        <v>10276</v>
      </c>
      <c r="H76" s="5">
        <v>0</v>
      </c>
      <c r="I76" s="5">
        <f>'B-ADIENT CHUSION'!BP67</f>
        <v>0</v>
      </c>
      <c r="J76" s="12" t="str">
        <f t="shared" ref="J76:J89" si="30">IF(I76=0,"N/S",ROUND( ( ((G76) * 1)/I76)*F76,1))</f>
        <v>N/S</v>
      </c>
      <c r="K76" s="5">
        <f t="shared" ref="K76:K89" ca="1" si="31">V76+Z76+AD76</f>
        <v>3780</v>
      </c>
      <c r="L76" s="5">
        <v>0</v>
      </c>
      <c r="M76" s="5">
        <f ca="1">'B-ADIENT CHUSION'!$D$99</f>
        <v>0.04</v>
      </c>
      <c r="N76" s="5">
        <v>0</v>
      </c>
      <c r="O76" s="5">
        <v>8</v>
      </c>
      <c r="P76" s="5"/>
      <c r="Q76" s="5">
        <v>0</v>
      </c>
      <c r="R76" s="5">
        <f t="shared" ref="R76:R89" si="32">IF(F76=0,0,ROUND(I76/F76,0))</f>
        <v>0</v>
      </c>
      <c r="S76" s="5">
        <v>3</v>
      </c>
      <c r="T76" s="6">
        <v>1.2</v>
      </c>
      <c r="U76" s="5">
        <f t="shared" si="29"/>
        <v>42</v>
      </c>
      <c r="V76" s="5">
        <f t="shared" ref="V76:V89" ca="1" si="33">ROUND(((S76*T76*U76)/M76),0)</f>
        <v>3780</v>
      </c>
      <c r="W76" s="5">
        <v>0</v>
      </c>
      <c r="X76" s="6">
        <v>0</v>
      </c>
      <c r="Y76" s="5">
        <f t="shared" ref="Y76:Y89" si="34">U76</f>
        <v>42</v>
      </c>
      <c r="Z76" s="5">
        <f t="shared" ref="Z76:Z89" ca="1" si="35">ROUND(((W76*X76*Y76)/M76),0)</f>
        <v>0</v>
      </c>
      <c r="AA76" s="5">
        <v>0</v>
      </c>
      <c r="AB76" s="6">
        <v>0</v>
      </c>
      <c r="AC76" s="5">
        <f t="shared" ref="AC76:AC89" si="36">E76*7-N76</f>
        <v>42</v>
      </c>
      <c r="AD76" s="5">
        <f t="shared" ref="AD76:AD89" ca="1" si="37">ROUND(((AA76*AB76*AC76)/M76),0)</f>
        <v>0</v>
      </c>
      <c r="AE76" s="7">
        <f t="shared" ref="AE76:AE89" si="38">S76+W76+AA76</f>
        <v>3</v>
      </c>
      <c r="AF76" s="5" t="e">
        <f t="shared" si="28"/>
        <v>#DIV/0!</v>
      </c>
      <c r="AG76" s="5">
        <f t="shared" ref="AG76:AG89" ca="1" si="39">K76*M76</f>
        <v>151.20000000000002</v>
      </c>
      <c r="AH76" s="5">
        <f t="shared" ref="AH76:AH89" si="40">S76*U76+W76*Y76+AA76*AC76</f>
        <v>126</v>
      </c>
      <c r="AI76" s="6">
        <f t="shared" ref="AI76:AI89" ca="1" si="41">IF(AH76=0,0,AG76/AH76)</f>
        <v>1.2000000000000002</v>
      </c>
    </row>
    <row r="77" spans="2:35" x14ac:dyDescent="0.2">
      <c r="B77" s="5" t="s">
        <v>60</v>
      </c>
      <c r="C77" s="21">
        <v>46608</v>
      </c>
      <c r="D77" s="5">
        <v>32</v>
      </c>
      <c r="E77" s="5">
        <v>0</v>
      </c>
      <c r="F77" s="29">
        <v>0</v>
      </c>
      <c r="G77" s="7">
        <f t="shared" ca="1" si="27"/>
        <v>10906</v>
      </c>
      <c r="H77" s="5">
        <v>0</v>
      </c>
      <c r="I77" s="5">
        <f>'B-ADIENT CHUSION'!BQ67</f>
        <v>0</v>
      </c>
      <c r="J77" s="12" t="str">
        <f t="shared" si="30"/>
        <v>N/S</v>
      </c>
      <c r="K77" s="5">
        <f t="shared" ca="1" si="31"/>
        <v>0</v>
      </c>
      <c r="L77" s="5">
        <v>0</v>
      </c>
      <c r="M77" s="5">
        <f ca="1">'B-ADIENT CHUSION'!$D$99</f>
        <v>0.04</v>
      </c>
      <c r="N77" s="5">
        <v>0</v>
      </c>
      <c r="O77" s="5">
        <v>8</v>
      </c>
      <c r="P77" s="5"/>
      <c r="Q77" s="5">
        <v>0</v>
      </c>
      <c r="R77" s="5">
        <f t="shared" si="32"/>
        <v>0</v>
      </c>
      <c r="S77" s="5">
        <v>3</v>
      </c>
      <c r="T77" s="6">
        <v>1.2</v>
      </c>
      <c r="U77" s="5">
        <f t="shared" si="29"/>
        <v>0</v>
      </c>
      <c r="V77" s="5">
        <f t="shared" ca="1" si="33"/>
        <v>0</v>
      </c>
      <c r="W77" s="5">
        <v>0</v>
      </c>
      <c r="X77" s="6">
        <v>0</v>
      </c>
      <c r="Y77" s="5">
        <f t="shared" si="34"/>
        <v>0</v>
      </c>
      <c r="Z77" s="5">
        <f t="shared" ca="1" si="35"/>
        <v>0</v>
      </c>
      <c r="AA77" s="5">
        <v>0</v>
      </c>
      <c r="AB77" s="6">
        <v>0</v>
      </c>
      <c r="AC77" s="5">
        <f t="shared" si="36"/>
        <v>0</v>
      </c>
      <c r="AD77" s="5">
        <f t="shared" ca="1" si="37"/>
        <v>0</v>
      </c>
      <c r="AE77" s="7">
        <f t="shared" si="38"/>
        <v>3</v>
      </c>
      <c r="AF77" s="5" t="e">
        <f t="shared" si="28"/>
        <v>#DIV/0!</v>
      </c>
      <c r="AG77" s="5">
        <f t="shared" ca="1" si="39"/>
        <v>0</v>
      </c>
      <c r="AH77" s="5">
        <f t="shared" si="40"/>
        <v>0</v>
      </c>
      <c r="AI77" s="6">
        <f t="shared" si="41"/>
        <v>0</v>
      </c>
    </row>
    <row r="78" spans="2:35" x14ac:dyDescent="0.2">
      <c r="B78" s="5" t="s">
        <v>60</v>
      </c>
      <c r="C78" s="21">
        <v>46615</v>
      </c>
      <c r="D78" s="5">
        <v>33</v>
      </c>
      <c r="E78" s="5">
        <v>0</v>
      </c>
      <c r="F78" s="31">
        <v>0</v>
      </c>
      <c r="G78" s="7">
        <f t="shared" ca="1" si="27"/>
        <v>14686</v>
      </c>
      <c r="H78" s="5">
        <v>0</v>
      </c>
      <c r="I78" s="5">
        <f>'B-ADIENT CHUSION'!BR67</f>
        <v>0</v>
      </c>
      <c r="J78" s="12" t="str">
        <f t="shared" si="30"/>
        <v>N/S</v>
      </c>
      <c r="K78" s="5">
        <f t="shared" ca="1" si="31"/>
        <v>0</v>
      </c>
      <c r="L78" s="5">
        <v>0</v>
      </c>
      <c r="M78" s="5">
        <f ca="1">'B-ADIENT CHUSION'!$D$99</f>
        <v>0.04</v>
      </c>
      <c r="N78" s="5">
        <v>0</v>
      </c>
      <c r="O78" s="5">
        <v>8</v>
      </c>
      <c r="P78" s="5"/>
      <c r="Q78" s="5">
        <v>0</v>
      </c>
      <c r="R78" s="5">
        <f t="shared" si="32"/>
        <v>0</v>
      </c>
      <c r="S78" s="5">
        <v>3</v>
      </c>
      <c r="T78" s="6">
        <v>1.2</v>
      </c>
      <c r="U78" s="5">
        <f t="shared" si="29"/>
        <v>0</v>
      </c>
      <c r="V78" s="5">
        <f t="shared" ca="1" si="33"/>
        <v>0</v>
      </c>
      <c r="W78" s="5">
        <v>0</v>
      </c>
      <c r="X78" s="6">
        <v>0</v>
      </c>
      <c r="Y78" s="5">
        <f t="shared" si="34"/>
        <v>0</v>
      </c>
      <c r="Z78" s="5">
        <f t="shared" ca="1" si="35"/>
        <v>0</v>
      </c>
      <c r="AA78" s="5">
        <v>0</v>
      </c>
      <c r="AB78" s="6">
        <v>0</v>
      </c>
      <c r="AC78" s="5">
        <f t="shared" si="36"/>
        <v>0</v>
      </c>
      <c r="AD78" s="5">
        <f t="shared" ca="1" si="37"/>
        <v>0</v>
      </c>
      <c r="AE78" s="7">
        <f t="shared" si="38"/>
        <v>3</v>
      </c>
      <c r="AF78" s="5" t="e">
        <f t="shared" si="28"/>
        <v>#DIV/0!</v>
      </c>
      <c r="AG78" s="5">
        <f t="shared" ca="1" si="39"/>
        <v>0</v>
      </c>
      <c r="AH78" s="5">
        <f t="shared" si="40"/>
        <v>0</v>
      </c>
      <c r="AI78" s="6">
        <f t="shared" si="41"/>
        <v>0</v>
      </c>
    </row>
    <row r="79" spans="2:35" x14ac:dyDescent="0.2">
      <c r="B79" s="5" t="s">
        <v>60</v>
      </c>
      <c r="C79" s="21">
        <v>46622</v>
      </c>
      <c r="D79" s="5">
        <v>34</v>
      </c>
      <c r="E79" s="5">
        <v>5</v>
      </c>
      <c r="F79" s="5">
        <v>5</v>
      </c>
      <c r="G79" s="7">
        <f t="shared" ca="1" si="27"/>
        <v>18466</v>
      </c>
      <c r="H79" s="5">
        <v>0</v>
      </c>
      <c r="I79" s="5">
        <f>'B-ADIENT CHUSION'!BS67</f>
        <v>3365</v>
      </c>
      <c r="J79" s="12">
        <f t="shared" ca="1" si="30"/>
        <v>27.4</v>
      </c>
      <c r="K79" s="5">
        <f t="shared" ca="1" si="31"/>
        <v>3150</v>
      </c>
      <c r="L79" s="5">
        <v>0</v>
      </c>
      <c r="M79" s="5">
        <f ca="1">'B-ADIENT CHUSION'!$D$99</f>
        <v>0.04</v>
      </c>
      <c r="N79" s="5">
        <v>0</v>
      </c>
      <c r="O79" s="5">
        <v>8</v>
      </c>
      <c r="P79" s="5"/>
      <c r="Q79" s="5">
        <v>0</v>
      </c>
      <c r="R79" s="5">
        <f t="shared" si="32"/>
        <v>673</v>
      </c>
      <c r="S79" s="5">
        <v>3</v>
      </c>
      <c r="T79" s="6">
        <v>1.2</v>
      </c>
      <c r="U79" s="5">
        <f t="shared" si="29"/>
        <v>35</v>
      </c>
      <c r="V79" s="5">
        <f t="shared" ca="1" si="33"/>
        <v>3150</v>
      </c>
      <c r="W79" s="5">
        <v>0</v>
      </c>
      <c r="X79" s="6">
        <v>0</v>
      </c>
      <c r="Y79" s="5">
        <f t="shared" si="34"/>
        <v>35</v>
      </c>
      <c r="Z79" s="5">
        <f t="shared" ca="1" si="35"/>
        <v>0</v>
      </c>
      <c r="AA79" s="5">
        <v>0</v>
      </c>
      <c r="AB79" s="6">
        <v>0</v>
      </c>
      <c r="AC79" s="5">
        <f t="shared" si="36"/>
        <v>35</v>
      </c>
      <c r="AD79" s="5">
        <f t="shared" ca="1" si="37"/>
        <v>0</v>
      </c>
      <c r="AE79" s="7">
        <f t="shared" si="38"/>
        <v>3</v>
      </c>
      <c r="AF79" s="5" t="e">
        <f t="shared" si="28"/>
        <v>#DIV/0!</v>
      </c>
      <c r="AG79" s="5">
        <f t="shared" ca="1" si="39"/>
        <v>126</v>
      </c>
      <c r="AH79" s="5">
        <f t="shared" si="40"/>
        <v>105</v>
      </c>
      <c r="AI79" s="6">
        <f t="shared" ca="1" si="41"/>
        <v>1.2</v>
      </c>
    </row>
    <row r="80" spans="2:35" x14ac:dyDescent="0.2">
      <c r="B80" s="5" t="s">
        <v>60</v>
      </c>
      <c r="C80" s="21">
        <v>46629</v>
      </c>
      <c r="D80" s="5">
        <v>35</v>
      </c>
      <c r="E80" s="5">
        <v>6</v>
      </c>
      <c r="F80" s="5">
        <v>5</v>
      </c>
      <c r="G80" s="7">
        <f t="shared" ca="1" si="27"/>
        <v>18251</v>
      </c>
      <c r="H80" s="5">
        <v>0</v>
      </c>
      <c r="I80" s="5">
        <f>'B-ADIENT CHUSION'!BT67</f>
        <v>3365</v>
      </c>
      <c r="J80" s="12">
        <f t="shared" ca="1" si="30"/>
        <v>27.1</v>
      </c>
      <c r="K80" s="5">
        <f t="shared" ca="1" si="31"/>
        <v>3780</v>
      </c>
      <c r="L80" s="5">
        <v>0</v>
      </c>
      <c r="M80" s="5">
        <f ca="1">'B-ADIENT CHUSION'!$D$99</f>
        <v>0.04</v>
      </c>
      <c r="N80" s="5">
        <v>0</v>
      </c>
      <c r="O80" s="5">
        <v>8</v>
      </c>
      <c r="P80" s="5"/>
      <c r="Q80" s="5">
        <v>0</v>
      </c>
      <c r="R80" s="5">
        <f t="shared" si="32"/>
        <v>673</v>
      </c>
      <c r="S80" s="5">
        <v>3</v>
      </c>
      <c r="T80" s="6">
        <v>1.2</v>
      </c>
      <c r="U80" s="5">
        <f t="shared" si="29"/>
        <v>42</v>
      </c>
      <c r="V80" s="5">
        <f t="shared" ca="1" si="33"/>
        <v>3780</v>
      </c>
      <c r="W80" s="5">
        <v>0</v>
      </c>
      <c r="X80" s="6">
        <v>0</v>
      </c>
      <c r="Y80" s="5">
        <f t="shared" si="34"/>
        <v>42</v>
      </c>
      <c r="Z80" s="5">
        <f t="shared" ca="1" si="35"/>
        <v>0</v>
      </c>
      <c r="AA80" s="5">
        <v>0</v>
      </c>
      <c r="AB80" s="6">
        <v>0</v>
      </c>
      <c r="AC80" s="5">
        <f t="shared" si="36"/>
        <v>42</v>
      </c>
      <c r="AD80" s="5">
        <f t="shared" ca="1" si="37"/>
        <v>0</v>
      </c>
      <c r="AE80" s="7">
        <f t="shared" si="38"/>
        <v>3</v>
      </c>
      <c r="AF80" s="5" t="e">
        <f t="shared" si="28"/>
        <v>#DIV/0!</v>
      </c>
      <c r="AG80" s="5">
        <f t="shared" ca="1" si="39"/>
        <v>151.20000000000002</v>
      </c>
      <c r="AH80" s="5">
        <f t="shared" si="40"/>
        <v>126</v>
      </c>
      <c r="AI80" s="6">
        <f t="shared" ca="1" si="41"/>
        <v>1.2000000000000002</v>
      </c>
    </row>
    <row r="81" spans="2:35" x14ac:dyDescent="0.2">
      <c r="B81" s="5" t="s">
        <v>61</v>
      </c>
      <c r="C81" s="21">
        <v>46636</v>
      </c>
      <c r="D81" s="5">
        <v>36</v>
      </c>
      <c r="E81" s="5">
        <v>6</v>
      </c>
      <c r="F81" s="5">
        <v>5</v>
      </c>
      <c r="G81" s="7">
        <f t="shared" ref="G81:G89" ca="1" si="42">(G80+H80-I80+K76)</f>
        <v>18666</v>
      </c>
      <c r="H81" s="5">
        <v>0</v>
      </c>
      <c r="I81" s="5">
        <f>'B-ADIENT CHUSION'!BU67</f>
        <v>3365</v>
      </c>
      <c r="J81" s="12">
        <f t="shared" ca="1" si="30"/>
        <v>27.7</v>
      </c>
      <c r="K81" s="5">
        <f t="shared" ca="1" si="31"/>
        <v>3780</v>
      </c>
      <c r="L81" s="5">
        <v>0</v>
      </c>
      <c r="M81" s="5">
        <f ca="1">'B-ADIENT CHUSION'!$D$99</f>
        <v>0.04</v>
      </c>
      <c r="N81" s="5">
        <v>0</v>
      </c>
      <c r="O81" s="5">
        <v>9</v>
      </c>
      <c r="P81" s="5"/>
      <c r="Q81" s="5">
        <v>0</v>
      </c>
      <c r="R81" s="5">
        <f t="shared" si="32"/>
        <v>673</v>
      </c>
      <c r="S81" s="5">
        <v>3</v>
      </c>
      <c r="T81" s="6">
        <v>1.2</v>
      </c>
      <c r="U81" s="5">
        <f t="shared" si="29"/>
        <v>42</v>
      </c>
      <c r="V81" s="5">
        <f t="shared" ca="1" si="33"/>
        <v>3780</v>
      </c>
      <c r="W81" s="5">
        <v>0</v>
      </c>
      <c r="X81" s="6">
        <v>0</v>
      </c>
      <c r="Y81" s="5">
        <f t="shared" si="34"/>
        <v>42</v>
      </c>
      <c r="Z81" s="5">
        <f t="shared" ca="1" si="35"/>
        <v>0</v>
      </c>
      <c r="AA81" s="5">
        <v>0</v>
      </c>
      <c r="AB81" s="6">
        <v>0</v>
      </c>
      <c r="AC81" s="5">
        <f t="shared" si="36"/>
        <v>42</v>
      </c>
      <c r="AD81" s="5">
        <f t="shared" ca="1" si="37"/>
        <v>0</v>
      </c>
      <c r="AE81" s="7">
        <f t="shared" si="38"/>
        <v>3</v>
      </c>
      <c r="AF81" s="5" t="e">
        <f t="shared" si="28"/>
        <v>#DIV/0!</v>
      </c>
      <c r="AG81" s="5">
        <f t="shared" ca="1" si="39"/>
        <v>151.20000000000002</v>
      </c>
      <c r="AH81" s="5">
        <f t="shared" si="40"/>
        <v>126</v>
      </c>
      <c r="AI81" s="6">
        <f t="shared" ca="1" si="41"/>
        <v>1.2000000000000002</v>
      </c>
    </row>
    <row r="82" spans="2:35" x14ac:dyDescent="0.2">
      <c r="B82" s="5" t="s">
        <v>61</v>
      </c>
      <c r="C82" s="21">
        <v>46643</v>
      </c>
      <c r="D82" s="5">
        <v>37</v>
      </c>
      <c r="E82" s="5">
        <v>6</v>
      </c>
      <c r="F82" s="5">
        <v>5</v>
      </c>
      <c r="G82" s="7">
        <f t="shared" ca="1" si="42"/>
        <v>15301</v>
      </c>
      <c r="H82" s="5">
        <v>0</v>
      </c>
      <c r="I82" s="5">
        <f>'B-ADIENT CHUSION'!BV67</f>
        <v>3365</v>
      </c>
      <c r="J82" s="12">
        <f t="shared" ca="1" si="30"/>
        <v>22.7</v>
      </c>
      <c r="K82" s="5">
        <f t="shared" ca="1" si="31"/>
        <v>3780</v>
      </c>
      <c r="L82" s="5">
        <v>0</v>
      </c>
      <c r="M82" s="5">
        <f ca="1">'B-ADIENT CHUSION'!$D$99</f>
        <v>0.04</v>
      </c>
      <c r="N82" s="5">
        <v>0</v>
      </c>
      <c r="O82" s="5">
        <v>9</v>
      </c>
      <c r="P82" s="5"/>
      <c r="Q82" s="5">
        <v>0</v>
      </c>
      <c r="R82" s="5">
        <f t="shared" si="32"/>
        <v>673</v>
      </c>
      <c r="S82" s="5">
        <v>3</v>
      </c>
      <c r="T82" s="6">
        <v>1.2</v>
      </c>
      <c r="U82" s="5">
        <f t="shared" si="29"/>
        <v>42</v>
      </c>
      <c r="V82" s="5">
        <f t="shared" ca="1" si="33"/>
        <v>3780</v>
      </c>
      <c r="W82" s="5">
        <v>0</v>
      </c>
      <c r="X82" s="6">
        <v>0</v>
      </c>
      <c r="Y82" s="5">
        <f t="shared" si="34"/>
        <v>42</v>
      </c>
      <c r="Z82" s="5">
        <f t="shared" ca="1" si="35"/>
        <v>0</v>
      </c>
      <c r="AA82" s="5">
        <v>0</v>
      </c>
      <c r="AB82" s="6">
        <v>0</v>
      </c>
      <c r="AC82" s="5">
        <f t="shared" si="36"/>
        <v>42</v>
      </c>
      <c r="AD82" s="5">
        <f t="shared" ca="1" si="37"/>
        <v>0</v>
      </c>
      <c r="AE82" s="7">
        <f t="shared" si="38"/>
        <v>3</v>
      </c>
      <c r="AF82" s="5" t="e">
        <f t="shared" si="28"/>
        <v>#DIV/0!</v>
      </c>
      <c r="AG82" s="5">
        <f t="shared" ca="1" si="39"/>
        <v>151.20000000000002</v>
      </c>
      <c r="AH82" s="5">
        <f t="shared" si="40"/>
        <v>126</v>
      </c>
      <c r="AI82" s="6">
        <f t="shared" ca="1" si="41"/>
        <v>1.2000000000000002</v>
      </c>
    </row>
    <row r="83" spans="2:35" x14ac:dyDescent="0.2">
      <c r="B83" s="5" t="s">
        <v>61</v>
      </c>
      <c r="C83" s="21">
        <v>46650</v>
      </c>
      <c r="D83" s="5">
        <v>38</v>
      </c>
      <c r="E83" s="5">
        <v>6</v>
      </c>
      <c r="F83" s="5">
        <v>5</v>
      </c>
      <c r="G83" s="7">
        <f t="shared" ca="1" si="42"/>
        <v>11936</v>
      </c>
      <c r="H83" s="5">
        <v>0</v>
      </c>
      <c r="I83" s="5">
        <f>'B-ADIENT CHUSION'!BW67</f>
        <v>3365</v>
      </c>
      <c r="J83" s="12">
        <f t="shared" ca="1" si="30"/>
        <v>17.7</v>
      </c>
      <c r="K83" s="5">
        <f t="shared" ca="1" si="31"/>
        <v>3780</v>
      </c>
      <c r="L83" s="5">
        <v>0</v>
      </c>
      <c r="M83" s="5">
        <f ca="1">'B-ADIENT CHUSION'!$D$99</f>
        <v>0.04</v>
      </c>
      <c r="N83" s="5">
        <v>0</v>
      </c>
      <c r="O83" s="5">
        <v>9</v>
      </c>
      <c r="P83" s="5"/>
      <c r="Q83" s="5">
        <v>0</v>
      </c>
      <c r="R83" s="5">
        <f t="shared" si="32"/>
        <v>673</v>
      </c>
      <c r="S83" s="5">
        <v>3</v>
      </c>
      <c r="T83" s="6">
        <v>1.2</v>
      </c>
      <c r="U83" s="5">
        <f t="shared" si="29"/>
        <v>42</v>
      </c>
      <c r="V83" s="5">
        <f t="shared" ca="1" si="33"/>
        <v>3780</v>
      </c>
      <c r="W83" s="5">
        <v>0</v>
      </c>
      <c r="X83" s="6">
        <v>0</v>
      </c>
      <c r="Y83" s="5">
        <f t="shared" si="34"/>
        <v>42</v>
      </c>
      <c r="Z83" s="5">
        <f t="shared" ca="1" si="35"/>
        <v>0</v>
      </c>
      <c r="AA83" s="5">
        <v>0</v>
      </c>
      <c r="AB83" s="6">
        <v>0</v>
      </c>
      <c r="AC83" s="5">
        <f t="shared" si="36"/>
        <v>42</v>
      </c>
      <c r="AD83" s="5">
        <f t="shared" ca="1" si="37"/>
        <v>0</v>
      </c>
      <c r="AE83" s="7">
        <f t="shared" si="38"/>
        <v>3</v>
      </c>
      <c r="AF83" s="5" t="e">
        <f t="shared" si="28"/>
        <v>#DIV/0!</v>
      </c>
      <c r="AG83" s="5">
        <f t="shared" ca="1" si="39"/>
        <v>151.20000000000002</v>
      </c>
      <c r="AH83" s="5">
        <f t="shared" si="40"/>
        <v>126</v>
      </c>
      <c r="AI83" s="6">
        <f t="shared" ca="1" si="41"/>
        <v>1.2000000000000002</v>
      </c>
    </row>
    <row r="84" spans="2:35" x14ac:dyDescent="0.2">
      <c r="B84" s="5" t="s">
        <v>61</v>
      </c>
      <c r="C84" s="21">
        <v>46657</v>
      </c>
      <c r="D84" s="5">
        <v>39</v>
      </c>
      <c r="E84" s="5">
        <v>4</v>
      </c>
      <c r="F84" s="5">
        <v>5</v>
      </c>
      <c r="G84" s="7">
        <f t="shared" ca="1" si="42"/>
        <v>11721</v>
      </c>
      <c r="H84" s="5">
        <v>0</v>
      </c>
      <c r="I84" s="5">
        <f>'B-ADIENT CHUSION'!BX67</f>
        <v>3365</v>
      </c>
      <c r="J84" s="12">
        <f t="shared" ca="1" si="30"/>
        <v>17.399999999999999</v>
      </c>
      <c r="K84" s="5">
        <f t="shared" ca="1" si="31"/>
        <v>2520</v>
      </c>
      <c r="L84" s="5">
        <v>0</v>
      </c>
      <c r="M84" s="5">
        <f ca="1">'B-ADIENT CHUSION'!$D$99</f>
        <v>0.04</v>
      </c>
      <c r="N84" s="5">
        <v>0</v>
      </c>
      <c r="O84" s="5">
        <v>9</v>
      </c>
      <c r="P84" s="5"/>
      <c r="Q84" s="5">
        <v>0</v>
      </c>
      <c r="R84" s="5">
        <f t="shared" si="32"/>
        <v>673</v>
      </c>
      <c r="S84" s="5">
        <v>3</v>
      </c>
      <c r="T84" s="6">
        <v>1.2</v>
      </c>
      <c r="U84" s="5">
        <f t="shared" si="29"/>
        <v>28</v>
      </c>
      <c r="V84" s="5">
        <f t="shared" ca="1" si="33"/>
        <v>2520</v>
      </c>
      <c r="W84" s="5">
        <v>0</v>
      </c>
      <c r="X84" s="6">
        <v>0</v>
      </c>
      <c r="Y84" s="5">
        <f t="shared" si="34"/>
        <v>28</v>
      </c>
      <c r="Z84" s="5">
        <f t="shared" ca="1" si="35"/>
        <v>0</v>
      </c>
      <c r="AA84" s="5">
        <v>0</v>
      </c>
      <c r="AB84" s="6">
        <v>0</v>
      </c>
      <c r="AC84" s="5">
        <f t="shared" si="36"/>
        <v>28</v>
      </c>
      <c r="AD84" s="5">
        <f t="shared" ca="1" si="37"/>
        <v>0</v>
      </c>
      <c r="AE84" s="7">
        <f t="shared" si="38"/>
        <v>3</v>
      </c>
      <c r="AF84" s="5" t="e">
        <f t="shared" si="28"/>
        <v>#DIV/0!</v>
      </c>
      <c r="AG84" s="5">
        <f t="shared" ca="1" si="39"/>
        <v>100.8</v>
      </c>
      <c r="AH84" s="5">
        <f t="shared" si="40"/>
        <v>84</v>
      </c>
      <c r="AI84" s="6">
        <f t="shared" ca="1" si="41"/>
        <v>1.2</v>
      </c>
    </row>
    <row r="85" spans="2:35" x14ac:dyDescent="0.2">
      <c r="B85" s="5" t="s">
        <v>62</v>
      </c>
      <c r="C85" s="21">
        <v>46664</v>
      </c>
      <c r="D85" s="5">
        <v>40</v>
      </c>
      <c r="E85" s="5">
        <v>6</v>
      </c>
      <c r="F85" s="5">
        <v>5</v>
      </c>
      <c r="G85" s="7">
        <f t="shared" ca="1" si="42"/>
        <v>12136</v>
      </c>
      <c r="H85" s="5">
        <v>0</v>
      </c>
      <c r="I85" s="5">
        <f>'B-ADIENT CHUSION'!BY67</f>
        <v>3365</v>
      </c>
      <c r="J85" s="12">
        <f t="shared" ca="1" si="30"/>
        <v>18</v>
      </c>
      <c r="K85" s="5">
        <f t="shared" ca="1" si="31"/>
        <v>3780</v>
      </c>
      <c r="L85" s="5">
        <v>0</v>
      </c>
      <c r="M85" s="5">
        <f ca="1">'B-ADIENT CHUSION'!$D$99</f>
        <v>0.04</v>
      </c>
      <c r="N85" s="5">
        <v>0</v>
      </c>
      <c r="O85" s="5">
        <v>10</v>
      </c>
      <c r="P85" s="5"/>
      <c r="Q85" s="5">
        <v>0</v>
      </c>
      <c r="R85" s="5">
        <f t="shared" si="32"/>
        <v>673</v>
      </c>
      <c r="S85" s="5">
        <v>3</v>
      </c>
      <c r="T85" s="6">
        <v>1.2</v>
      </c>
      <c r="U85" s="5">
        <f t="shared" si="29"/>
        <v>42</v>
      </c>
      <c r="V85" s="5">
        <f t="shared" ca="1" si="33"/>
        <v>3780</v>
      </c>
      <c r="W85" s="5">
        <v>0</v>
      </c>
      <c r="X85" s="6">
        <v>0</v>
      </c>
      <c r="Y85" s="5">
        <f t="shared" si="34"/>
        <v>42</v>
      </c>
      <c r="Z85" s="5">
        <f t="shared" ca="1" si="35"/>
        <v>0</v>
      </c>
      <c r="AA85" s="5">
        <v>0</v>
      </c>
      <c r="AB85" s="6">
        <v>0</v>
      </c>
      <c r="AC85" s="5">
        <f t="shared" si="36"/>
        <v>42</v>
      </c>
      <c r="AD85" s="5">
        <f t="shared" ca="1" si="37"/>
        <v>0</v>
      </c>
      <c r="AE85" s="7">
        <f t="shared" si="38"/>
        <v>3</v>
      </c>
      <c r="AF85" s="5" t="e">
        <f t="shared" si="28"/>
        <v>#DIV/0!</v>
      </c>
      <c r="AG85" s="5">
        <f t="shared" ca="1" si="39"/>
        <v>151.20000000000002</v>
      </c>
      <c r="AH85" s="5">
        <f t="shared" si="40"/>
        <v>126</v>
      </c>
      <c r="AI85" s="6">
        <f t="shared" ca="1" si="41"/>
        <v>1.2000000000000002</v>
      </c>
    </row>
    <row r="86" spans="2:35" x14ac:dyDescent="0.2">
      <c r="B86" s="5" t="s">
        <v>62</v>
      </c>
      <c r="C86" s="21">
        <v>46671</v>
      </c>
      <c r="D86" s="5">
        <v>41</v>
      </c>
      <c r="E86" s="5">
        <v>5</v>
      </c>
      <c r="F86" s="5">
        <v>5</v>
      </c>
      <c r="G86" s="7">
        <f t="shared" ca="1" si="42"/>
        <v>12551</v>
      </c>
      <c r="H86" s="5">
        <v>0</v>
      </c>
      <c r="I86" s="5">
        <f>'B-ADIENT CHUSION'!BZ67</f>
        <v>3365</v>
      </c>
      <c r="J86" s="12">
        <f t="shared" ca="1" si="30"/>
        <v>18.600000000000001</v>
      </c>
      <c r="K86" s="5">
        <f t="shared" ca="1" si="31"/>
        <v>3150</v>
      </c>
      <c r="L86" s="5">
        <v>0</v>
      </c>
      <c r="M86" s="5">
        <f ca="1">'B-ADIENT CHUSION'!$D$99</f>
        <v>0.04</v>
      </c>
      <c r="N86" s="5">
        <v>0</v>
      </c>
      <c r="O86" s="5">
        <v>10</v>
      </c>
      <c r="P86" s="5"/>
      <c r="Q86" s="5">
        <v>0</v>
      </c>
      <c r="R86" s="5">
        <f t="shared" si="32"/>
        <v>673</v>
      </c>
      <c r="S86" s="5">
        <v>3</v>
      </c>
      <c r="T86" s="6">
        <v>1.2</v>
      </c>
      <c r="U86" s="5">
        <f t="shared" si="29"/>
        <v>35</v>
      </c>
      <c r="V86" s="5">
        <f t="shared" ca="1" si="33"/>
        <v>3150</v>
      </c>
      <c r="W86" s="5">
        <v>0</v>
      </c>
      <c r="X86" s="6">
        <v>0</v>
      </c>
      <c r="Y86" s="5">
        <f t="shared" si="34"/>
        <v>35</v>
      </c>
      <c r="Z86" s="5">
        <f t="shared" ca="1" si="35"/>
        <v>0</v>
      </c>
      <c r="AA86" s="5">
        <v>0</v>
      </c>
      <c r="AB86" s="6">
        <v>0</v>
      </c>
      <c r="AC86" s="5">
        <f t="shared" si="36"/>
        <v>35</v>
      </c>
      <c r="AD86" s="5">
        <f t="shared" ca="1" si="37"/>
        <v>0</v>
      </c>
      <c r="AE86" s="7">
        <f t="shared" si="38"/>
        <v>3</v>
      </c>
      <c r="AF86" s="5" t="e">
        <f t="shared" si="28"/>
        <v>#DIV/0!</v>
      </c>
      <c r="AG86" s="5">
        <f t="shared" ca="1" si="39"/>
        <v>126</v>
      </c>
      <c r="AH86" s="5">
        <f t="shared" si="40"/>
        <v>105</v>
      </c>
      <c r="AI86" s="6">
        <f t="shared" ca="1" si="41"/>
        <v>1.2</v>
      </c>
    </row>
    <row r="87" spans="2:35" x14ac:dyDescent="0.2">
      <c r="B87" s="5" t="s">
        <v>62</v>
      </c>
      <c r="C87" s="21">
        <v>46678</v>
      </c>
      <c r="D87" s="5">
        <v>42</v>
      </c>
      <c r="E87" s="5">
        <v>6</v>
      </c>
      <c r="F87" s="5">
        <v>5</v>
      </c>
      <c r="G87" s="7">
        <f t="shared" ca="1" si="42"/>
        <v>12966</v>
      </c>
      <c r="H87" s="5">
        <v>0</v>
      </c>
      <c r="I87" s="5">
        <f>'B-ADIENT CHUSION'!CA67</f>
        <v>3365</v>
      </c>
      <c r="J87" s="12">
        <f t="shared" ca="1" si="30"/>
        <v>19.3</v>
      </c>
      <c r="K87" s="5">
        <f t="shared" ca="1" si="31"/>
        <v>3780</v>
      </c>
      <c r="L87" s="5">
        <v>0</v>
      </c>
      <c r="M87" s="5">
        <f ca="1">'B-ADIENT CHUSION'!$D$99</f>
        <v>0.04</v>
      </c>
      <c r="N87" s="5">
        <v>0</v>
      </c>
      <c r="O87" s="5">
        <v>10</v>
      </c>
      <c r="P87" s="5"/>
      <c r="Q87" s="5">
        <v>0</v>
      </c>
      <c r="R87" s="5">
        <f t="shared" si="32"/>
        <v>673</v>
      </c>
      <c r="S87" s="5">
        <v>3</v>
      </c>
      <c r="T87" s="6">
        <v>1.2</v>
      </c>
      <c r="U87" s="5">
        <f t="shared" si="29"/>
        <v>42</v>
      </c>
      <c r="V87" s="5">
        <f t="shared" ca="1" si="33"/>
        <v>3780</v>
      </c>
      <c r="W87" s="5">
        <v>0</v>
      </c>
      <c r="X87" s="6">
        <v>0</v>
      </c>
      <c r="Y87" s="5">
        <f t="shared" si="34"/>
        <v>42</v>
      </c>
      <c r="Z87" s="5">
        <f t="shared" ca="1" si="35"/>
        <v>0</v>
      </c>
      <c r="AA87" s="5">
        <v>0</v>
      </c>
      <c r="AB87" s="6">
        <v>0</v>
      </c>
      <c r="AC87" s="5">
        <f t="shared" si="36"/>
        <v>42</v>
      </c>
      <c r="AD87" s="5">
        <f t="shared" ca="1" si="37"/>
        <v>0</v>
      </c>
      <c r="AE87" s="7">
        <f t="shared" si="38"/>
        <v>3</v>
      </c>
      <c r="AF87" s="5" t="e">
        <f t="shared" si="28"/>
        <v>#DIV/0!</v>
      </c>
      <c r="AG87" s="5">
        <f t="shared" ca="1" si="39"/>
        <v>151.20000000000002</v>
      </c>
      <c r="AH87" s="5">
        <f t="shared" si="40"/>
        <v>126</v>
      </c>
      <c r="AI87" s="6">
        <f t="shared" ca="1" si="41"/>
        <v>1.2000000000000002</v>
      </c>
    </row>
    <row r="88" spans="2:35" x14ac:dyDescent="0.2">
      <c r="B88" s="5" t="s">
        <v>62</v>
      </c>
      <c r="C88" s="21">
        <v>46685</v>
      </c>
      <c r="D88" s="5">
        <v>43</v>
      </c>
      <c r="E88" s="5">
        <v>6</v>
      </c>
      <c r="F88" s="5">
        <v>5</v>
      </c>
      <c r="G88" s="7">
        <f t="shared" ca="1" si="42"/>
        <v>13381</v>
      </c>
      <c r="H88" s="5">
        <v>0</v>
      </c>
      <c r="I88" s="5">
        <f>'B-ADIENT CHUSION'!CB67</f>
        <v>3365</v>
      </c>
      <c r="J88" s="12">
        <f t="shared" ca="1" si="30"/>
        <v>19.899999999999999</v>
      </c>
      <c r="K88" s="5">
        <f t="shared" ca="1" si="31"/>
        <v>3780</v>
      </c>
      <c r="L88" s="5">
        <v>0</v>
      </c>
      <c r="M88" s="5">
        <f ca="1">'B-ADIENT CHUSION'!$D$99</f>
        <v>0.04</v>
      </c>
      <c r="N88" s="5">
        <v>0</v>
      </c>
      <c r="O88" s="5">
        <v>10</v>
      </c>
      <c r="P88" s="5"/>
      <c r="Q88" s="5">
        <v>0</v>
      </c>
      <c r="R88" s="5">
        <f t="shared" si="32"/>
        <v>673</v>
      </c>
      <c r="S88" s="5">
        <v>3</v>
      </c>
      <c r="T88" s="6">
        <v>1.2</v>
      </c>
      <c r="U88" s="5">
        <f t="shared" si="29"/>
        <v>42</v>
      </c>
      <c r="V88" s="5">
        <f t="shared" ca="1" si="33"/>
        <v>3780</v>
      </c>
      <c r="W88" s="5">
        <v>0</v>
      </c>
      <c r="X88" s="6">
        <v>0</v>
      </c>
      <c r="Y88" s="5">
        <f t="shared" si="34"/>
        <v>42</v>
      </c>
      <c r="Z88" s="5">
        <f t="shared" ca="1" si="35"/>
        <v>0</v>
      </c>
      <c r="AA88" s="5">
        <v>0</v>
      </c>
      <c r="AB88" s="6">
        <v>0</v>
      </c>
      <c r="AC88" s="5">
        <f t="shared" si="36"/>
        <v>42</v>
      </c>
      <c r="AD88" s="5">
        <f t="shared" ca="1" si="37"/>
        <v>0</v>
      </c>
      <c r="AE88" s="7">
        <f t="shared" si="38"/>
        <v>3</v>
      </c>
      <c r="AF88" s="5" t="e">
        <f t="shared" si="28"/>
        <v>#DIV/0!</v>
      </c>
      <c r="AG88" s="5">
        <f t="shared" ca="1" si="39"/>
        <v>151.20000000000002</v>
      </c>
      <c r="AH88" s="5">
        <f t="shared" si="40"/>
        <v>126</v>
      </c>
      <c r="AI88" s="6">
        <f t="shared" ca="1" si="41"/>
        <v>1.2000000000000002</v>
      </c>
    </row>
    <row r="89" spans="2:35" x14ac:dyDescent="0.2">
      <c r="B89" s="5" t="s">
        <v>63</v>
      </c>
      <c r="C89" s="21">
        <v>46692</v>
      </c>
      <c r="D89" s="5">
        <v>44</v>
      </c>
      <c r="E89" s="5">
        <v>6</v>
      </c>
      <c r="F89" s="5">
        <v>5</v>
      </c>
      <c r="G89" s="7">
        <f t="shared" ca="1" si="42"/>
        <v>12536</v>
      </c>
      <c r="H89" s="5">
        <v>0</v>
      </c>
      <c r="I89" s="5">
        <f>'B-ADIENT CHUSION'!CC67</f>
        <v>3365</v>
      </c>
      <c r="J89" s="12">
        <f t="shared" ca="1" si="30"/>
        <v>18.600000000000001</v>
      </c>
      <c r="K89" s="5">
        <f t="shared" ca="1" si="31"/>
        <v>3780</v>
      </c>
      <c r="L89" s="5">
        <v>0</v>
      </c>
      <c r="M89" s="5">
        <f ca="1">'B-ADIENT CHUSION'!$D$99</f>
        <v>0.04</v>
      </c>
      <c r="N89" s="5">
        <v>0</v>
      </c>
      <c r="O89" s="5">
        <v>11</v>
      </c>
      <c r="P89" s="5"/>
      <c r="Q89" s="5">
        <v>0</v>
      </c>
      <c r="R89" s="5">
        <f t="shared" si="32"/>
        <v>673</v>
      </c>
      <c r="S89" s="5">
        <v>3</v>
      </c>
      <c r="T89" s="6">
        <v>1.2</v>
      </c>
      <c r="U89" s="5">
        <f t="shared" si="29"/>
        <v>42</v>
      </c>
      <c r="V89" s="5">
        <f t="shared" ca="1" si="33"/>
        <v>3780</v>
      </c>
      <c r="W89" s="5">
        <v>0</v>
      </c>
      <c r="X89" s="6">
        <v>0</v>
      </c>
      <c r="Y89" s="5">
        <f t="shared" si="34"/>
        <v>42</v>
      </c>
      <c r="Z89" s="5">
        <f t="shared" ca="1" si="35"/>
        <v>0</v>
      </c>
      <c r="AA89" s="5">
        <v>0</v>
      </c>
      <c r="AB89" s="6">
        <v>0</v>
      </c>
      <c r="AC89" s="5">
        <f t="shared" si="36"/>
        <v>42</v>
      </c>
      <c r="AD89" s="5">
        <f t="shared" ca="1" si="37"/>
        <v>0</v>
      </c>
      <c r="AE89" s="7">
        <f t="shared" si="38"/>
        <v>3</v>
      </c>
      <c r="AF89" s="5" t="e">
        <f t="shared" si="28"/>
        <v>#DIV/0!</v>
      </c>
      <c r="AG89" s="5">
        <f t="shared" ca="1" si="39"/>
        <v>151.20000000000002</v>
      </c>
      <c r="AH89" s="5">
        <f t="shared" si="40"/>
        <v>126</v>
      </c>
      <c r="AI89" s="6">
        <f t="shared" ca="1" si="41"/>
        <v>1.2000000000000002</v>
      </c>
    </row>
    <row r="90" spans="2:35" x14ac:dyDescent="0.2">
      <c r="T90" s="13"/>
      <c r="X90" s="13"/>
      <c r="AB90" s="13"/>
    </row>
  </sheetData>
  <mergeCells count="35">
    <mergeCell ref="L1:N1"/>
    <mergeCell ref="B3:P3"/>
    <mergeCell ref="B5:C5"/>
    <mergeCell ref="D5:I5"/>
    <mergeCell ref="J5:P5"/>
    <mergeCell ref="B1:C1"/>
    <mergeCell ref="D1:E1"/>
    <mergeCell ref="F1:G1"/>
    <mergeCell ref="H1:I1"/>
    <mergeCell ref="J1:K1"/>
    <mergeCell ref="B6:C6"/>
    <mergeCell ref="D6:I6"/>
    <mergeCell ref="J6:K6"/>
    <mergeCell ref="L6:M6"/>
    <mergeCell ref="N6:O6"/>
    <mergeCell ref="B7:C7"/>
    <mergeCell ref="D7:I7"/>
    <mergeCell ref="J7:K7"/>
    <mergeCell ref="L7:M7"/>
    <mergeCell ref="N7:O7"/>
    <mergeCell ref="S10:V10"/>
    <mergeCell ref="W10:Z10"/>
    <mergeCell ref="AA10:AD10"/>
    <mergeCell ref="N8:O8"/>
    <mergeCell ref="B9:C9"/>
    <mergeCell ref="E9:F9"/>
    <mergeCell ref="G9:I9"/>
    <mergeCell ref="J9:K9"/>
    <mergeCell ref="L9:M9"/>
    <mergeCell ref="N9:O9"/>
    <mergeCell ref="B8:C8"/>
    <mergeCell ref="E8:F8"/>
    <mergeCell ref="G8:I8"/>
    <mergeCell ref="J8:K8"/>
    <mergeCell ref="L8:M8"/>
  </mergeCells>
  <conditionalFormatting sqref="J12:J89">
    <cfRule type="cellIs" dxfId="14" priority="1" stopIfTrue="1" operator="equal">
      <formula>"N/S"</formula>
    </cfRule>
    <cfRule type="cellIs" dxfId="13" priority="2" stopIfTrue="1" operator="greaterThanOrEqual">
      <formula>$D$9</formula>
    </cfRule>
    <cfRule type="cellIs" dxfId="12" priority="3" stopIfTrue="1" operator="lessThan">
      <formula>$D$9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0CF9-4FC7-46FA-B53B-76F33B922DDF}">
  <dimension ref="A1:CC105"/>
  <sheetViews>
    <sheetView workbookViewId="0">
      <pane xSplit="3" ySplit="13" topLeftCell="D56" activePane="bottomRight" state="frozen"/>
      <selection pane="topRight" activeCell="D1" sqref="D1"/>
      <selection pane="bottomLeft" activeCell="A14" sqref="A14"/>
      <selection pane="bottomRight" activeCell="D58" sqref="D58:F58"/>
    </sheetView>
  </sheetViews>
  <sheetFormatPr defaultRowHeight="12.75" x14ac:dyDescent="0.2"/>
  <cols>
    <col min="1" max="1" width="26.85546875" bestFit="1" customWidth="1"/>
    <col min="2" max="2" width="12.140625" bestFit="1" customWidth="1"/>
    <col min="3" max="3" width="16" bestFit="1" customWidth="1"/>
    <col min="4" max="4" width="16.5703125" bestFit="1" customWidth="1"/>
    <col min="5" max="5" width="10.42578125" bestFit="1" customWidth="1"/>
    <col min="6" max="12" width="6.7109375" bestFit="1" customWidth="1"/>
    <col min="13" max="13" width="7" bestFit="1" customWidth="1"/>
    <col min="14" max="17" width="6.7109375" bestFit="1" customWidth="1"/>
    <col min="18" max="81" width="7.5703125" bestFit="1" customWidth="1"/>
  </cols>
  <sheetData>
    <row r="1" spans="1:81" x14ac:dyDescent="0.2">
      <c r="B1" s="5" t="s">
        <v>0</v>
      </c>
      <c r="C1" s="14" t="s">
        <v>1</v>
      </c>
      <c r="D1" s="5" t="s">
        <v>2</v>
      </c>
      <c r="E1" s="14" t="s">
        <v>3</v>
      </c>
      <c r="F1" s="85" t="s">
        <v>4</v>
      </c>
      <c r="G1" s="86"/>
      <c r="H1" s="87" t="s">
        <v>5</v>
      </c>
      <c r="I1" s="87"/>
      <c r="J1" s="87"/>
    </row>
    <row r="2" spans="1:81" x14ac:dyDescent="0.2"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</row>
    <row r="3" spans="1:81" ht="51" x14ac:dyDescent="0.2">
      <c r="B3" s="82" t="s">
        <v>69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" t="s">
        <v>757</v>
      </c>
      <c r="O3" s="62">
        <v>7</v>
      </c>
    </row>
    <row r="4" spans="1:81" x14ac:dyDescent="0.2">
      <c r="D4">
        <v>2</v>
      </c>
      <c r="E4">
        <v>3</v>
      </c>
      <c r="F4">
        <v>4</v>
      </c>
      <c r="N4" s="63" t="s">
        <v>758</v>
      </c>
      <c r="O4" s="62">
        <v>10</v>
      </c>
    </row>
    <row r="5" spans="1:81" ht="51" x14ac:dyDescent="0.2">
      <c r="B5" s="5" t="s">
        <v>7</v>
      </c>
      <c r="C5" s="78" t="s">
        <v>8</v>
      </c>
      <c r="D5" s="78"/>
      <c r="E5" s="78"/>
      <c r="F5" s="78"/>
      <c r="G5" s="77" t="s">
        <v>70</v>
      </c>
      <c r="H5" s="77"/>
      <c r="I5" s="78">
        <v>0</v>
      </c>
      <c r="J5" s="78"/>
      <c r="K5" s="77" t="s">
        <v>71</v>
      </c>
      <c r="L5" s="77"/>
      <c r="M5" s="15">
        <v>4</v>
      </c>
      <c r="N5" s="1" t="s">
        <v>759</v>
      </c>
      <c r="O5" s="62">
        <v>95</v>
      </c>
      <c r="AK5">
        <v>0</v>
      </c>
      <c r="AL5">
        <v>0</v>
      </c>
      <c r="AM5">
        <v>0</v>
      </c>
      <c r="AN5">
        <v>3686</v>
      </c>
      <c r="AO5">
        <v>3686</v>
      </c>
      <c r="AP5">
        <v>3686</v>
      </c>
      <c r="AQ5">
        <v>4452</v>
      </c>
      <c r="AR5">
        <v>4452</v>
      </c>
      <c r="AS5">
        <v>3562</v>
      </c>
      <c r="AT5">
        <v>4452</v>
      </c>
      <c r="AU5">
        <v>4230</v>
      </c>
      <c r="AV5">
        <v>4230</v>
      </c>
      <c r="AW5">
        <v>4230</v>
      </c>
      <c r="AX5">
        <v>4230</v>
      </c>
      <c r="AY5">
        <v>3384</v>
      </c>
      <c r="AZ5">
        <v>3384</v>
      </c>
      <c r="BA5">
        <v>3384</v>
      </c>
      <c r="BB5">
        <v>3384</v>
      </c>
      <c r="BC5">
        <v>3384</v>
      </c>
      <c r="BD5">
        <v>3384</v>
      </c>
      <c r="BE5">
        <v>3384</v>
      </c>
      <c r="BF5">
        <v>3384</v>
      </c>
      <c r="BG5">
        <v>3384</v>
      </c>
      <c r="BH5">
        <v>3384</v>
      </c>
      <c r="BI5">
        <v>3384</v>
      </c>
      <c r="BJ5">
        <v>3384</v>
      </c>
      <c r="BK5">
        <v>3384</v>
      </c>
      <c r="BL5">
        <v>3365</v>
      </c>
      <c r="BM5">
        <v>3365</v>
      </c>
      <c r="BN5">
        <v>6142</v>
      </c>
      <c r="BO5">
        <v>0</v>
      </c>
      <c r="BP5">
        <v>0</v>
      </c>
      <c r="BQ5">
        <v>0</v>
      </c>
      <c r="BR5">
        <v>0</v>
      </c>
      <c r="BS5">
        <v>3365</v>
      </c>
      <c r="BT5">
        <v>3365</v>
      </c>
      <c r="BU5">
        <v>3365</v>
      </c>
      <c r="BV5">
        <v>3365</v>
      </c>
      <c r="BW5">
        <v>3365</v>
      </c>
      <c r="BX5">
        <v>3365</v>
      </c>
      <c r="BY5">
        <v>3365</v>
      </c>
      <c r="BZ5">
        <v>3365</v>
      </c>
      <c r="CA5">
        <v>3365</v>
      </c>
      <c r="CB5">
        <v>3365</v>
      </c>
      <c r="CC5">
        <v>3365</v>
      </c>
    </row>
    <row r="6" spans="1:81" x14ac:dyDescent="0.2">
      <c r="B6" s="5" t="s">
        <v>9</v>
      </c>
      <c r="C6" s="78" t="s">
        <v>324</v>
      </c>
      <c r="D6" s="78"/>
      <c r="E6" s="78"/>
      <c r="F6" s="78"/>
      <c r="G6" s="77" t="s">
        <v>11</v>
      </c>
      <c r="H6" s="77"/>
      <c r="I6" s="78" t="s">
        <v>12</v>
      </c>
      <c r="J6" s="78"/>
      <c r="K6" s="77" t="s">
        <v>13</v>
      </c>
      <c r="L6" s="77"/>
      <c r="M6" s="16">
        <v>1.08</v>
      </c>
      <c r="N6" s="63" t="s">
        <v>760</v>
      </c>
      <c r="O6" s="62">
        <v>14</v>
      </c>
    </row>
    <row r="7" spans="1:81" x14ac:dyDescent="0.2">
      <c r="B7" s="5" t="s">
        <v>14</v>
      </c>
      <c r="C7" s="78" t="s">
        <v>325</v>
      </c>
      <c r="D7" s="78"/>
      <c r="E7" s="78"/>
      <c r="F7" s="78"/>
      <c r="G7" s="77" t="s">
        <v>16</v>
      </c>
      <c r="H7" s="77"/>
      <c r="I7" s="78" t="s">
        <v>326</v>
      </c>
      <c r="J7" s="78"/>
      <c r="K7" s="77" t="s">
        <v>18</v>
      </c>
      <c r="L7" s="77"/>
      <c r="M7" s="15">
        <v>7</v>
      </c>
      <c r="N7" s="63" t="s">
        <v>761</v>
      </c>
      <c r="O7" s="62">
        <v>16</v>
      </c>
    </row>
    <row r="8" spans="1:81" ht="38.25" x14ac:dyDescent="0.2">
      <c r="B8" s="5" t="s">
        <v>19</v>
      </c>
      <c r="C8" s="17" t="s">
        <v>20</v>
      </c>
      <c r="D8" s="5" t="s">
        <v>21</v>
      </c>
      <c r="E8" s="79" t="s">
        <v>22</v>
      </c>
      <c r="F8" s="78"/>
      <c r="G8" s="77" t="s">
        <v>23</v>
      </c>
      <c r="H8" s="77"/>
      <c r="I8" s="78">
        <v>78</v>
      </c>
      <c r="J8" s="78"/>
      <c r="K8" s="77" t="s">
        <v>24</v>
      </c>
      <c r="L8" s="77"/>
      <c r="M8" s="5">
        <v>4</v>
      </c>
      <c r="N8" s="64" t="s">
        <v>762</v>
      </c>
      <c r="O8" s="65">
        <v>5</v>
      </c>
    </row>
    <row r="9" spans="1:81" ht="25.5" x14ac:dyDescent="0.2">
      <c r="B9" s="5" t="s">
        <v>25</v>
      </c>
      <c r="C9" s="15">
        <v>10</v>
      </c>
      <c r="D9" s="5" t="s">
        <v>26</v>
      </c>
      <c r="E9" s="78" t="s">
        <v>27</v>
      </c>
      <c r="F9" s="78"/>
      <c r="G9" s="77" t="s">
        <v>28</v>
      </c>
      <c r="H9" s="77"/>
      <c r="I9" s="78">
        <v>99</v>
      </c>
      <c r="J9" s="78"/>
      <c r="K9" s="77" t="s">
        <v>29</v>
      </c>
      <c r="L9" s="77"/>
      <c r="M9" s="15">
        <v>6.4600000000000005E-2</v>
      </c>
      <c r="N9" s="64" t="s">
        <v>763</v>
      </c>
      <c r="O9" s="66">
        <v>-0.01</v>
      </c>
    </row>
    <row r="10" spans="1:81" x14ac:dyDescent="0.2">
      <c r="C10" s="37" t="s">
        <v>72</v>
      </c>
      <c r="D10" s="38">
        <f t="shared" ref="D10:AI10" ca="1" si="0">D90-D69</f>
        <v>-1.0999999999999899E-2</v>
      </c>
      <c r="E10" s="38">
        <f t="shared" ca="1" si="0"/>
        <v>-1.0999999999999899E-2</v>
      </c>
      <c r="F10" s="38">
        <f t="shared" ca="1" si="0"/>
        <v>-1.0999999999999899E-2</v>
      </c>
      <c r="G10" s="38">
        <f t="shared" ca="1" si="0"/>
        <v>1.2</v>
      </c>
      <c r="H10" s="38">
        <f t="shared" ca="1" si="0"/>
        <v>1.2</v>
      </c>
      <c r="I10" s="38">
        <f t="shared" ca="1" si="0"/>
        <v>1.2</v>
      </c>
      <c r="J10" s="38">
        <f t="shared" ca="1" si="0"/>
        <v>1.2</v>
      </c>
      <c r="K10" s="38">
        <f t="shared" ca="1" si="0"/>
        <v>1.2</v>
      </c>
      <c r="L10" s="38">
        <f t="shared" ca="1" si="0"/>
        <v>1.2000000000000002</v>
      </c>
      <c r="M10" s="38">
        <f t="shared" si="0"/>
        <v>0</v>
      </c>
      <c r="N10" s="38">
        <f t="shared" si="0"/>
        <v>0</v>
      </c>
      <c r="O10" s="38">
        <f t="shared" ca="1" si="0"/>
        <v>1.2000000000000002</v>
      </c>
      <c r="P10" s="38">
        <f t="shared" ca="1" si="0"/>
        <v>1.2000000000000002</v>
      </c>
      <c r="Q10" s="38">
        <f t="shared" ca="1" si="0"/>
        <v>1.2000000000000002</v>
      </c>
      <c r="R10" s="38">
        <f t="shared" ca="1" si="0"/>
        <v>1.2000000000000002</v>
      </c>
      <c r="S10" s="38">
        <f t="shared" ca="1" si="0"/>
        <v>1.2</v>
      </c>
      <c r="T10" s="38">
        <f t="shared" ca="1" si="0"/>
        <v>1.2000000000000002</v>
      </c>
      <c r="U10" s="38">
        <f t="shared" ca="1" si="0"/>
        <v>1.2000000000000002</v>
      </c>
      <c r="V10" s="38">
        <f t="shared" ca="1" si="0"/>
        <v>1.2000000000000002</v>
      </c>
      <c r="W10" s="38">
        <f t="shared" ca="1" si="0"/>
        <v>1.2</v>
      </c>
      <c r="X10" s="38">
        <f t="shared" ca="1" si="0"/>
        <v>1.2</v>
      </c>
      <c r="Y10" s="38">
        <f t="shared" ca="1" si="0"/>
        <v>1.2</v>
      </c>
      <c r="Z10" s="38">
        <f t="shared" ca="1" si="0"/>
        <v>1.2000000000000002</v>
      </c>
      <c r="AA10" s="38">
        <f t="shared" ca="1" si="0"/>
        <v>1.2000000000000002</v>
      </c>
      <c r="AB10" s="38">
        <f t="shared" ca="1" si="0"/>
        <v>1.2000000000000002</v>
      </c>
      <c r="AC10" s="38">
        <f t="shared" ca="1" si="0"/>
        <v>1.2000000000000002</v>
      </c>
      <c r="AD10" s="38">
        <f t="shared" ca="1" si="0"/>
        <v>1.2000000000000002</v>
      </c>
      <c r="AE10" s="38">
        <f t="shared" ca="1" si="0"/>
        <v>1.2000000000000002</v>
      </c>
      <c r="AF10" s="38">
        <f t="shared" ca="1" si="0"/>
        <v>1.2000000000000002</v>
      </c>
      <c r="AG10" s="38">
        <f t="shared" ca="1" si="0"/>
        <v>1.2000000000000002</v>
      </c>
      <c r="AH10" s="38">
        <f t="shared" ca="1" si="0"/>
        <v>1.2000000000000002</v>
      </c>
      <c r="AI10" s="38">
        <f t="shared" ca="1" si="0"/>
        <v>1.2000000000000002</v>
      </c>
      <c r="AJ10" s="38">
        <f t="shared" ref="AJ10:BO10" ca="1" si="1">AJ90-AJ69</f>
        <v>1.2000000000000002</v>
      </c>
      <c r="AK10" s="38">
        <f t="shared" si="1"/>
        <v>0</v>
      </c>
      <c r="AL10" s="38">
        <f t="shared" ca="1" si="1"/>
        <v>1.2000000000000002</v>
      </c>
      <c r="AM10" s="38">
        <f t="shared" ca="1" si="1"/>
        <v>1.2</v>
      </c>
      <c r="AN10" s="38">
        <f t="shared" ca="1" si="1"/>
        <v>1.2000000000000002</v>
      </c>
      <c r="AO10" s="38">
        <f t="shared" ca="1" si="1"/>
        <v>1.2000000000000002</v>
      </c>
      <c r="AP10" s="38">
        <f t="shared" ca="1" si="1"/>
        <v>1.2</v>
      </c>
      <c r="AQ10" s="38">
        <f t="shared" ca="1" si="1"/>
        <v>1.2000000000000002</v>
      </c>
      <c r="AR10" s="38">
        <f t="shared" ca="1" si="1"/>
        <v>1.2003265306122448</v>
      </c>
      <c r="AS10" s="38">
        <f t="shared" ca="1" si="1"/>
        <v>1.2</v>
      </c>
      <c r="AT10" s="38">
        <f t="shared" ca="1" si="1"/>
        <v>1.2</v>
      </c>
      <c r="AU10" s="38">
        <f t="shared" ca="1" si="1"/>
        <v>1.2</v>
      </c>
      <c r="AV10" s="38">
        <f t="shared" ca="1" si="1"/>
        <v>1.2005442176870749</v>
      </c>
      <c r="AW10" s="38">
        <f t="shared" ca="1" si="1"/>
        <v>1.2000000000000002</v>
      </c>
      <c r="AX10" s="38">
        <f t="shared" ca="1" si="1"/>
        <v>1.2</v>
      </c>
      <c r="AY10" s="38">
        <f t="shared" ca="1" si="1"/>
        <v>1.2000000000000002</v>
      </c>
      <c r="AZ10" s="38">
        <f t="shared" ca="1" si="1"/>
        <v>1.2</v>
      </c>
      <c r="BA10" s="38">
        <f t="shared" ca="1" si="1"/>
        <v>1.2</v>
      </c>
      <c r="BB10" s="38">
        <f t="shared" ca="1" si="1"/>
        <v>1.2</v>
      </c>
      <c r="BC10" s="38">
        <f t="shared" ca="1" si="1"/>
        <v>1.2000000000000002</v>
      </c>
      <c r="BD10" s="38">
        <f t="shared" ca="1" si="1"/>
        <v>1.2000000000000002</v>
      </c>
      <c r="BE10" s="38">
        <f t="shared" ca="1" si="1"/>
        <v>1.2000000000000002</v>
      </c>
      <c r="BF10" s="38">
        <f t="shared" ca="1" si="1"/>
        <v>1.2000000000000002</v>
      </c>
      <c r="BG10" s="38">
        <f t="shared" ca="1" si="1"/>
        <v>1.2000000000000002</v>
      </c>
      <c r="BH10" s="38">
        <f t="shared" ca="1" si="1"/>
        <v>1.2000000000000002</v>
      </c>
      <c r="BI10" s="38">
        <f t="shared" ca="1" si="1"/>
        <v>1.2</v>
      </c>
      <c r="BJ10" s="38">
        <f t="shared" ca="1" si="1"/>
        <v>1.2000000000000002</v>
      </c>
      <c r="BK10" s="38">
        <f t="shared" ca="1" si="1"/>
        <v>1.2</v>
      </c>
      <c r="BL10" s="38">
        <f t="shared" ca="1" si="1"/>
        <v>1.2</v>
      </c>
      <c r="BM10" s="38">
        <f t="shared" ca="1" si="1"/>
        <v>1.2000000000000002</v>
      </c>
      <c r="BN10" s="38">
        <f t="shared" ca="1" si="1"/>
        <v>1.2000000000000002</v>
      </c>
      <c r="BO10" s="38">
        <f t="shared" ca="1" si="1"/>
        <v>1.2</v>
      </c>
      <c r="BP10" s="38">
        <f t="shared" ref="BP10:CC10" ca="1" si="2">BP90-BP69</f>
        <v>1.2000000000000002</v>
      </c>
      <c r="BQ10" s="38">
        <f t="shared" si="2"/>
        <v>0</v>
      </c>
      <c r="BR10" s="38">
        <f t="shared" si="2"/>
        <v>0</v>
      </c>
      <c r="BS10" s="38">
        <f t="shared" ca="1" si="2"/>
        <v>1.2</v>
      </c>
      <c r="BT10" s="38">
        <f t="shared" ca="1" si="2"/>
        <v>1.2000000000000002</v>
      </c>
      <c r="BU10" s="38">
        <f t="shared" ca="1" si="2"/>
        <v>1.2000000000000002</v>
      </c>
      <c r="BV10" s="38">
        <f t="shared" ca="1" si="2"/>
        <v>1.2000000000000002</v>
      </c>
      <c r="BW10" s="38">
        <f t="shared" ca="1" si="2"/>
        <v>1.2000000000000002</v>
      </c>
      <c r="BX10" s="38">
        <f t="shared" ca="1" si="2"/>
        <v>1.2</v>
      </c>
      <c r="BY10" s="38">
        <f t="shared" ca="1" si="2"/>
        <v>1.2000000000000002</v>
      </c>
      <c r="BZ10" s="38">
        <f t="shared" ca="1" si="2"/>
        <v>1.2</v>
      </c>
      <c r="CA10" s="38">
        <f t="shared" ca="1" si="2"/>
        <v>1.2000000000000002</v>
      </c>
      <c r="CB10" s="38">
        <f t="shared" ca="1" si="2"/>
        <v>1.2000000000000002</v>
      </c>
      <c r="CC10" s="38">
        <f t="shared" ca="1" si="2"/>
        <v>1.2000000000000002</v>
      </c>
    </row>
    <row r="11" spans="1:81" x14ac:dyDescent="0.2">
      <c r="A11" s="39" t="s">
        <v>73</v>
      </c>
      <c r="B11" s="39" t="s">
        <v>74</v>
      </c>
      <c r="C11" s="39" t="s">
        <v>34</v>
      </c>
      <c r="D11" s="40" t="s">
        <v>75</v>
      </c>
      <c r="E11" s="40" t="s">
        <v>76</v>
      </c>
      <c r="F11" s="40" t="s">
        <v>77</v>
      </c>
      <c r="G11" s="40" t="s">
        <v>78</v>
      </c>
      <c r="H11" s="40" t="s">
        <v>79</v>
      </c>
      <c r="I11" s="40" t="s">
        <v>80</v>
      </c>
      <c r="J11" s="40" t="s">
        <v>81</v>
      </c>
      <c r="K11" s="40" t="s">
        <v>82</v>
      </c>
      <c r="L11" s="40" t="s">
        <v>83</v>
      </c>
      <c r="M11" s="40" t="s">
        <v>84</v>
      </c>
      <c r="N11" s="40" t="s">
        <v>85</v>
      </c>
      <c r="O11" s="40" t="s">
        <v>86</v>
      </c>
      <c r="P11" s="40" t="s">
        <v>87</v>
      </c>
      <c r="Q11" s="40" t="s">
        <v>88</v>
      </c>
      <c r="R11" s="40" t="s">
        <v>89</v>
      </c>
      <c r="S11" s="40" t="s">
        <v>90</v>
      </c>
      <c r="T11" s="40" t="s">
        <v>91</v>
      </c>
      <c r="U11" s="40" t="s">
        <v>92</v>
      </c>
      <c r="V11" s="40" t="s">
        <v>93</v>
      </c>
      <c r="W11" s="40" t="s">
        <v>94</v>
      </c>
      <c r="X11" s="40" t="s">
        <v>95</v>
      </c>
      <c r="Y11" s="40" t="s">
        <v>96</v>
      </c>
      <c r="Z11" s="40" t="s">
        <v>97</v>
      </c>
      <c r="AA11" s="40" t="s">
        <v>98</v>
      </c>
      <c r="AB11" s="40" t="s">
        <v>99</v>
      </c>
      <c r="AC11" s="40" t="s">
        <v>100</v>
      </c>
      <c r="AD11" s="40" t="s">
        <v>101</v>
      </c>
      <c r="AE11" s="40" t="s">
        <v>102</v>
      </c>
      <c r="AF11" s="40" t="s">
        <v>103</v>
      </c>
      <c r="AG11" s="40" t="s">
        <v>104</v>
      </c>
      <c r="AH11" s="40" t="s">
        <v>105</v>
      </c>
      <c r="AI11" s="40" t="s">
        <v>106</v>
      </c>
      <c r="AJ11" s="40" t="s">
        <v>107</v>
      </c>
      <c r="AK11" s="40" t="s">
        <v>108</v>
      </c>
      <c r="AL11" s="40" t="s">
        <v>109</v>
      </c>
      <c r="AM11" s="40" t="s">
        <v>110</v>
      </c>
      <c r="AN11" s="40" t="s">
        <v>111</v>
      </c>
      <c r="AO11" s="40" t="s">
        <v>112</v>
      </c>
      <c r="AP11" s="40" t="s">
        <v>113</v>
      </c>
      <c r="AQ11" s="40" t="s">
        <v>114</v>
      </c>
      <c r="AR11" s="40" t="s">
        <v>115</v>
      </c>
      <c r="AS11" s="40" t="s">
        <v>116</v>
      </c>
      <c r="AT11" s="40" t="s">
        <v>117</v>
      </c>
      <c r="AU11" s="40" t="s">
        <v>118</v>
      </c>
      <c r="AV11" s="40" t="s">
        <v>119</v>
      </c>
      <c r="AW11" s="40" t="s">
        <v>120</v>
      </c>
      <c r="AX11" s="40" t="s">
        <v>121</v>
      </c>
      <c r="AY11" s="40" t="s">
        <v>122</v>
      </c>
      <c r="AZ11" s="40" t="s">
        <v>123</v>
      </c>
      <c r="BA11" s="40" t="s">
        <v>124</v>
      </c>
      <c r="BB11" s="40" t="s">
        <v>125</v>
      </c>
      <c r="BC11" s="40" t="s">
        <v>126</v>
      </c>
      <c r="BD11" s="40" t="s">
        <v>127</v>
      </c>
      <c r="BE11" s="40" t="s">
        <v>128</v>
      </c>
      <c r="BF11" s="40" t="s">
        <v>129</v>
      </c>
      <c r="BG11" s="40" t="s">
        <v>130</v>
      </c>
      <c r="BH11" s="40" t="s">
        <v>131</v>
      </c>
      <c r="BI11" s="40" t="s">
        <v>132</v>
      </c>
      <c r="BJ11" s="40" t="s">
        <v>133</v>
      </c>
      <c r="BK11" s="40" t="s">
        <v>134</v>
      </c>
      <c r="BL11" s="40" t="s">
        <v>135</v>
      </c>
      <c r="BM11" s="40" t="s">
        <v>136</v>
      </c>
      <c r="BN11" s="40" t="s">
        <v>137</v>
      </c>
      <c r="BO11" s="40" t="s">
        <v>138</v>
      </c>
      <c r="BP11" s="40" t="s">
        <v>139</v>
      </c>
      <c r="BQ11" s="40" t="s">
        <v>140</v>
      </c>
      <c r="BR11" s="40" t="s">
        <v>141</v>
      </c>
      <c r="BS11" s="40" t="s">
        <v>142</v>
      </c>
      <c r="BT11" s="40" t="s">
        <v>143</v>
      </c>
      <c r="BU11" s="40" t="s">
        <v>144</v>
      </c>
      <c r="BV11" s="40" t="s">
        <v>145</v>
      </c>
      <c r="BW11" s="40" t="s">
        <v>146</v>
      </c>
      <c r="BX11" s="40" t="s">
        <v>147</v>
      </c>
      <c r="BY11" s="40" t="s">
        <v>148</v>
      </c>
      <c r="BZ11" s="40" t="s">
        <v>149</v>
      </c>
      <c r="CA11" s="40" t="s">
        <v>150</v>
      </c>
      <c r="CB11" s="40" t="s">
        <v>151</v>
      </c>
      <c r="CC11" s="40" t="s">
        <v>152</v>
      </c>
    </row>
    <row r="12" spans="1:81" x14ac:dyDescent="0.2">
      <c r="C12" s="41" t="s">
        <v>35</v>
      </c>
      <c r="D12" s="42" t="s">
        <v>153</v>
      </c>
      <c r="E12" s="42" t="s">
        <v>154</v>
      </c>
      <c r="F12" s="42" t="s">
        <v>155</v>
      </c>
      <c r="G12" s="42" t="s">
        <v>156</v>
      </c>
      <c r="H12" s="42" t="s">
        <v>157</v>
      </c>
      <c r="I12" s="42" t="s">
        <v>158</v>
      </c>
      <c r="J12" s="42" t="s">
        <v>159</v>
      </c>
      <c r="K12" s="42" t="s">
        <v>160</v>
      </c>
      <c r="L12" s="42" t="s">
        <v>161</v>
      </c>
      <c r="M12" s="42" t="s">
        <v>162</v>
      </c>
      <c r="N12" s="42" t="s">
        <v>163</v>
      </c>
      <c r="O12" s="42" t="s">
        <v>164</v>
      </c>
      <c r="P12" s="42" t="s">
        <v>165</v>
      </c>
      <c r="Q12" s="42" t="s">
        <v>166</v>
      </c>
      <c r="R12" s="42" t="s">
        <v>167</v>
      </c>
      <c r="S12" s="42" t="s">
        <v>168</v>
      </c>
      <c r="T12" s="42" t="s">
        <v>169</v>
      </c>
      <c r="U12" s="42" t="s">
        <v>170</v>
      </c>
      <c r="V12" s="42" t="s">
        <v>171</v>
      </c>
      <c r="W12" s="42" t="s">
        <v>172</v>
      </c>
      <c r="X12" s="42" t="s">
        <v>173</v>
      </c>
      <c r="Y12" s="42" t="s">
        <v>174</v>
      </c>
      <c r="Z12" s="42" t="s">
        <v>175</v>
      </c>
      <c r="AA12" s="42" t="s">
        <v>176</v>
      </c>
      <c r="AB12" s="42" t="s">
        <v>177</v>
      </c>
      <c r="AC12" s="42" t="s">
        <v>178</v>
      </c>
      <c r="AD12" s="42" t="s">
        <v>179</v>
      </c>
      <c r="AE12" s="42" t="s">
        <v>180</v>
      </c>
      <c r="AF12" s="42" t="s">
        <v>181</v>
      </c>
      <c r="AG12" s="42" t="s">
        <v>182</v>
      </c>
      <c r="AH12" s="42" t="s">
        <v>183</v>
      </c>
      <c r="AI12" s="42" t="s">
        <v>184</v>
      </c>
      <c r="AJ12" s="42" t="s">
        <v>185</v>
      </c>
      <c r="AK12" s="42" t="s">
        <v>186</v>
      </c>
      <c r="AL12" s="42" t="s">
        <v>187</v>
      </c>
      <c r="AM12" s="42" t="s">
        <v>188</v>
      </c>
      <c r="AN12" s="42" t="s">
        <v>189</v>
      </c>
      <c r="AO12" s="42" t="s">
        <v>190</v>
      </c>
      <c r="AP12" s="42" t="s">
        <v>191</v>
      </c>
      <c r="AQ12" s="42" t="s">
        <v>192</v>
      </c>
      <c r="AR12" s="42" t="s">
        <v>193</v>
      </c>
      <c r="AS12" s="42" t="s">
        <v>194</v>
      </c>
      <c r="AT12" s="42" t="s">
        <v>195</v>
      </c>
      <c r="AU12" s="42" t="s">
        <v>196</v>
      </c>
      <c r="AV12" s="42" t="s">
        <v>197</v>
      </c>
      <c r="AW12" s="42" t="s">
        <v>198</v>
      </c>
      <c r="AX12" s="42" t="s">
        <v>199</v>
      </c>
      <c r="AY12" s="42" t="s">
        <v>200</v>
      </c>
      <c r="AZ12" s="42" t="s">
        <v>201</v>
      </c>
      <c r="BA12" s="42" t="s">
        <v>202</v>
      </c>
      <c r="BB12" s="42" t="s">
        <v>203</v>
      </c>
      <c r="BC12" s="42" t="s">
        <v>204</v>
      </c>
      <c r="BD12" s="42" t="s">
        <v>205</v>
      </c>
      <c r="BE12" s="42" t="s">
        <v>153</v>
      </c>
      <c r="BF12" s="42" t="s">
        <v>154</v>
      </c>
      <c r="BG12" s="42" t="s">
        <v>155</v>
      </c>
      <c r="BH12" s="42" t="s">
        <v>156</v>
      </c>
      <c r="BI12" s="42" t="s">
        <v>157</v>
      </c>
      <c r="BJ12" s="42" t="s">
        <v>158</v>
      </c>
      <c r="BK12" s="42" t="s">
        <v>159</v>
      </c>
      <c r="BL12" s="42" t="s">
        <v>160</v>
      </c>
      <c r="BM12" s="42" t="s">
        <v>161</v>
      </c>
      <c r="BN12" s="42" t="s">
        <v>162</v>
      </c>
      <c r="BO12" s="42" t="s">
        <v>163</v>
      </c>
      <c r="BP12" s="42" t="s">
        <v>164</v>
      </c>
      <c r="BQ12" s="42" t="s">
        <v>165</v>
      </c>
      <c r="BR12" s="42" t="s">
        <v>166</v>
      </c>
      <c r="BS12" s="42" t="s">
        <v>167</v>
      </c>
      <c r="BT12" s="42" t="s">
        <v>168</v>
      </c>
      <c r="BU12" s="42" t="s">
        <v>169</v>
      </c>
      <c r="BV12" s="42" t="s">
        <v>170</v>
      </c>
      <c r="BW12" s="42" t="s">
        <v>171</v>
      </c>
      <c r="BX12" s="42" t="s">
        <v>172</v>
      </c>
      <c r="BY12" s="42" t="s">
        <v>173</v>
      </c>
      <c r="BZ12" s="42" t="s">
        <v>174</v>
      </c>
      <c r="CA12" s="42" t="s">
        <v>175</v>
      </c>
      <c r="CB12" s="42" t="s">
        <v>176</v>
      </c>
      <c r="CC12" s="42" t="s">
        <v>177</v>
      </c>
    </row>
    <row r="13" spans="1:81" x14ac:dyDescent="0.2">
      <c r="B13" s="67">
        <f>SUM(D17:AJ17)/SUM($D$67:$AJ$67)</f>
        <v>0</v>
      </c>
      <c r="C13" s="39" t="s">
        <v>206</v>
      </c>
      <c r="D13" s="39">
        <v>5</v>
      </c>
      <c r="E13" s="39">
        <v>5</v>
      </c>
      <c r="F13" s="39">
        <v>5</v>
      </c>
      <c r="G13" s="39">
        <v>5</v>
      </c>
      <c r="H13" s="39">
        <v>5</v>
      </c>
      <c r="I13" s="39">
        <v>5</v>
      </c>
      <c r="J13" s="39">
        <v>5</v>
      </c>
      <c r="K13" s="39">
        <v>5</v>
      </c>
      <c r="L13" s="39">
        <v>5</v>
      </c>
      <c r="M13" s="39">
        <v>5</v>
      </c>
      <c r="N13" s="39">
        <v>5</v>
      </c>
      <c r="O13" s="39">
        <v>5</v>
      </c>
      <c r="P13" s="39">
        <v>5</v>
      </c>
      <c r="Q13" s="39">
        <v>5</v>
      </c>
      <c r="R13" s="39">
        <v>5</v>
      </c>
      <c r="S13" s="39">
        <v>5</v>
      </c>
      <c r="T13" s="39">
        <v>5</v>
      </c>
      <c r="U13" s="39">
        <v>5</v>
      </c>
      <c r="V13" s="39">
        <v>5</v>
      </c>
      <c r="W13" s="39">
        <v>5</v>
      </c>
      <c r="X13" s="39">
        <v>5</v>
      </c>
      <c r="Y13" s="39">
        <v>5</v>
      </c>
      <c r="Z13" s="39">
        <v>5</v>
      </c>
      <c r="AA13" s="39">
        <v>5</v>
      </c>
      <c r="AB13" s="39">
        <v>5</v>
      </c>
      <c r="AC13" s="39">
        <v>5</v>
      </c>
      <c r="AD13" s="39">
        <v>5</v>
      </c>
      <c r="AE13" s="39">
        <v>5</v>
      </c>
      <c r="AF13" s="39">
        <v>5</v>
      </c>
      <c r="AG13" s="39">
        <v>5</v>
      </c>
      <c r="AH13" s="39">
        <v>5</v>
      </c>
      <c r="AI13" s="39">
        <v>5</v>
      </c>
      <c r="AJ13" s="39">
        <v>5</v>
      </c>
      <c r="AK13" s="39">
        <v>5</v>
      </c>
      <c r="AL13" s="39">
        <v>5</v>
      </c>
      <c r="AM13" s="39">
        <v>5</v>
      </c>
      <c r="AN13" s="39">
        <v>5</v>
      </c>
      <c r="AO13" s="39">
        <v>5</v>
      </c>
      <c r="AP13" s="39">
        <v>5</v>
      </c>
      <c r="AQ13" s="39">
        <v>5</v>
      </c>
      <c r="AR13" s="39">
        <v>5</v>
      </c>
      <c r="AS13" s="39">
        <v>5</v>
      </c>
      <c r="AT13" s="39">
        <v>5</v>
      </c>
      <c r="AU13" s="39">
        <v>5</v>
      </c>
      <c r="AV13" s="39">
        <v>5</v>
      </c>
      <c r="AW13" s="39">
        <v>5</v>
      </c>
      <c r="AX13" s="39">
        <v>5</v>
      </c>
      <c r="AY13" s="39">
        <v>5</v>
      </c>
      <c r="AZ13" s="39">
        <v>5</v>
      </c>
      <c r="BA13" s="39">
        <v>5</v>
      </c>
      <c r="BB13" s="39">
        <v>5</v>
      </c>
      <c r="BC13" s="39">
        <v>5</v>
      </c>
      <c r="BD13" s="39">
        <v>5</v>
      </c>
      <c r="BE13" s="39">
        <v>5</v>
      </c>
      <c r="BF13" s="39">
        <v>5</v>
      </c>
      <c r="BG13" s="39">
        <v>5</v>
      </c>
      <c r="BH13" s="39">
        <v>5</v>
      </c>
      <c r="BI13" s="39">
        <v>5</v>
      </c>
      <c r="BJ13" s="39">
        <v>5</v>
      </c>
      <c r="BK13" s="39">
        <v>5</v>
      </c>
      <c r="BL13" s="39">
        <v>5</v>
      </c>
      <c r="BM13" s="39">
        <v>5</v>
      </c>
      <c r="BN13" s="39">
        <v>5</v>
      </c>
      <c r="BO13" s="39">
        <v>5</v>
      </c>
      <c r="BP13" s="39">
        <v>5</v>
      </c>
      <c r="BQ13" s="39">
        <v>5</v>
      </c>
      <c r="BR13" s="39">
        <v>5</v>
      </c>
      <c r="BS13" s="39">
        <v>5</v>
      </c>
      <c r="BT13" s="39">
        <v>5</v>
      </c>
      <c r="BU13" s="39">
        <v>5</v>
      </c>
      <c r="BV13" s="39">
        <v>5</v>
      </c>
      <c r="BW13" s="39">
        <v>5</v>
      </c>
      <c r="BX13" s="39">
        <v>5</v>
      </c>
      <c r="BY13" s="39">
        <v>5</v>
      </c>
      <c r="BZ13" s="39">
        <v>5</v>
      </c>
      <c r="CA13" s="39">
        <v>5</v>
      </c>
      <c r="CB13" s="39">
        <v>5</v>
      </c>
      <c r="CC13" s="39">
        <v>5</v>
      </c>
    </row>
    <row r="14" spans="1:81" hidden="1" x14ac:dyDescent="0.2">
      <c r="A14" s="43"/>
      <c r="B14" s="44" t="s">
        <v>208</v>
      </c>
      <c r="C14" s="9" t="s">
        <v>38</v>
      </c>
      <c r="D14" s="58">
        <f>IFERROR(VLOOKUP(A14,OS!$A:$B,2,0),0)</f>
        <v>0</v>
      </c>
      <c r="E14" s="5">
        <f>(D14+D15-D17)</f>
        <v>0</v>
      </c>
      <c r="F14" s="5">
        <f>(E14+E15-E17)</f>
        <v>0</v>
      </c>
      <c r="G14" s="5">
        <f>(F14+F15-F17)</f>
        <v>0</v>
      </c>
      <c r="H14" s="5">
        <f>(G14+G15-G17)</f>
        <v>0</v>
      </c>
      <c r="I14" s="5">
        <f t="shared" ref="I14:AN14" si="3">(H14+H15-H17+D16)</f>
        <v>0</v>
      </c>
      <c r="J14" s="5">
        <f t="shared" si="3"/>
        <v>0</v>
      </c>
      <c r="K14" s="5">
        <f t="shared" si="3"/>
        <v>0</v>
      </c>
      <c r="L14" s="5">
        <f t="shared" si="3"/>
        <v>0</v>
      </c>
      <c r="M14" s="5">
        <f t="shared" si="3"/>
        <v>0</v>
      </c>
      <c r="N14" s="5">
        <f t="shared" si="3"/>
        <v>0</v>
      </c>
      <c r="O14" s="5">
        <f t="shared" si="3"/>
        <v>0</v>
      </c>
      <c r="P14" s="5">
        <f t="shared" si="3"/>
        <v>0</v>
      </c>
      <c r="Q14" s="5">
        <f t="shared" si="3"/>
        <v>0</v>
      </c>
      <c r="R14" s="5">
        <f t="shared" si="3"/>
        <v>0</v>
      </c>
      <c r="S14" s="5">
        <f t="shared" si="3"/>
        <v>0</v>
      </c>
      <c r="T14" s="5">
        <f t="shared" si="3"/>
        <v>0</v>
      </c>
      <c r="U14" s="5">
        <f t="shared" si="3"/>
        <v>0</v>
      </c>
      <c r="V14" s="5">
        <f t="shared" si="3"/>
        <v>0</v>
      </c>
      <c r="W14" s="5">
        <f t="shared" si="3"/>
        <v>0</v>
      </c>
      <c r="X14" s="5">
        <f t="shared" si="3"/>
        <v>0</v>
      </c>
      <c r="Y14" s="5">
        <f t="shared" si="3"/>
        <v>0</v>
      </c>
      <c r="Z14" s="5">
        <f t="shared" si="3"/>
        <v>0</v>
      </c>
      <c r="AA14" s="5">
        <f t="shared" si="3"/>
        <v>0</v>
      </c>
      <c r="AB14" s="5">
        <f t="shared" si="3"/>
        <v>0</v>
      </c>
      <c r="AC14" s="5">
        <f t="shared" si="3"/>
        <v>0</v>
      </c>
      <c r="AD14" s="5">
        <f t="shared" si="3"/>
        <v>0</v>
      </c>
      <c r="AE14" s="5">
        <f t="shared" si="3"/>
        <v>0</v>
      </c>
      <c r="AF14" s="5">
        <f t="shared" si="3"/>
        <v>0</v>
      </c>
      <c r="AG14" s="5">
        <f t="shared" si="3"/>
        <v>0</v>
      </c>
      <c r="AH14" s="5">
        <f t="shared" si="3"/>
        <v>0</v>
      </c>
      <c r="AI14" s="5">
        <f t="shared" si="3"/>
        <v>0</v>
      </c>
      <c r="AJ14" s="5">
        <f t="shared" si="3"/>
        <v>0</v>
      </c>
      <c r="AK14" s="5">
        <f t="shared" si="3"/>
        <v>0</v>
      </c>
      <c r="AL14" s="5">
        <f t="shared" si="3"/>
        <v>0</v>
      </c>
      <c r="AM14" s="5">
        <f t="shared" si="3"/>
        <v>0</v>
      </c>
      <c r="AN14" s="5">
        <f t="shared" si="3"/>
        <v>0</v>
      </c>
      <c r="AO14" s="5">
        <f t="shared" ref="AO14:BT14" si="4">(AN14+AN15-AN17+AJ16)</f>
        <v>0</v>
      </c>
      <c r="AP14" s="5">
        <f t="shared" si="4"/>
        <v>0</v>
      </c>
      <c r="AQ14" s="5">
        <f t="shared" si="4"/>
        <v>0</v>
      </c>
      <c r="AR14" s="5">
        <f t="shared" si="4"/>
        <v>0</v>
      </c>
      <c r="AS14" s="5">
        <f t="shared" si="4"/>
        <v>0</v>
      </c>
      <c r="AT14" s="5">
        <f t="shared" si="4"/>
        <v>0</v>
      </c>
      <c r="AU14" s="5">
        <f t="shared" si="4"/>
        <v>0</v>
      </c>
      <c r="AV14" s="5">
        <f t="shared" si="4"/>
        <v>0</v>
      </c>
      <c r="AW14" s="5">
        <f t="shared" si="4"/>
        <v>0</v>
      </c>
      <c r="AX14" s="5">
        <f t="shared" si="4"/>
        <v>0</v>
      </c>
      <c r="AY14" s="5">
        <f t="shared" si="4"/>
        <v>0</v>
      </c>
      <c r="AZ14" s="5">
        <f t="shared" si="4"/>
        <v>0</v>
      </c>
      <c r="BA14" s="5">
        <f t="shared" si="4"/>
        <v>0</v>
      </c>
      <c r="BB14" s="5">
        <f t="shared" si="4"/>
        <v>0</v>
      </c>
      <c r="BC14" s="5">
        <f t="shared" si="4"/>
        <v>0</v>
      </c>
      <c r="BD14" s="5">
        <f t="shared" si="4"/>
        <v>0</v>
      </c>
      <c r="BE14" s="5">
        <f t="shared" si="4"/>
        <v>0</v>
      </c>
      <c r="BF14" s="5">
        <f t="shared" si="4"/>
        <v>0</v>
      </c>
      <c r="BG14" s="5">
        <f t="shared" si="4"/>
        <v>0</v>
      </c>
      <c r="BH14" s="5">
        <f t="shared" si="4"/>
        <v>0</v>
      </c>
      <c r="BI14" s="5">
        <f t="shared" si="4"/>
        <v>0</v>
      </c>
      <c r="BJ14" s="5">
        <f t="shared" si="4"/>
        <v>0</v>
      </c>
      <c r="BK14" s="5">
        <f t="shared" si="4"/>
        <v>0</v>
      </c>
      <c r="BL14" s="5">
        <f t="shared" si="4"/>
        <v>0</v>
      </c>
      <c r="BM14" s="5">
        <f t="shared" si="4"/>
        <v>0</v>
      </c>
      <c r="BN14" s="5">
        <f t="shared" si="4"/>
        <v>0</v>
      </c>
      <c r="BO14" s="5">
        <f t="shared" si="4"/>
        <v>0</v>
      </c>
      <c r="BP14" s="5">
        <f t="shared" si="4"/>
        <v>0</v>
      </c>
      <c r="BQ14" s="5">
        <f t="shared" si="4"/>
        <v>0</v>
      </c>
      <c r="BR14" s="5">
        <f t="shared" si="4"/>
        <v>0</v>
      </c>
      <c r="BS14" s="5">
        <f t="shared" si="4"/>
        <v>0</v>
      </c>
      <c r="BT14" s="5">
        <f t="shared" si="4"/>
        <v>0</v>
      </c>
      <c r="BU14" s="5">
        <f t="shared" ref="BU14:CC14" si="5">(BT14+BT15-BT17+BP16)</f>
        <v>0</v>
      </c>
      <c r="BV14" s="5">
        <f t="shared" si="5"/>
        <v>0</v>
      </c>
      <c r="BW14" s="5">
        <f t="shared" si="5"/>
        <v>0</v>
      </c>
      <c r="BX14" s="5">
        <f t="shared" si="5"/>
        <v>0</v>
      </c>
      <c r="BY14" s="5">
        <f t="shared" si="5"/>
        <v>0</v>
      </c>
      <c r="BZ14" s="5">
        <f t="shared" si="5"/>
        <v>0</v>
      </c>
      <c r="CA14" s="5">
        <f t="shared" si="5"/>
        <v>0</v>
      </c>
      <c r="CB14" s="5">
        <f t="shared" si="5"/>
        <v>0</v>
      </c>
      <c r="CC14" s="5">
        <f t="shared" si="5"/>
        <v>0</v>
      </c>
    </row>
    <row r="15" spans="1:81" hidden="1" x14ac:dyDescent="0.2">
      <c r="A15" s="5" t="s">
        <v>209</v>
      </c>
      <c r="B15" s="5">
        <v>2.1603300000000001</v>
      </c>
      <c r="C15" s="45" t="s">
        <v>39</v>
      </c>
      <c r="D15" s="59">
        <f>IFERROR(VLOOKUP(A14,WIP!$A:$B,2,0),0)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hidden="1" x14ac:dyDescent="0.2">
      <c r="A16" s="5" t="s">
        <v>210</v>
      </c>
      <c r="B16" s="5">
        <v>9.7000000000000003E-2</v>
      </c>
      <c r="C16" s="9" t="s">
        <v>211</v>
      </c>
      <c r="D16" s="60">
        <f>IFERROR(VLOOKUP($A14,Plan!$A:B,D$4,0),0)</f>
        <v>0</v>
      </c>
      <c r="E16" s="60">
        <f>IFERROR(VLOOKUP($A14,Plan!$A:C,E$4,0),0)</f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hidden="1" x14ac:dyDescent="0.2">
      <c r="A17" s="5" t="s">
        <v>212</v>
      </c>
      <c r="B17" s="5">
        <v>4.0000000000000001E-3</v>
      </c>
      <c r="C17" s="9" t="s">
        <v>213</v>
      </c>
      <c r="D17" s="61">
        <f>IFERROR(VLOOKUP($A14,Sales!$A:B,D$2,0),0)</f>
        <v>0</v>
      </c>
      <c r="E17" s="61">
        <f>IFERROR(VLOOKUP($A14,Sales!$A:C,E$2,0),0)</f>
        <v>0</v>
      </c>
      <c r="F17" s="61">
        <f>IFERROR(VLOOKUP($A14,Sales!$A:D,F$2,0),0)</f>
        <v>0</v>
      </c>
      <c r="G17" s="61">
        <f>IFERROR(VLOOKUP($A14,Sales!$A:E,G$2,0),0)</f>
        <v>0</v>
      </c>
      <c r="H17" s="61">
        <f>IFERROR(VLOOKUP($A14,Sales!$A:F,H$2,0),0)</f>
        <v>0</v>
      </c>
      <c r="I17" s="61">
        <f>IFERROR(VLOOKUP($A14,Sales!$A:G,I$2,0),0)</f>
        <v>0</v>
      </c>
      <c r="J17" s="61">
        <f>IFERROR(VLOOKUP($A14,Sales!$A:H,J$2,0),0)</f>
        <v>0</v>
      </c>
      <c r="K17" s="61">
        <f>IFERROR(VLOOKUP($A14,Sales!$A:I,K$2,0),0)</f>
        <v>0</v>
      </c>
      <c r="L17" s="61">
        <f>IFERROR(VLOOKUP($A14,Sales!$A:J,L$2,0),0)</f>
        <v>0</v>
      </c>
      <c r="M17" s="61">
        <f>IFERROR(VLOOKUP($A14,Sales!$A:K,M$2,0),0)</f>
        <v>0</v>
      </c>
      <c r="N17" s="61">
        <f>IFERROR(VLOOKUP($A14,Sales!$A:L,N$2,0),0)</f>
        <v>0</v>
      </c>
      <c r="O17" s="61">
        <f>IFERROR(VLOOKUP($A14,Sales!$A:M,O$2,0),0)</f>
        <v>0</v>
      </c>
      <c r="P17" s="61">
        <f>IFERROR(VLOOKUP($A14,Sales!$A:N,P$2,0),0)</f>
        <v>0</v>
      </c>
      <c r="Q17" s="61">
        <f>IFERROR(VLOOKUP($A14,Sales!$A:O,Q$2,0),0)</f>
        <v>0</v>
      </c>
      <c r="R17" s="61">
        <f>IFERROR(VLOOKUP($A14,Sales!$A:P,R$2,0),0)</f>
        <v>0</v>
      </c>
      <c r="S17" s="61">
        <f>IFERROR(VLOOKUP($A14,Sales!$A:Q,S$2,0),0)</f>
        <v>0</v>
      </c>
      <c r="T17" s="61">
        <f>IFERROR(VLOOKUP($A14,Sales!$A:R,T$2,0),0)</f>
        <v>0</v>
      </c>
      <c r="U17" s="61">
        <f>IFERROR(VLOOKUP($A14,Sales!$A:S,U$2,0),0)</f>
        <v>0</v>
      </c>
      <c r="V17" s="61">
        <f>IFERROR(VLOOKUP($A14,Sales!$A:T,V$2,0),0)</f>
        <v>0</v>
      </c>
      <c r="W17" s="61">
        <f>IFERROR(VLOOKUP($A14,Sales!$A:U,W$2,0),0)</f>
        <v>0</v>
      </c>
      <c r="X17" s="61">
        <f>IFERROR(VLOOKUP($A14,Sales!$A:V,X$2,0),0)</f>
        <v>0</v>
      </c>
      <c r="Y17" s="61">
        <f>IFERROR(VLOOKUP($A14,Sales!$A:W,Y$2,0),0)</f>
        <v>0</v>
      </c>
      <c r="Z17" s="61">
        <f>IFERROR(VLOOKUP($A14,Sales!$A:X,Z$2,0),0)</f>
        <v>0</v>
      </c>
      <c r="AA17" s="61">
        <f>IFERROR(VLOOKUP($A14,Sales!$A:Y,AA$2,0),0)</f>
        <v>0</v>
      </c>
      <c r="AB17" s="61">
        <f>IFERROR(VLOOKUP($A14,Sales!$A:Z,AB$2,0),0)</f>
        <v>0</v>
      </c>
      <c r="AC17" s="61">
        <f>IFERROR(VLOOKUP($A14,Sales!$A:AA,AC$2,0),0)</f>
        <v>0</v>
      </c>
      <c r="AD17" s="61">
        <f>IFERROR(VLOOKUP($A14,Sales!$A:AB,AD$2,0),0)</f>
        <v>0</v>
      </c>
      <c r="AE17" s="61">
        <f>IFERROR(VLOOKUP($A14,Sales!$A:AC,AE$2,0),0)</f>
        <v>0</v>
      </c>
      <c r="AF17" s="61">
        <f>IFERROR(VLOOKUP($A14,Sales!$A:AD,AF$2,0),0)</f>
        <v>0</v>
      </c>
      <c r="AG17" s="61">
        <f>IFERROR(VLOOKUP($A14,Sales!$A:AE,AG$2,0),0)</f>
        <v>0</v>
      </c>
      <c r="AH17" s="61">
        <f>IFERROR(VLOOKUP($A14,Sales!$A:AF,AH$2,0),0)</f>
        <v>0</v>
      </c>
      <c r="AI17" s="61">
        <f>IFERROR(VLOOKUP($A14,Sales!$A:AG,AI$2,0),0)</f>
        <v>0</v>
      </c>
      <c r="AJ17" s="61">
        <f>IFERROR(VLOOKUP($A14,Sales!$A:AH,AJ$2,0),0)</f>
        <v>0</v>
      </c>
      <c r="AK17" s="74">
        <f t="shared" ref="AK17:CC17" si="6">CEILING(AK$5*$B13,1)</f>
        <v>0</v>
      </c>
      <c r="AL17" s="74">
        <f t="shared" si="6"/>
        <v>0</v>
      </c>
      <c r="AM17" s="74">
        <f t="shared" si="6"/>
        <v>0</v>
      </c>
      <c r="AN17" s="74">
        <f t="shared" si="6"/>
        <v>0</v>
      </c>
      <c r="AO17" s="74">
        <f t="shared" si="6"/>
        <v>0</v>
      </c>
      <c r="AP17" s="74">
        <f t="shared" si="6"/>
        <v>0</v>
      </c>
      <c r="AQ17" s="74">
        <f t="shared" si="6"/>
        <v>0</v>
      </c>
      <c r="AR17" s="74">
        <f t="shared" si="6"/>
        <v>0</v>
      </c>
      <c r="AS17" s="74">
        <f t="shared" si="6"/>
        <v>0</v>
      </c>
      <c r="AT17" s="74">
        <f t="shared" si="6"/>
        <v>0</v>
      </c>
      <c r="AU17" s="74">
        <f t="shared" si="6"/>
        <v>0</v>
      </c>
      <c r="AV17" s="74">
        <f t="shared" si="6"/>
        <v>0</v>
      </c>
      <c r="AW17" s="74">
        <f t="shared" si="6"/>
        <v>0</v>
      </c>
      <c r="AX17" s="74">
        <f t="shared" si="6"/>
        <v>0</v>
      </c>
      <c r="AY17" s="74">
        <f t="shared" si="6"/>
        <v>0</v>
      </c>
      <c r="AZ17" s="74">
        <f t="shared" si="6"/>
        <v>0</v>
      </c>
      <c r="BA17" s="74">
        <f t="shared" si="6"/>
        <v>0</v>
      </c>
      <c r="BB17" s="74">
        <f t="shared" si="6"/>
        <v>0</v>
      </c>
      <c r="BC17" s="74">
        <f t="shared" si="6"/>
        <v>0</v>
      </c>
      <c r="BD17" s="74">
        <f t="shared" si="6"/>
        <v>0</v>
      </c>
      <c r="BE17" s="74">
        <f t="shared" si="6"/>
        <v>0</v>
      </c>
      <c r="BF17" s="74">
        <f t="shared" si="6"/>
        <v>0</v>
      </c>
      <c r="BG17" s="74">
        <f t="shared" si="6"/>
        <v>0</v>
      </c>
      <c r="BH17" s="74">
        <f t="shared" si="6"/>
        <v>0</v>
      </c>
      <c r="BI17" s="74">
        <f t="shared" si="6"/>
        <v>0</v>
      </c>
      <c r="BJ17" s="74">
        <f t="shared" si="6"/>
        <v>0</v>
      </c>
      <c r="BK17" s="74">
        <f t="shared" si="6"/>
        <v>0</v>
      </c>
      <c r="BL17" s="74">
        <f t="shared" si="6"/>
        <v>0</v>
      </c>
      <c r="BM17" s="74">
        <f t="shared" si="6"/>
        <v>0</v>
      </c>
      <c r="BN17" s="74">
        <f t="shared" si="6"/>
        <v>0</v>
      </c>
      <c r="BO17" s="74">
        <f t="shared" si="6"/>
        <v>0</v>
      </c>
      <c r="BP17" s="74">
        <f t="shared" si="6"/>
        <v>0</v>
      </c>
      <c r="BQ17" s="74">
        <f t="shared" si="6"/>
        <v>0</v>
      </c>
      <c r="BR17" s="74">
        <f t="shared" si="6"/>
        <v>0</v>
      </c>
      <c r="BS17" s="74">
        <f t="shared" si="6"/>
        <v>0</v>
      </c>
      <c r="BT17" s="74">
        <f t="shared" si="6"/>
        <v>0</v>
      </c>
      <c r="BU17" s="74">
        <f t="shared" si="6"/>
        <v>0</v>
      </c>
      <c r="BV17" s="74">
        <f t="shared" si="6"/>
        <v>0</v>
      </c>
      <c r="BW17" s="74">
        <f t="shared" si="6"/>
        <v>0</v>
      </c>
      <c r="BX17" s="74">
        <f t="shared" si="6"/>
        <v>0</v>
      </c>
      <c r="BY17" s="74">
        <f t="shared" si="6"/>
        <v>0</v>
      </c>
      <c r="BZ17" s="74">
        <f t="shared" si="6"/>
        <v>0</v>
      </c>
      <c r="CA17" s="74">
        <f t="shared" si="6"/>
        <v>0</v>
      </c>
      <c r="CB17" s="74">
        <f t="shared" si="6"/>
        <v>0</v>
      </c>
      <c r="CC17" s="74">
        <f t="shared" si="6"/>
        <v>0</v>
      </c>
    </row>
    <row r="18" spans="1:81" hidden="1" x14ac:dyDescent="0.2">
      <c r="A18" s="5" t="s">
        <v>214</v>
      </c>
      <c r="B18" s="5">
        <v>0.10100000000000001</v>
      </c>
      <c r="C18" s="46" t="s">
        <v>215</v>
      </c>
      <c r="D18" s="11">
        <f t="shared" ref="D18:AI18" si="7">IF(D17=0,0, ROUND(D14 * 1/D17* D$13,1))</f>
        <v>0</v>
      </c>
      <c r="E18" s="11">
        <f t="shared" si="7"/>
        <v>0</v>
      </c>
      <c r="F18" s="11">
        <f t="shared" si="7"/>
        <v>0</v>
      </c>
      <c r="G18" s="11">
        <f t="shared" si="7"/>
        <v>0</v>
      </c>
      <c r="H18" s="11">
        <f t="shared" si="7"/>
        <v>0</v>
      </c>
      <c r="I18" s="11">
        <f t="shared" si="7"/>
        <v>0</v>
      </c>
      <c r="J18" s="11">
        <f t="shared" si="7"/>
        <v>0</v>
      </c>
      <c r="K18" s="11">
        <f t="shared" si="7"/>
        <v>0</v>
      </c>
      <c r="L18" s="11">
        <f t="shared" si="7"/>
        <v>0</v>
      </c>
      <c r="M18" s="11">
        <f t="shared" si="7"/>
        <v>0</v>
      </c>
      <c r="N18" s="11">
        <f t="shared" si="7"/>
        <v>0</v>
      </c>
      <c r="O18" s="11">
        <f t="shared" si="7"/>
        <v>0</v>
      </c>
      <c r="P18" s="11">
        <f t="shared" si="7"/>
        <v>0</v>
      </c>
      <c r="Q18" s="11">
        <f t="shared" si="7"/>
        <v>0</v>
      </c>
      <c r="R18" s="11">
        <f t="shared" si="7"/>
        <v>0</v>
      </c>
      <c r="S18" s="11">
        <f t="shared" si="7"/>
        <v>0</v>
      </c>
      <c r="T18" s="11">
        <f t="shared" si="7"/>
        <v>0</v>
      </c>
      <c r="U18" s="11">
        <f t="shared" si="7"/>
        <v>0</v>
      </c>
      <c r="V18" s="11">
        <f t="shared" si="7"/>
        <v>0</v>
      </c>
      <c r="W18" s="11">
        <f t="shared" si="7"/>
        <v>0</v>
      </c>
      <c r="X18" s="11">
        <f t="shared" si="7"/>
        <v>0</v>
      </c>
      <c r="Y18" s="11">
        <f t="shared" si="7"/>
        <v>0</v>
      </c>
      <c r="Z18" s="11">
        <f t="shared" si="7"/>
        <v>0</v>
      </c>
      <c r="AA18" s="11">
        <f t="shared" si="7"/>
        <v>0</v>
      </c>
      <c r="AB18" s="11">
        <f t="shared" si="7"/>
        <v>0</v>
      </c>
      <c r="AC18" s="11">
        <f t="shared" si="7"/>
        <v>0</v>
      </c>
      <c r="AD18" s="11">
        <f t="shared" si="7"/>
        <v>0</v>
      </c>
      <c r="AE18" s="11">
        <f t="shared" si="7"/>
        <v>0</v>
      </c>
      <c r="AF18" s="11">
        <f t="shared" si="7"/>
        <v>0</v>
      </c>
      <c r="AG18" s="11">
        <f t="shared" si="7"/>
        <v>0</v>
      </c>
      <c r="AH18" s="11">
        <f t="shared" si="7"/>
        <v>0</v>
      </c>
      <c r="AI18" s="11">
        <f t="shared" si="7"/>
        <v>0</v>
      </c>
      <c r="AJ18" s="11">
        <f t="shared" ref="AJ18:BO18" si="8">IF(AJ17=0,0, ROUND(AJ14 * 1/AJ17* AJ$13,1))</f>
        <v>0</v>
      </c>
      <c r="AK18" s="11">
        <f t="shared" si="8"/>
        <v>0</v>
      </c>
      <c r="AL18" s="11">
        <f t="shared" si="8"/>
        <v>0</v>
      </c>
      <c r="AM18" s="11">
        <f t="shared" si="8"/>
        <v>0</v>
      </c>
      <c r="AN18" s="11">
        <f t="shared" si="8"/>
        <v>0</v>
      </c>
      <c r="AO18" s="11">
        <f t="shared" si="8"/>
        <v>0</v>
      </c>
      <c r="AP18" s="11">
        <f t="shared" si="8"/>
        <v>0</v>
      </c>
      <c r="AQ18" s="11">
        <f t="shared" si="8"/>
        <v>0</v>
      </c>
      <c r="AR18" s="11">
        <f t="shared" si="8"/>
        <v>0</v>
      </c>
      <c r="AS18" s="11">
        <f t="shared" si="8"/>
        <v>0</v>
      </c>
      <c r="AT18" s="11">
        <f t="shared" si="8"/>
        <v>0</v>
      </c>
      <c r="AU18" s="11">
        <f t="shared" si="8"/>
        <v>0</v>
      </c>
      <c r="AV18" s="11">
        <f t="shared" si="8"/>
        <v>0</v>
      </c>
      <c r="AW18" s="11">
        <f t="shared" si="8"/>
        <v>0</v>
      </c>
      <c r="AX18" s="11">
        <f t="shared" si="8"/>
        <v>0</v>
      </c>
      <c r="AY18" s="11">
        <f t="shared" si="8"/>
        <v>0</v>
      </c>
      <c r="AZ18" s="11">
        <f t="shared" si="8"/>
        <v>0</v>
      </c>
      <c r="BA18" s="11">
        <f t="shared" si="8"/>
        <v>0</v>
      </c>
      <c r="BB18" s="11">
        <f t="shared" si="8"/>
        <v>0</v>
      </c>
      <c r="BC18" s="11">
        <f t="shared" si="8"/>
        <v>0</v>
      </c>
      <c r="BD18" s="11">
        <f t="shared" si="8"/>
        <v>0</v>
      </c>
      <c r="BE18" s="11">
        <f t="shared" si="8"/>
        <v>0</v>
      </c>
      <c r="BF18" s="11">
        <f t="shared" si="8"/>
        <v>0</v>
      </c>
      <c r="BG18" s="11">
        <f t="shared" si="8"/>
        <v>0</v>
      </c>
      <c r="BH18" s="11">
        <f t="shared" si="8"/>
        <v>0</v>
      </c>
      <c r="BI18" s="11">
        <f t="shared" si="8"/>
        <v>0</v>
      </c>
      <c r="BJ18" s="11">
        <f t="shared" si="8"/>
        <v>0</v>
      </c>
      <c r="BK18" s="11">
        <f t="shared" si="8"/>
        <v>0</v>
      </c>
      <c r="BL18" s="11">
        <f t="shared" si="8"/>
        <v>0</v>
      </c>
      <c r="BM18" s="11">
        <f t="shared" si="8"/>
        <v>0</v>
      </c>
      <c r="BN18" s="11">
        <f t="shared" si="8"/>
        <v>0</v>
      </c>
      <c r="BO18" s="11">
        <f t="shared" si="8"/>
        <v>0</v>
      </c>
      <c r="BP18" s="11">
        <f t="shared" ref="BP18:CC18" si="9">IF(BP17=0,0, ROUND(BP14 * 1/BP17* BP$13,1))</f>
        <v>0</v>
      </c>
      <c r="BQ18" s="11">
        <f t="shared" si="9"/>
        <v>0</v>
      </c>
      <c r="BR18" s="11">
        <f t="shared" si="9"/>
        <v>0</v>
      </c>
      <c r="BS18" s="11">
        <f t="shared" si="9"/>
        <v>0</v>
      </c>
      <c r="BT18" s="11">
        <f t="shared" si="9"/>
        <v>0</v>
      </c>
      <c r="BU18" s="11">
        <f t="shared" si="9"/>
        <v>0</v>
      </c>
      <c r="BV18" s="11">
        <f t="shared" si="9"/>
        <v>0</v>
      </c>
      <c r="BW18" s="11">
        <f t="shared" si="9"/>
        <v>0</v>
      </c>
      <c r="BX18" s="11">
        <f t="shared" si="9"/>
        <v>0</v>
      </c>
      <c r="BY18" s="11">
        <f t="shared" si="9"/>
        <v>0</v>
      </c>
      <c r="BZ18" s="11">
        <f t="shared" si="9"/>
        <v>0</v>
      </c>
      <c r="CA18" s="11">
        <f t="shared" si="9"/>
        <v>0</v>
      </c>
      <c r="CB18" s="11">
        <f t="shared" si="9"/>
        <v>0</v>
      </c>
      <c r="CC18" s="11">
        <f t="shared" si="9"/>
        <v>0</v>
      </c>
    </row>
    <row r="19" spans="1:81" hidden="1" x14ac:dyDescent="0.2">
      <c r="A19">
        <v>9</v>
      </c>
      <c r="B19">
        <v>50</v>
      </c>
      <c r="C19" s="8">
        <v>1.5259100000000001</v>
      </c>
      <c r="D19">
        <f t="shared" ref="D19:AI19" si="10">D16/$B19</f>
        <v>0</v>
      </c>
      <c r="E19">
        <f t="shared" si="10"/>
        <v>0</v>
      </c>
      <c r="F19">
        <f t="shared" si="10"/>
        <v>0</v>
      </c>
      <c r="G19">
        <f t="shared" si="10"/>
        <v>0</v>
      </c>
      <c r="H19">
        <f t="shared" si="10"/>
        <v>0</v>
      </c>
      <c r="I19">
        <f t="shared" si="10"/>
        <v>0</v>
      </c>
      <c r="J19">
        <f t="shared" si="10"/>
        <v>0</v>
      </c>
      <c r="K19">
        <f t="shared" si="10"/>
        <v>0</v>
      </c>
      <c r="L19">
        <f t="shared" si="10"/>
        <v>0</v>
      </c>
      <c r="M19">
        <f t="shared" si="10"/>
        <v>0</v>
      </c>
      <c r="N19">
        <f t="shared" si="10"/>
        <v>0</v>
      </c>
      <c r="O19">
        <f t="shared" si="10"/>
        <v>0</v>
      </c>
      <c r="P19">
        <f t="shared" si="10"/>
        <v>0</v>
      </c>
      <c r="Q19">
        <f t="shared" si="10"/>
        <v>0</v>
      </c>
      <c r="R19">
        <f t="shared" si="10"/>
        <v>0</v>
      </c>
      <c r="S19">
        <f t="shared" si="10"/>
        <v>0</v>
      </c>
      <c r="T19">
        <f t="shared" si="10"/>
        <v>0</v>
      </c>
      <c r="U19">
        <f t="shared" si="10"/>
        <v>0</v>
      </c>
      <c r="V19">
        <f t="shared" si="10"/>
        <v>0</v>
      </c>
      <c r="W19">
        <f t="shared" si="10"/>
        <v>0</v>
      </c>
      <c r="X19">
        <f t="shared" si="10"/>
        <v>0</v>
      </c>
      <c r="Y19">
        <f t="shared" si="10"/>
        <v>0</v>
      </c>
      <c r="Z19">
        <f t="shared" si="10"/>
        <v>0</v>
      </c>
      <c r="AA19">
        <f t="shared" si="10"/>
        <v>0</v>
      </c>
      <c r="AB19">
        <f t="shared" si="10"/>
        <v>0</v>
      </c>
      <c r="AC19">
        <f t="shared" si="10"/>
        <v>0</v>
      </c>
      <c r="AD19">
        <f t="shared" si="10"/>
        <v>0</v>
      </c>
      <c r="AE19">
        <f t="shared" si="10"/>
        <v>0</v>
      </c>
      <c r="AF19">
        <f t="shared" si="10"/>
        <v>0</v>
      </c>
      <c r="AG19">
        <f t="shared" si="10"/>
        <v>0</v>
      </c>
      <c r="AH19">
        <f t="shared" si="10"/>
        <v>0</v>
      </c>
      <c r="AI19">
        <f t="shared" si="10"/>
        <v>0</v>
      </c>
      <c r="AJ19">
        <f t="shared" ref="AJ19:BO19" si="11">AJ16/$B19</f>
        <v>0</v>
      </c>
      <c r="AK19">
        <f t="shared" si="11"/>
        <v>0</v>
      </c>
      <c r="AL19">
        <f t="shared" si="11"/>
        <v>0</v>
      </c>
      <c r="AM19">
        <f t="shared" si="11"/>
        <v>0</v>
      </c>
      <c r="AN19">
        <f t="shared" si="11"/>
        <v>0</v>
      </c>
      <c r="AO19">
        <f t="shared" si="11"/>
        <v>0</v>
      </c>
      <c r="AP19">
        <f t="shared" si="11"/>
        <v>0</v>
      </c>
      <c r="AQ19">
        <f t="shared" si="11"/>
        <v>0</v>
      </c>
      <c r="AR19">
        <f t="shared" si="11"/>
        <v>0</v>
      </c>
      <c r="AS19">
        <f t="shared" si="11"/>
        <v>0</v>
      </c>
      <c r="AT19">
        <f t="shared" si="11"/>
        <v>0</v>
      </c>
      <c r="AU19">
        <f t="shared" si="11"/>
        <v>0</v>
      </c>
      <c r="AV19">
        <f t="shared" si="11"/>
        <v>0</v>
      </c>
      <c r="AW19">
        <f t="shared" si="11"/>
        <v>0</v>
      </c>
      <c r="AX19">
        <f t="shared" si="11"/>
        <v>0</v>
      </c>
      <c r="AY19">
        <f t="shared" si="11"/>
        <v>0</v>
      </c>
      <c r="AZ19">
        <f t="shared" si="11"/>
        <v>0</v>
      </c>
      <c r="BA19">
        <f t="shared" si="11"/>
        <v>0</v>
      </c>
      <c r="BB19">
        <f t="shared" si="11"/>
        <v>0</v>
      </c>
      <c r="BC19">
        <f t="shared" si="11"/>
        <v>0</v>
      </c>
      <c r="BD19">
        <f t="shared" si="11"/>
        <v>0</v>
      </c>
      <c r="BE19">
        <f t="shared" si="11"/>
        <v>0</v>
      </c>
      <c r="BF19">
        <f t="shared" si="11"/>
        <v>0</v>
      </c>
      <c r="BG19">
        <f t="shared" si="11"/>
        <v>0</v>
      </c>
      <c r="BH19">
        <f t="shared" si="11"/>
        <v>0</v>
      </c>
      <c r="BI19">
        <f t="shared" si="11"/>
        <v>0</v>
      </c>
      <c r="BJ19">
        <f t="shared" si="11"/>
        <v>0</v>
      </c>
      <c r="BK19">
        <f t="shared" si="11"/>
        <v>0</v>
      </c>
      <c r="BL19">
        <f t="shared" si="11"/>
        <v>0</v>
      </c>
      <c r="BM19">
        <f t="shared" si="11"/>
        <v>0</v>
      </c>
      <c r="BN19">
        <f t="shared" si="11"/>
        <v>0</v>
      </c>
      <c r="BO19">
        <f t="shared" si="11"/>
        <v>0</v>
      </c>
      <c r="BP19">
        <f t="shared" ref="BP19:CC19" si="12">BP16/$B19</f>
        <v>0</v>
      </c>
      <c r="BQ19">
        <f t="shared" si="12"/>
        <v>0</v>
      </c>
      <c r="BR19">
        <f t="shared" si="12"/>
        <v>0</v>
      </c>
      <c r="BS19">
        <f t="shared" si="12"/>
        <v>0</v>
      </c>
      <c r="BT19">
        <f t="shared" si="12"/>
        <v>0</v>
      </c>
      <c r="BU19">
        <f t="shared" si="12"/>
        <v>0</v>
      </c>
      <c r="BV19">
        <f t="shared" si="12"/>
        <v>0</v>
      </c>
      <c r="BW19">
        <f t="shared" si="12"/>
        <v>0</v>
      </c>
      <c r="BX19">
        <f t="shared" si="12"/>
        <v>0</v>
      </c>
      <c r="BY19">
        <f t="shared" si="12"/>
        <v>0</v>
      </c>
      <c r="BZ19">
        <f t="shared" si="12"/>
        <v>0</v>
      </c>
      <c r="CA19">
        <f t="shared" si="12"/>
        <v>0</v>
      </c>
      <c r="CB19">
        <f t="shared" si="12"/>
        <v>0</v>
      </c>
      <c r="CC19">
        <f t="shared" si="12"/>
        <v>0</v>
      </c>
    </row>
    <row r="20" spans="1:81" hidden="1" x14ac:dyDescent="0.2">
      <c r="B20" s="67">
        <f>SUM(D24:AJ24)/SUM($D$67:$AJ$67)</f>
        <v>0</v>
      </c>
      <c r="C20" s="9" t="s">
        <v>216</v>
      </c>
      <c r="D20">
        <f t="shared" ref="D20:AI20" si="13">D14-D17</f>
        <v>0</v>
      </c>
      <c r="E20">
        <f t="shared" si="13"/>
        <v>0</v>
      </c>
      <c r="F20">
        <f t="shared" si="13"/>
        <v>0</v>
      </c>
      <c r="G20">
        <f t="shared" si="13"/>
        <v>0</v>
      </c>
      <c r="H20">
        <f t="shared" si="13"/>
        <v>0</v>
      </c>
      <c r="I20">
        <f t="shared" si="13"/>
        <v>0</v>
      </c>
      <c r="J20">
        <f t="shared" si="13"/>
        <v>0</v>
      </c>
      <c r="K20">
        <f t="shared" si="13"/>
        <v>0</v>
      </c>
      <c r="L20">
        <f t="shared" si="13"/>
        <v>0</v>
      </c>
      <c r="M20">
        <f t="shared" si="13"/>
        <v>0</v>
      </c>
      <c r="N20">
        <f t="shared" si="13"/>
        <v>0</v>
      </c>
      <c r="O20">
        <f t="shared" si="13"/>
        <v>0</v>
      </c>
      <c r="P20">
        <f t="shared" si="13"/>
        <v>0</v>
      </c>
      <c r="Q20">
        <f t="shared" si="13"/>
        <v>0</v>
      </c>
      <c r="R20">
        <f t="shared" si="13"/>
        <v>0</v>
      </c>
      <c r="S20">
        <f t="shared" si="13"/>
        <v>0</v>
      </c>
      <c r="T20">
        <f t="shared" si="13"/>
        <v>0</v>
      </c>
      <c r="U20">
        <f t="shared" si="13"/>
        <v>0</v>
      </c>
      <c r="V20">
        <f t="shared" si="13"/>
        <v>0</v>
      </c>
      <c r="W20">
        <f t="shared" si="13"/>
        <v>0</v>
      </c>
      <c r="X20">
        <f t="shared" si="13"/>
        <v>0</v>
      </c>
      <c r="Y20">
        <f t="shared" si="13"/>
        <v>0</v>
      </c>
      <c r="Z20">
        <f t="shared" si="13"/>
        <v>0</v>
      </c>
      <c r="AA20">
        <f t="shared" si="13"/>
        <v>0</v>
      </c>
      <c r="AB20">
        <f t="shared" si="13"/>
        <v>0</v>
      </c>
      <c r="AC20">
        <f t="shared" si="13"/>
        <v>0</v>
      </c>
      <c r="AD20">
        <f t="shared" si="13"/>
        <v>0</v>
      </c>
      <c r="AE20">
        <f t="shared" si="13"/>
        <v>0</v>
      </c>
      <c r="AF20">
        <f t="shared" si="13"/>
        <v>0</v>
      </c>
      <c r="AG20">
        <f t="shared" si="13"/>
        <v>0</v>
      </c>
      <c r="AH20">
        <f t="shared" si="13"/>
        <v>0</v>
      </c>
      <c r="AI20">
        <f t="shared" si="13"/>
        <v>0</v>
      </c>
      <c r="AJ20">
        <f t="shared" ref="AJ20:BO20" si="14">AJ14-AJ17</f>
        <v>0</v>
      </c>
      <c r="AK20">
        <f t="shared" si="14"/>
        <v>0</v>
      </c>
      <c r="AL20">
        <f t="shared" si="14"/>
        <v>0</v>
      </c>
      <c r="AM20">
        <f t="shared" si="14"/>
        <v>0</v>
      </c>
      <c r="AN20">
        <f t="shared" si="14"/>
        <v>0</v>
      </c>
      <c r="AO20">
        <f t="shared" si="14"/>
        <v>0</v>
      </c>
      <c r="AP20">
        <f t="shared" si="14"/>
        <v>0</v>
      </c>
      <c r="AQ20">
        <f t="shared" si="14"/>
        <v>0</v>
      </c>
      <c r="AR20">
        <f t="shared" si="14"/>
        <v>0</v>
      </c>
      <c r="AS20">
        <f t="shared" si="14"/>
        <v>0</v>
      </c>
      <c r="AT20">
        <f t="shared" si="14"/>
        <v>0</v>
      </c>
      <c r="AU20">
        <f t="shared" si="14"/>
        <v>0</v>
      </c>
      <c r="AV20">
        <f t="shared" si="14"/>
        <v>0</v>
      </c>
      <c r="AW20">
        <f t="shared" si="14"/>
        <v>0</v>
      </c>
      <c r="AX20">
        <f t="shared" si="14"/>
        <v>0</v>
      </c>
      <c r="AY20">
        <f t="shared" si="14"/>
        <v>0</v>
      </c>
      <c r="AZ20">
        <f t="shared" si="14"/>
        <v>0</v>
      </c>
      <c r="BA20">
        <f t="shared" si="14"/>
        <v>0</v>
      </c>
      <c r="BB20">
        <f t="shared" si="14"/>
        <v>0</v>
      </c>
      <c r="BC20">
        <f t="shared" si="14"/>
        <v>0</v>
      </c>
      <c r="BD20">
        <f t="shared" si="14"/>
        <v>0</v>
      </c>
      <c r="BE20">
        <f t="shared" si="14"/>
        <v>0</v>
      </c>
      <c r="BF20">
        <f t="shared" si="14"/>
        <v>0</v>
      </c>
      <c r="BG20">
        <f t="shared" si="14"/>
        <v>0</v>
      </c>
      <c r="BH20">
        <f t="shared" si="14"/>
        <v>0</v>
      </c>
      <c r="BI20">
        <f t="shared" si="14"/>
        <v>0</v>
      </c>
      <c r="BJ20">
        <f t="shared" si="14"/>
        <v>0</v>
      </c>
      <c r="BK20">
        <f t="shared" si="14"/>
        <v>0</v>
      </c>
      <c r="BL20">
        <f t="shared" si="14"/>
        <v>0</v>
      </c>
      <c r="BM20">
        <f t="shared" si="14"/>
        <v>0</v>
      </c>
      <c r="BN20">
        <f t="shared" si="14"/>
        <v>0</v>
      </c>
      <c r="BO20">
        <f t="shared" si="14"/>
        <v>0</v>
      </c>
      <c r="BP20">
        <f t="shared" ref="BP20:CC20" si="15">BP14-BP17</f>
        <v>0</v>
      </c>
      <c r="BQ20">
        <f t="shared" si="15"/>
        <v>0</v>
      </c>
      <c r="BR20">
        <f t="shared" si="15"/>
        <v>0</v>
      </c>
      <c r="BS20">
        <f t="shared" si="15"/>
        <v>0</v>
      </c>
      <c r="BT20">
        <f t="shared" si="15"/>
        <v>0</v>
      </c>
      <c r="BU20">
        <f t="shared" si="15"/>
        <v>0</v>
      </c>
      <c r="BV20">
        <f t="shared" si="15"/>
        <v>0</v>
      </c>
      <c r="BW20">
        <f t="shared" si="15"/>
        <v>0</v>
      </c>
      <c r="BX20">
        <f t="shared" si="15"/>
        <v>0</v>
      </c>
      <c r="BY20">
        <f t="shared" si="15"/>
        <v>0</v>
      </c>
      <c r="BZ20">
        <f t="shared" si="15"/>
        <v>0</v>
      </c>
      <c r="CA20">
        <f t="shared" si="15"/>
        <v>0</v>
      </c>
      <c r="CB20">
        <f t="shared" si="15"/>
        <v>0</v>
      </c>
      <c r="CC20">
        <f t="shared" si="15"/>
        <v>0</v>
      </c>
    </row>
    <row r="21" spans="1:81" hidden="1" x14ac:dyDescent="0.2">
      <c r="A21" s="43"/>
      <c r="B21" s="44" t="s">
        <v>208</v>
      </c>
      <c r="C21" s="9" t="s">
        <v>38</v>
      </c>
      <c r="D21" s="58">
        <f>IFERROR(VLOOKUP(A21,OS!$A:$B,2,0),0)</f>
        <v>0</v>
      </c>
      <c r="E21" s="5">
        <f>(D21+D22-D24)</f>
        <v>0</v>
      </c>
      <c r="F21" s="5">
        <f>(E21+E22-E24)</f>
        <v>0</v>
      </c>
      <c r="G21" s="5">
        <f>(F21+F22-F24)</f>
        <v>0</v>
      </c>
      <c r="H21" s="5">
        <f>(G21+G22-G24)</f>
        <v>0</v>
      </c>
      <c r="I21" s="5">
        <f t="shared" ref="I21:AN21" si="16">(H21+H22-H24+D23)</f>
        <v>0</v>
      </c>
      <c r="J21" s="5">
        <f t="shared" si="16"/>
        <v>0</v>
      </c>
      <c r="K21" s="5">
        <f t="shared" si="16"/>
        <v>0</v>
      </c>
      <c r="L21" s="5">
        <f t="shared" si="16"/>
        <v>0</v>
      </c>
      <c r="M21" s="5">
        <f t="shared" si="16"/>
        <v>0</v>
      </c>
      <c r="N21" s="5">
        <f t="shared" si="16"/>
        <v>0</v>
      </c>
      <c r="O21" s="5">
        <f t="shared" si="16"/>
        <v>0</v>
      </c>
      <c r="P21" s="5">
        <f t="shared" si="16"/>
        <v>0</v>
      </c>
      <c r="Q21" s="5">
        <f t="shared" si="16"/>
        <v>0</v>
      </c>
      <c r="R21" s="5">
        <f t="shared" si="16"/>
        <v>0</v>
      </c>
      <c r="S21" s="5">
        <f t="shared" si="16"/>
        <v>0</v>
      </c>
      <c r="T21" s="5">
        <f t="shared" si="16"/>
        <v>0</v>
      </c>
      <c r="U21" s="5">
        <f t="shared" si="16"/>
        <v>0</v>
      </c>
      <c r="V21" s="5">
        <f t="shared" si="16"/>
        <v>0</v>
      </c>
      <c r="W21" s="5">
        <f t="shared" si="16"/>
        <v>0</v>
      </c>
      <c r="X21" s="5">
        <f t="shared" si="16"/>
        <v>0</v>
      </c>
      <c r="Y21" s="5">
        <f t="shared" si="16"/>
        <v>0</v>
      </c>
      <c r="Z21" s="5">
        <f t="shared" si="16"/>
        <v>0</v>
      </c>
      <c r="AA21" s="5">
        <f t="shared" si="16"/>
        <v>0</v>
      </c>
      <c r="AB21" s="5">
        <f t="shared" si="16"/>
        <v>0</v>
      </c>
      <c r="AC21" s="5">
        <f t="shared" si="16"/>
        <v>0</v>
      </c>
      <c r="AD21" s="5">
        <f t="shared" si="16"/>
        <v>0</v>
      </c>
      <c r="AE21" s="5">
        <f t="shared" si="16"/>
        <v>0</v>
      </c>
      <c r="AF21" s="5">
        <f t="shared" si="16"/>
        <v>0</v>
      </c>
      <c r="AG21" s="5">
        <f t="shared" si="16"/>
        <v>0</v>
      </c>
      <c r="AH21" s="5">
        <f t="shared" si="16"/>
        <v>0</v>
      </c>
      <c r="AI21" s="5">
        <f t="shared" si="16"/>
        <v>0</v>
      </c>
      <c r="AJ21" s="5">
        <f t="shared" si="16"/>
        <v>0</v>
      </c>
      <c r="AK21" s="5">
        <f t="shared" si="16"/>
        <v>0</v>
      </c>
      <c r="AL21" s="5">
        <f t="shared" si="16"/>
        <v>0</v>
      </c>
      <c r="AM21" s="5">
        <f t="shared" si="16"/>
        <v>0</v>
      </c>
      <c r="AN21" s="5">
        <f t="shared" si="16"/>
        <v>0</v>
      </c>
      <c r="AO21" s="5">
        <f t="shared" ref="AO21:BT21" si="17">(AN21+AN22-AN24+AJ23)</f>
        <v>0</v>
      </c>
      <c r="AP21" s="5">
        <f t="shared" si="17"/>
        <v>0</v>
      </c>
      <c r="AQ21" s="5">
        <f t="shared" si="17"/>
        <v>0</v>
      </c>
      <c r="AR21" s="5">
        <f t="shared" si="17"/>
        <v>0</v>
      </c>
      <c r="AS21" s="5">
        <f t="shared" si="17"/>
        <v>0</v>
      </c>
      <c r="AT21" s="5">
        <f t="shared" si="17"/>
        <v>0</v>
      </c>
      <c r="AU21" s="5">
        <f t="shared" si="17"/>
        <v>0</v>
      </c>
      <c r="AV21" s="5">
        <f t="shared" si="17"/>
        <v>0</v>
      </c>
      <c r="AW21" s="5">
        <f t="shared" si="17"/>
        <v>0</v>
      </c>
      <c r="AX21" s="5">
        <f t="shared" si="17"/>
        <v>0</v>
      </c>
      <c r="AY21" s="5">
        <f t="shared" si="17"/>
        <v>0</v>
      </c>
      <c r="AZ21" s="5">
        <f t="shared" si="17"/>
        <v>0</v>
      </c>
      <c r="BA21" s="5">
        <f t="shared" si="17"/>
        <v>0</v>
      </c>
      <c r="BB21" s="5">
        <f t="shared" si="17"/>
        <v>0</v>
      </c>
      <c r="BC21" s="5">
        <f t="shared" si="17"/>
        <v>0</v>
      </c>
      <c r="BD21" s="5">
        <f t="shared" si="17"/>
        <v>0</v>
      </c>
      <c r="BE21" s="5">
        <f t="shared" si="17"/>
        <v>0</v>
      </c>
      <c r="BF21" s="5">
        <f t="shared" si="17"/>
        <v>0</v>
      </c>
      <c r="BG21" s="5">
        <f t="shared" si="17"/>
        <v>0</v>
      </c>
      <c r="BH21" s="5">
        <f t="shared" si="17"/>
        <v>0</v>
      </c>
      <c r="BI21" s="5">
        <f t="shared" si="17"/>
        <v>0</v>
      </c>
      <c r="BJ21" s="5">
        <f t="shared" si="17"/>
        <v>0</v>
      </c>
      <c r="BK21" s="5">
        <f t="shared" si="17"/>
        <v>0</v>
      </c>
      <c r="BL21" s="5">
        <f t="shared" si="17"/>
        <v>0</v>
      </c>
      <c r="BM21" s="5">
        <f t="shared" si="17"/>
        <v>0</v>
      </c>
      <c r="BN21" s="5">
        <f t="shared" si="17"/>
        <v>0</v>
      </c>
      <c r="BO21" s="5">
        <f t="shared" si="17"/>
        <v>0</v>
      </c>
      <c r="BP21" s="5">
        <f t="shared" si="17"/>
        <v>0</v>
      </c>
      <c r="BQ21" s="5">
        <f t="shared" si="17"/>
        <v>0</v>
      </c>
      <c r="BR21" s="5">
        <f t="shared" si="17"/>
        <v>0</v>
      </c>
      <c r="BS21" s="5">
        <f t="shared" si="17"/>
        <v>0</v>
      </c>
      <c r="BT21" s="5">
        <f t="shared" si="17"/>
        <v>0</v>
      </c>
      <c r="BU21" s="5">
        <f t="shared" ref="BU21:CC21" si="18">(BT21+BT22-BT24+BP23)</f>
        <v>0</v>
      </c>
      <c r="BV21" s="5">
        <f t="shared" si="18"/>
        <v>0</v>
      </c>
      <c r="BW21" s="5">
        <f t="shared" si="18"/>
        <v>0</v>
      </c>
      <c r="BX21" s="5">
        <f t="shared" si="18"/>
        <v>0</v>
      </c>
      <c r="BY21" s="5">
        <f t="shared" si="18"/>
        <v>0</v>
      </c>
      <c r="BZ21" s="5">
        <f t="shared" si="18"/>
        <v>0</v>
      </c>
      <c r="CA21" s="5">
        <f t="shared" si="18"/>
        <v>0</v>
      </c>
      <c r="CB21" s="5">
        <f t="shared" si="18"/>
        <v>0</v>
      </c>
      <c r="CC21" s="5">
        <f t="shared" si="18"/>
        <v>0</v>
      </c>
    </row>
    <row r="22" spans="1:81" hidden="1" x14ac:dyDescent="0.2">
      <c r="A22" s="5" t="s">
        <v>209</v>
      </c>
      <c r="B22" s="5">
        <v>2.1603300000000001</v>
      </c>
      <c r="C22" s="45" t="s">
        <v>39</v>
      </c>
      <c r="D22" s="59">
        <f>IFERROR(VLOOKUP(A21,WIP!$A:$B,2,0),0)</f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hidden="1" x14ac:dyDescent="0.2">
      <c r="A23" s="5" t="s">
        <v>210</v>
      </c>
      <c r="B23" s="5">
        <v>9.7000000000000003E-2</v>
      </c>
      <c r="C23" s="9" t="s">
        <v>211</v>
      </c>
      <c r="D23" s="60">
        <f>IFERROR(VLOOKUP($A21,Plan!$A:B,D$4,0),0)</f>
        <v>0</v>
      </c>
      <c r="E23" s="60">
        <f>IFERROR(VLOOKUP($A21,Plan!$A:C,E$4,0),0)</f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hidden="1" x14ac:dyDescent="0.2">
      <c r="A24" s="5" t="s">
        <v>212</v>
      </c>
      <c r="B24" s="5">
        <v>4.0000000000000001E-3</v>
      </c>
      <c r="C24" s="9" t="s">
        <v>213</v>
      </c>
      <c r="D24" s="61">
        <f>IFERROR(VLOOKUP($A21,Sales!$A:B,D$2,0),0)</f>
        <v>0</v>
      </c>
      <c r="E24" s="61">
        <f>IFERROR(VLOOKUP($A21,Sales!$A:C,E$2,0),0)</f>
        <v>0</v>
      </c>
      <c r="F24" s="61">
        <f>IFERROR(VLOOKUP($A21,Sales!$A:D,F$2,0),0)</f>
        <v>0</v>
      </c>
      <c r="G24" s="61">
        <f>IFERROR(VLOOKUP($A21,Sales!$A:E,G$2,0),0)</f>
        <v>0</v>
      </c>
      <c r="H24" s="61">
        <f>IFERROR(VLOOKUP($A21,Sales!$A:F,H$2,0),0)</f>
        <v>0</v>
      </c>
      <c r="I24" s="61">
        <f>IFERROR(VLOOKUP($A21,Sales!$A:G,I$2,0),0)</f>
        <v>0</v>
      </c>
      <c r="J24" s="61">
        <f>IFERROR(VLOOKUP($A21,Sales!$A:H,J$2,0),0)</f>
        <v>0</v>
      </c>
      <c r="K24" s="61">
        <f>IFERROR(VLOOKUP($A21,Sales!$A:I,K$2,0),0)</f>
        <v>0</v>
      </c>
      <c r="L24" s="61">
        <f>IFERROR(VLOOKUP($A21,Sales!$A:J,L$2,0),0)</f>
        <v>0</v>
      </c>
      <c r="M24" s="61">
        <f>IFERROR(VLOOKUP($A21,Sales!$A:K,M$2,0),0)</f>
        <v>0</v>
      </c>
      <c r="N24" s="61">
        <f>IFERROR(VLOOKUP($A21,Sales!$A:L,N$2,0),0)</f>
        <v>0</v>
      </c>
      <c r="O24" s="61">
        <f>IFERROR(VLOOKUP($A21,Sales!$A:M,O$2,0),0)</f>
        <v>0</v>
      </c>
      <c r="P24" s="61">
        <f>IFERROR(VLOOKUP($A21,Sales!$A:N,P$2,0),0)</f>
        <v>0</v>
      </c>
      <c r="Q24" s="61">
        <f>IFERROR(VLOOKUP($A21,Sales!$A:O,Q$2,0),0)</f>
        <v>0</v>
      </c>
      <c r="R24" s="61">
        <f>IFERROR(VLOOKUP($A21,Sales!$A:P,R$2,0),0)</f>
        <v>0</v>
      </c>
      <c r="S24" s="61">
        <f>IFERROR(VLOOKUP($A21,Sales!$A:Q,S$2,0),0)</f>
        <v>0</v>
      </c>
      <c r="T24" s="61">
        <f>IFERROR(VLOOKUP($A21,Sales!$A:R,T$2,0),0)</f>
        <v>0</v>
      </c>
      <c r="U24" s="61">
        <f>IFERROR(VLOOKUP($A21,Sales!$A:S,U$2,0),0)</f>
        <v>0</v>
      </c>
      <c r="V24" s="61">
        <f>IFERROR(VLOOKUP($A21,Sales!$A:T,V$2,0),0)</f>
        <v>0</v>
      </c>
      <c r="W24" s="61">
        <f>IFERROR(VLOOKUP($A21,Sales!$A:U,W$2,0),0)</f>
        <v>0</v>
      </c>
      <c r="X24" s="61">
        <f>IFERROR(VLOOKUP($A21,Sales!$A:V,X$2,0),0)</f>
        <v>0</v>
      </c>
      <c r="Y24" s="61">
        <f>IFERROR(VLOOKUP($A21,Sales!$A:W,Y$2,0),0)</f>
        <v>0</v>
      </c>
      <c r="Z24" s="61">
        <f>IFERROR(VLOOKUP($A21,Sales!$A:X,Z$2,0),0)</f>
        <v>0</v>
      </c>
      <c r="AA24" s="61">
        <f>IFERROR(VLOOKUP($A21,Sales!$A:Y,AA$2,0),0)</f>
        <v>0</v>
      </c>
      <c r="AB24" s="61">
        <f>IFERROR(VLOOKUP($A21,Sales!$A:Z,AB$2,0),0)</f>
        <v>0</v>
      </c>
      <c r="AC24" s="61">
        <f>IFERROR(VLOOKUP($A21,Sales!$A:AA,AC$2,0),0)</f>
        <v>0</v>
      </c>
      <c r="AD24" s="61">
        <f>IFERROR(VLOOKUP($A21,Sales!$A:AB,AD$2,0),0)</f>
        <v>0</v>
      </c>
      <c r="AE24" s="61">
        <f>IFERROR(VLOOKUP($A21,Sales!$A:AC,AE$2,0),0)</f>
        <v>0</v>
      </c>
      <c r="AF24" s="61">
        <f>IFERROR(VLOOKUP($A21,Sales!$A:AD,AF$2,0),0)</f>
        <v>0</v>
      </c>
      <c r="AG24" s="61">
        <f>IFERROR(VLOOKUP($A21,Sales!$A:AE,AG$2,0),0)</f>
        <v>0</v>
      </c>
      <c r="AH24" s="61">
        <f>IFERROR(VLOOKUP($A21,Sales!$A:AF,AH$2,0),0)</f>
        <v>0</v>
      </c>
      <c r="AI24" s="61">
        <f>IFERROR(VLOOKUP($A21,Sales!$A:AG,AI$2,0),0)</f>
        <v>0</v>
      </c>
      <c r="AJ24" s="61">
        <f>IFERROR(VLOOKUP($A21,Sales!$A:AH,AJ$2,0),0)</f>
        <v>0</v>
      </c>
      <c r="AK24" s="74">
        <f t="shared" ref="AK24:CC24" si="19">CEILING(AK$5*$B20,1)</f>
        <v>0</v>
      </c>
      <c r="AL24" s="74">
        <f t="shared" si="19"/>
        <v>0</v>
      </c>
      <c r="AM24" s="74">
        <f t="shared" si="19"/>
        <v>0</v>
      </c>
      <c r="AN24" s="74">
        <f t="shared" si="19"/>
        <v>0</v>
      </c>
      <c r="AO24" s="74">
        <f t="shared" si="19"/>
        <v>0</v>
      </c>
      <c r="AP24" s="74">
        <f t="shared" si="19"/>
        <v>0</v>
      </c>
      <c r="AQ24" s="74">
        <f t="shared" si="19"/>
        <v>0</v>
      </c>
      <c r="AR24" s="74">
        <f t="shared" si="19"/>
        <v>0</v>
      </c>
      <c r="AS24" s="74">
        <f t="shared" si="19"/>
        <v>0</v>
      </c>
      <c r="AT24" s="74">
        <f t="shared" si="19"/>
        <v>0</v>
      </c>
      <c r="AU24" s="74">
        <f t="shared" si="19"/>
        <v>0</v>
      </c>
      <c r="AV24" s="74">
        <f t="shared" si="19"/>
        <v>0</v>
      </c>
      <c r="AW24" s="74">
        <f t="shared" si="19"/>
        <v>0</v>
      </c>
      <c r="AX24" s="74">
        <f t="shared" si="19"/>
        <v>0</v>
      </c>
      <c r="AY24" s="74">
        <f t="shared" si="19"/>
        <v>0</v>
      </c>
      <c r="AZ24" s="74">
        <f t="shared" si="19"/>
        <v>0</v>
      </c>
      <c r="BA24" s="74">
        <f t="shared" si="19"/>
        <v>0</v>
      </c>
      <c r="BB24" s="74">
        <f t="shared" si="19"/>
        <v>0</v>
      </c>
      <c r="BC24" s="74">
        <f t="shared" si="19"/>
        <v>0</v>
      </c>
      <c r="BD24" s="74">
        <f t="shared" si="19"/>
        <v>0</v>
      </c>
      <c r="BE24" s="74">
        <f t="shared" si="19"/>
        <v>0</v>
      </c>
      <c r="BF24" s="74">
        <f t="shared" si="19"/>
        <v>0</v>
      </c>
      <c r="BG24" s="74">
        <f t="shared" si="19"/>
        <v>0</v>
      </c>
      <c r="BH24" s="74">
        <f t="shared" si="19"/>
        <v>0</v>
      </c>
      <c r="BI24" s="74">
        <f t="shared" si="19"/>
        <v>0</v>
      </c>
      <c r="BJ24" s="74">
        <f t="shared" si="19"/>
        <v>0</v>
      </c>
      <c r="BK24" s="74">
        <f t="shared" si="19"/>
        <v>0</v>
      </c>
      <c r="BL24" s="74">
        <f t="shared" si="19"/>
        <v>0</v>
      </c>
      <c r="BM24" s="74">
        <f t="shared" si="19"/>
        <v>0</v>
      </c>
      <c r="BN24" s="74">
        <f t="shared" si="19"/>
        <v>0</v>
      </c>
      <c r="BO24" s="74">
        <f t="shared" si="19"/>
        <v>0</v>
      </c>
      <c r="BP24" s="74">
        <f t="shared" si="19"/>
        <v>0</v>
      </c>
      <c r="BQ24" s="74">
        <f t="shared" si="19"/>
        <v>0</v>
      </c>
      <c r="BR24" s="74">
        <f t="shared" si="19"/>
        <v>0</v>
      </c>
      <c r="BS24" s="74">
        <f t="shared" si="19"/>
        <v>0</v>
      </c>
      <c r="BT24" s="74">
        <f t="shared" si="19"/>
        <v>0</v>
      </c>
      <c r="BU24" s="74">
        <f t="shared" si="19"/>
        <v>0</v>
      </c>
      <c r="BV24" s="74">
        <f t="shared" si="19"/>
        <v>0</v>
      </c>
      <c r="BW24" s="74">
        <f t="shared" si="19"/>
        <v>0</v>
      </c>
      <c r="BX24" s="74">
        <f t="shared" si="19"/>
        <v>0</v>
      </c>
      <c r="BY24" s="74">
        <f t="shared" si="19"/>
        <v>0</v>
      </c>
      <c r="BZ24" s="74">
        <f t="shared" si="19"/>
        <v>0</v>
      </c>
      <c r="CA24" s="74">
        <f t="shared" si="19"/>
        <v>0</v>
      </c>
      <c r="CB24" s="74">
        <f t="shared" si="19"/>
        <v>0</v>
      </c>
      <c r="CC24" s="74">
        <f t="shared" si="19"/>
        <v>0</v>
      </c>
    </row>
    <row r="25" spans="1:81" hidden="1" x14ac:dyDescent="0.2">
      <c r="A25" s="5" t="s">
        <v>214</v>
      </c>
      <c r="B25" s="5">
        <v>0.10100000000000001</v>
      </c>
      <c r="C25" s="46" t="s">
        <v>215</v>
      </c>
      <c r="D25" s="11">
        <f t="shared" ref="D25:AI25" si="20">IF(D24=0,0, ROUND(D21 * 1/D24* D$13,1))</f>
        <v>0</v>
      </c>
      <c r="E25" s="11">
        <f t="shared" si="20"/>
        <v>0</v>
      </c>
      <c r="F25" s="11">
        <f t="shared" si="20"/>
        <v>0</v>
      </c>
      <c r="G25" s="11">
        <f t="shared" si="20"/>
        <v>0</v>
      </c>
      <c r="H25" s="11">
        <f t="shared" si="20"/>
        <v>0</v>
      </c>
      <c r="I25" s="11">
        <f t="shared" si="20"/>
        <v>0</v>
      </c>
      <c r="J25" s="11">
        <f t="shared" si="20"/>
        <v>0</v>
      </c>
      <c r="K25" s="11">
        <f t="shared" si="20"/>
        <v>0</v>
      </c>
      <c r="L25" s="11">
        <f t="shared" si="20"/>
        <v>0</v>
      </c>
      <c r="M25" s="11">
        <f t="shared" si="20"/>
        <v>0</v>
      </c>
      <c r="N25" s="11">
        <f t="shared" si="20"/>
        <v>0</v>
      </c>
      <c r="O25" s="11">
        <f t="shared" si="20"/>
        <v>0</v>
      </c>
      <c r="P25" s="11">
        <f t="shared" si="20"/>
        <v>0</v>
      </c>
      <c r="Q25" s="11">
        <f t="shared" si="20"/>
        <v>0</v>
      </c>
      <c r="R25" s="11">
        <f t="shared" si="20"/>
        <v>0</v>
      </c>
      <c r="S25" s="11">
        <f t="shared" si="20"/>
        <v>0</v>
      </c>
      <c r="T25" s="11">
        <f t="shared" si="20"/>
        <v>0</v>
      </c>
      <c r="U25" s="11">
        <f t="shared" si="20"/>
        <v>0</v>
      </c>
      <c r="V25" s="11">
        <f t="shared" si="20"/>
        <v>0</v>
      </c>
      <c r="W25" s="11">
        <f t="shared" si="20"/>
        <v>0</v>
      </c>
      <c r="X25" s="11">
        <f t="shared" si="20"/>
        <v>0</v>
      </c>
      <c r="Y25" s="11">
        <f t="shared" si="20"/>
        <v>0</v>
      </c>
      <c r="Z25" s="11">
        <f t="shared" si="20"/>
        <v>0</v>
      </c>
      <c r="AA25" s="11">
        <f t="shared" si="20"/>
        <v>0</v>
      </c>
      <c r="AB25" s="11">
        <f t="shared" si="20"/>
        <v>0</v>
      </c>
      <c r="AC25" s="11">
        <f t="shared" si="20"/>
        <v>0</v>
      </c>
      <c r="AD25" s="11">
        <f t="shared" si="20"/>
        <v>0</v>
      </c>
      <c r="AE25" s="11">
        <f t="shared" si="20"/>
        <v>0</v>
      </c>
      <c r="AF25" s="11">
        <f t="shared" si="20"/>
        <v>0</v>
      </c>
      <c r="AG25" s="11">
        <f t="shared" si="20"/>
        <v>0</v>
      </c>
      <c r="AH25" s="11">
        <f t="shared" si="20"/>
        <v>0</v>
      </c>
      <c r="AI25" s="11">
        <f t="shared" si="20"/>
        <v>0</v>
      </c>
      <c r="AJ25" s="11">
        <f t="shared" ref="AJ25:BO25" si="21">IF(AJ24=0,0, ROUND(AJ21 * 1/AJ24* AJ$13,1))</f>
        <v>0</v>
      </c>
      <c r="AK25" s="11">
        <f t="shared" si="21"/>
        <v>0</v>
      </c>
      <c r="AL25" s="11">
        <f t="shared" si="21"/>
        <v>0</v>
      </c>
      <c r="AM25" s="11">
        <f t="shared" si="21"/>
        <v>0</v>
      </c>
      <c r="AN25" s="11">
        <f t="shared" si="21"/>
        <v>0</v>
      </c>
      <c r="AO25" s="11">
        <f t="shared" si="21"/>
        <v>0</v>
      </c>
      <c r="AP25" s="11">
        <f t="shared" si="21"/>
        <v>0</v>
      </c>
      <c r="AQ25" s="11">
        <f t="shared" si="21"/>
        <v>0</v>
      </c>
      <c r="AR25" s="11">
        <f t="shared" si="21"/>
        <v>0</v>
      </c>
      <c r="AS25" s="11">
        <f t="shared" si="21"/>
        <v>0</v>
      </c>
      <c r="AT25" s="11">
        <f t="shared" si="21"/>
        <v>0</v>
      </c>
      <c r="AU25" s="11">
        <f t="shared" si="21"/>
        <v>0</v>
      </c>
      <c r="AV25" s="11">
        <f t="shared" si="21"/>
        <v>0</v>
      </c>
      <c r="AW25" s="11">
        <f t="shared" si="21"/>
        <v>0</v>
      </c>
      <c r="AX25" s="11">
        <f t="shared" si="21"/>
        <v>0</v>
      </c>
      <c r="AY25" s="11">
        <f t="shared" si="21"/>
        <v>0</v>
      </c>
      <c r="AZ25" s="11">
        <f t="shared" si="21"/>
        <v>0</v>
      </c>
      <c r="BA25" s="11">
        <f t="shared" si="21"/>
        <v>0</v>
      </c>
      <c r="BB25" s="11">
        <f t="shared" si="21"/>
        <v>0</v>
      </c>
      <c r="BC25" s="11">
        <f t="shared" si="21"/>
        <v>0</v>
      </c>
      <c r="BD25" s="11">
        <f t="shared" si="21"/>
        <v>0</v>
      </c>
      <c r="BE25" s="11">
        <f t="shared" si="21"/>
        <v>0</v>
      </c>
      <c r="BF25" s="11">
        <f t="shared" si="21"/>
        <v>0</v>
      </c>
      <c r="BG25" s="11">
        <f t="shared" si="21"/>
        <v>0</v>
      </c>
      <c r="BH25" s="11">
        <f t="shared" si="21"/>
        <v>0</v>
      </c>
      <c r="BI25" s="11">
        <f t="shared" si="21"/>
        <v>0</v>
      </c>
      <c r="BJ25" s="11">
        <f t="shared" si="21"/>
        <v>0</v>
      </c>
      <c r="BK25" s="11">
        <f t="shared" si="21"/>
        <v>0</v>
      </c>
      <c r="BL25" s="11">
        <f t="shared" si="21"/>
        <v>0</v>
      </c>
      <c r="BM25" s="11">
        <f t="shared" si="21"/>
        <v>0</v>
      </c>
      <c r="BN25" s="11">
        <f t="shared" si="21"/>
        <v>0</v>
      </c>
      <c r="BO25" s="11">
        <f t="shared" si="21"/>
        <v>0</v>
      </c>
      <c r="BP25" s="11">
        <f t="shared" ref="BP25:CC25" si="22">IF(BP24=0,0, ROUND(BP21 * 1/BP24* BP$13,1))</f>
        <v>0</v>
      </c>
      <c r="BQ25" s="11">
        <f t="shared" si="22"/>
        <v>0</v>
      </c>
      <c r="BR25" s="11">
        <f t="shared" si="22"/>
        <v>0</v>
      </c>
      <c r="BS25" s="11">
        <f t="shared" si="22"/>
        <v>0</v>
      </c>
      <c r="BT25" s="11">
        <f t="shared" si="22"/>
        <v>0</v>
      </c>
      <c r="BU25" s="11">
        <f t="shared" si="22"/>
        <v>0</v>
      </c>
      <c r="BV25" s="11">
        <f t="shared" si="22"/>
        <v>0</v>
      </c>
      <c r="BW25" s="11">
        <f t="shared" si="22"/>
        <v>0</v>
      </c>
      <c r="BX25" s="11">
        <f t="shared" si="22"/>
        <v>0</v>
      </c>
      <c r="BY25" s="11">
        <f t="shared" si="22"/>
        <v>0</v>
      </c>
      <c r="BZ25" s="11">
        <f t="shared" si="22"/>
        <v>0</v>
      </c>
      <c r="CA25" s="11">
        <f t="shared" si="22"/>
        <v>0</v>
      </c>
      <c r="CB25" s="11">
        <f t="shared" si="22"/>
        <v>0</v>
      </c>
      <c r="CC25" s="11">
        <f t="shared" si="22"/>
        <v>0</v>
      </c>
    </row>
    <row r="26" spans="1:81" hidden="1" x14ac:dyDescent="0.2">
      <c r="A26">
        <v>9</v>
      </c>
      <c r="B26">
        <v>50</v>
      </c>
      <c r="C26" s="8">
        <v>1.5259100000000001</v>
      </c>
      <c r="D26">
        <f t="shared" ref="D26:AI26" si="23">D23/$B26</f>
        <v>0</v>
      </c>
      <c r="E26">
        <f t="shared" si="23"/>
        <v>0</v>
      </c>
      <c r="F26">
        <f t="shared" si="23"/>
        <v>0</v>
      </c>
      <c r="G26">
        <f t="shared" si="23"/>
        <v>0</v>
      </c>
      <c r="H26">
        <f t="shared" si="23"/>
        <v>0</v>
      </c>
      <c r="I26">
        <f t="shared" si="23"/>
        <v>0</v>
      </c>
      <c r="J26">
        <f t="shared" si="23"/>
        <v>0</v>
      </c>
      <c r="K26">
        <f t="shared" si="23"/>
        <v>0</v>
      </c>
      <c r="L26">
        <f t="shared" si="23"/>
        <v>0</v>
      </c>
      <c r="M26">
        <f t="shared" si="23"/>
        <v>0</v>
      </c>
      <c r="N26">
        <f t="shared" si="23"/>
        <v>0</v>
      </c>
      <c r="O26">
        <f t="shared" si="23"/>
        <v>0</v>
      </c>
      <c r="P26">
        <f t="shared" si="23"/>
        <v>0</v>
      </c>
      <c r="Q26">
        <f t="shared" si="23"/>
        <v>0</v>
      </c>
      <c r="R26">
        <f t="shared" si="23"/>
        <v>0</v>
      </c>
      <c r="S26">
        <f t="shared" si="23"/>
        <v>0</v>
      </c>
      <c r="T26">
        <f t="shared" si="23"/>
        <v>0</v>
      </c>
      <c r="U26">
        <f t="shared" si="23"/>
        <v>0</v>
      </c>
      <c r="V26">
        <f t="shared" si="23"/>
        <v>0</v>
      </c>
      <c r="W26">
        <f t="shared" si="23"/>
        <v>0</v>
      </c>
      <c r="X26">
        <f t="shared" si="23"/>
        <v>0</v>
      </c>
      <c r="Y26">
        <f t="shared" si="23"/>
        <v>0</v>
      </c>
      <c r="Z26">
        <f t="shared" si="23"/>
        <v>0</v>
      </c>
      <c r="AA26">
        <f t="shared" si="23"/>
        <v>0</v>
      </c>
      <c r="AB26">
        <f t="shared" si="23"/>
        <v>0</v>
      </c>
      <c r="AC26">
        <f t="shared" si="23"/>
        <v>0</v>
      </c>
      <c r="AD26">
        <f t="shared" si="23"/>
        <v>0</v>
      </c>
      <c r="AE26">
        <f t="shared" si="23"/>
        <v>0</v>
      </c>
      <c r="AF26">
        <f t="shared" si="23"/>
        <v>0</v>
      </c>
      <c r="AG26">
        <f t="shared" si="23"/>
        <v>0</v>
      </c>
      <c r="AH26">
        <f t="shared" si="23"/>
        <v>0</v>
      </c>
      <c r="AI26">
        <f t="shared" si="23"/>
        <v>0</v>
      </c>
      <c r="AJ26">
        <f t="shared" ref="AJ26:BO26" si="24">AJ23/$B26</f>
        <v>0</v>
      </c>
      <c r="AK26">
        <f t="shared" si="24"/>
        <v>0</v>
      </c>
      <c r="AL26">
        <f t="shared" si="24"/>
        <v>0</v>
      </c>
      <c r="AM26">
        <f t="shared" si="24"/>
        <v>0</v>
      </c>
      <c r="AN26">
        <f t="shared" si="24"/>
        <v>0</v>
      </c>
      <c r="AO26">
        <f t="shared" si="24"/>
        <v>0</v>
      </c>
      <c r="AP26">
        <f t="shared" si="24"/>
        <v>0</v>
      </c>
      <c r="AQ26">
        <f t="shared" si="24"/>
        <v>0</v>
      </c>
      <c r="AR26">
        <f t="shared" si="24"/>
        <v>0</v>
      </c>
      <c r="AS26">
        <f t="shared" si="24"/>
        <v>0</v>
      </c>
      <c r="AT26">
        <f t="shared" si="24"/>
        <v>0</v>
      </c>
      <c r="AU26">
        <f t="shared" si="24"/>
        <v>0</v>
      </c>
      <c r="AV26">
        <f t="shared" si="24"/>
        <v>0</v>
      </c>
      <c r="AW26">
        <f t="shared" si="24"/>
        <v>0</v>
      </c>
      <c r="AX26">
        <f t="shared" si="24"/>
        <v>0</v>
      </c>
      <c r="AY26">
        <f t="shared" si="24"/>
        <v>0</v>
      </c>
      <c r="AZ26">
        <f t="shared" si="24"/>
        <v>0</v>
      </c>
      <c r="BA26">
        <f t="shared" si="24"/>
        <v>0</v>
      </c>
      <c r="BB26">
        <f t="shared" si="24"/>
        <v>0</v>
      </c>
      <c r="BC26">
        <f t="shared" si="24"/>
        <v>0</v>
      </c>
      <c r="BD26">
        <f t="shared" si="24"/>
        <v>0</v>
      </c>
      <c r="BE26">
        <f t="shared" si="24"/>
        <v>0</v>
      </c>
      <c r="BF26">
        <f t="shared" si="24"/>
        <v>0</v>
      </c>
      <c r="BG26">
        <f t="shared" si="24"/>
        <v>0</v>
      </c>
      <c r="BH26">
        <f t="shared" si="24"/>
        <v>0</v>
      </c>
      <c r="BI26">
        <f t="shared" si="24"/>
        <v>0</v>
      </c>
      <c r="BJ26">
        <f t="shared" si="24"/>
        <v>0</v>
      </c>
      <c r="BK26">
        <f t="shared" si="24"/>
        <v>0</v>
      </c>
      <c r="BL26">
        <f t="shared" si="24"/>
        <v>0</v>
      </c>
      <c r="BM26">
        <f t="shared" si="24"/>
        <v>0</v>
      </c>
      <c r="BN26">
        <f t="shared" si="24"/>
        <v>0</v>
      </c>
      <c r="BO26">
        <f t="shared" si="24"/>
        <v>0</v>
      </c>
      <c r="BP26">
        <f t="shared" ref="BP26:CC26" si="25">BP23/$B26</f>
        <v>0</v>
      </c>
      <c r="BQ26">
        <f t="shared" si="25"/>
        <v>0</v>
      </c>
      <c r="BR26">
        <f t="shared" si="25"/>
        <v>0</v>
      </c>
      <c r="BS26">
        <f t="shared" si="25"/>
        <v>0</v>
      </c>
      <c r="BT26">
        <f t="shared" si="25"/>
        <v>0</v>
      </c>
      <c r="BU26">
        <f t="shared" si="25"/>
        <v>0</v>
      </c>
      <c r="BV26">
        <f t="shared" si="25"/>
        <v>0</v>
      </c>
      <c r="BW26">
        <f t="shared" si="25"/>
        <v>0</v>
      </c>
      <c r="BX26">
        <f t="shared" si="25"/>
        <v>0</v>
      </c>
      <c r="BY26">
        <f t="shared" si="25"/>
        <v>0</v>
      </c>
      <c r="BZ26">
        <f t="shared" si="25"/>
        <v>0</v>
      </c>
      <c r="CA26">
        <f t="shared" si="25"/>
        <v>0</v>
      </c>
      <c r="CB26">
        <f t="shared" si="25"/>
        <v>0</v>
      </c>
      <c r="CC26">
        <f t="shared" si="25"/>
        <v>0</v>
      </c>
    </row>
    <row r="27" spans="1:81" hidden="1" x14ac:dyDescent="0.2">
      <c r="B27" s="67">
        <f>SUM(D31:AJ31)/SUM($D$67:$AJ$67)</f>
        <v>0</v>
      </c>
      <c r="C27" s="9" t="s">
        <v>216</v>
      </c>
      <c r="D27">
        <f t="shared" ref="D27:AI27" si="26">D21-D24</f>
        <v>0</v>
      </c>
      <c r="E27">
        <f t="shared" si="26"/>
        <v>0</v>
      </c>
      <c r="F27">
        <f t="shared" si="26"/>
        <v>0</v>
      </c>
      <c r="G27">
        <f t="shared" si="26"/>
        <v>0</v>
      </c>
      <c r="H27">
        <f t="shared" si="26"/>
        <v>0</v>
      </c>
      <c r="I27">
        <f t="shared" si="26"/>
        <v>0</v>
      </c>
      <c r="J27">
        <f t="shared" si="26"/>
        <v>0</v>
      </c>
      <c r="K27">
        <f t="shared" si="26"/>
        <v>0</v>
      </c>
      <c r="L27">
        <f t="shared" si="26"/>
        <v>0</v>
      </c>
      <c r="M27">
        <f t="shared" si="26"/>
        <v>0</v>
      </c>
      <c r="N27">
        <f t="shared" si="26"/>
        <v>0</v>
      </c>
      <c r="O27">
        <f t="shared" si="26"/>
        <v>0</v>
      </c>
      <c r="P27">
        <f t="shared" si="26"/>
        <v>0</v>
      </c>
      <c r="Q27">
        <f t="shared" si="26"/>
        <v>0</v>
      </c>
      <c r="R27">
        <f t="shared" si="26"/>
        <v>0</v>
      </c>
      <c r="S27">
        <f t="shared" si="26"/>
        <v>0</v>
      </c>
      <c r="T27">
        <f t="shared" si="26"/>
        <v>0</v>
      </c>
      <c r="U27">
        <f t="shared" si="26"/>
        <v>0</v>
      </c>
      <c r="V27">
        <f t="shared" si="26"/>
        <v>0</v>
      </c>
      <c r="W27">
        <f t="shared" si="26"/>
        <v>0</v>
      </c>
      <c r="X27">
        <f t="shared" si="26"/>
        <v>0</v>
      </c>
      <c r="Y27">
        <f t="shared" si="26"/>
        <v>0</v>
      </c>
      <c r="Z27">
        <f t="shared" si="26"/>
        <v>0</v>
      </c>
      <c r="AA27">
        <f t="shared" si="26"/>
        <v>0</v>
      </c>
      <c r="AB27">
        <f t="shared" si="26"/>
        <v>0</v>
      </c>
      <c r="AC27">
        <f t="shared" si="26"/>
        <v>0</v>
      </c>
      <c r="AD27">
        <f t="shared" si="26"/>
        <v>0</v>
      </c>
      <c r="AE27">
        <f t="shared" si="26"/>
        <v>0</v>
      </c>
      <c r="AF27">
        <f t="shared" si="26"/>
        <v>0</v>
      </c>
      <c r="AG27">
        <f t="shared" si="26"/>
        <v>0</v>
      </c>
      <c r="AH27">
        <f t="shared" si="26"/>
        <v>0</v>
      </c>
      <c r="AI27">
        <f t="shared" si="26"/>
        <v>0</v>
      </c>
      <c r="AJ27">
        <f t="shared" ref="AJ27:BO27" si="27">AJ21-AJ24</f>
        <v>0</v>
      </c>
      <c r="AK27">
        <f t="shared" si="27"/>
        <v>0</v>
      </c>
      <c r="AL27">
        <f t="shared" si="27"/>
        <v>0</v>
      </c>
      <c r="AM27">
        <f t="shared" si="27"/>
        <v>0</v>
      </c>
      <c r="AN27">
        <f t="shared" si="27"/>
        <v>0</v>
      </c>
      <c r="AO27">
        <f t="shared" si="27"/>
        <v>0</v>
      </c>
      <c r="AP27">
        <f t="shared" si="27"/>
        <v>0</v>
      </c>
      <c r="AQ27">
        <f t="shared" si="27"/>
        <v>0</v>
      </c>
      <c r="AR27">
        <f t="shared" si="27"/>
        <v>0</v>
      </c>
      <c r="AS27">
        <f t="shared" si="27"/>
        <v>0</v>
      </c>
      <c r="AT27">
        <f t="shared" si="27"/>
        <v>0</v>
      </c>
      <c r="AU27">
        <f t="shared" si="27"/>
        <v>0</v>
      </c>
      <c r="AV27">
        <f t="shared" si="27"/>
        <v>0</v>
      </c>
      <c r="AW27">
        <f t="shared" si="27"/>
        <v>0</v>
      </c>
      <c r="AX27">
        <f t="shared" si="27"/>
        <v>0</v>
      </c>
      <c r="AY27">
        <f t="shared" si="27"/>
        <v>0</v>
      </c>
      <c r="AZ27">
        <f t="shared" si="27"/>
        <v>0</v>
      </c>
      <c r="BA27">
        <f t="shared" si="27"/>
        <v>0</v>
      </c>
      <c r="BB27">
        <f t="shared" si="27"/>
        <v>0</v>
      </c>
      <c r="BC27">
        <f t="shared" si="27"/>
        <v>0</v>
      </c>
      <c r="BD27">
        <f t="shared" si="27"/>
        <v>0</v>
      </c>
      <c r="BE27">
        <f t="shared" si="27"/>
        <v>0</v>
      </c>
      <c r="BF27">
        <f t="shared" si="27"/>
        <v>0</v>
      </c>
      <c r="BG27">
        <f t="shared" si="27"/>
        <v>0</v>
      </c>
      <c r="BH27">
        <f t="shared" si="27"/>
        <v>0</v>
      </c>
      <c r="BI27">
        <f t="shared" si="27"/>
        <v>0</v>
      </c>
      <c r="BJ27">
        <f t="shared" si="27"/>
        <v>0</v>
      </c>
      <c r="BK27">
        <f t="shared" si="27"/>
        <v>0</v>
      </c>
      <c r="BL27">
        <f t="shared" si="27"/>
        <v>0</v>
      </c>
      <c r="BM27">
        <f t="shared" si="27"/>
        <v>0</v>
      </c>
      <c r="BN27">
        <f t="shared" si="27"/>
        <v>0</v>
      </c>
      <c r="BO27">
        <f t="shared" si="27"/>
        <v>0</v>
      </c>
      <c r="BP27">
        <f t="shared" ref="BP27:CC27" si="28">BP21-BP24</f>
        <v>0</v>
      </c>
      <c r="BQ27">
        <f t="shared" si="28"/>
        <v>0</v>
      </c>
      <c r="BR27">
        <f t="shared" si="28"/>
        <v>0</v>
      </c>
      <c r="BS27">
        <f t="shared" si="28"/>
        <v>0</v>
      </c>
      <c r="BT27">
        <f t="shared" si="28"/>
        <v>0</v>
      </c>
      <c r="BU27">
        <f t="shared" si="28"/>
        <v>0</v>
      </c>
      <c r="BV27">
        <f t="shared" si="28"/>
        <v>0</v>
      </c>
      <c r="BW27">
        <f t="shared" si="28"/>
        <v>0</v>
      </c>
      <c r="BX27">
        <f t="shared" si="28"/>
        <v>0</v>
      </c>
      <c r="BY27">
        <f t="shared" si="28"/>
        <v>0</v>
      </c>
      <c r="BZ27">
        <f t="shared" si="28"/>
        <v>0</v>
      </c>
      <c r="CA27">
        <f t="shared" si="28"/>
        <v>0</v>
      </c>
      <c r="CB27">
        <f t="shared" si="28"/>
        <v>0</v>
      </c>
      <c r="CC27">
        <f t="shared" si="28"/>
        <v>0</v>
      </c>
    </row>
    <row r="28" spans="1:81" hidden="1" x14ac:dyDescent="0.2">
      <c r="A28" s="43"/>
      <c r="B28" s="44" t="s">
        <v>208</v>
      </c>
      <c r="C28" s="9" t="s">
        <v>38</v>
      </c>
      <c r="D28" s="58">
        <f>IFERROR(VLOOKUP(A28,OS!$A:$B,2,0),0)</f>
        <v>0</v>
      </c>
      <c r="E28" s="5">
        <f>(D28+D29-D31)</f>
        <v>0</v>
      </c>
      <c r="F28" s="5">
        <f>(E28+E29-E31)</f>
        <v>0</v>
      </c>
      <c r="G28" s="5">
        <f>(F28+F29-F31)</f>
        <v>0</v>
      </c>
      <c r="H28" s="5">
        <f>(G28+G29-G31)</f>
        <v>0</v>
      </c>
      <c r="I28" s="5">
        <f t="shared" ref="I28:AN28" si="29">(H28+H29-H31+D30)</f>
        <v>0</v>
      </c>
      <c r="J28" s="5">
        <f t="shared" si="29"/>
        <v>0</v>
      </c>
      <c r="K28" s="5">
        <f t="shared" si="29"/>
        <v>0</v>
      </c>
      <c r="L28" s="5">
        <f t="shared" si="29"/>
        <v>0</v>
      </c>
      <c r="M28" s="5">
        <f t="shared" si="29"/>
        <v>0</v>
      </c>
      <c r="N28" s="5">
        <f t="shared" si="29"/>
        <v>0</v>
      </c>
      <c r="O28" s="5">
        <f t="shared" si="29"/>
        <v>0</v>
      </c>
      <c r="P28" s="5">
        <f t="shared" si="29"/>
        <v>0</v>
      </c>
      <c r="Q28" s="5">
        <f t="shared" si="29"/>
        <v>0</v>
      </c>
      <c r="R28" s="5">
        <f t="shared" si="29"/>
        <v>0</v>
      </c>
      <c r="S28" s="5">
        <f t="shared" si="29"/>
        <v>0</v>
      </c>
      <c r="T28" s="5">
        <f t="shared" si="29"/>
        <v>0</v>
      </c>
      <c r="U28" s="5">
        <f t="shared" si="29"/>
        <v>0</v>
      </c>
      <c r="V28" s="5">
        <f t="shared" si="29"/>
        <v>0</v>
      </c>
      <c r="W28" s="5">
        <f t="shared" si="29"/>
        <v>0</v>
      </c>
      <c r="X28" s="5">
        <f t="shared" si="29"/>
        <v>0</v>
      </c>
      <c r="Y28" s="5">
        <f t="shared" si="29"/>
        <v>0</v>
      </c>
      <c r="Z28" s="5">
        <f t="shared" si="29"/>
        <v>0</v>
      </c>
      <c r="AA28" s="5">
        <f t="shared" si="29"/>
        <v>0</v>
      </c>
      <c r="AB28" s="5">
        <f t="shared" si="29"/>
        <v>0</v>
      </c>
      <c r="AC28" s="5">
        <f t="shared" si="29"/>
        <v>0</v>
      </c>
      <c r="AD28" s="5">
        <f t="shared" si="29"/>
        <v>0</v>
      </c>
      <c r="AE28" s="5">
        <f t="shared" si="29"/>
        <v>0</v>
      </c>
      <c r="AF28" s="5">
        <f t="shared" si="29"/>
        <v>0</v>
      </c>
      <c r="AG28" s="5">
        <f t="shared" si="29"/>
        <v>0</v>
      </c>
      <c r="AH28" s="5">
        <f t="shared" si="29"/>
        <v>0</v>
      </c>
      <c r="AI28" s="5">
        <f t="shared" si="29"/>
        <v>0</v>
      </c>
      <c r="AJ28" s="5">
        <f t="shared" si="29"/>
        <v>0</v>
      </c>
      <c r="AK28" s="5">
        <f t="shared" si="29"/>
        <v>0</v>
      </c>
      <c r="AL28" s="5">
        <f t="shared" si="29"/>
        <v>0</v>
      </c>
      <c r="AM28" s="5">
        <f t="shared" si="29"/>
        <v>0</v>
      </c>
      <c r="AN28" s="5">
        <f t="shared" si="29"/>
        <v>0</v>
      </c>
      <c r="AO28" s="5">
        <f t="shared" ref="AO28:BT28" si="30">(AN28+AN29-AN31+AJ30)</f>
        <v>0</v>
      </c>
      <c r="AP28" s="5">
        <f t="shared" si="30"/>
        <v>0</v>
      </c>
      <c r="AQ28" s="5">
        <f t="shared" si="30"/>
        <v>0</v>
      </c>
      <c r="AR28" s="5">
        <f t="shared" si="30"/>
        <v>0</v>
      </c>
      <c r="AS28" s="5">
        <f t="shared" si="30"/>
        <v>0</v>
      </c>
      <c r="AT28" s="5">
        <f t="shared" si="30"/>
        <v>0</v>
      </c>
      <c r="AU28" s="5">
        <f t="shared" si="30"/>
        <v>0</v>
      </c>
      <c r="AV28" s="5">
        <f t="shared" si="30"/>
        <v>0</v>
      </c>
      <c r="AW28" s="5">
        <f t="shared" si="30"/>
        <v>0</v>
      </c>
      <c r="AX28" s="5">
        <f t="shared" si="30"/>
        <v>0</v>
      </c>
      <c r="AY28" s="5">
        <f t="shared" si="30"/>
        <v>0</v>
      </c>
      <c r="AZ28" s="5">
        <f t="shared" si="30"/>
        <v>0</v>
      </c>
      <c r="BA28" s="5">
        <f t="shared" si="30"/>
        <v>0</v>
      </c>
      <c r="BB28" s="5">
        <f t="shared" si="30"/>
        <v>0</v>
      </c>
      <c r="BC28" s="5">
        <f t="shared" si="30"/>
        <v>0</v>
      </c>
      <c r="BD28" s="5">
        <f t="shared" si="30"/>
        <v>0</v>
      </c>
      <c r="BE28" s="5">
        <f t="shared" si="30"/>
        <v>0</v>
      </c>
      <c r="BF28" s="5">
        <f t="shared" si="30"/>
        <v>0</v>
      </c>
      <c r="BG28" s="5">
        <f t="shared" si="30"/>
        <v>0</v>
      </c>
      <c r="BH28" s="5">
        <f t="shared" si="30"/>
        <v>0</v>
      </c>
      <c r="BI28" s="5">
        <f t="shared" si="30"/>
        <v>0</v>
      </c>
      <c r="BJ28" s="5">
        <f t="shared" si="30"/>
        <v>0</v>
      </c>
      <c r="BK28" s="5">
        <f t="shared" si="30"/>
        <v>0</v>
      </c>
      <c r="BL28" s="5">
        <f t="shared" si="30"/>
        <v>0</v>
      </c>
      <c r="BM28" s="5">
        <f t="shared" si="30"/>
        <v>0</v>
      </c>
      <c r="BN28" s="5">
        <f t="shared" si="30"/>
        <v>0</v>
      </c>
      <c r="BO28" s="5">
        <f t="shared" si="30"/>
        <v>0</v>
      </c>
      <c r="BP28" s="5">
        <f t="shared" si="30"/>
        <v>0</v>
      </c>
      <c r="BQ28" s="5">
        <f t="shared" si="30"/>
        <v>0</v>
      </c>
      <c r="BR28" s="5">
        <f t="shared" si="30"/>
        <v>0</v>
      </c>
      <c r="BS28" s="5">
        <f t="shared" si="30"/>
        <v>0</v>
      </c>
      <c r="BT28" s="5">
        <f t="shared" si="30"/>
        <v>0</v>
      </c>
      <c r="BU28" s="5">
        <f t="shared" ref="BU28:CC28" si="31">(BT28+BT29-BT31+BP30)</f>
        <v>0</v>
      </c>
      <c r="BV28" s="5">
        <f t="shared" si="31"/>
        <v>0</v>
      </c>
      <c r="BW28" s="5">
        <f t="shared" si="31"/>
        <v>0</v>
      </c>
      <c r="BX28" s="5">
        <f t="shared" si="31"/>
        <v>0</v>
      </c>
      <c r="BY28" s="5">
        <f t="shared" si="31"/>
        <v>0</v>
      </c>
      <c r="BZ28" s="5">
        <f t="shared" si="31"/>
        <v>0</v>
      </c>
      <c r="CA28" s="5">
        <f t="shared" si="31"/>
        <v>0</v>
      </c>
      <c r="CB28" s="5">
        <f t="shared" si="31"/>
        <v>0</v>
      </c>
      <c r="CC28" s="5">
        <f t="shared" si="31"/>
        <v>0</v>
      </c>
    </row>
    <row r="29" spans="1:81" hidden="1" x14ac:dyDescent="0.2">
      <c r="A29" s="5" t="s">
        <v>209</v>
      </c>
      <c r="B29" s="5">
        <v>1.39656</v>
      </c>
      <c r="C29" s="45" t="s">
        <v>39</v>
      </c>
      <c r="D29" s="59">
        <f>IFERROR(VLOOKUP(A28,WIP!$A:$B,2,0),0)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hidden="1" x14ac:dyDescent="0.2">
      <c r="A30" s="5" t="s">
        <v>210</v>
      </c>
      <c r="B30" s="5">
        <v>7.2999999999999995E-2</v>
      </c>
      <c r="C30" s="9" t="s">
        <v>211</v>
      </c>
      <c r="D30" s="60">
        <f>IFERROR(VLOOKUP($A28,Plan!$A:B,D$4,0),0)</f>
        <v>0</v>
      </c>
      <c r="E30" s="60">
        <f>IFERROR(VLOOKUP($A28,Plan!$A:C,E$4,0),0)</f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hidden="1" x14ac:dyDescent="0.2">
      <c r="A31" s="5" t="s">
        <v>212</v>
      </c>
      <c r="B31" s="5">
        <v>2E-3</v>
      </c>
      <c r="C31" s="9" t="s">
        <v>213</v>
      </c>
      <c r="D31" s="61">
        <f>IFERROR(VLOOKUP($A28,Sales!$A:B,D$2,0),0)</f>
        <v>0</v>
      </c>
      <c r="E31" s="61">
        <f>IFERROR(VLOOKUP($A28,Sales!$A:C,E$2,0),0)</f>
        <v>0</v>
      </c>
      <c r="F31" s="61">
        <f>IFERROR(VLOOKUP($A28,Sales!$A:D,F$2,0),0)</f>
        <v>0</v>
      </c>
      <c r="G31" s="61">
        <f>IFERROR(VLOOKUP($A28,Sales!$A:E,G$2,0),0)</f>
        <v>0</v>
      </c>
      <c r="H31" s="61">
        <f>IFERROR(VLOOKUP($A28,Sales!$A:F,H$2,0),0)</f>
        <v>0</v>
      </c>
      <c r="I31" s="61">
        <f>IFERROR(VLOOKUP($A28,Sales!$A:G,I$2,0),0)</f>
        <v>0</v>
      </c>
      <c r="J31" s="61">
        <f>IFERROR(VLOOKUP($A28,Sales!$A:H,J$2,0),0)</f>
        <v>0</v>
      </c>
      <c r="K31" s="61">
        <f>IFERROR(VLOOKUP($A28,Sales!$A:I,K$2,0),0)</f>
        <v>0</v>
      </c>
      <c r="L31" s="61">
        <f>IFERROR(VLOOKUP($A28,Sales!$A:J,L$2,0),0)</f>
        <v>0</v>
      </c>
      <c r="M31" s="61">
        <f>IFERROR(VLOOKUP($A28,Sales!$A:K,M$2,0),0)</f>
        <v>0</v>
      </c>
      <c r="N31" s="61">
        <f>IFERROR(VLOOKUP($A28,Sales!$A:L,N$2,0),0)</f>
        <v>0</v>
      </c>
      <c r="O31" s="61">
        <f>IFERROR(VLOOKUP($A28,Sales!$A:M,O$2,0),0)</f>
        <v>0</v>
      </c>
      <c r="P31" s="61">
        <f>IFERROR(VLOOKUP($A28,Sales!$A:N,P$2,0),0)</f>
        <v>0</v>
      </c>
      <c r="Q31" s="61">
        <f>IFERROR(VLOOKUP($A28,Sales!$A:O,Q$2,0),0)</f>
        <v>0</v>
      </c>
      <c r="R31" s="61">
        <f>IFERROR(VLOOKUP($A28,Sales!$A:P,R$2,0),0)</f>
        <v>0</v>
      </c>
      <c r="S31" s="61">
        <f>IFERROR(VLOOKUP($A28,Sales!$A:Q,S$2,0),0)</f>
        <v>0</v>
      </c>
      <c r="T31" s="61">
        <f>IFERROR(VLOOKUP($A28,Sales!$A:R,T$2,0),0)</f>
        <v>0</v>
      </c>
      <c r="U31" s="61">
        <f>IFERROR(VLOOKUP($A28,Sales!$A:S,U$2,0),0)</f>
        <v>0</v>
      </c>
      <c r="V31" s="61">
        <f>IFERROR(VLOOKUP($A28,Sales!$A:T,V$2,0),0)</f>
        <v>0</v>
      </c>
      <c r="W31" s="61">
        <f>IFERROR(VLOOKUP($A28,Sales!$A:U,W$2,0),0)</f>
        <v>0</v>
      </c>
      <c r="X31" s="61">
        <f>IFERROR(VLOOKUP($A28,Sales!$A:V,X$2,0),0)</f>
        <v>0</v>
      </c>
      <c r="Y31" s="61">
        <f>IFERROR(VLOOKUP($A28,Sales!$A:W,Y$2,0),0)</f>
        <v>0</v>
      </c>
      <c r="Z31" s="61">
        <f>IFERROR(VLOOKUP($A28,Sales!$A:X,Z$2,0),0)</f>
        <v>0</v>
      </c>
      <c r="AA31" s="61">
        <f>IFERROR(VLOOKUP($A28,Sales!$A:Y,AA$2,0),0)</f>
        <v>0</v>
      </c>
      <c r="AB31" s="61">
        <f>IFERROR(VLOOKUP($A28,Sales!$A:Z,AB$2,0),0)</f>
        <v>0</v>
      </c>
      <c r="AC31" s="61">
        <f>IFERROR(VLOOKUP($A28,Sales!$A:AA,AC$2,0),0)</f>
        <v>0</v>
      </c>
      <c r="AD31" s="61">
        <f>IFERROR(VLOOKUP($A28,Sales!$A:AB,AD$2,0),0)</f>
        <v>0</v>
      </c>
      <c r="AE31" s="61">
        <f>IFERROR(VLOOKUP($A28,Sales!$A:AC,AE$2,0),0)</f>
        <v>0</v>
      </c>
      <c r="AF31" s="61">
        <f>IFERROR(VLOOKUP($A28,Sales!$A:AD,AF$2,0),0)</f>
        <v>0</v>
      </c>
      <c r="AG31" s="61">
        <f>IFERROR(VLOOKUP($A28,Sales!$A:AE,AG$2,0),0)</f>
        <v>0</v>
      </c>
      <c r="AH31" s="61">
        <f>IFERROR(VLOOKUP($A28,Sales!$A:AF,AH$2,0),0)</f>
        <v>0</v>
      </c>
      <c r="AI31" s="61">
        <f>IFERROR(VLOOKUP($A28,Sales!$A:AG,AI$2,0),0)</f>
        <v>0</v>
      </c>
      <c r="AJ31" s="61">
        <f>IFERROR(VLOOKUP($A28,Sales!$A:AH,AJ$2,0),0)</f>
        <v>0</v>
      </c>
      <c r="AK31" s="74">
        <f t="shared" ref="AK31:CC31" si="32">CEILING(AK$5*$B27,1)</f>
        <v>0</v>
      </c>
      <c r="AL31" s="74">
        <f t="shared" si="32"/>
        <v>0</v>
      </c>
      <c r="AM31" s="74">
        <f t="shared" si="32"/>
        <v>0</v>
      </c>
      <c r="AN31" s="74">
        <f t="shared" si="32"/>
        <v>0</v>
      </c>
      <c r="AO31" s="74">
        <f t="shared" si="32"/>
        <v>0</v>
      </c>
      <c r="AP31" s="74">
        <f t="shared" si="32"/>
        <v>0</v>
      </c>
      <c r="AQ31" s="74">
        <f t="shared" si="32"/>
        <v>0</v>
      </c>
      <c r="AR31" s="74">
        <f t="shared" si="32"/>
        <v>0</v>
      </c>
      <c r="AS31" s="74">
        <f t="shared" si="32"/>
        <v>0</v>
      </c>
      <c r="AT31" s="74">
        <f t="shared" si="32"/>
        <v>0</v>
      </c>
      <c r="AU31" s="74">
        <f t="shared" si="32"/>
        <v>0</v>
      </c>
      <c r="AV31" s="74">
        <f t="shared" si="32"/>
        <v>0</v>
      </c>
      <c r="AW31" s="74">
        <f t="shared" si="32"/>
        <v>0</v>
      </c>
      <c r="AX31" s="74">
        <f t="shared" si="32"/>
        <v>0</v>
      </c>
      <c r="AY31" s="74">
        <f t="shared" si="32"/>
        <v>0</v>
      </c>
      <c r="AZ31" s="74">
        <f t="shared" si="32"/>
        <v>0</v>
      </c>
      <c r="BA31" s="74">
        <f t="shared" si="32"/>
        <v>0</v>
      </c>
      <c r="BB31" s="74">
        <f t="shared" si="32"/>
        <v>0</v>
      </c>
      <c r="BC31" s="74">
        <f t="shared" si="32"/>
        <v>0</v>
      </c>
      <c r="BD31" s="74">
        <f t="shared" si="32"/>
        <v>0</v>
      </c>
      <c r="BE31" s="74">
        <f t="shared" si="32"/>
        <v>0</v>
      </c>
      <c r="BF31" s="74">
        <f t="shared" si="32"/>
        <v>0</v>
      </c>
      <c r="BG31" s="74">
        <f t="shared" si="32"/>
        <v>0</v>
      </c>
      <c r="BH31" s="74">
        <f t="shared" si="32"/>
        <v>0</v>
      </c>
      <c r="BI31" s="74">
        <f t="shared" si="32"/>
        <v>0</v>
      </c>
      <c r="BJ31" s="74">
        <f t="shared" si="32"/>
        <v>0</v>
      </c>
      <c r="BK31" s="74">
        <f t="shared" si="32"/>
        <v>0</v>
      </c>
      <c r="BL31" s="74">
        <f t="shared" si="32"/>
        <v>0</v>
      </c>
      <c r="BM31" s="74">
        <f t="shared" si="32"/>
        <v>0</v>
      </c>
      <c r="BN31" s="74">
        <f t="shared" si="32"/>
        <v>0</v>
      </c>
      <c r="BO31" s="74">
        <f t="shared" si="32"/>
        <v>0</v>
      </c>
      <c r="BP31" s="74">
        <f t="shared" si="32"/>
        <v>0</v>
      </c>
      <c r="BQ31" s="74">
        <f t="shared" si="32"/>
        <v>0</v>
      </c>
      <c r="BR31" s="74">
        <f t="shared" si="32"/>
        <v>0</v>
      </c>
      <c r="BS31" s="74">
        <f t="shared" si="32"/>
        <v>0</v>
      </c>
      <c r="BT31" s="74">
        <f t="shared" si="32"/>
        <v>0</v>
      </c>
      <c r="BU31" s="74">
        <f t="shared" si="32"/>
        <v>0</v>
      </c>
      <c r="BV31" s="74">
        <f t="shared" si="32"/>
        <v>0</v>
      </c>
      <c r="BW31" s="74">
        <f t="shared" si="32"/>
        <v>0</v>
      </c>
      <c r="BX31" s="74">
        <f t="shared" si="32"/>
        <v>0</v>
      </c>
      <c r="BY31" s="74">
        <f t="shared" si="32"/>
        <v>0</v>
      </c>
      <c r="BZ31" s="74">
        <f t="shared" si="32"/>
        <v>0</v>
      </c>
      <c r="CA31" s="74">
        <f t="shared" si="32"/>
        <v>0</v>
      </c>
      <c r="CB31" s="74">
        <f t="shared" si="32"/>
        <v>0</v>
      </c>
      <c r="CC31" s="74">
        <f t="shared" si="32"/>
        <v>0</v>
      </c>
    </row>
    <row r="32" spans="1:81" hidden="1" x14ac:dyDescent="0.2">
      <c r="A32" s="5" t="s">
        <v>214</v>
      </c>
      <c r="B32" s="5">
        <v>7.4999999999999997E-2</v>
      </c>
      <c r="C32" s="46" t="s">
        <v>215</v>
      </c>
      <c r="D32" s="11">
        <f t="shared" ref="D32:AI32" si="33">IF(D31=0,0, ROUND(D28 * 1/D31* D$13,1))</f>
        <v>0</v>
      </c>
      <c r="E32" s="11">
        <f t="shared" si="33"/>
        <v>0</v>
      </c>
      <c r="F32" s="11">
        <f t="shared" si="33"/>
        <v>0</v>
      </c>
      <c r="G32" s="11">
        <f t="shared" si="33"/>
        <v>0</v>
      </c>
      <c r="H32" s="11">
        <f t="shared" si="33"/>
        <v>0</v>
      </c>
      <c r="I32" s="11">
        <f t="shared" si="33"/>
        <v>0</v>
      </c>
      <c r="J32" s="11">
        <f t="shared" si="33"/>
        <v>0</v>
      </c>
      <c r="K32" s="11">
        <f t="shared" si="33"/>
        <v>0</v>
      </c>
      <c r="L32" s="11">
        <f t="shared" si="33"/>
        <v>0</v>
      </c>
      <c r="M32" s="11">
        <f t="shared" si="33"/>
        <v>0</v>
      </c>
      <c r="N32" s="11">
        <f t="shared" si="33"/>
        <v>0</v>
      </c>
      <c r="O32" s="11">
        <f t="shared" si="33"/>
        <v>0</v>
      </c>
      <c r="P32" s="11">
        <f t="shared" si="33"/>
        <v>0</v>
      </c>
      <c r="Q32" s="11">
        <f t="shared" si="33"/>
        <v>0</v>
      </c>
      <c r="R32" s="11">
        <f t="shared" si="33"/>
        <v>0</v>
      </c>
      <c r="S32" s="11">
        <f t="shared" si="33"/>
        <v>0</v>
      </c>
      <c r="T32" s="11">
        <f t="shared" si="33"/>
        <v>0</v>
      </c>
      <c r="U32" s="11">
        <f t="shared" si="33"/>
        <v>0</v>
      </c>
      <c r="V32" s="11">
        <f t="shared" si="33"/>
        <v>0</v>
      </c>
      <c r="W32" s="11">
        <f t="shared" si="33"/>
        <v>0</v>
      </c>
      <c r="X32" s="11">
        <f t="shared" si="33"/>
        <v>0</v>
      </c>
      <c r="Y32" s="11">
        <f t="shared" si="33"/>
        <v>0</v>
      </c>
      <c r="Z32" s="11">
        <f t="shared" si="33"/>
        <v>0</v>
      </c>
      <c r="AA32" s="11">
        <f t="shared" si="33"/>
        <v>0</v>
      </c>
      <c r="AB32" s="11">
        <f t="shared" si="33"/>
        <v>0</v>
      </c>
      <c r="AC32" s="11">
        <f t="shared" si="33"/>
        <v>0</v>
      </c>
      <c r="AD32" s="11">
        <f t="shared" si="33"/>
        <v>0</v>
      </c>
      <c r="AE32" s="11">
        <f t="shared" si="33"/>
        <v>0</v>
      </c>
      <c r="AF32" s="11">
        <f t="shared" si="33"/>
        <v>0</v>
      </c>
      <c r="AG32" s="11">
        <f t="shared" si="33"/>
        <v>0</v>
      </c>
      <c r="AH32" s="11">
        <f t="shared" si="33"/>
        <v>0</v>
      </c>
      <c r="AI32" s="11">
        <f t="shared" si="33"/>
        <v>0</v>
      </c>
      <c r="AJ32" s="11">
        <f t="shared" ref="AJ32:BO32" si="34">IF(AJ31=0,0, ROUND(AJ28 * 1/AJ31* AJ$13,1))</f>
        <v>0</v>
      </c>
      <c r="AK32" s="11">
        <f t="shared" si="34"/>
        <v>0</v>
      </c>
      <c r="AL32" s="11">
        <f t="shared" si="34"/>
        <v>0</v>
      </c>
      <c r="AM32" s="11">
        <f t="shared" si="34"/>
        <v>0</v>
      </c>
      <c r="AN32" s="11">
        <f t="shared" si="34"/>
        <v>0</v>
      </c>
      <c r="AO32" s="11">
        <f t="shared" si="34"/>
        <v>0</v>
      </c>
      <c r="AP32" s="11">
        <f t="shared" si="34"/>
        <v>0</v>
      </c>
      <c r="AQ32" s="11">
        <f t="shared" si="34"/>
        <v>0</v>
      </c>
      <c r="AR32" s="11">
        <f t="shared" si="34"/>
        <v>0</v>
      </c>
      <c r="AS32" s="11">
        <f t="shared" si="34"/>
        <v>0</v>
      </c>
      <c r="AT32" s="11">
        <f t="shared" si="34"/>
        <v>0</v>
      </c>
      <c r="AU32" s="11">
        <f t="shared" si="34"/>
        <v>0</v>
      </c>
      <c r="AV32" s="11">
        <f t="shared" si="34"/>
        <v>0</v>
      </c>
      <c r="AW32" s="11">
        <f t="shared" si="34"/>
        <v>0</v>
      </c>
      <c r="AX32" s="11">
        <f t="shared" si="34"/>
        <v>0</v>
      </c>
      <c r="AY32" s="11">
        <f t="shared" si="34"/>
        <v>0</v>
      </c>
      <c r="AZ32" s="11">
        <f t="shared" si="34"/>
        <v>0</v>
      </c>
      <c r="BA32" s="11">
        <f t="shared" si="34"/>
        <v>0</v>
      </c>
      <c r="BB32" s="11">
        <f t="shared" si="34"/>
        <v>0</v>
      </c>
      <c r="BC32" s="11">
        <f t="shared" si="34"/>
        <v>0</v>
      </c>
      <c r="BD32" s="11">
        <f t="shared" si="34"/>
        <v>0</v>
      </c>
      <c r="BE32" s="11">
        <f t="shared" si="34"/>
        <v>0</v>
      </c>
      <c r="BF32" s="11">
        <f t="shared" si="34"/>
        <v>0</v>
      </c>
      <c r="BG32" s="11">
        <f t="shared" si="34"/>
        <v>0</v>
      </c>
      <c r="BH32" s="11">
        <f t="shared" si="34"/>
        <v>0</v>
      </c>
      <c r="BI32" s="11">
        <f t="shared" si="34"/>
        <v>0</v>
      </c>
      <c r="BJ32" s="11">
        <f t="shared" si="34"/>
        <v>0</v>
      </c>
      <c r="BK32" s="11">
        <f t="shared" si="34"/>
        <v>0</v>
      </c>
      <c r="BL32" s="11">
        <f t="shared" si="34"/>
        <v>0</v>
      </c>
      <c r="BM32" s="11">
        <f t="shared" si="34"/>
        <v>0</v>
      </c>
      <c r="BN32" s="11">
        <f t="shared" si="34"/>
        <v>0</v>
      </c>
      <c r="BO32" s="11">
        <f t="shared" si="34"/>
        <v>0</v>
      </c>
      <c r="BP32" s="11">
        <f t="shared" ref="BP32:CC32" si="35">IF(BP31=0,0, ROUND(BP28 * 1/BP31* BP$13,1))</f>
        <v>0</v>
      </c>
      <c r="BQ32" s="11">
        <f t="shared" si="35"/>
        <v>0</v>
      </c>
      <c r="BR32" s="11">
        <f t="shared" si="35"/>
        <v>0</v>
      </c>
      <c r="BS32" s="11">
        <f t="shared" si="35"/>
        <v>0</v>
      </c>
      <c r="BT32" s="11">
        <f t="shared" si="35"/>
        <v>0</v>
      </c>
      <c r="BU32" s="11">
        <f t="shared" si="35"/>
        <v>0</v>
      </c>
      <c r="BV32" s="11">
        <f t="shared" si="35"/>
        <v>0</v>
      </c>
      <c r="BW32" s="11">
        <f t="shared" si="35"/>
        <v>0</v>
      </c>
      <c r="BX32" s="11">
        <f t="shared" si="35"/>
        <v>0</v>
      </c>
      <c r="BY32" s="11">
        <f t="shared" si="35"/>
        <v>0</v>
      </c>
      <c r="BZ32" s="11">
        <f t="shared" si="35"/>
        <v>0</v>
      </c>
      <c r="CA32" s="11">
        <f t="shared" si="35"/>
        <v>0</v>
      </c>
      <c r="CB32" s="11">
        <f t="shared" si="35"/>
        <v>0</v>
      </c>
      <c r="CC32" s="11">
        <f t="shared" si="35"/>
        <v>0</v>
      </c>
    </row>
    <row r="33" spans="1:81" hidden="1" x14ac:dyDescent="0.2">
      <c r="A33">
        <v>4</v>
      </c>
      <c r="B33">
        <v>50</v>
      </c>
      <c r="C33" s="8">
        <v>0.94330999999999998</v>
      </c>
      <c r="D33">
        <f t="shared" ref="D33:AI33" si="36">D30/$B33</f>
        <v>0</v>
      </c>
      <c r="E33">
        <f t="shared" si="36"/>
        <v>0</v>
      </c>
      <c r="F33">
        <f t="shared" si="36"/>
        <v>0</v>
      </c>
      <c r="G33">
        <f t="shared" si="36"/>
        <v>0</v>
      </c>
      <c r="H33">
        <f t="shared" si="36"/>
        <v>0</v>
      </c>
      <c r="I33">
        <f t="shared" si="36"/>
        <v>0</v>
      </c>
      <c r="J33">
        <f t="shared" si="36"/>
        <v>0</v>
      </c>
      <c r="K33">
        <f t="shared" si="36"/>
        <v>0</v>
      </c>
      <c r="L33">
        <f t="shared" si="36"/>
        <v>0</v>
      </c>
      <c r="M33">
        <f t="shared" si="36"/>
        <v>0</v>
      </c>
      <c r="N33">
        <f t="shared" si="36"/>
        <v>0</v>
      </c>
      <c r="O33">
        <f t="shared" si="36"/>
        <v>0</v>
      </c>
      <c r="P33">
        <f t="shared" si="36"/>
        <v>0</v>
      </c>
      <c r="Q33">
        <f t="shared" si="36"/>
        <v>0</v>
      </c>
      <c r="R33">
        <f t="shared" si="36"/>
        <v>0</v>
      </c>
      <c r="S33">
        <f t="shared" si="36"/>
        <v>0</v>
      </c>
      <c r="T33">
        <f t="shared" si="36"/>
        <v>0</v>
      </c>
      <c r="U33">
        <f t="shared" si="36"/>
        <v>0</v>
      </c>
      <c r="V33">
        <f t="shared" si="36"/>
        <v>0</v>
      </c>
      <c r="W33">
        <f t="shared" si="36"/>
        <v>0</v>
      </c>
      <c r="X33">
        <f t="shared" si="36"/>
        <v>0</v>
      </c>
      <c r="Y33">
        <f t="shared" si="36"/>
        <v>0</v>
      </c>
      <c r="Z33">
        <f t="shared" si="36"/>
        <v>0</v>
      </c>
      <c r="AA33">
        <f t="shared" si="36"/>
        <v>0</v>
      </c>
      <c r="AB33">
        <f t="shared" si="36"/>
        <v>0</v>
      </c>
      <c r="AC33">
        <f t="shared" si="36"/>
        <v>0</v>
      </c>
      <c r="AD33">
        <f t="shared" si="36"/>
        <v>0</v>
      </c>
      <c r="AE33">
        <f t="shared" si="36"/>
        <v>0</v>
      </c>
      <c r="AF33">
        <f t="shared" si="36"/>
        <v>0</v>
      </c>
      <c r="AG33">
        <f t="shared" si="36"/>
        <v>0</v>
      </c>
      <c r="AH33">
        <f t="shared" si="36"/>
        <v>0</v>
      </c>
      <c r="AI33">
        <f t="shared" si="36"/>
        <v>0</v>
      </c>
      <c r="AJ33">
        <f t="shared" ref="AJ33:BO33" si="37">AJ30/$B33</f>
        <v>0</v>
      </c>
      <c r="AK33">
        <f t="shared" si="37"/>
        <v>0</v>
      </c>
      <c r="AL33">
        <f t="shared" si="37"/>
        <v>0</v>
      </c>
      <c r="AM33">
        <f t="shared" si="37"/>
        <v>0</v>
      </c>
      <c r="AN33">
        <f t="shared" si="37"/>
        <v>0</v>
      </c>
      <c r="AO33">
        <f t="shared" si="37"/>
        <v>0</v>
      </c>
      <c r="AP33">
        <f t="shared" si="37"/>
        <v>0</v>
      </c>
      <c r="AQ33">
        <f t="shared" si="37"/>
        <v>0</v>
      </c>
      <c r="AR33">
        <f t="shared" si="37"/>
        <v>0</v>
      </c>
      <c r="AS33">
        <f t="shared" si="37"/>
        <v>0</v>
      </c>
      <c r="AT33">
        <f t="shared" si="37"/>
        <v>0</v>
      </c>
      <c r="AU33">
        <f t="shared" si="37"/>
        <v>0</v>
      </c>
      <c r="AV33">
        <f t="shared" si="37"/>
        <v>0</v>
      </c>
      <c r="AW33">
        <f t="shared" si="37"/>
        <v>0</v>
      </c>
      <c r="AX33">
        <f t="shared" si="37"/>
        <v>0</v>
      </c>
      <c r="AY33">
        <f t="shared" si="37"/>
        <v>0</v>
      </c>
      <c r="AZ33">
        <f t="shared" si="37"/>
        <v>0</v>
      </c>
      <c r="BA33">
        <f t="shared" si="37"/>
        <v>0</v>
      </c>
      <c r="BB33">
        <f t="shared" si="37"/>
        <v>0</v>
      </c>
      <c r="BC33">
        <f t="shared" si="37"/>
        <v>0</v>
      </c>
      <c r="BD33">
        <f t="shared" si="37"/>
        <v>0</v>
      </c>
      <c r="BE33">
        <f t="shared" si="37"/>
        <v>0</v>
      </c>
      <c r="BF33">
        <f t="shared" si="37"/>
        <v>0</v>
      </c>
      <c r="BG33">
        <f t="shared" si="37"/>
        <v>0</v>
      </c>
      <c r="BH33">
        <f t="shared" si="37"/>
        <v>0</v>
      </c>
      <c r="BI33">
        <f t="shared" si="37"/>
        <v>0</v>
      </c>
      <c r="BJ33">
        <f t="shared" si="37"/>
        <v>0</v>
      </c>
      <c r="BK33">
        <f t="shared" si="37"/>
        <v>0</v>
      </c>
      <c r="BL33">
        <f t="shared" si="37"/>
        <v>0</v>
      </c>
      <c r="BM33">
        <f t="shared" si="37"/>
        <v>0</v>
      </c>
      <c r="BN33">
        <f t="shared" si="37"/>
        <v>0</v>
      </c>
      <c r="BO33">
        <f t="shared" si="37"/>
        <v>0</v>
      </c>
      <c r="BP33">
        <f t="shared" ref="BP33:CC33" si="38">BP30/$B33</f>
        <v>0</v>
      </c>
      <c r="BQ33">
        <f t="shared" si="38"/>
        <v>0</v>
      </c>
      <c r="BR33">
        <f t="shared" si="38"/>
        <v>0</v>
      </c>
      <c r="BS33">
        <f t="shared" si="38"/>
        <v>0</v>
      </c>
      <c r="BT33">
        <f t="shared" si="38"/>
        <v>0</v>
      </c>
      <c r="BU33">
        <f t="shared" si="38"/>
        <v>0</v>
      </c>
      <c r="BV33">
        <f t="shared" si="38"/>
        <v>0</v>
      </c>
      <c r="BW33">
        <f t="shared" si="38"/>
        <v>0</v>
      </c>
      <c r="BX33">
        <f t="shared" si="38"/>
        <v>0</v>
      </c>
      <c r="BY33">
        <f t="shared" si="38"/>
        <v>0</v>
      </c>
      <c r="BZ33">
        <f t="shared" si="38"/>
        <v>0</v>
      </c>
      <c r="CA33">
        <f t="shared" si="38"/>
        <v>0</v>
      </c>
      <c r="CB33">
        <f t="shared" si="38"/>
        <v>0</v>
      </c>
      <c r="CC33">
        <f t="shared" si="38"/>
        <v>0</v>
      </c>
    </row>
    <row r="34" spans="1:81" hidden="1" x14ac:dyDescent="0.2">
      <c r="B34" s="67">
        <f>SUM(D38:AJ38)/SUM($D$67:$AJ$67)</f>
        <v>0</v>
      </c>
      <c r="C34" s="9" t="s">
        <v>216</v>
      </c>
      <c r="D34">
        <f t="shared" ref="D34:AI34" si="39">D28-D31</f>
        <v>0</v>
      </c>
      <c r="E34">
        <f t="shared" si="39"/>
        <v>0</v>
      </c>
      <c r="F34">
        <f t="shared" si="39"/>
        <v>0</v>
      </c>
      <c r="G34">
        <f t="shared" si="39"/>
        <v>0</v>
      </c>
      <c r="H34">
        <f t="shared" si="39"/>
        <v>0</v>
      </c>
      <c r="I34">
        <f t="shared" si="39"/>
        <v>0</v>
      </c>
      <c r="J34">
        <f t="shared" si="39"/>
        <v>0</v>
      </c>
      <c r="K34">
        <f t="shared" si="39"/>
        <v>0</v>
      </c>
      <c r="L34">
        <f t="shared" si="39"/>
        <v>0</v>
      </c>
      <c r="M34">
        <f t="shared" si="39"/>
        <v>0</v>
      </c>
      <c r="N34">
        <f t="shared" si="39"/>
        <v>0</v>
      </c>
      <c r="O34">
        <f t="shared" si="39"/>
        <v>0</v>
      </c>
      <c r="P34">
        <f t="shared" si="39"/>
        <v>0</v>
      </c>
      <c r="Q34">
        <f t="shared" si="39"/>
        <v>0</v>
      </c>
      <c r="R34">
        <f t="shared" si="39"/>
        <v>0</v>
      </c>
      <c r="S34">
        <f t="shared" si="39"/>
        <v>0</v>
      </c>
      <c r="T34">
        <f t="shared" si="39"/>
        <v>0</v>
      </c>
      <c r="U34">
        <f t="shared" si="39"/>
        <v>0</v>
      </c>
      <c r="V34">
        <f t="shared" si="39"/>
        <v>0</v>
      </c>
      <c r="W34">
        <f t="shared" si="39"/>
        <v>0</v>
      </c>
      <c r="X34">
        <f t="shared" si="39"/>
        <v>0</v>
      </c>
      <c r="Y34">
        <f t="shared" si="39"/>
        <v>0</v>
      </c>
      <c r="Z34">
        <f t="shared" si="39"/>
        <v>0</v>
      </c>
      <c r="AA34">
        <f t="shared" si="39"/>
        <v>0</v>
      </c>
      <c r="AB34">
        <f t="shared" si="39"/>
        <v>0</v>
      </c>
      <c r="AC34">
        <f t="shared" si="39"/>
        <v>0</v>
      </c>
      <c r="AD34">
        <f t="shared" si="39"/>
        <v>0</v>
      </c>
      <c r="AE34">
        <f t="shared" si="39"/>
        <v>0</v>
      </c>
      <c r="AF34">
        <f t="shared" si="39"/>
        <v>0</v>
      </c>
      <c r="AG34">
        <f t="shared" si="39"/>
        <v>0</v>
      </c>
      <c r="AH34">
        <f t="shared" si="39"/>
        <v>0</v>
      </c>
      <c r="AI34">
        <f t="shared" si="39"/>
        <v>0</v>
      </c>
      <c r="AJ34">
        <f t="shared" ref="AJ34:BO34" si="40">AJ28-AJ31</f>
        <v>0</v>
      </c>
      <c r="AK34">
        <f t="shared" si="40"/>
        <v>0</v>
      </c>
      <c r="AL34">
        <f t="shared" si="40"/>
        <v>0</v>
      </c>
      <c r="AM34">
        <f t="shared" si="40"/>
        <v>0</v>
      </c>
      <c r="AN34">
        <f t="shared" si="40"/>
        <v>0</v>
      </c>
      <c r="AO34">
        <f t="shared" si="40"/>
        <v>0</v>
      </c>
      <c r="AP34">
        <f t="shared" si="40"/>
        <v>0</v>
      </c>
      <c r="AQ34">
        <f t="shared" si="40"/>
        <v>0</v>
      </c>
      <c r="AR34">
        <f t="shared" si="40"/>
        <v>0</v>
      </c>
      <c r="AS34">
        <f t="shared" si="40"/>
        <v>0</v>
      </c>
      <c r="AT34">
        <f t="shared" si="40"/>
        <v>0</v>
      </c>
      <c r="AU34">
        <f t="shared" si="40"/>
        <v>0</v>
      </c>
      <c r="AV34">
        <f t="shared" si="40"/>
        <v>0</v>
      </c>
      <c r="AW34">
        <f t="shared" si="40"/>
        <v>0</v>
      </c>
      <c r="AX34">
        <f t="shared" si="40"/>
        <v>0</v>
      </c>
      <c r="AY34">
        <f t="shared" si="40"/>
        <v>0</v>
      </c>
      <c r="AZ34">
        <f t="shared" si="40"/>
        <v>0</v>
      </c>
      <c r="BA34">
        <f t="shared" si="40"/>
        <v>0</v>
      </c>
      <c r="BB34">
        <f t="shared" si="40"/>
        <v>0</v>
      </c>
      <c r="BC34">
        <f t="shared" si="40"/>
        <v>0</v>
      </c>
      <c r="BD34">
        <f t="shared" si="40"/>
        <v>0</v>
      </c>
      <c r="BE34">
        <f t="shared" si="40"/>
        <v>0</v>
      </c>
      <c r="BF34">
        <f t="shared" si="40"/>
        <v>0</v>
      </c>
      <c r="BG34">
        <f t="shared" si="40"/>
        <v>0</v>
      </c>
      <c r="BH34">
        <f t="shared" si="40"/>
        <v>0</v>
      </c>
      <c r="BI34">
        <f t="shared" si="40"/>
        <v>0</v>
      </c>
      <c r="BJ34">
        <f t="shared" si="40"/>
        <v>0</v>
      </c>
      <c r="BK34">
        <f t="shared" si="40"/>
        <v>0</v>
      </c>
      <c r="BL34">
        <f t="shared" si="40"/>
        <v>0</v>
      </c>
      <c r="BM34">
        <f t="shared" si="40"/>
        <v>0</v>
      </c>
      <c r="BN34">
        <f t="shared" si="40"/>
        <v>0</v>
      </c>
      <c r="BO34">
        <f t="shared" si="40"/>
        <v>0</v>
      </c>
      <c r="BP34">
        <f t="shared" ref="BP34:CC34" si="41">BP28-BP31</f>
        <v>0</v>
      </c>
      <c r="BQ34">
        <f t="shared" si="41"/>
        <v>0</v>
      </c>
      <c r="BR34">
        <f t="shared" si="41"/>
        <v>0</v>
      </c>
      <c r="BS34">
        <f t="shared" si="41"/>
        <v>0</v>
      </c>
      <c r="BT34">
        <f t="shared" si="41"/>
        <v>0</v>
      </c>
      <c r="BU34">
        <f t="shared" si="41"/>
        <v>0</v>
      </c>
      <c r="BV34">
        <f t="shared" si="41"/>
        <v>0</v>
      </c>
      <c r="BW34">
        <f t="shared" si="41"/>
        <v>0</v>
      </c>
      <c r="BX34">
        <f t="shared" si="41"/>
        <v>0</v>
      </c>
      <c r="BY34">
        <f t="shared" si="41"/>
        <v>0</v>
      </c>
      <c r="BZ34">
        <f t="shared" si="41"/>
        <v>0</v>
      </c>
      <c r="CA34">
        <f t="shared" si="41"/>
        <v>0</v>
      </c>
      <c r="CB34">
        <f t="shared" si="41"/>
        <v>0</v>
      </c>
      <c r="CC34">
        <f t="shared" si="41"/>
        <v>0</v>
      </c>
    </row>
    <row r="35" spans="1:81" hidden="1" x14ac:dyDescent="0.2">
      <c r="A35" s="43"/>
      <c r="B35" s="44" t="s">
        <v>208</v>
      </c>
      <c r="C35" s="9" t="s">
        <v>38</v>
      </c>
      <c r="D35" s="58">
        <f>IFERROR(VLOOKUP(A35,OS!$A:$B,2,0),0)</f>
        <v>0</v>
      </c>
      <c r="E35" s="5">
        <f>(D35+D36-D38)</f>
        <v>0</v>
      </c>
      <c r="F35" s="5">
        <f>(E35+E36-E38)</f>
        <v>0</v>
      </c>
      <c r="G35" s="5">
        <f>(F35+F36-F38)</f>
        <v>0</v>
      </c>
      <c r="H35" s="5">
        <f>(G35+G36-G38)</f>
        <v>0</v>
      </c>
      <c r="I35" s="5">
        <f t="shared" ref="I35:AN35" si="42">(H35+H36-H38+D37)</f>
        <v>0</v>
      </c>
      <c r="J35" s="5">
        <f t="shared" si="42"/>
        <v>0</v>
      </c>
      <c r="K35" s="5">
        <f t="shared" si="42"/>
        <v>0</v>
      </c>
      <c r="L35" s="5">
        <f t="shared" si="42"/>
        <v>0</v>
      </c>
      <c r="M35" s="5">
        <f t="shared" si="42"/>
        <v>0</v>
      </c>
      <c r="N35" s="5">
        <f t="shared" si="42"/>
        <v>0</v>
      </c>
      <c r="O35" s="5">
        <f t="shared" si="42"/>
        <v>0</v>
      </c>
      <c r="P35" s="5">
        <f t="shared" si="42"/>
        <v>0</v>
      </c>
      <c r="Q35" s="5">
        <f t="shared" si="42"/>
        <v>0</v>
      </c>
      <c r="R35" s="5">
        <f t="shared" si="42"/>
        <v>0</v>
      </c>
      <c r="S35" s="5">
        <f t="shared" si="42"/>
        <v>0</v>
      </c>
      <c r="T35" s="5">
        <f t="shared" si="42"/>
        <v>0</v>
      </c>
      <c r="U35" s="5">
        <f t="shared" si="42"/>
        <v>0</v>
      </c>
      <c r="V35" s="5">
        <f t="shared" si="42"/>
        <v>0</v>
      </c>
      <c r="W35" s="5">
        <f t="shared" si="42"/>
        <v>0</v>
      </c>
      <c r="X35" s="5">
        <f t="shared" si="42"/>
        <v>0</v>
      </c>
      <c r="Y35" s="5">
        <f t="shared" si="42"/>
        <v>0</v>
      </c>
      <c r="Z35" s="5">
        <f t="shared" si="42"/>
        <v>0</v>
      </c>
      <c r="AA35" s="5">
        <f t="shared" si="42"/>
        <v>0</v>
      </c>
      <c r="AB35" s="5">
        <f t="shared" si="42"/>
        <v>0</v>
      </c>
      <c r="AC35" s="5">
        <f t="shared" si="42"/>
        <v>0</v>
      </c>
      <c r="AD35" s="5">
        <f t="shared" si="42"/>
        <v>0</v>
      </c>
      <c r="AE35" s="5">
        <f t="shared" si="42"/>
        <v>0</v>
      </c>
      <c r="AF35" s="5">
        <f t="shared" si="42"/>
        <v>0</v>
      </c>
      <c r="AG35" s="5">
        <f t="shared" si="42"/>
        <v>0</v>
      </c>
      <c r="AH35" s="5">
        <f t="shared" si="42"/>
        <v>0</v>
      </c>
      <c r="AI35" s="5">
        <f t="shared" si="42"/>
        <v>0</v>
      </c>
      <c r="AJ35" s="5">
        <f t="shared" si="42"/>
        <v>0</v>
      </c>
      <c r="AK35" s="5">
        <f t="shared" si="42"/>
        <v>0</v>
      </c>
      <c r="AL35" s="5">
        <f t="shared" si="42"/>
        <v>0</v>
      </c>
      <c r="AM35" s="5">
        <f t="shared" si="42"/>
        <v>0</v>
      </c>
      <c r="AN35" s="5">
        <f t="shared" si="42"/>
        <v>0</v>
      </c>
      <c r="AO35" s="5">
        <f t="shared" ref="AO35:BT35" si="43">(AN35+AN36-AN38+AJ37)</f>
        <v>0</v>
      </c>
      <c r="AP35" s="5">
        <f t="shared" si="43"/>
        <v>0</v>
      </c>
      <c r="AQ35" s="5">
        <f t="shared" si="43"/>
        <v>0</v>
      </c>
      <c r="AR35" s="5">
        <f t="shared" si="43"/>
        <v>0</v>
      </c>
      <c r="AS35" s="5">
        <f t="shared" si="43"/>
        <v>0</v>
      </c>
      <c r="AT35" s="5">
        <f t="shared" si="43"/>
        <v>0</v>
      </c>
      <c r="AU35" s="5">
        <f t="shared" si="43"/>
        <v>0</v>
      </c>
      <c r="AV35" s="5">
        <f t="shared" si="43"/>
        <v>0</v>
      </c>
      <c r="AW35" s="5">
        <f t="shared" si="43"/>
        <v>0</v>
      </c>
      <c r="AX35" s="5">
        <f t="shared" si="43"/>
        <v>0</v>
      </c>
      <c r="AY35" s="5">
        <f t="shared" si="43"/>
        <v>0</v>
      </c>
      <c r="AZ35" s="5">
        <f t="shared" si="43"/>
        <v>0</v>
      </c>
      <c r="BA35" s="5">
        <f t="shared" si="43"/>
        <v>0</v>
      </c>
      <c r="BB35" s="5">
        <f t="shared" si="43"/>
        <v>0</v>
      </c>
      <c r="BC35" s="5">
        <f t="shared" si="43"/>
        <v>0</v>
      </c>
      <c r="BD35" s="5">
        <f t="shared" si="43"/>
        <v>0</v>
      </c>
      <c r="BE35" s="5">
        <f t="shared" si="43"/>
        <v>0</v>
      </c>
      <c r="BF35" s="5">
        <f t="shared" si="43"/>
        <v>0</v>
      </c>
      <c r="BG35" s="5">
        <f t="shared" si="43"/>
        <v>0</v>
      </c>
      <c r="BH35" s="5">
        <f t="shared" si="43"/>
        <v>0</v>
      </c>
      <c r="BI35" s="5">
        <f t="shared" si="43"/>
        <v>0</v>
      </c>
      <c r="BJ35" s="5">
        <f t="shared" si="43"/>
        <v>0</v>
      </c>
      <c r="BK35" s="5">
        <f t="shared" si="43"/>
        <v>0</v>
      </c>
      <c r="BL35" s="5">
        <f t="shared" si="43"/>
        <v>0</v>
      </c>
      <c r="BM35" s="5">
        <f t="shared" si="43"/>
        <v>0</v>
      </c>
      <c r="BN35" s="5">
        <f t="shared" si="43"/>
        <v>0</v>
      </c>
      <c r="BO35" s="5">
        <f t="shared" si="43"/>
        <v>0</v>
      </c>
      <c r="BP35" s="5">
        <f t="shared" si="43"/>
        <v>0</v>
      </c>
      <c r="BQ35" s="5">
        <f t="shared" si="43"/>
        <v>0</v>
      </c>
      <c r="BR35" s="5">
        <f t="shared" si="43"/>
        <v>0</v>
      </c>
      <c r="BS35" s="5">
        <f t="shared" si="43"/>
        <v>0</v>
      </c>
      <c r="BT35" s="5">
        <f t="shared" si="43"/>
        <v>0</v>
      </c>
      <c r="BU35" s="5">
        <f t="shared" ref="BU35:CC35" si="44">(BT35+BT36-BT38+BP37)</f>
        <v>0</v>
      </c>
      <c r="BV35" s="5">
        <f t="shared" si="44"/>
        <v>0</v>
      </c>
      <c r="BW35" s="5">
        <f t="shared" si="44"/>
        <v>0</v>
      </c>
      <c r="BX35" s="5">
        <f t="shared" si="44"/>
        <v>0</v>
      </c>
      <c r="BY35" s="5">
        <f t="shared" si="44"/>
        <v>0</v>
      </c>
      <c r="BZ35" s="5">
        <f t="shared" si="44"/>
        <v>0</v>
      </c>
      <c r="CA35" s="5">
        <f t="shared" si="44"/>
        <v>0</v>
      </c>
      <c r="CB35" s="5">
        <f t="shared" si="44"/>
        <v>0</v>
      </c>
      <c r="CC35" s="5">
        <f t="shared" si="44"/>
        <v>0</v>
      </c>
    </row>
    <row r="36" spans="1:81" hidden="1" x14ac:dyDescent="0.2">
      <c r="A36" s="5" t="s">
        <v>209</v>
      </c>
      <c r="B36" s="5">
        <v>1.39656</v>
      </c>
      <c r="C36" s="45" t="s">
        <v>39</v>
      </c>
      <c r="D36" s="59">
        <f>IFERROR(VLOOKUP(A35,WIP!$A:$B,2,0),0)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hidden="1" x14ac:dyDescent="0.2">
      <c r="A37" s="5" t="s">
        <v>210</v>
      </c>
      <c r="B37" s="5">
        <v>7.2999999999999995E-2</v>
      </c>
      <c r="C37" s="9" t="s">
        <v>211</v>
      </c>
      <c r="D37" s="60">
        <f>IFERROR(VLOOKUP($A35,Plan!$A:B,D$4,0),0)</f>
        <v>0</v>
      </c>
      <c r="E37" s="60">
        <f>IFERROR(VLOOKUP($A35,Plan!$A:C,E$4,0),0)</f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hidden="1" x14ac:dyDescent="0.2">
      <c r="A38" s="5" t="s">
        <v>212</v>
      </c>
      <c r="B38" s="5">
        <v>2E-3</v>
      </c>
      <c r="C38" s="9" t="s">
        <v>213</v>
      </c>
      <c r="D38" s="61">
        <f>IFERROR(VLOOKUP($A35,Sales!$A:B,D$2,0),0)</f>
        <v>0</v>
      </c>
      <c r="E38" s="61">
        <f>IFERROR(VLOOKUP($A35,Sales!$A:C,E$2,0),0)</f>
        <v>0</v>
      </c>
      <c r="F38" s="61">
        <f>IFERROR(VLOOKUP($A35,Sales!$A:D,F$2,0),0)</f>
        <v>0</v>
      </c>
      <c r="G38" s="61">
        <f>IFERROR(VLOOKUP($A35,Sales!$A:E,G$2,0),0)</f>
        <v>0</v>
      </c>
      <c r="H38" s="61">
        <f>IFERROR(VLOOKUP($A35,Sales!$A:F,H$2,0),0)</f>
        <v>0</v>
      </c>
      <c r="I38" s="61">
        <f>IFERROR(VLOOKUP($A35,Sales!$A:G,I$2,0),0)</f>
        <v>0</v>
      </c>
      <c r="J38" s="61">
        <f>IFERROR(VLOOKUP($A35,Sales!$A:H,J$2,0),0)</f>
        <v>0</v>
      </c>
      <c r="K38" s="61">
        <f>IFERROR(VLOOKUP($A35,Sales!$A:I,K$2,0),0)</f>
        <v>0</v>
      </c>
      <c r="L38" s="61">
        <f>IFERROR(VLOOKUP($A35,Sales!$A:J,L$2,0),0)</f>
        <v>0</v>
      </c>
      <c r="M38" s="61">
        <f>IFERROR(VLOOKUP($A35,Sales!$A:K,M$2,0),0)</f>
        <v>0</v>
      </c>
      <c r="N38" s="61">
        <f>IFERROR(VLOOKUP($A35,Sales!$A:L,N$2,0),0)</f>
        <v>0</v>
      </c>
      <c r="O38" s="61">
        <f>IFERROR(VLOOKUP($A35,Sales!$A:M,O$2,0),0)</f>
        <v>0</v>
      </c>
      <c r="P38" s="61">
        <f>IFERROR(VLOOKUP($A35,Sales!$A:N,P$2,0),0)</f>
        <v>0</v>
      </c>
      <c r="Q38" s="61">
        <f>IFERROR(VLOOKUP($A35,Sales!$A:O,Q$2,0),0)</f>
        <v>0</v>
      </c>
      <c r="R38" s="61">
        <f>IFERROR(VLOOKUP($A35,Sales!$A:P,R$2,0),0)</f>
        <v>0</v>
      </c>
      <c r="S38" s="61">
        <f>IFERROR(VLOOKUP($A35,Sales!$A:Q,S$2,0),0)</f>
        <v>0</v>
      </c>
      <c r="T38" s="61">
        <f>IFERROR(VLOOKUP($A35,Sales!$A:R,T$2,0),0)</f>
        <v>0</v>
      </c>
      <c r="U38" s="61">
        <f>IFERROR(VLOOKUP($A35,Sales!$A:S,U$2,0),0)</f>
        <v>0</v>
      </c>
      <c r="V38" s="61">
        <f>IFERROR(VLOOKUP($A35,Sales!$A:T,V$2,0),0)</f>
        <v>0</v>
      </c>
      <c r="W38" s="61">
        <f>IFERROR(VLOOKUP($A35,Sales!$A:U,W$2,0),0)</f>
        <v>0</v>
      </c>
      <c r="X38" s="61">
        <f>IFERROR(VLOOKUP($A35,Sales!$A:V,X$2,0),0)</f>
        <v>0</v>
      </c>
      <c r="Y38" s="61">
        <f>IFERROR(VLOOKUP($A35,Sales!$A:W,Y$2,0),0)</f>
        <v>0</v>
      </c>
      <c r="Z38" s="61">
        <f>IFERROR(VLOOKUP($A35,Sales!$A:X,Z$2,0),0)</f>
        <v>0</v>
      </c>
      <c r="AA38" s="61">
        <f>IFERROR(VLOOKUP($A35,Sales!$A:Y,AA$2,0),0)</f>
        <v>0</v>
      </c>
      <c r="AB38" s="61">
        <f>IFERROR(VLOOKUP($A35,Sales!$A:Z,AB$2,0),0)</f>
        <v>0</v>
      </c>
      <c r="AC38" s="61">
        <f>IFERROR(VLOOKUP($A35,Sales!$A:AA,AC$2,0),0)</f>
        <v>0</v>
      </c>
      <c r="AD38" s="61">
        <f>IFERROR(VLOOKUP($A35,Sales!$A:AB,AD$2,0),0)</f>
        <v>0</v>
      </c>
      <c r="AE38" s="61">
        <f>IFERROR(VLOOKUP($A35,Sales!$A:AC,AE$2,0),0)</f>
        <v>0</v>
      </c>
      <c r="AF38" s="61">
        <f>IFERROR(VLOOKUP($A35,Sales!$A:AD,AF$2,0),0)</f>
        <v>0</v>
      </c>
      <c r="AG38" s="61">
        <f>IFERROR(VLOOKUP($A35,Sales!$A:AE,AG$2,0),0)</f>
        <v>0</v>
      </c>
      <c r="AH38" s="61">
        <f>IFERROR(VLOOKUP($A35,Sales!$A:AF,AH$2,0),0)</f>
        <v>0</v>
      </c>
      <c r="AI38" s="61">
        <f>IFERROR(VLOOKUP($A35,Sales!$A:AG,AI$2,0),0)</f>
        <v>0</v>
      </c>
      <c r="AJ38" s="61">
        <f>IFERROR(VLOOKUP($A35,Sales!$A:AH,AJ$2,0),0)</f>
        <v>0</v>
      </c>
      <c r="AK38" s="74">
        <f t="shared" ref="AK38:CC38" si="45">CEILING(AK$5*$B34,1)</f>
        <v>0</v>
      </c>
      <c r="AL38" s="74">
        <f t="shared" si="45"/>
        <v>0</v>
      </c>
      <c r="AM38" s="74">
        <f t="shared" si="45"/>
        <v>0</v>
      </c>
      <c r="AN38" s="74">
        <f t="shared" si="45"/>
        <v>0</v>
      </c>
      <c r="AO38" s="74">
        <f t="shared" si="45"/>
        <v>0</v>
      </c>
      <c r="AP38" s="74">
        <f t="shared" si="45"/>
        <v>0</v>
      </c>
      <c r="AQ38" s="74">
        <f t="shared" si="45"/>
        <v>0</v>
      </c>
      <c r="AR38" s="74">
        <f t="shared" si="45"/>
        <v>0</v>
      </c>
      <c r="AS38" s="74">
        <f t="shared" si="45"/>
        <v>0</v>
      </c>
      <c r="AT38" s="74">
        <f t="shared" si="45"/>
        <v>0</v>
      </c>
      <c r="AU38" s="74">
        <f t="shared" si="45"/>
        <v>0</v>
      </c>
      <c r="AV38" s="74">
        <f t="shared" si="45"/>
        <v>0</v>
      </c>
      <c r="AW38" s="74">
        <f t="shared" si="45"/>
        <v>0</v>
      </c>
      <c r="AX38" s="74">
        <f t="shared" si="45"/>
        <v>0</v>
      </c>
      <c r="AY38" s="74">
        <f t="shared" si="45"/>
        <v>0</v>
      </c>
      <c r="AZ38" s="74">
        <f t="shared" si="45"/>
        <v>0</v>
      </c>
      <c r="BA38" s="74">
        <f t="shared" si="45"/>
        <v>0</v>
      </c>
      <c r="BB38" s="74">
        <f t="shared" si="45"/>
        <v>0</v>
      </c>
      <c r="BC38" s="74">
        <f t="shared" si="45"/>
        <v>0</v>
      </c>
      <c r="BD38" s="74">
        <f t="shared" si="45"/>
        <v>0</v>
      </c>
      <c r="BE38" s="74">
        <f t="shared" si="45"/>
        <v>0</v>
      </c>
      <c r="BF38" s="74">
        <f t="shared" si="45"/>
        <v>0</v>
      </c>
      <c r="BG38" s="74">
        <f t="shared" si="45"/>
        <v>0</v>
      </c>
      <c r="BH38" s="74">
        <f t="shared" si="45"/>
        <v>0</v>
      </c>
      <c r="BI38" s="74">
        <f t="shared" si="45"/>
        <v>0</v>
      </c>
      <c r="BJ38" s="74">
        <f t="shared" si="45"/>
        <v>0</v>
      </c>
      <c r="BK38" s="74">
        <f t="shared" si="45"/>
        <v>0</v>
      </c>
      <c r="BL38" s="74">
        <f t="shared" si="45"/>
        <v>0</v>
      </c>
      <c r="BM38" s="74">
        <f t="shared" si="45"/>
        <v>0</v>
      </c>
      <c r="BN38" s="74">
        <f t="shared" si="45"/>
        <v>0</v>
      </c>
      <c r="BO38" s="74">
        <f t="shared" si="45"/>
        <v>0</v>
      </c>
      <c r="BP38" s="74">
        <f t="shared" si="45"/>
        <v>0</v>
      </c>
      <c r="BQ38" s="74">
        <f t="shared" si="45"/>
        <v>0</v>
      </c>
      <c r="BR38" s="74">
        <f t="shared" si="45"/>
        <v>0</v>
      </c>
      <c r="BS38" s="74">
        <f t="shared" si="45"/>
        <v>0</v>
      </c>
      <c r="BT38" s="74">
        <f t="shared" si="45"/>
        <v>0</v>
      </c>
      <c r="BU38" s="74">
        <f t="shared" si="45"/>
        <v>0</v>
      </c>
      <c r="BV38" s="74">
        <f t="shared" si="45"/>
        <v>0</v>
      </c>
      <c r="BW38" s="74">
        <f t="shared" si="45"/>
        <v>0</v>
      </c>
      <c r="BX38" s="74">
        <f t="shared" si="45"/>
        <v>0</v>
      </c>
      <c r="BY38" s="74">
        <f t="shared" si="45"/>
        <v>0</v>
      </c>
      <c r="BZ38" s="74">
        <f t="shared" si="45"/>
        <v>0</v>
      </c>
      <c r="CA38" s="74">
        <f t="shared" si="45"/>
        <v>0</v>
      </c>
      <c r="CB38" s="74">
        <f t="shared" si="45"/>
        <v>0</v>
      </c>
      <c r="CC38" s="74">
        <f t="shared" si="45"/>
        <v>0</v>
      </c>
    </row>
    <row r="39" spans="1:81" hidden="1" x14ac:dyDescent="0.2">
      <c r="A39" s="5" t="s">
        <v>214</v>
      </c>
      <c r="B39" s="5">
        <v>7.4999999999999997E-2</v>
      </c>
      <c r="C39" s="46" t="s">
        <v>215</v>
      </c>
      <c r="D39" s="11">
        <f t="shared" ref="D39:AI39" si="46">IF(D38=0,0, ROUND(D35 * 1/D38* D$13,1))</f>
        <v>0</v>
      </c>
      <c r="E39" s="11">
        <f t="shared" si="46"/>
        <v>0</v>
      </c>
      <c r="F39" s="11">
        <f t="shared" si="46"/>
        <v>0</v>
      </c>
      <c r="G39" s="11">
        <f t="shared" si="46"/>
        <v>0</v>
      </c>
      <c r="H39" s="11">
        <f t="shared" si="46"/>
        <v>0</v>
      </c>
      <c r="I39" s="11">
        <f t="shared" si="46"/>
        <v>0</v>
      </c>
      <c r="J39" s="11">
        <f t="shared" si="46"/>
        <v>0</v>
      </c>
      <c r="K39" s="11">
        <f t="shared" si="46"/>
        <v>0</v>
      </c>
      <c r="L39" s="11">
        <f t="shared" si="46"/>
        <v>0</v>
      </c>
      <c r="M39" s="11">
        <f t="shared" si="46"/>
        <v>0</v>
      </c>
      <c r="N39" s="11">
        <f t="shared" si="46"/>
        <v>0</v>
      </c>
      <c r="O39" s="11">
        <f t="shared" si="46"/>
        <v>0</v>
      </c>
      <c r="P39" s="11">
        <f t="shared" si="46"/>
        <v>0</v>
      </c>
      <c r="Q39" s="11">
        <f t="shared" si="46"/>
        <v>0</v>
      </c>
      <c r="R39" s="11">
        <f t="shared" si="46"/>
        <v>0</v>
      </c>
      <c r="S39" s="11">
        <f t="shared" si="46"/>
        <v>0</v>
      </c>
      <c r="T39" s="11">
        <f t="shared" si="46"/>
        <v>0</v>
      </c>
      <c r="U39" s="11">
        <f t="shared" si="46"/>
        <v>0</v>
      </c>
      <c r="V39" s="11">
        <f t="shared" si="46"/>
        <v>0</v>
      </c>
      <c r="W39" s="11">
        <f t="shared" si="46"/>
        <v>0</v>
      </c>
      <c r="X39" s="11">
        <f t="shared" si="46"/>
        <v>0</v>
      </c>
      <c r="Y39" s="11">
        <f t="shared" si="46"/>
        <v>0</v>
      </c>
      <c r="Z39" s="11">
        <f t="shared" si="46"/>
        <v>0</v>
      </c>
      <c r="AA39" s="11">
        <f t="shared" si="46"/>
        <v>0</v>
      </c>
      <c r="AB39" s="11">
        <f t="shared" si="46"/>
        <v>0</v>
      </c>
      <c r="AC39" s="11">
        <f t="shared" si="46"/>
        <v>0</v>
      </c>
      <c r="AD39" s="11">
        <f t="shared" si="46"/>
        <v>0</v>
      </c>
      <c r="AE39" s="11">
        <f t="shared" si="46"/>
        <v>0</v>
      </c>
      <c r="AF39" s="11">
        <f t="shared" si="46"/>
        <v>0</v>
      </c>
      <c r="AG39" s="11">
        <f t="shared" si="46"/>
        <v>0</v>
      </c>
      <c r="AH39" s="11">
        <f t="shared" si="46"/>
        <v>0</v>
      </c>
      <c r="AI39" s="11">
        <f t="shared" si="46"/>
        <v>0</v>
      </c>
      <c r="AJ39" s="11">
        <f t="shared" ref="AJ39:BO39" si="47">IF(AJ38=0,0, ROUND(AJ35 * 1/AJ38* AJ$13,1))</f>
        <v>0</v>
      </c>
      <c r="AK39" s="11">
        <f t="shared" si="47"/>
        <v>0</v>
      </c>
      <c r="AL39" s="11">
        <f t="shared" si="47"/>
        <v>0</v>
      </c>
      <c r="AM39" s="11">
        <f t="shared" si="47"/>
        <v>0</v>
      </c>
      <c r="AN39" s="11">
        <f t="shared" si="47"/>
        <v>0</v>
      </c>
      <c r="AO39" s="11">
        <f t="shared" si="47"/>
        <v>0</v>
      </c>
      <c r="AP39" s="11">
        <f t="shared" si="47"/>
        <v>0</v>
      </c>
      <c r="AQ39" s="11">
        <f t="shared" si="47"/>
        <v>0</v>
      </c>
      <c r="AR39" s="11">
        <f t="shared" si="47"/>
        <v>0</v>
      </c>
      <c r="AS39" s="11">
        <f t="shared" si="47"/>
        <v>0</v>
      </c>
      <c r="AT39" s="11">
        <f t="shared" si="47"/>
        <v>0</v>
      </c>
      <c r="AU39" s="11">
        <f t="shared" si="47"/>
        <v>0</v>
      </c>
      <c r="AV39" s="11">
        <f t="shared" si="47"/>
        <v>0</v>
      </c>
      <c r="AW39" s="11">
        <f t="shared" si="47"/>
        <v>0</v>
      </c>
      <c r="AX39" s="11">
        <f t="shared" si="47"/>
        <v>0</v>
      </c>
      <c r="AY39" s="11">
        <f t="shared" si="47"/>
        <v>0</v>
      </c>
      <c r="AZ39" s="11">
        <f t="shared" si="47"/>
        <v>0</v>
      </c>
      <c r="BA39" s="11">
        <f t="shared" si="47"/>
        <v>0</v>
      </c>
      <c r="BB39" s="11">
        <f t="shared" si="47"/>
        <v>0</v>
      </c>
      <c r="BC39" s="11">
        <f t="shared" si="47"/>
        <v>0</v>
      </c>
      <c r="BD39" s="11">
        <f t="shared" si="47"/>
        <v>0</v>
      </c>
      <c r="BE39" s="11">
        <f t="shared" si="47"/>
        <v>0</v>
      </c>
      <c r="BF39" s="11">
        <f t="shared" si="47"/>
        <v>0</v>
      </c>
      <c r="BG39" s="11">
        <f t="shared" si="47"/>
        <v>0</v>
      </c>
      <c r="BH39" s="11">
        <f t="shared" si="47"/>
        <v>0</v>
      </c>
      <c r="BI39" s="11">
        <f t="shared" si="47"/>
        <v>0</v>
      </c>
      <c r="BJ39" s="11">
        <f t="shared" si="47"/>
        <v>0</v>
      </c>
      <c r="BK39" s="11">
        <f t="shared" si="47"/>
        <v>0</v>
      </c>
      <c r="BL39" s="11">
        <f t="shared" si="47"/>
        <v>0</v>
      </c>
      <c r="BM39" s="11">
        <f t="shared" si="47"/>
        <v>0</v>
      </c>
      <c r="BN39" s="11">
        <f t="shared" si="47"/>
        <v>0</v>
      </c>
      <c r="BO39" s="11">
        <f t="shared" si="47"/>
        <v>0</v>
      </c>
      <c r="BP39" s="11">
        <f t="shared" ref="BP39:CC39" si="48">IF(BP38=0,0, ROUND(BP35 * 1/BP38* BP$13,1))</f>
        <v>0</v>
      </c>
      <c r="BQ39" s="11">
        <f t="shared" si="48"/>
        <v>0</v>
      </c>
      <c r="BR39" s="11">
        <f t="shared" si="48"/>
        <v>0</v>
      </c>
      <c r="BS39" s="11">
        <f t="shared" si="48"/>
        <v>0</v>
      </c>
      <c r="BT39" s="11">
        <f t="shared" si="48"/>
        <v>0</v>
      </c>
      <c r="BU39" s="11">
        <f t="shared" si="48"/>
        <v>0</v>
      </c>
      <c r="BV39" s="11">
        <f t="shared" si="48"/>
        <v>0</v>
      </c>
      <c r="BW39" s="11">
        <f t="shared" si="48"/>
        <v>0</v>
      </c>
      <c r="BX39" s="11">
        <f t="shared" si="48"/>
        <v>0</v>
      </c>
      <c r="BY39" s="11">
        <f t="shared" si="48"/>
        <v>0</v>
      </c>
      <c r="BZ39" s="11">
        <f t="shared" si="48"/>
        <v>0</v>
      </c>
      <c r="CA39" s="11">
        <f t="shared" si="48"/>
        <v>0</v>
      </c>
      <c r="CB39" s="11">
        <f t="shared" si="48"/>
        <v>0</v>
      </c>
      <c r="CC39" s="11">
        <f t="shared" si="48"/>
        <v>0</v>
      </c>
    </row>
    <row r="40" spans="1:81" hidden="1" x14ac:dyDescent="0.2">
      <c r="A40">
        <v>4</v>
      </c>
      <c r="B40">
        <v>50</v>
      </c>
      <c r="C40" s="8">
        <v>0.94330999999999998</v>
      </c>
      <c r="D40">
        <f t="shared" ref="D40:AI40" si="49">D37/$B40</f>
        <v>0</v>
      </c>
      <c r="E40">
        <f t="shared" si="49"/>
        <v>0</v>
      </c>
      <c r="F40">
        <f t="shared" si="49"/>
        <v>0</v>
      </c>
      <c r="G40">
        <f t="shared" si="49"/>
        <v>0</v>
      </c>
      <c r="H40">
        <f t="shared" si="49"/>
        <v>0</v>
      </c>
      <c r="I40">
        <f t="shared" si="49"/>
        <v>0</v>
      </c>
      <c r="J40">
        <f t="shared" si="49"/>
        <v>0</v>
      </c>
      <c r="K40">
        <f t="shared" si="49"/>
        <v>0</v>
      </c>
      <c r="L40">
        <f t="shared" si="49"/>
        <v>0</v>
      </c>
      <c r="M40">
        <f t="shared" si="49"/>
        <v>0</v>
      </c>
      <c r="N40">
        <f t="shared" si="49"/>
        <v>0</v>
      </c>
      <c r="O40">
        <f t="shared" si="49"/>
        <v>0</v>
      </c>
      <c r="P40">
        <f t="shared" si="49"/>
        <v>0</v>
      </c>
      <c r="Q40">
        <f t="shared" si="49"/>
        <v>0</v>
      </c>
      <c r="R40">
        <f t="shared" si="49"/>
        <v>0</v>
      </c>
      <c r="S40">
        <f t="shared" si="49"/>
        <v>0</v>
      </c>
      <c r="T40">
        <f t="shared" si="49"/>
        <v>0</v>
      </c>
      <c r="U40">
        <f t="shared" si="49"/>
        <v>0</v>
      </c>
      <c r="V40">
        <f t="shared" si="49"/>
        <v>0</v>
      </c>
      <c r="W40">
        <f t="shared" si="49"/>
        <v>0</v>
      </c>
      <c r="X40">
        <f t="shared" si="49"/>
        <v>0</v>
      </c>
      <c r="Y40">
        <f t="shared" si="49"/>
        <v>0</v>
      </c>
      <c r="Z40">
        <f t="shared" si="49"/>
        <v>0</v>
      </c>
      <c r="AA40">
        <f t="shared" si="49"/>
        <v>0</v>
      </c>
      <c r="AB40">
        <f t="shared" si="49"/>
        <v>0</v>
      </c>
      <c r="AC40">
        <f t="shared" si="49"/>
        <v>0</v>
      </c>
      <c r="AD40">
        <f t="shared" si="49"/>
        <v>0</v>
      </c>
      <c r="AE40">
        <f t="shared" si="49"/>
        <v>0</v>
      </c>
      <c r="AF40">
        <f t="shared" si="49"/>
        <v>0</v>
      </c>
      <c r="AG40">
        <f t="shared" si="49"/>
        <v>0</v>
      </c>
      <c r="AH40">
        <f t="shared" si="49"/>
        <v>0</v>
      </c>
      <c r="AI40">
        <f t="shared" si="49"/>
        <v>0</v>
      </c>
      <c r="AJ40">
        <f t="shared" ref="AJ40:BO40" si="50">AJ37/$B40</f>
        <v>0</v>
      </c>
      <c r="AK40">
        <f t="shared" si="50"/>
        <v>0</v>
      </c>
      <c r="AL40">
        <f t="shared" si="50"/>
        <v>0</v>
      </c>
      <c r="AM40">
        <f t="shared" si="50"/>
        <v>0</v>
      </c>
      <c r="AN40">
        <f t="shared" si="50"/>
        <v>0</v>
      </c>
      <c r="AO40">
        <f t="shared" si="50"/>
        <v>0</v>
      </c>
      <c r="AP40">
        <f t="shared" si="50"/>
        <v>0</v>
      </c>
      <c r="AQ40">
        <f t="shared" si="50"/>
        <v>0</v>
      </c>
      <c r="AR40">
        <f t="shared" si="50"/>
        <v>0</v>
      </c>
      <c r="AS40">
        <f t="shared" si="50"/>
        <v>0</v>
      </c>
      <c r="AT40">
        <f t="shared" si="50"/>
        <v>0</v>
      </c>
      <c r="AU40">
        <f t="shared" si="50"/>
        <v>0</v>
      </c>
      <c r="AV40">
        <f t="shared" si="50"/>
        <v>0</v>
      </c>
      <c r="AW40">
        <f t="shared" si="50"/>
        <v>0</v>
      </c>
      <c r="AX40">
        <f t="shared" si="50"/>
        <v>0</v>
      </c>
      <c r="AY40">
        <f t="shared" si="50"/>
        <v>0</v>
      </c>
      <c r="AZ40">
        <f t="shared" si="50"/>
        <v>0</v>
      </c>
      <c r="BA40">
        <f t="shared" si="50"/>
        <v>0</v>
      </c>
      <c r="BB40">
        <f t="shared" si="50"/>
        <v>0</v>
      </c>
      <c r="BC40">
        <f t="shared" si="50"/>
        <v>0</v>
      </c>
      <c r="BD40">
        <f t="shared" si="50"/>
        <v>0</v>
      </c>
      <c r="BE40">
        <f t="shared" si="50"/>
        <v>0</v>
      </c>
      <c r="BF40">
        <f t="shared" si="50"/>
        <v>0</v>
      </c>
      <c r="BG40">
        <f t="shared" si="50"/>
        <v>0</v>
      </c>
      <c r="BH40">
        <f t="shared" si="50"/>
        <v>0</v>
      </c>
      <c r="BI40">
        <f t="shared" si="50"/>
        <v>0</v>
      </c>
      <c r="BJ40">
        <f t="shared" si="50"/>
        <v>0</v>
      </c>
      <c r="BK40">
        <f t="shared" si="50"/>
        <v>0</v>
      </c>
      <c r="BL40">
        <f t="shared" si="50"/>
        <v>0</v>
      </c>
      <c r="BM40">
        <f t="shared" si="50"/>
        <v>0</v>
      </c>
      <c r="BN40">
        <f t="shared" si="50"/>
        <v>0</v>
      </c>
      <c r="BO40">
        <f t="shared" si="50"/>
        <v>0</v>
      </c>
      <c r="BP40">
        <f t="shared" ref="BP40:CC40" si="51">BP37/$B40</f>
        <v>0</v>
      </c>
      <c r="BQ40">
        <f t="shared" si="51"/>
        <v>0</v>
      </c>
      <c r="BR40">
        <f t="shared" si="51"/>
        <v>0</v>
      </c>
      <c r="BS40">
        <f t="shared" si="51"/>
        <v>0</v>
      </c>
      <c r="BT40">
        <f t="shared" si="51"/>
        <v>0</v>
      </c>
      <c r="BU40">
        <f t="shared" si="51"/>
        <v>0</v>
      </c>
      <c r="BV40">
        <f t="shared" si="51"/>
        <v>0</v>
      </c>
      <c r="BW40">
        <f t="shared" si="51"/>
        <v>0</v>
      </c>
      <c r="BX40">
        <f t="shared" si="51"/>
        <v>0</v>
      </c>
      <c r="BY40">
        <f t="shared" si="51"/>
        <v>0</v>
      </c>
      <c r="BZ40">
        <f t="shared" si="51"/>
        <v>0</v>
      </c>
      <c r="CA40">
        <f t="shared" si="51"/>
        <v>0</v>
      </c>
      <c r="CB40">
        <f t="shared" si="51"/>
        <v>0</v>
      </c>
      <c r="CC40">
        <f t="shared" si="51"/>
        <v>0</v>
      </c>
    </row>
    <row r="41" spans="1:81" hidden="1" x14ac:dyDescent="0.2">
      <c r="B41" s="67">
        <f>SUM(D45:AJ45)/SUM($D$67:$AJ$67)</f>
        <v>0</v>
      </c>
      <c r="C41" s="9" t="s">
        <v>216</v>
      </c>
      <c r="D41">
        <f t="shared" ref="D41:AI41" si="52">D35-D38</f>
        <v>0</v>
      </c>
      <c r="E41">
        <f t="shared" si="52"/>
        <v>0</v>
      </c>
      <c r="F41">
        <f t="shared" si="52"/>
        <v>0</v>
      </c>
      <c r="G41">
        <f t="shared" si="52"/>
        <v>0</v>
      </c>
      <c r="H41">
        <f t="shared" si="52"/>
        <v>0</v>
      </c>
      <c r="I41">
        <f t="shared" si="52"/>
        <v>0</v>
      </c>
      <c r="J41">
        <f t="shared" si="52"/>
        <v>0</v>
      </c>
      <c r="K41">
        <f t="shared" si="52"/>
        <v>0</v>
      </c>
      <c r="L41">
        <f t="shared" si="52"/>
        <v>0</v>
      </c>
      <c r="M41">
        <f t="shared" si="52"/>
        <v>0</v>
      </c>
      <c r="N41">
        <f t="shared" si="52"/>
        <v>0</v>
      </c>
      <c r="O41">
        <f t="shared" si="52"/>
        <v>0</v>
      </c>
      <c r="P41">
        <f t="shared" si="52"/>
        <v>0</v>
      </c>
      <c r="Q41">
        <f t="shared" si="52"/>
        <v>0</v>
      </c>
      <c r="R41">
        <f t="shared" si="52"/>
        <v>0</v>
      </c>
      <c r="S41">
        <f t="shared" si="52"/>
        <v>0</v>
      </c>
      <c r="T41">
        <f t="shared" si="52"/>
        <v>0</v>
      </c>
      <c r="U41">
        <f t="shared" si="52"/>
        <v>0</v>
      </c>
      <c r="V41">
        <f t="shared" si="52"/>
        <v>0</v>
      </c>
      <c r="W41">
        <f t="shared" si="52"/>
        <v>0</v>
      </c>
      <c r="X41">
        <f t="shared" si="52"/>
        <v>0</v>
      </c>
      <c r="Y41">
        <f t="shared" si="52"/>
        <v>0</v>
      </c>
      <c r="Z41">
        <f t="shared" si="52"/>
        <v>0</v>
      </c>
      <c r="AA41">
        <f t="shared" si="52"/>
        <v>0</v>
      </c>
      <c r="AB41">
        <f t="shared" si="52"/>
        <v>0</v>
      </c>
      <c r="AC41">
        <f t="shared" si="52"/>
        <v>0</v>
      </c>
      <c r="AD41">
        <f t="shared" si="52"/>
        <v>0</v>
      </c>
      <c r="AE41">
        <f t="shared" si="52"/>
        <v>0</v>
      </c>
      <c r="AF41">
        <f t="shared" si="52"/>
        <v>0</v>
      </c>
      <c r="AG41">
        <f t="shared" si="52"/>
        <v>0</v>
      </c>
      <c r="AH41">
        <f t="shared" si="52"/>
        <v>0</v>
      </c>
      <c r="AI41">
        <f t="shared" si="52"/>
        <v>0</v>
      </c>
      <c r="AJ41">
        <f t="shared" ref="AJ41:BO41" si="53">AJ35-AJ38</f>
        <v>0</v>
      </c>
      <c r="AK41">
        <f t="shared" si="53"/>
        <v>0</v>
      </c>
      <c r="AL41">
        <f t="shared" si="53"/>
        <v>0</v>
      </c>
      <c r="AM41">
        <f t="shared" si="53"/>
        <v>0</v>
      </c>
      <c r="AN41">
        <f t="shared" si="53"/>
        <v>0</v>
      </c>
      <c r="AO41">
        <f t="shared" si="53"/>
        <v>0</v>
      </c>
      <c r="AP41">
        <f t="shared" si="53"/>
        <v>0</v>
      </c>
      <c r="AQ41">
        <f t="shared" si="53"/>
        <v>0</v>
      </c>
      <c r="AR41">
        <f t="shared" si="53"/>
        <v>0</v>
      </c>
      <c r="AS41">
        <f t="shared" si="53"/>
        <v>0</v>
      </c>
      <c r="AT41">
        <f t="shared" si="53"/>
        <v>0</v>
      </c>
      <c r="AU41">
        <f t="shared" si="53"/>
        <v>0</v>
      </c>
      <c r="AV41">
        <f t="shared" si="53"/>
        <v>0</v>
      </c>
      <c r="AW41">
        <f t="shared" si="53"/>
        <v>0</v>
      </c>
      <c r="AX41">
        <f t="shared" si="53"/>
        <v>0</v>
      </c>
      <c r="AY41">
        <f t="shared" si="53"/>
        <v>0</v>
      </c>
      <c r="AZ41">
        <f t="shared" si="53"/>
        <v>0</v>
      </c>
      <c r="BA41">
        <f t="shared" si="53"/>
        <v>0</v>
      </c>
      <c r="BB41">
        <f t="shared" si="53"/>
        <v>0</v>
      </c>
      <c r="BC41">
        <f t="shared" si="53"/>
        <v>0</v>
      </c>
      <c r="BD41">
        <f t="shared" si="53"/>
        <v>0</v>
      </c>
      <c r="BE41">
        <f t="shared" si="53"/>
        <v>0</v>
      </c>
      <c r="BF41">
        <f t="shared" si="53"/>
        <v>0</v>
      </c>
      <c r="BG41">
        <f t="shared" si="53"/>
        <v>0</v>
      </c>
      <c r="BH41">
        <f t="shared" si="53"/>
        <v>0</v>
      </c>
      <c r="BI41">
        <f t="shared" si="53"/>
        <v>0</v>
      </c>
      <c r="BJ41">
        <f t="shared" si="53"/>
        <v>0</v>
      </c>
      <c r="BK41">
        <f t="shared" si="53"/>
        <v>0</v>
      </c>
      <c r="BL41">
        <f t="shared" si="53"/>
        <v>0</v>
      </c>
      <c r="BM41">
        <f t="shared" si="53"/>
        <v>0</v>
      </c>
      <c r="BN41">
        <f t="shared" si="53"/>
        <v>0</v>
      </c>
      <c r="BO41">
        <f t="shared" si="53"/>
        <v>0</v>
      </c>
      <c r="BP41">
        <f t="shared" ref="BP41:CC41" si="54">BP35-BP38</f>
        <v>0</v>
      </c>
      <c r="BQ41">
        <f t="shared" si="54"/>
        <v>0</v>
      </c>
      <c r="BR41">
        <f t="shared" si="54"/>
        <v>0</v>
      </c>
      <c r="BS41">
        <f t="shared" si="54"/>
        <v>0</v>
      </c>
      <c r="BT41">
        <f t="shared" si="54"/>
        <v>0</v>
      </c>
      <c r="BU41">
        <f t="shared" si="54"/>
        <v>0</v>
      </c>
      <c r="BV41">
        <f t="shared" si="54"/>
        <v>0</v>
      </c>
      <c r="BW41">
        <f t="shared" si="54"/>
        <v>0</v>
      </c>
      <c r="BX41">
        <f t="shared" si="54"/>
        <v>0</v>
      </c>
      <c r="BY41">
        <f t="shared" si="54"/>
        <v>0</v>
      </c>
      <c r="BZ41">
        <f t="shared" si="54"/>
        <v>0</v>
      </c>
      <c r="CA41">
        <f t="shared" si="54"/>
        <v>0</v>
      </c>
      <c r="CB41">
        <f t="shared" si="54"/>
        <v>0</v>
      </c>
      <c r="CC41">
        <f t="shared" si="54"/>
        <v>0</v>
      </c>
    </row>
    <row r="42" spans="1:81" hidden="1" x14ac:dyDescent="0.2">
      <c r="A42" s="43"/>
      <c r="B42" s="44" t="s">
        <v>208</v>
      </c>
      <c r="C42" s="9" t="s">
        <v>38</v>
      </c>
      <c r="D42" s="58">
        <f>IFERROR(VLOOKUP(A42,OS!$A:$B,2,0),0)</f>
        <v>0</v>
      </c>
      <c r="E42" s="5">
        <f>(D42+D43-D45)</f>
        <v>0</v>
      </c>
      <c r="F42" s="5">
        <f>(E42+E43-E45)</f>
        <v>0</v>
      </c>
      <c r="G42" s="5">
        <f>(F42+F43-F45)</f>
        <v>0</v>
      </c>
      <c r="H42" s="5">
        <f>(G42+G43-G45)</f>
        <v>0</v>
      </c>
      <c r="I42" s="5">
        <f t="shared" ref="I42:AN42" si="55">(H42+H43-H45+D44)</f>
        <v>0</v>
      </c>
      <c r="J42" s="5">
        <f t="shared" si="55"/>
        <v>0</v>
      </c>
      <c r="K42" s="5">
        <f t="shared" si="55"/>
        <v>0</v>
      </c>
      <c r="L42" s="5">
        <f t="shared" si="55"/>
        <v>0</v>
      </c>
      <c r="M42" s="5">
        <f t="shared" si="55"/>
        <v>0</v>
      </c>
      <c r="N42" s="5">
        <f t="shared" si="55"/>
        <v>0</v>
      </c>
      <c r="O42" s="5">
        <f t="shared" si="55"/>
        <v>0</v>
      </c>
      <c r="P42" s="5">
        <f t="shared" si="55"/>
        <v>0</v>
      </c>
      <c r="Q42" s="5">
        <f t="shared" si="55"/>
        <v>0</v>
      </c>
      <c r="R42" s="5">
        <f t="shared" si="55"/>
        <v>0</v>
      </c>
      <c r="S42" s="5">
        <f t="shared" si="55"/>
        <v>0</v>
      </c>
      <c r="T42" s="5">
        <f t="shared" si="55"/>
        <v>0</v>
      </c>
      <c r="U42" s="5">
        <f t="shared" si="55"/>
        <v>0</v>
      </c>
      <c r="V42" s="5">
        <f t="shared" si="55"/>
        <v>0</v>
      </c>
      <c r="W42" s="5">
        <f t="shared" si="55"/>
        <v>0</v>
      </c>
      <c r="X42" s="5">
        <f t="shared" si="55"/>
        <v>0</v>
      </c>
      <c r="Y42" s="5">
        <f t="shared" si="55"/>
        <v>0</v>
      </c>
      <c r="Z42" s="5">
        <f t="shared" si="55"/>
        <v>0</v>
      </c>
      <c r="AA42" s="5">
        <f t="shared" si="55"/>
        <v>0</v>
      </c>
      <c r="AB42" s="5">
        <f t="shared" si="55"/>
        <v>0</v>
      </c>
      <c r="AC42" s="5">
        <f t="shared" si="55"/>
        <v>0</v>
      </c>
      <c r="AD42" s="5">
        <f t="shared" si="55"/>
        <v>0</v>
      </c>
      <c r="AE42" s="5">
        <f t="shared" si="55"/>
        <v>0</v>
      </c>
      <c r="AF42" s="5">
        <f t="shared" si="55"/>
        <v>0</v>
      </c>
      <c r="AG42" s="5">
        <f t="shared" si="55"/>
        <v>0</v>
      </c>
      <c r="AH42" s="5">
        <f t="shared" si="55"/>
        <v>0</v>
      </c>
      <c r="AI42" s="5">
        <f t="shared" si="55"/>
        <v>0</v>
      </c>
      <c r="AJ42" s="5">
        <f t="shared" si="55"/>
        <v>0</v>
      </c>
      <c r="AK42" s="5">
        <f t="shared" si="55"/>
        <v>0</v>
      </c>
      <c r="AL42" s="5">
        <f t="shared" si="55"/>
        <v>0</v>
      </c>
      <c r="AM42" s="5">
        <f t="shared" si="55"/>
        <v>0</v>
      </c>
      <c r="AN42" s="5">
        <f t="shared" si="55"/>
        <v>0</v>
      </c>
      <c r="AO42" s="5">
        <f t="shared" ref="AO42:BT42" si="56">(AN42+AN43-AN45+AJ44)</f>
        <v>0</v>
      </c>
      <c r="AP42" s="5">
        <f t="shared" si="56"/>
        <v>0</v>
      </c>
      <c r="AQ42" s="5">
        <f t="shared" si="56"/>
        <v>0</v>
      </c>
      <c r="AR42" s="5">
        <f t="shared" si="56"/>
        <v>0</v>
      </c>
      <c r="AS42" s="5">
        <f t="shared" si="56"/>
        <v>0</v>
      </c>
      <c r="AT42" s="5">
        <f t="shared" si="56"/>
        <v>0</v>
      </c>
      <c r="AU42" s="5">
        <f t="shared" si="56"/>
        <v>0</v>
      </c>
      <c r="AV42" s="5">
        <f t="shared" si="56"/>
        <v>0</v>
      </c>
      <c r="AW42" s="5">
        <f t="shared" si="56"/>
        <v>0</v>
      </c>
      <c r="AX42" s="5">
        <f t="shared" si="56"/>
        <v>0</v>
      </c>
      <c r="AY42" s="5">
        <f t="shared" si="56"/>
        <v>0</v>
      </c>
      <c r="AZ42" s="5">
        <f t="shared" si="56"/>
        <v>0</v>
      </c>
      <c r="BA42" s="5">
        <f t="shared" si="56"/>
        <v>0</v>
      </c>
      <c r="BB42" s="5">
        <f t="shared" si="56"/>
        <v>0</v>
      </c>
      <c r="BC42" s="5">
        <f t="shared" si="56"/>
        <v>0</v>
      </c>
      <c r="BD42" s="5">
        <f t="shared" si="56"/>
        <v>0</v>
      </c>
      <c r="BE42" s="5">
        <f t="shared" si="56"/>
        <v>0</v>
      </c>
      <c r="BF42" s="5">
        <f t="shared" si="56"/>
        <v>0</v>
      </c>
      <c r="BG42" s="5">
        <f t="shared" si="56"/>
        <v>0</v>
      </c>
      <c r="BH42" s="5">
        <f t="shared" si="56"/>
        <v>0</v>
      </c>
      <c r="BI42" s="5">
        <f t="shared" si="56"/>
        <v>0</v>
      </c>
      <c r="BJ42" s="5">
        <f t="shared" si="56"/>
        <v>0</v>
      </c>
      <c r="BK42" s="5">
        <f t="shared" si="56"/>
        <v>0</v>
      </c>
      <c r="BL42" s="5">
        <f t="shared" si="56"/>
        <v>0</v>
      </c>
      <c r="BM42" s="5">
        <f t="shared" si="56"/>
        <v>0</v>
      </c>
      <c r="BN42" s="5">
        <f t="shared" si="56"/>
        <v>0</v>
      </c>
      <c r="BO42" s="5">
        <f t="shared" si="56"/>
        <v>0</v>
      </c>
      <c r="BP42" s="5">
        <f t="shared" si="56"/>
        <v>0</v>
      </c>
      <c r="BQ42" s="5">
        <f t="shared" si="56"/>
        <v>0</v>
      </c>
      <c r="BR42" s="5">
        <f t="shared" si="56"/>
        <v>0</v>
      </c>
      <c r="BS42" s="5">
        <f t="shared" si="56"/>
        <v>0</v>
      </c>
      <c r="BT42" s="5">
        <f t="shared" si="56"/>
        <v>0</v>
      </c>
      <c r="BU42" s="5">
        <f t="shared" ref="BU42:CC42" si="57">(BT42+BT43-BT45+BP44)</f>
        <v>0</v>
      </c>
      <c r="BV42" s="5">
        <f t="shared" si="57"/>
        <v>0</v>
      </c>
      <c r="BW42" s="5">
        <f t="shared" si="57"/>
        <v>0</v>
      </c>
      <c r="BX42" s="5">
        <f t="shared" si="57"/>
        <v>0</v>
      </c>
      <c r="BY42" s="5">
        <f t="shared" si="57"/>
        <v>0</v>
      </c>
      <c r="BZ42" s="5">
        <f t="shared" si="57"/>
        <v>0</v>
      </c>
      <c r="CA42" s="5">
        <f t="shared" si="57"/>
        <v>0</v>
      </c>
      <c r="CB42" s="5">
        <f t="shared" si="57"/>
        <v>0</v>
      </c>
      <c r="CC42" s="5">
        <f t="shared" si="57"/>
        <v>0</v>
      </c>
    </row>
    <row r="43" spans="1:81" hidden="1" x14ac:dyDescent="0.2">
      <c r="A43" s="5" t="s">
        <v>209</v>
      </c>
      <c r="B43" s="5">
        <v>1.3775500000000001</v>
      </c>
      <c r="C43" s="45" t="s">
        <v>39</v>
      </c>
      <c r="D43" s="59">
        <f>IFERROR(VLOOKUP(A42,WIP!$A:$B,2,0),0)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hidden="1" x14ac:dyDescent="0.2">
      <c r="A44" s="5" t="s">
        <v>210</v>
      </c>
      <c r="B44" s="5">
        <v>5.5E-2</v>
      </c>
      <c r="C44" s="9" t="s">
        <v>211</v>
      </c>
      <c r="D44" s="60">
        <f>IFERROR(VLOOKUP($A42,Plan!$A:B,D$4,0),0)</f>
        <v>0</v>
      </c>
      <c r="E44" s="60">
        <f>IFERROR(VLOOKUP($A42,Plan!$A:C,E$4,0),0)</f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hidden="1" x14ac:dyDescent="0.2">
      <c r="A45" s="5" t="s">
        <v>212</v>
      </c>
      <c r="B45" s="5">
        <v>3.0000000000000001E-3</v>
      </c>
      <c r="C45" s="9" t="s">
        <v>213</v>
      </c>
      <c r="D45" s="61">
        <f>IFERROR(VLOOKUP($A42,Sales!$A:B,D$2,0),0)</f>
        <v>0</v>
      </c>
      <c r="E45" s="61">
        <f>IFERROR(VLOOKUP($A42,Sales!$A:C,E$2,0),0)</f>
        <v>0</v>
      </c>
      <c r="F45" s="61">
        <f>IFERROR(VLOOKUP($A42,Sales!$A:D,F$2,0),0)</f>
        <v>0</v>
      </c>
      <c r="G45" s="61">
        <f>IFERROR(VLOOKUP($A42,Sales!$A:E,G$2,0),0)</f>
        <v>0</v>
      </c>
      <c r="H45" s="61">
        <f>IFERROR(VLOOKUP($A42,Sales!$A:F,H$2,0),0)</f>
        <v>0</v>
      </c>
      <c r="I45" s="61">
        <f>IFERROR(VLOOKUP($A42,Sales!$A:G,I$2,0),0)</f>
        <v>0</v>
      </c>
      <c r="J45" s="61">
        <f>IFERROR(VLOOKUP($A42,Sales!$A:H,J$2,0),0)</f>
        <v>0</v>
      </c>
      <c r="K45" s="61">
        <f>IFERROR(VLOOKUP($A42,Sales!$A:I,K$2,0),0)</f>
        <v>0</v>
      </c>
      <c r="L45" s="61">
        <f>IFERROR(VLOOKUP($A42,Sales!$A:J,L$2,0),0)</f>
        <v>0</v>
      </c>
      <c r="M45" s="61">
        <f>IFERROR(VLOOKUP($A42,Sales!$A:K,M$2,0),0)</f>
        <v>0</v>
      </c>
      <c r="N45" s="61">
        <f>IFERROR(VLOOKUP($A42,Sales!$A:L,N$2,0),0)</f>
        <v>0</v>
      </c>
      <c r="O45" s="61">
        <f>IFERROR(VLOOKUP($A42,Sales!$A:M,O$2,0),0)</f>
        <v>0</v>
      </c>
      <c r="P45" s="61">
        <f>IFERROR(VLOOKUP($A42,Sales!$A:N,P$2,0),0)</f>
        <v>0</v>
      </c>
      <c r="Q45" s="61">
        <f>IFERROR(VLOOKUP($A42,Sales!$A:O,Q$2,0),0)</f>
        <v>0</v>
      </c>
      <c r="R45" s="61">
        <f>IFERROR(VLOOKUP($A42,Sales!$A:P,R$2,0),0)</f>
        <v>0</v>
      </c>
      <c r="S45" s="61">
        <f>IFERROR(VLOOKUP($A42,Sales!$A:Q,S$2,0),0)</f>
        <v>0</v>
      </c>
      <c r="T45" s="61">
        <f>IFERROR(VLOOKUP($A42,Sales!$A:R,T$2,0),0)</f>
        <v>0</v>
      </c>
      <c r="U45" s="61">
        <f>IFERROR(VLOOKUP($A42,Sales!$A:S,U$2,0),0)</f>
        <v>0</v>
      </c>
      <c r="V45" s="61">
        <f>IFERROR(VLOOKUP($A42,Sales!$A:T,V$2,0),0)</f>
        <v>0</v>
      </c>
      <c r="W45" s="61">
        <f>IFERROR(VLOOKUP($A42,Sales!$A:U,W$2,0),0)</f>
        <v>0</v>
      </c>
      <c r="X45" s="61">
        <f>IFERROR(VLOOKUP($A42,Sales!$A:V,X$2,0),0)</f>
        <v>0</v>
      </c>
      <c r="Y45" s="61">
        <f>IFERROR(VLOOKUP($A42,Sales!$A:W,Y$2,0),0)</f>
        <v>0</v>
      </c>
      <c r="Z45" s="61">
        <f>IFERROR(VLOOKUP($A42,Sales!$A:X,Z$2,0),0)</f>
        <v>0</v>
      </c>
      <c r="AA45" s="61">
        <f>IFERROR(VLOOKUP($A42,Sales!$A:Y,AA$2,0),0)</f>
        <v>0</v>
      </c>
      <c r="AB45" s="61">
        <f>IFERROR(VLOOKUP($A42,Sales!$A:Z,AB$2,0),0)</f>
        <v>0</v>
      </c>
      <c r="AC45" s="61">
        <f>IFERROR(VLOOKUP($A42,Sales!$A:AA,AC$2,0),0)</f>
        <v>0</v>
      </c>
      <c r="AD45" s="61">
        <f>IFERROR(VLOOKUP($A42,Sales!$A:AB,AD$2,0),0)</f>
        <v>0</v>
      </c>
      <c r="AE45" s="61">
        <f>IFERROR(VLOOKUP($A42,Sales!$A:AC,AE$2,0),0)</f>
        <v>0</v>
      </c>
      <c r="AF45" s="61">
        <f>IFERROR(VLOOKUP($A42,Sales!$A:AD,AF$2,0),0)</f>
        <v>0</v>
      </c>
      <c r="AG45" s="61">
        <f>IFERROR(VLOOKUP($A42,Sales!$A:AE,AG$2,0),0)</f>
        <v>0</v>
      </c>
      <c r="AH45" s="61">
        <f>IFERROR(VLOOKUP($A42,Sales!$A:AF,AH$2,0),0)</f>
        <v>0</v>
      </c>
      <c r="AI45" s="61">
        <f>IFERROR(VLOOKUP($A42,Sales!$A:AG,AI$2,0),0)</f>
        <v>0</v>
      </c>
      <c r="AJ45" s="61">
        <f>IFERROR(VLOOKUP($A42,Sales!$A:AH,AJ$2,0),0)</f>
        <v>0</v>
      </c>
      <c r="AK45" s="74">
        <f t="shared" ref="AK45:CC45" si="58">CEILING(AK$5*$B41,1)</f>
        <v>0</v>
      </c>
      <c r="AL45" s="74">
        <f t="shared" si="58"/>
        <v>0</v>
      </c>
      <c r="AM45" s="74">
        <f t="shared" si="58"/>
        <v>0</v>
      </c>
      <c r="AN45" s="74">
        <f t="shared" si="58"/>
        <v>0</v>
      </c>
      <c r="AO45" s="74">
        <f t="shared" si="58"/>
        <v>0</v>
      </c>
      <c r="AP45" s="74">
        <f t="shared" si="58"/>
        <v>0</v>
      </c>
      <c r="AQ45" s="74">
        <f t="shared" si="58"/>
        <v>0</v>
      </c>
      <c r="AR45" s="74">
        <f t="shared" si="58"/>
        <v>0</v>
      </c>
      <c r="AS45" s="74">
        <f t="shared" si="58"/>
        <v>0</v>
      </c>
      <c r="AT45" s="74">
        <f t="shared" si="58"/>
        <v>0</v>
      </c>
      <c r="AU45" s="74">
        <f t="shared" si="58"/>
        <v>0</v>
      </c>
      <c r="AV45" s="74">
        <f t="shared" si="58"/>
        <v>0</v>
      </c>
      <c r="AW45" s="74">
        <f t="shared" si="58"/>
        <v>0</v>
      </c>
      <c r="AX45" s="74">
        <f t="shared" si="58"/>
        <v>0</v>
      </c>
      <c r="AY45" s="74">
        <f t="shared" si="58"/>
        <v>0</v>
      </c>
      <c r="AZ45" s="74">
        <f t="shared" si="58"/>
        <v>0</v>
      </c>
      <c r="BA45" s="74">
        <f t="shared" si="58"/>
        <v>0</v>
      </c>
      <c r="BB45" s="74">
        <f t="shared" si="58"/>
        <v>0</v>
      </c>
      <c r="BC45" s="74">
        <f t="shared" si="58"/>
        <v>0</v>
      </c>
      <c r="BD45" s="74">
        <f t="shared" si="58"/>
        <v>0</v>
      </c>
      <c r="BE45" s="74">
        <f t="shared" si="58"/>
        <v>0</v>
      </c>
      <c r="BF45" s="74">
        <f t="shared" si="58"/>
        <v>0</v>
      </c>
      <c r="BG45" s="74">
        <f t="shared" si="58"/>
        <v>0</v>
      </c>
      <c r="BH45" s="74">
        <f t="shared" si="58"/>
        <v>0</v>
      </c>
      <c r="BI45" s="74">
        <f t="shared" si="58"/>
        <v>0</v>
      </c>
      <c r="BJ45" s="74">
        <f t="shared" si="58"/>
        <v>0</v>
      </c>
      <c r="BK45" s="74">
        <f t="shared" si="58"/>
        <v>0</v>
      </c>
      <c r="BL45" s="74">
        <f t="shared" si="58"/>
        <v>0</v>
      </c>
      <c r="BM45" s="74">
        <f t="shared" si="58"/>
        <v>0</v>
      </c>
      <c r="BN45" s="74">
        <f t="shared" si="58"/>
        <v>0</v>
      </c>
      <c r="BO45" s="74">
        <f t="shared" si="58"/>
        <v>0</v>
      </c>
      <c r="BP45" s="74">
        <f t="shared" si="58"/>
        <v>0</v>
      </c>
      <c r="BQ45" s="74">
        <f t="shared" si="58"/>
        <v>0</v>
      </c>
      <c r="BR45" s="74">
        <f t="shared" si="58"/>
        <v>0</v>
      </c>
      <c r="BS45" s="74">
        <f t="shared" si="58"/>
        <v>0</v>
      </c>
      <c r="BT45" s="74">
        <f t="shared" si="58"/>
        <v>0</v>
      </c>
      <c r="BU45" s="74">
        <f t="shared" si="58"/>
        <v>0</v>
      </c>
      <c r="BV45" s="74">
        <f t="shared" si="58"/>
        <v>0</v>
      </c>
      <c r="BW45" s="74">
        <f t="shared" si="58"/>
        <v>0</v>
      </c>
      <c r="BX45" s="74">
        <f t="shared" si="58"/>
        <v>0</v>
      </c>
      <c r="BY45" s="74">
        <f t="shared" si="58"/>
        <v>0</v>
      </c>
      <c r="BZ45" s="74">
        <f t="shared" si="58"/>
        <v>0</v>
      </c>
      <c r="CA45" s="74">
        <f t="shared" si="58"/>
        <v>0</v>
      </c>
      <c r="CB45" s="74">
        <f t="shared" si="58"/>
        <v>0</v>
      </c>
      <c r="CC45" s="74">
        <f t="shared" si="58"/>
        <v>0</v>
      </c>
    </row>
    <row r="46" spans="1:81" hidden="1" x14ac:dyDescent="0.2">
      <c r="A46" s="5" t="s">
        <v>214</v>
      </c>
      <c r="B46" s="5">
        <v>5.8000000000000003E-2</v>
      </c>
      <c r="C46" s="46" t="s">
        <v>215</v>
      </c>
      <c r="D46" s="11">
        <f t="shared" ref="D46:AI46" si="59">IF(D45=0,0, ROUND(D42 * 1/D45* D$13,1))</f>
        <v>0</v>
      </c>
      <c r="E46" s="11">
        <f t="shared" si="59"/>
        <v>0</v>
      </c>
      <c r="F46" s="11">
        <f t="shared" si="59"/>
        <v>0</v>
      </c>
      <c r="G46" s="11">
        <f t="shared" si="59"/>
        <v>0</v>
      </c>
      <c r="H46" s="11">
        <f t="shared" si="59"/>
        <v>0</v>
      </c>
      <c r="I46" s="11">
        <f t="shared" si="59"/>
        <v>0</v>
      </c>
      <c r="J46" s="11">
        <f t="shared" si="59"/>
        <v>0</v>
      </c>
      <c r="K46" s="11">
        <f t="shared" si="59"/>
        <v>0</v>
      </c>
      <c r="L46" s="11">
        <f t="shared" si="59"/>
        <v>0</v>
      </c>
      <c r="M46" s="11">
        <f t="shared" si="59"/>
        <v>0</v>
      </c>
      <c r="N46" s="11">
        <f t="shared" si="59"/>
        <v>0</v>
      </c>
      <c r="O46" s="11">
        <f t="shared" si="59"/>
        <v>0</v>
      </c>
      <c r="P46" s="11">
        <f t="shared" si="59"/>
        <v>0</v>
      </c>
      <c r="Q46" s="11">
        <f t="shared" si="59"/>
        <v>0</v>
      </c>
      <c r="R46" s="11">
        <f t="shared" si="59"/>
        <v>0</v>
      </c>
      <c r="S46" s="11">
        <f t="shared" si="59"/>
        <v>0</v>
      </c>
      <c r="T46" s="11">
        <f t="shared" si="59"/>
        <v>0</v>
      </c>
      <c r="U46" s="11">
        <f t="shared" si="59"/>
        <v>0</v>
      </c>
      <c r="V46" s="11">
        <f t="shared" si="59"/>
        <v>0</v>
      </c>
      <c r="W46" s="11">
        <f t="shared" si="59"/>
        <v>0</v>
      </c>
      <c r="X46" s="11">
        <f t="shared" si="59"/>
        <v>0</v>
      </c>
      <c r="Y46" s="11">
        <f t="shared" si="59"/>
        <v>0</v>
      </c>
      <c r="Z46" s="11">
        <f t="shared" si="59"/>
        <v>0</v>
      </c>
      <c r="AA46" s="11">
        <f t="shared" si="59"/>
        <v>0</v>
      </c>
      <c r="AB46" s="11">
        <f t="shared" si="59"/>
        <v>0</v>
      </c>
      <c r="AC46" s="11">
        <f t="shared" si="59"/>
        <v>0</v>
      </c>
      <c r="AD46" s="11">
        <f t="shared" si="59"/>
        <v>0</v>
      </c>
      <c r="AE46" s="11">
        <f t="shared" si="59"/>
        <v>0</v>
      </c>
      <c r="AF46" s="11">
        <f t="shared" si="59"/>
        <v>0</v>
      </c>
      <c r="AG46" s="11">
        <f t="shared" si="59"/>
        <v>0</v>
      </c>
      <c r="AH46" s="11">
        <f t="shared" si="59"/>
        <v>0</v>
      </c>
      <c r="AI46" s="11">
        <f t="shared" si="59"/>
        <v>0</v>
      </c>
      <c r="AJ46" s="11">
        <f t="shared" ref="AJ46:BO46" si="60">IF(AJ45=0,0, ROUND(AJ42 * 1/AJ45* AJ$13,1))</f>
        <v>0</v>
      </c>
      <c r="AK46" s="11">
        <f t="shared" si="60"/>
        <v>0</v>
      </c>
      <c r="AL46" s="11">
        <f t="shared" si="60"/>
        <v>0</v>
      </c>
      <c r="AM46" s="11">
        <f t="shared" si="60"/>
        <v>0</v>
      </c>
      <c r="AN46" s="11">
        <f t="shared" si="60"/>
        <v>0</v>
      </c>
      <c r="AO46" s="11">
        <f t="shared" si="60"/>
        <v>0</v>
      </c>
      <c r="AP46" s="11">
        <f t="shared" si="60"/>
        <v>0</v>
      </c>
      <c r="AQ46" s="11">
        <f t="shared" si="60"/>
        <v>0</v>
      </c>
      <c r="AR46" s="11">
        <f t="shared" si="60"/>
        <v>0</v>
      </c>
      <c r="AS46" s="11">
        <f t="shared" si="60"/>
        <v>0</v>
      </c>
      <c r="AT46" s="11">
        <f t="shared" si="60"/>
        <v>0</v>
      </c>
      <c r="AU46" s="11">
        <f t="shared" si="60"/>
        <v>0</v>
      </c>
      <c r="AV46" s="11">
        <f t="shared" si="60"/>
        <v>0</v>
      </c>
      <c r="AW46" s="11">
        <f t="shared" si="60"/>
        <v>0</v>
      </c>
      <c r="AX46" s="11">
        <f t="shared" si="60"/>
        <v>0</v>
      </c>
      <c r="AY46" s="11">
        <f t="shared" si="60"/>
        <v>0</v>
      </c>
      <c r="AZ46" s="11">
        <f t="shared" si="60"/>
        <v>0</v>
      </c>
      <c r="BA46" s="11">
        <f t="shared" si="60"/>
        <v>0</v>
      </c>
      <c r="BB46" s="11">
        <f t="shared" si="60"/>
        <v>0</v>
      </c>
      <c r="BC46" s="11">
        <f t="shared" si="60"/>
        <v>0</v>
      </c>
      <c r="BD46" s="11">
        <f t="shared" si="60"/>
        <v>0</v>
      </c>
      <c r="BE46" s="11">
        <f t="shared" si="60"/>
        <v>0</v>
      </c>
      <c r="BF46" s="11">
        <f t="shared" si="60"/>
        <v>0</v>
      </c>
      <c r="BG46" s="11">
        <f t="shared" si="60"/>
        <v>0</v>
      </c>
      <c r="BH46" s="11">
        <f t="shared" si="60"/>
        <v>0</v>
      </c>
      <c r="BI46" s="11">
        <f t="shared" si="60"/>
        <v>0</v>
      </c>
      <c r="BJ46" s="11">
        <f t="shared" si="60"/>
        <v>0</v>
      </c>
      <c r="BK46" s="11">
        <f t="shared" si="60"/>
        <v>0</v>
      </c>
      <c r="BL46" s="11">
        <f t="shared" si="60"/>
        <v>0</v>
      </c>
      <c r="BM46" s="11">
        <f t="shared" si="60"/>
        <v>0</v>
      </c>
      <c r="BN46" s="11">
        <f t="shared" si="60"/>
        <v>0</v>
      </c>
      <c r="BO46" s="11">
        <f t="shared" si="60"/>
        <v>0</v>
      </c>
      <c r="BP46" s="11">
        <f t="shared" ref="BP46:CC46" si="61">IF(BP45=0,0, ROUND(BP42 * 1/BP45* BP$13,1))</f>
        <v>0</v>
      </c>
      <c r="BQ46" s="11">
        <f t="shared" si="61"/>
        <v>0</v>
      </c>
      <c r="BR46" s="11">
        <f t="shared" si="61"/>
        <v>0</v>
      </c>
      <c r="BS46" s="11">
        <f t="shared" si="61"/>
        <v>0</v>
      </c>
      <c r="BT46" s="11">
        <f t="shared" si="61"/>
        <v>0</v>
      </c>
      <c r="BU46" s="11">
        <f t="shared" si="61"/>
        <v>0</v>
      </c>
      <c r="BV46" s="11">
        <f t="shared" si="61"/>
        <v>0</v>
      </c>
      <c r="BW46" s="11">
        <f t="shared" si="61"/>
        <v>0</v>
      </c>
      <c r="BX46" s="11">
        <f t="shared" si="61"/>
        <v>0</v>
      </c>
      <c r="BY46" s="11">
        <f t="shared" si="61"/>
        <v>0</v>
      </c>
      <c r="BZ46" s="11">
        <f t="shared" si="61"/>
        <v>0</v>
      </c>
      <c r="CA46" s="11">
        <f t="shared" si="61"/>
        <v>0</v>
      </c>
      <c r="CB46" s="11">
        <f t="shared" si="61"/>
        <v>0</v>
      </c>
      <c r="CC46" s="11">
        <f t="shared" si="61"/>
        <v>0</v>
      </c>
    </row>
    <row r="47" spans="1:81" hidden="1" x14ac:dyDescent="0.2">
      <c r="A47">
        <v>5</v>
      </c>
      <c r="B47">
        <v>50</v>
      </c>
      <c r="C47" s="8">
        <v>1.0042500000000001</v>
      </c>
      <c r="D47">
        <f t="shared" ref="D47:AI47" si="62">D44/$B47</f>
        <v>0</v>
      </c>
      <c r="E47">
        <f t="shared" si="62"/>
        <v>0</v>
      </c>
      <c r="F47">
        <f t="shared" si="62"/>
        <v>0</v>
      </c>
      <c r="G47">
        <f t="shared" si="62"/>
        <v>0</v>
      </c>
      <c r="H47">
        <f t="shared" si="62"/>
        <v>0</v>
      </c>
      <c r="I47">
        <f t="shared" si="62"/>
        <v>0</v>
      </c>
      <c r="J47">
        <f t="shared" si="62"/>
        <v>0</v>
      </c>
      <c r="K47">
        <f t="shared" si="62"/>
        <v>0</v>
      </c>
      <c r="L47">
        <f t="shared" si="62"/>
        <v>0</v>
      </c>
      <c r="M47">
        <f t="shared" si="62"/>
        <v>0</v>
      </c>
      <c r="N47">
        <f t="shared" si="62"/>
        <v>0</v>
      </c>
      <c r="O47">
        <f t="shared" si="62"/>
        <v>0</v>
      </c>
      <c r="P47">
        <f t="shared" si="62"/>
        <v>0</v>
      </c>
      <c r="Q47">
        <f t="shared" si="62"/>
        <v>0</v>
      </c>
      <c r="R47">
        <f t="shared" si="62"/>
        <v>0</v>
      </c>
      <c r="S47">
        <f t="shared" si="62"/>
        <v>0</v>
      </c>
      <c r="T47">
        <f t="shared" si="62"/>
        <v>0</v>
      </c>
      <c r="U47">
        <f t="shared" si="62"/>
        <v>0</v>
      </c>
      <c r="V47">
        <f t="shared" si="62"/>
        <v>0</v>
      </c>
      <c r="W47">
        <f t="shared" si="62"/>
        <v>0</v>
      </c>
      <c r="X47">
        <f t="shared" si="62"/>
        <v>0</v>
      </c>
      <c r="Y47">
        <f t="shared" si="62"/>
        <v>0</v>
      </c>
      <c r="Z47">
        <f t="shared" si="62"/>
        <v>0</v>
      </c>
      <c r="AA47">
        <f t="shared" si="62"/>
        <v>0</v>
      </c>
      <c r="AB47">
        <f t="shared" si="62"/>
        <v>0</v>
      </c>
      <c r="AC47">
        <f t="shared" si="62"/>
        <v>0</v>
      </c>
      <c r="AD47">
        <f t="shared" si="62"/>
        <v>0</v>
      </c>
      <c r="AE47">
        <f t="shared" si="62"/>
        <v>0</v>
      </c>
      <c r="AF47">
        <f t="shared" si="62"/>
        <v>0</v>
      </c>
      <c r="AG47">
        <f t="shared" si="62"/>
        <v>0</v>
      </c>
      <c r="AH47">
        <f t="shared" si="62"/>
        <v>0</v>
      </c>
      <c r="AI47">
        <f t="shared" si="62"/>
        <v>0</v>
      </c>
      <c r="AJ47">
        <f t="shared" ref="AJ47:BO47" si="63">AJ44/$B47</f>
        <v>0</v>
      </c>
      <c r="AK47">
        <f t="shared" si="63"/>
        <v>0</v>
      </c>
      <c r="AL47">
        <f t="shared" si="63"/>
        <v>0</v>
      </c>
      <c r="AM47">
        <f t="shared" si="63"/>
        <v>0</v>
      </c>
      <c r="AN47">
        <f t="shared" si="63"/>
        <v>0</v>
      </c>
      <c r="AO47">
        <f t="shared" si="63"/>
        <v>0</v>
      </c>
      <c r="AP47">
        <f t="shared" si="63"/>
        <v>0</v>
      </c>
      <c r="AQ47">
        <f t="shared" si="63"/>
        <v>0</v>
      </c>
      <c r="AR47">
        <f t="shared" si="63"/>
        <v>0</v>
      </c>
      <c r="AS47">
        <f t="shared" si="63"/>
        <v>0</v>
      </c>
      <c r="AT47">
        <f t="shared" si="63"/>
        <v>0</v>
      </c>
      <c r="AU47">
        <f t="shared" si="63"/>
        <v>0</v>
      </c>
      <c r="AV47">
        <f t="shared" si="63"/>
        <v>0</v>
      </c>
      <c r="AW47">
        <f t="shared" si="63"/>
        <v>0</v>
      </c>
      <c r="AX47">
        <f t="shared" si="63"/>
        <v>0</v>
      </c>
      <c r="AY47">
        <f t="shared" si="63"/>
        <v>0</v>
      </c>
      <c r="AZ47">
        <f t="shared" si="63"/>
        <v>0</v>
      </c>
      <c r="BA47">
        <f t="shared" si="63"/>
        <v>0</v>
      </c>
      <c r="BB47">
        <f t="shared" si="63"/>
        <v>0</v>
      </c>
      <c r="BC47">
        <f t="shared" si="63"/>
        <v>0</v>
      </c>
      <c r="BD47">
        <f t="shared" si="63"/>
        <v>0</v>
      </c>
      <c r="BE47">
        <f t="shared" si="63"/>
        <v>0</v>
      </c>
      <c r="BF47">
        <f t="shared" si="63"/>
        <v>0</v>
      </c>
      <c r="BG47">
        <f t="shared" si="63"/>
        <v>0</v>
      </c>
      <c r="BH47">
        <f t="shared" si="63"/>
        <v>0</v>
      </c>
      <c r="BI47">
        <f t="shared" si="63"/>
        <v>0</v>
      </c>
      <c r="BJ47">
        <f t="shared" si="63"/>
        <v>0</v>
      </c>
      <c r="BK47">
        <f t="shared" si="63"/>
        <v>0</v>
      </c>
      <c r="BL47">
        <f t="shared" si="63"/>
        <v>0</v>
      </c>
      <c r="BM47">
        <f t="shared" si="63"/>
        <v>0</v>
      </c>
      <c r="BN47">
        <f t="shared" si="63"/>
        <v>0</v>
      </c>
      <c r="BO47">
        <f t="shared" si="63"/>
        <v>0</v>
      </c>
      <c r="BP47">
        <f t="shared" ref="BP47:CC47" si="64">BP44/$B47</f>
        <v>0</v>
      </c>
      <c r="BQ47">
        <f t="shared" si="64"/>
        <v>0</v>
      </c>
      <c r="BR47">
        <f t="shared" si="64"/>
        <v>0</v>
      </c>
      <c r="BS47">
        <f t="shared" si="64"/>
        <v>0</v>
      </c>
      <c r="BT47">
        <f t="shared" si="64"/>
        <v>0</v>
      </c>
      <c r="BU47">
        <f t="shared" si="64"/>
        <v>0</v>
      </c>
      <c r="BV47">
        <f t="shared" si="64"/>
        <v>0</v>
      </c>
      <c r="BW47">
        <f t="shared" si="64"/>
        <v>0</v>
      </c>
      <c r="BX47">
        <f t="shared" si="64"/>
        <v>0</v>
      </c>
      <c r="BY47">
        <f t="shared" si="64"/>
        <v>0</v>
      </c>
      <c r="BZ47">
        <f t="shared" si="64"/>
        <v>0</v>
      </c>
      <c r="CA47">
        <f t="shared" si="64"/>
        <v>0</v>
      </c>
      <c r="CB47">
        <f t="shared" si="64"/>
        <v>0</v>
      </c>
      <c r="CC47">
        <f t="shared" si="64"/>
        <v>0</v>
      </c>
    </row>
    <row r="48" spans="1:81" hidden="1" x14ac:dyDescent="0.2">
      <c r="B48" s="67">
        <f>SUM(D52:AJ52)/SUM($D$67:$AJ$67)</f>
        <v>0</v>
      </c>
      <c r="C48" s="9" t="s">
        <v>216</v>
      </c>
      <c r="D48">
        <f t="shared" ref="D48:AI48" si="65">D42-D45</f>
        <v>0</v>
      </c>
      <c r="E48">
        <f t="shared" si="65"/>
        <v>0</v>
      </c>
      <c r="F48">
        <f t="shared" si="65"/>
        <v>0</v>
      </c>
      <c r="G48">
        <f t="shared" si="65"/>
        <v>0</v>
      </c>
      <c r="H48">
        <f t="shared" si="65"/>
        <v>0</v>
      </c>
      <c r="I48">
        <f t="shared" si="65"/>
        <v>0</v>
      </c>
      <c r="J48">
        <f t="shared" si="65"/>
        <v>0</v>
      </c>
      <c r="K48">
        <f t="shared" si="65"/>
        <v>0</v>
      </c>
      <c r="L48">
        <f t="shared" si="65"/>
        <v>0</v>
      </c>
      <c r="M48">
        <f t="shared" si="65"/>
        <v>0</v>
      </c>
      <c r="N48">
        <f t="shared" si="65"/>
        <v>0</v>
      </c>
      <c r="O48">
        <f t="shared" si="65"/>
        <v>0</v>
      </c>
      <c r="P48">
        <f t="shared" si="65"/>
        <v>0</v>
      </c>
      <c r="Q48">
        <f t="shared" si="65"/>
        <v>0</v>
      </c>
      <c r="R48">
        <f t="shared" si="65"/>
        <v>0</v>
      </c>
      <c r="S48">
        <f t="shared" si="65"/>
        <v>0</v>
      </c>
      <c r="T48">
        <f t="shared" si="65"/>
        <v>0</v>
      </c>
      <c r="U48">
        <f t="shared" si="65"/>
        <v>0</v>
      </c>
      <c r="V48">
        <f t="shared" si="65"/>
        <v>0</v>
      </c>
      <c r="W48">
        <f t="shared" si="65"/>
        <v>0</v>
      </c>
      <c r="X48">
        <f t="shared" si="65"/>
        <v>0</v>
      </c>
      <c r="Y48">
        <f t="shared" si="65"/>
        <v>0</v>
      </c>
      <c r="Z48">
        <f t="shared" si="65"/>
        <v>0</v>
      </c>
      <c r="AA48">
        <f t="shared" si="65"/>
        <v>0</v>
      </c>
      <c r="AB48">
        <f t="shared" si="65"/>
        <v>0</v>
      </c>
      <c r="AC48">
        <f t="shared" si="65"/>
        <v>0</v>
      </c>
      <c r="AD48">
        <f t="shared" si="65"/>
        <v>0</v>
      </c>
      <c r="AE48">
        <f t="shared" si="65"/>
        <v>0</v>
      </c>
      <c r="AF48">
        <f t="shared" si="65"/>
        <v>0</v>
      </c>
      <c r="AG48">
        <f t="shared" si="65"/>
        <v>0</v>
      </c>
      <c r="AH48">
        <f t="shared" si="65"/>
        <v>0</v>
      </c>
      <c r="AI48">
        <f t="shared" si="65"/>
        <v>0</v>
      </c>
      <c r="AJ48">
        <f t="shared" ref="AJ48:BO48" si="66">AJ42-AJ45</f>
        <v>0</v>
      </c>
      <c r="AK48">
        <f t="shared" si="66"/>
        <v>0</v>
      </c>
      <c r="AL48">
        <f t="shared" si="66"/>
        <v>0</v>
      </c>
      <c r="AM48">
        <f t="shared" si="66"/>
        <v>0</v>
      </c>
      <c r="AN48">
        <f t="shared" si="66"/>
        <v>0</v>
      </c>
      <c r="AO48">
        <f t="shared" si="66"/>
        <v>0</v>
      </c>
      <c r="AP48">
        <f t="shared" si="66"/>
        <v>0</v>
      </c>
      <c r="AQ48">
        <f t="shared" si="66"/>
        <v>0</v>
      </c>
      <c r="AR48">
        <f t="shared" si="66"/>
        <v>0</v>
      </c>
      <c r="AS48">
        <f t="shared" si="66"/>
        <v>0</v>
      </c>
      <c r="AT48">
        <f t="shared" si="66"/>
        <v>0</v>
      </c>
      <c r="AU48">
        <f t="shared" si="66"/>
        <v>0</v>
      </c>
      <c r="AV48">
        <f t="shared" si="66"/>
        <v>0</v>
      </c>
      <c r="AW48">
        <f t="shared" si="66"/>
        <v>0</v>
      </c>
      <c r="AX48">
        <f t="shared" si="66"/>
        <v>0</v>
      </c>
      <c r="AY48">
        <f t="shared" si="66"/>
        <v>0</v>
      </c>
      <c r="AZ48">
        <f t="shared" si="66"/>
        <v>0</v>
      </c>
      <c r="BA48">
        <f t="shared" si="66"/>
        <v>0</v>
      </c>
      <c r="BB48">
        <f t="shared" si="66"/>
        <v>0</v>
      </c>
      <c r="BC48">
        <f t="shared" si="66"/>
        <v>0</v>
      </c>
      <c r="BD48">
        <f t="shared" si="66"/>
        <v>0</v>
      </c>
      <c r="BE48">
        <f t="shared" si="66"/>
        <v>0</v>
      </c>
      <c r="BF48">
        <f t="shared" si="66"/>
        <v>0</v>
      </c>
      <c r="BG48">
        <f t="shared" si="66"/>
        <v>0</v>
      </c>
      <c r="BH48">
        <f t="shared" si="66"/>
        <v>0</v>
      </c>
      <c r="BI48">
        <f t="shared" si="66"/>
        <v>0</v>
      </c>
      <c r="BJ48">
        <f t="shared" si="66"/>
        <v>0</v>
      </c>
      <c r="BK48">
        <f t="shared" si="66"/>
        <v>0</v>
      </c>
      <c r="BL48">
        <f t="shared" si="66"/>
        <v>0</v>
      </c>
      <c r="BM48">
        <f t="shared" si="66"/>
        <v>0</v>
      </c>
      <c r="BN48">
        <f t="shared" si="66"/>
        <v>0</v>
      </c>
      <c r="BO48">
        <f t="shared" si="66"/>
        <v>0</v>
      </c>
      <c r="BP48">
        <f t="shared" ref="BP48:CC48" si="67">BP42-BP45</f>
        <v>0</v>
      </c>
      <c r="BQ48">
        <f t="shared" si="67"/>
        <v>0</v>
      </c>
      <c r="BR48">
        <f t="shared" si="67"/>
        <v>0</v>
      </c>
      <c r="BS48">
        <f t="shared" si="67"/>
        <v>0</v>
      </c>
      <c r="BT48">
        <f t="shared" si="67"/>
        <v>0</v>
      </c>
      <c r="BU48">
        <f t="shared" si="67"/>
        <v>0</v>
      </c>
      <c r="BV48">
        <f t="shared" si="67"/>
        <v>0</v>
      </c>
      <c r="BW48">
        <f t="shared" si="67"/>
        <v>0</v>
      </c>
      <c r="BX48">
        <f t="shared" si="67"/>
        <v>0</v>
      </c>
      <c r="BY48">
        <f t="shared" si="67"/>
        <v>0</v>
      </c>
      <c r="BZ48">
        <f t="shared" si="67"/>
        <v>0</v>
      </c>
      <c r="CA48">
        <f t="shared" si="67"/>
        <v>0</v>
      </c>
      <c r="CB48">
        <f t="shared" si="67"/>
        <v>0</v>
      </c>
      <c r="CC48">
        <f t="shared" si="67"/>
        <v>0</v>
      </c>
    </row>
    <row r="49" spans="1:81" hidden="1" x14ac:dyDescent="0.2">
      <c r="A49" s="43"/>
      <c r="B49" s="44" t="s">
        <v>208</v>
      </c>
      <c r="C49" s="9" t="s">
        <v>38</v>
      </c>
      <c r="D49" s="58">
        <f>IFERROR(VLOOKUP(A49,OS!$A:$B,2,0),0)</f>
        <v>0</v>
      </c>
      <c r="E49" s="5">
        <f>(D49+D50-D52)</f>
        <v>0</v>
      </c>
      <c r="F49" s="5">
        <f>(E49+E50-E52)</f>
        <v>0</v>
      </c>
      <c r="G49" s="5">
        <f>(F49+F50-F52)</f>
        <v>0</v>
      </c>
      <c r="H49" s="5">
        <f>(G49+G50-G52)</f>
        <v>0</v>
      </c>
      <c r="I49" s="5">
        <f t="shared" ref="I49:AN49" si="68">(H49+H50-H52+D51)</f>
        <v>0</v>
      </c>
      <c r="J49" s="5">
        <f t="shared" si="68"/>
        <v>0</v>
      </c>
      <c r="K49" s="5">
        <f t="shared" si="68"/>
        <v>0</v>
      </c>
      <c r="L49" s="5">
        <f t="shared" si="68"/>
        <v>0</v>
      </c>
      <c r="M49" s="5">
        <f t="shared" si="68"/>
        <v>0</v>
      </c>
      <c r="N49" s="5">
        <f t="shared" si="68"/>
        <v>0</v>
      </c>
      <c r="O49" s="5">
        <f t="shared" si="68"/>
        <v>0</v>
      </c>
      <c r="P49" s="5">
        <f t="shared" si="68"/>
        <v>0</v>
      </c>
      <c r="Q49" s="5">
        <f t="shared" si="68"/>
        <v>0</v>
      </c>
      <c r="R49" s="5">
        <f t="shared" si="68"/>
        <v>0</v>
      </c>
      <c r="S49" s="5">
        <f t="shared" si="68"/>
        <v>0</v>
      </c>
      <c r="T49" s="5">
        <f t="shared" si="68"/>
        <v>0</v>
      </c>
      <c r="U49" s="5">
        <f t="shared" si="68"/>
        <v>0</v>
      </c>
      <c r="V49" s="5">
        <f t="shared" si="68"/>
        <v>0</v>
      </c>
      <c r="W49" s="5">
        <f t="shared" si="68"/>
        <v>0</v>
      </c>
      <c r="X49" s="5">
        <f t="shared" si="68"/>
        <v>0</v>
      </c>
      <c r="Y49" s="5">
        <f t="shared" si="68"/>
        <v>0</v>
      </c>
      <c r="Z49" s="5">
        <f t="shared" si="68"/>
        <v>0</v>
      </c>
      <c r="AA49" s="5">
        <f t="shared" si="68"/>
        <v>0</v>
      </c>
      <c r="AB49" s="5">
        <f t="shared" si="68"/>
        <v>0</v>
      </c>
      <c r="AC49" s="5">
        <f t="shared" si="68"/>
        <v>0</v>
      </c>
      <c r="AD49" s="5">
        <f t="shared" si="68"/>
        <v>0</v>
      </c>
      <c r="AE49" s="5">
        <f t="shared" si="68"/>
        <v>0</v>
      </c>
      <c r="AF49" s="5">
        <f t="shared" si="68"/>
        <v>0</v>
      </c>
      <c r="AG49" s="5">
        <f t="shared" si="68"/>
        <v>0</v>
      </c>
      <c r="AH49" s="5">
        <f t="shared" si="68"/>
        <v>0</v>
      </c>
      <c r="AI49" s="5">
        <f t="shared" si="68"/>
        <v>0</v>
      </c>
      <c r="AJ49" s="5">
        <f t="shared" si="68"/>
        <v>0</v>
      </c>
      <c r="AK49" s="5">
        <f t="shared" si="68"/>
        <v>0</v>
      </c>
      <c r="AL49" s="5">
        <f t="shared" si="68"/>
        <v>0</v>
      </c>
      <c r="AM49" s="5">
        <f t="shared" si="68"/>
        <v>0</v>
      </c>
      <c r="AN49" s="5">
        <f t="shared" si="68"/>
        <v>0</v>
      </c>
      <c r="AO49" s="5">
        <f t="shared" ref="AO49:BT49" si="69">(AN49+AN50-AN52+AJ51)</f>
        <v>0</v>
      </c>
      <c r="AP49" s="5">
        <f t="shared" si="69"/>
        <v>0</v>
      </c>
      <c r="AQ49" s="5">
        <f t="shared" si="69"/>
        <v>0</v>
      </c>
      <c r="AR49" s="5">
        <f t="shared" si="69"/>
        <v>0</v>
      </c>
      <c r="AS49" s="5">
        <f t="shared" si="69"/>
        <v>0</v>
      </c>
      <c r="AT49" s="5">
        <f t="shared" si="69"/>
        <v>0</v>
      </c>
      <c r="AU49" s="5">
        <f t="shared" si="69"/>
        <v>0</v>
      </c>
      <c r="AV49" s="5">
        <f t="shared" si="69"/>
        <v>0</v>
      </c>
      <c r="AW49" s="5">
        <f t="shared" si="69"/>
        <v>0</v>
      </c>
      <c r="AX49" s="5">
        <f t="shared" si="69"/>
        <v>0</v>
      </c>
      <c r="AY49" s="5">
        <f t="shared" si="69"/>
        <v>0</v>
      </c>
      <c r="AZ49" s="5">
        <f t="shared" si="69"/>
        <v>0</v>
      </c>
      <c r="BA49" s="5">
        <f t="shared" si="69"/>
        <v>0</v>
      </c>
      <c r="BB49" s="5">
        <f t="shared" si="69"/>
        <v>0</v>
      </c>
      <c r="BC49" s="5">
        <f t="shared" si="69"/>
        <v>0</v>
      </c>
      <c r="BD49" s="5">
        <f t="shared" si="69"/>
        <v>0</v>
      </c>
      <c r="BE49" s="5">
        <f t="shared" si="69"/>
        <v>0</v>
      </c>
      <c r="BF49" s="5">
        <f t="shared" si="69"/>
        <v>0</v>
      </c>
      <c r="BG49" s="5">
        <f t="shared" si="69"/>
        <v>0</v>
      </c>
      <c r="BH49" s="5">
        <f t="shared" si="69"/>
        <v>0</v>
      </c>
      <c r="BI49" s="5">
        <f t="shared" si="69"/>
        <v>0</v>
      </c>
      <c r="BJ49" s="5">
        <f t="shared" si="69"/>
        <v>0</v>
      </c>
      <c r="BK49" s="5">
        <f t="shared" si="69"/>
        <v>0</v>
      </c>
      <c r="BL49" s="5">
        <f t="shared" si="69"/>
        <v>0</v>
      </c>
      <c r="BM49" s="5">
        <f t="shared" si="69"/>
        <v>0</v>
      </c>
      <c r="BN49" s="5">
        <f t="shared" si="69"/>
        <v>0</v>
      </c>
      <c r="BO49" s="5">
        <f t="shared" si="69"/>
        <v>0</v>
      </c>
      <c r="BP49" s="5">
        <f t="shared" si="69"/>
        <v>0</v>
      </c>
      <c r="BQ49" s="5">
        <f t="shared" si="69"/>
        <v>0</v>
      </c>
      <c r="BR49" s="5">
        <f t="shared" si="69"/>
        <v>0</v>
      </c>
      <c r="BS49" s="5">
        <f t="shared" si="69"/>
        <v>0</v>
      </c>
      <c r="BT49" s="5">
        <f t="shared" si="69"/>
        <v>0</v>
      </c>
      <c r="BU49" s="5">
        <f t="shared" ref="BU49:CC49" si="70">(BT49+BT50-BT52+BP51)</f>
        <v>0</v>
      </c>
      <c r="BV49" s="5">
        <f t="shared" si="70"/>
        <v>0</v>
      </c>
      <c r="BW49" s="5">
        <f t="shared" si="70"/>
        <v>0</v>
      </c>
      <c r="BX49" s="5">
        <f t="shared" si="70"/>
        <v>0</v>
      </c>
      <c r="BY49" s="5">
        <f t="shared" si="70"/>
        <v>0</v>
      </c>
      <c r="BZ49" s="5">
        <f t="shared" si="70"/>
        <v>0</v>
      </c>
      <c r="CA49" s="5">
        <f t="shared" si="70"/>
        <v>0</v>
      </c>
      <c r="CB49" s="5">
        <f t="shared" si="70"/>
        <v>0</v>
      </c>
      <c r="CC49" s="5">
        <f t="shared" si="70"/>
        <v>0</v>
      </c>
    </row>
    <row r="50" spans="1:81" hidden="1" x14ac:dyDescent="0.2">
      <c r="A50" s="5" t="s">
        <v>209</v>
      </c>
      <c r="B50" s="5">
        <v>1.3775500000000001</v>
      </c>
      <c r="C50" s="45" t="s">
        <v>39</v>
      </c>
      <c r="D50" s="59">
        <f>IFERROR(VLOOKUP(A49,WIP!$A:$B,2,0),0)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 hidden="1" x14ac:dyDescent="0.2">
      <c r="A51" s="5" t="s">
        <v>210</v>
      </c>
      <c r="B51" s="5">
        <v>5.5E-2</v>
      </c>
      <c r="C51" s="9" t="s">
        <v>211</v>
      </c>
      <c r="D51" s="60">
        <f>IFERROR(VLOOKUP($A49,Plan!$A:B,D$4,0),0)</f>
        <v>0</v>
      </c>
      <c r="E51" s="60">
        <f>IFERROR(VLOOKUP($A49,Plan!$A:C,E$4,0),0)</f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1" hidden="1" x14ac:dyDescent="0.2">
      <c r="A52" s="5" t="s">
        <v>212</v>
      </c>
      <c r="B52" s="5">
        <v>3.0000000000000001E-3</v>
      </c>
      <c r="C52" s="9" t="s">
        <v>213</v>
      </c>
      <c r="D52" s="61">
        <f>IFERROR(VLOOKUP($A49,Sales!$A:B,D$2,0),0)</f>
        <v>0</v>
      </c>
      <c r="E52" s="61">
        <f>IFERROR(VLOOKUP($A49,Sales!$A:C,E$2,0),0)</f>
        <v>0</v>
      </c>
      <c r="F52" s="61">
        <f>IFERROR(VLOOKUP($A49,Sales!$A:D,F$2,0),0)</f>
        <v>0</v>
      </c>
      <c r="G52" s="61">
        <f>IFERROR(VLOOKUP($A49,Sales!$A:E,G$2,0),0)</f>
        <v>0</v>
      </c>
      <c r="H52" s="61">
        <f>IFERROR(VLOOKUP($A49,Sales!$A:F,H$2,0),0)</f>
        <v>0</v>
      </c>
      <c r="I52" s="61">
        <f>IFERROR(VLOOKUP($A49,Sales!$A:G,I$2,0),0)</f>
        <v>0</v>
      </c>
      <c r="J52" s="61">
        <f>IFERROR(VLOOKUP($A49,Sales!$A:H,J$2,0),0)</f>
        <v>0</v>
      </c>
      <c r="K52" s="61">
        <f>IFERROR(VLOOKUP($A49,Sales!$A:I,K$2,0),0)</f>
        <v>0</v>
      </c>
      <c r="L52" s="61">
        <f>IFERROR(VLOOKUP($A49,Sales!$A:J,L$2,0),0)</f>
        <v>0</v>
      </c>
      <c r="M52" s="61">
        <f>IFERROR(VLOOKUP($A49,Sales!$A:K,M$2,0),0)</f>
        <v>0</v>
      </c>
      <c r="N52" s="61">
        <f>IFERROR(VLOOKUP($A49,Sales!$A:L,N$2,0),0)</f>
        <v>0</v>
      </c>
      <c r="O52" s="61">
        <f>IFERROR(VLOOKUP($A49,Sales!$A:M,O$2,0),0)</f>
        <v>0</v>
      </c>
      <c r="P52" s="61">
        <f>IFERROR(VLOOKUP($A49,Sales!$A:N,P$2,0),0)</f>
        <v>0</v>
      </c>
      <c r="Q52" s="61">
        <f>IFERROR(VLOOKUP($A49,Sales!$A:O,Q$2,0),0)</f>
        <v>0</v>
      </c>
      <c r="R52" s="61">
        <f>IFERROR(VLOOKUP($A49,Sales!$A:P,R$2,0),0)</f>
        <v>0</v>
      </c>
      <c r="S52" s="61">
        <f>IFERROR(VLOOKUP($A49,Sales!$A:Q,S$2,0),0)</f>
        <v>0</v>
      </c>
      <c r="T52" s="61">
        <f>IFERROR(VLOOKUP($A49,Sales!$A:R,T$2,0),0)</f>
        <v>0</v>
      </c>
      <c r="U52" s="61">
        <f>IFERROR(VLOOKUP($A49,Sales!$A:S,U$2,0),0)</f>
        <v>0</v>
      </c>
      <c r="V52" s="61">
        <f>IFERROR(VLOOKUP($A49,Sales!$A:T,V$2,0),0)</f>
        <v>0</v>
      </c>
      <c r="W52" s="61">
        <f>IFERROR(VLOOKUP($A49,Sales!$A:U,W$2,0),0)</f>
        <v>0</v>
      </c>
      <c r="X52" s="61">
        <f>IFERROR(VLOOKUP($A49,Sales!$A:V,X$2,0),0)</f>
        <v>0</v>
      </c>
      <c r="Y52" s="61">
        <f>IFERROR(VLOOKUP($A49,Sales!$A:W,Y$2,0),0)</f>
        <v>0</v>
      </c>
      <c r="Z52" s="61">
        <f>IFERROR(VLOOKUP($A49,Sales!$A:X,Z$2,0),0)</f>
        <v>0</v>
      </c>
      <c r="AA52" s="61">
        <f>IFERROR(VLOOKUP($A49,Sales!$A:Y,AA$2,0),0)</f>
        <v>0</v>
      </c>
      <c r="AB52" s="61">
        <f>IFERROR(VLOOKUP($A49,Sales!$A:Z,AB$2,0),0)</f>
        <v>0</v>
      </c>
      <c r="AC52" s="61">
        <f>IFERROR(VLOOKUP($A49,Sales!$A:AA,AC$2,0),0)</f>
        <v>0</v>
      </c>
      <c r="AD52" s="61">
        <f>IFERROR(VLOOKUP($A49,Sales!$A:AB,AD$2,0),0)</f>
        <v>0</v>
      </c>
      <c r="AE52" s="61">
        <f>IFERROR(VLOOKUP($A49,Sales!$A:AC,AE$2,0),0)</f>
        <v>0</v>
      </c>
      <c r="AF52" s="61">
        <f>IFERROR(VLOOKUP($A49,Sales!$A:AD,AF$2,0),0)</f>
        <v>0</v>
      </c>
      <c r="AG52" s="61">
        <f>IFERROR(VLOOKUP($A49,Sales!$A:AE,AG$2,0),0)</f>
        <v>0</v>
      </c>
      <c r="AH52" s="61">
        <f>IFERROR(VLOOKUP($A49,Sales!$A:AF,AH$2,0),0)</f>
        <v>0</v>
      </c>
      <c r="AI52" s="61">
        <f>IFERROR(VLOOKUP($A49,Sales!$A:AG,AI$2,0),0)</f>
        <v>0</v>
      </c>
      <c r="AJ52" s="61">
        <f>IFERROR(VLOOKUP($A49,Sales!$A:AH,AJ$2,0),0)</f>
        <v>0</v>
      </c>
      <c r="AK52" s="74">
        <f t="shared" ref="AK52:CC52" si="71">CEILING(AK$5*$B48,1)</f>
        <v>0</v>
      </c>
      <c r="AL52" s="74">
        <f t="shared" si="71"/>
        <v>0</v>
      </c>
      <c r="AM52" s="74">
        <f t="shared" si="71"/>
        <v>0</v>
      </c>
      <c r="AN52" s="74">
        <f t="shared" si="71"/>
        <v>0</v>
      </c>
      <c r="AO52" s="74">
        <f t="shared" si="71"/>
        <v>0</v>
      </c>
      <c r="AP52" s="74">
        <f t="shared" si="71"/>
        <v>0</v>
      </c>
      <c r="AQ52" s="74">
        <f t="shared" si="71"/>
        <v>0</v>
      </c>
      <c r="AR52" s="74">
        <f t="shared" si="71"/>
        <v>0</v>
      </c>
      <c r="AS52" s="74">
        <f t="shared" si="71"/>
        <v>0</v>
      </c>
      <c r="AT52" s="74">
        <f t="shared" si="71"/>
        <v>0</v>
      </c>
      <c r="AU52" s="74">
        <f t="shared" si="71"/>
        <v>0</v>
      </c>
      <c r="AV52" s="74">
        <f t="shared" si="71"/>
        <v>0</v>
      </c>
      <c r="AW52" s="74">
        <f t="shared" si="71"/>
        <v>0</v>
      </c>
      <c r="AX52" s="74">
        <f t="shared" si="71"/>
        <v>0</v>
      </c>
      <c r="AY52" s="74">
        <f t="shared" si="71"/>
        <v>0</v>
      </c>
      <c r="AZ52" s="74">
        <f t="shared" si="71"/>
        <v>0</v>
      </c>
      <c r="BA52" s="74">
        <f t="shared" si="71"/>
        <v>0</v>
      </c>
      <c r="BB52" s="74">
        <f t="shared" si="71"/>
        <v>0</v>
      </c>
      <c r="BC52" s="74">
        <f t="shared" si="71"/>
        <v>0</v>
      </c>
      <c r="BD52" s="74">
        <f t="shared" si="71"/>
        <v>0</v>
      </c>
      <c r="BE52" s="74">
        <f t="shared" si="71"/>
        <v>0</v>
      </c>
      <c r="BF52" s="74">
        <f t="shared" si="71"/>
        <v>0</v>
      </c>
      <c r="BG52" s="74">
        <f t="shared" si="71"/>
        <v>0</v>
      </c>
      <c r="BH52" s="74">
        <f t="shared" si="71"/>
        <v>0</v>
      </c>
      <c r="BI52" s="74">
        <f t="shared" si="71"/>
        <v>0</v>
      </c>
      <c r="BJ52" s="74">
        <f t="shared" si="71"/>
        <v>0</v>
      </c>
      <c r="BK52" s="74">
        <f t="shared" si="71"/>
        <v>0</v>
      </c>
      <c r="BL52" s="74">
        <f t="shared" si="71"/>
        <v>0</v>
      </c>
      <c r="BM52" s="74">
        <f t="shared" si="71"/>
        <v>0</v>
      </c>
      <c r="BN52" s="74">
        <f t="shared" si="71"/>
        <v>0</v>
      </c>
      <c r="BO52" s="74">
        <f t="shared" si="71"/>
        <v>0</v>
      </c>
      <c r="BP52" s="74">
        <f t="shared" si="71"/>
        <v>0</v>
      </c>
      <c r="BQ52" s="74">
        <f t="shared" si="71"/>
        <v>0</v>
      </c>
      <c r="BR52" s="74">
        <f t="shared" si="71"/>
        <v>0</v>
      </c>
      <c r="BS52" s="74">
        <f t="shared" si="71"/>
        <v>0</v>
      </c>
      <c r="BT52" s="74">
        <f t="shared" si="71"/>
        <v>0</v>
      </c>
      <c r="BU52" s="74">
        <f t="shared" si="71"/>
        <v>0</v>
      </c>
      <c r="BV52" s="74">
        <f t="shared" si="71"/>
        <v>0</v>
      </c>
      <c r="BW52" s="74">
        <f t="shared" si="71"/>
        <v>0</v>
      </c>
      <c r="BX52" s="74">
        <f t="shared" si="71"/>
        <v>0</v>
      </c>
      <c r="BY52" s="74">
        <f t="shared" si="71"/>
        <v>0</v>
      </c>
      <c r="BZ52" s="74">
        <f t="shared" si="71"/>
        <v>0</v>
      </c>
      <c r="CA52" s="74">
        <f t="shared" si="71"/>
        <v>0</v>
      </c>
      <c r="CB52" s="74">
        <f t="shared" si="71"/>
        <v>0</v>
      </c>
      <c r="CC52" s="74">
        <f t="shared" si="71"/>
        <v>0</v>
      </c>
    </row>
    <row r="53" spans="1:81" hidden="1" x14ac:dyDescent="0.2">
      <c r="A53" s="5" t="s">
        <v>214</v>
      </c>
      <c r="B53" s="5">
        <v>5.8000000000000003E-2</v>
      </c>
      <c r="C53" s="46" t="s">
        <v>215</v>
      </c>
      <c r="D53" s="11">
        <f t="shared" ref="D53:AI53" si="72">IF(D52=0,0, ROUND(D49 * 1/D52* D$13,1))</f>
        <v>0</v>
      </c>
      <c r="E53" s="11">
        <f t="shared" si="72"/>
        <v>0</v>
      </c>
      <c r="F53" s="11">
        <f t="shared" si="72"/>
        <v>0</v>
      </c>
      <c r="G53" s="11">
        <f t="shared" si="72"/>
        <v>0</v>
      </c>
      <c r="H53" s="11">
        <f t="shared" si="72"/>
        <v>0</v>
      </c>
      <c r="I53" s="11">
        <f t="shared" si="72"/>
        <v>0</v>
      </c>
      <c r="J53" s="11">
        <f t="shared" si="72"/>
        <v>0</v>
      </c>
      <c r="K53" s="11">
        <f t="shared" si="72"/>
        <v>0</v>
      </c>
      <c r="L53" s="11">
        <f t="shared" si="72"/>
        <v>0</v>
      </c>
      <c r="M53" s="11">
        <f t="shared" si="72"/>
        <v>0</v>
      </c>
      <c r="N53" s="11">
        <f t="shared" si="72"/>
        <v>0</v>
      </c>
      <c r="O53" s="11">
        <f t="shared" si="72"/>
        <v>0</v>
      </c>
      <c r="P53" s="11">
        <f t="shared" si="72"/>
        <v>0</v>
      </c>
      <c r="Q53" s="11">
        <f t="shared" si="72"/>
        <v>0</v>
      </c>
      <c r="R53" s="11">
        <f t="shared" si="72"/>
        <v>0</v>
      </c>
      <c r="S53" s="11">
        <f t="shared" si="72"/>
        <v>0</v>
      </c>
      <c r="T53" s="11">
        <f t="shared" si="72"/>
        <v>0</v>
      </c>
      <c r="U53" s="11">
        <f t="shared" si="72"/>
        <v>0</v>
      </c>
      <c r="V53" s="11">
        <f t="shared" si="72"/>
        <v>0</v>
      </c>
      <c r="W53" s="11">
        <f t="shared" si="72"/>
        <v>0</v>
      </c>
      <c r="X53" s="11">
        <f t="shared" si="72"/>
        <v>0</v>
      </c>
      <c r="Y53" s="11">
        <f t="shared" si="72"/>
        <v>0</v>
      </c>
      <c r="Z53" s="11">
        <f t="shared" si="72"/>
        <v>0</v>
      </c>
      <c r="AA53" s="11">
        <f t="shared" si="72"/>
        <v>0</v>
      </c>
      <c r="AB53" s="11">
        <f t="shared" si="72"/>
        <v>0</v>
      </c>
      <c r="AC53" s="11">
        <f t="shared" si="72"/>
        <v>0</v>
      </c>
      <c r="AD53" s="11">
        <f t="shared" si="72"/>
        <v>0</v>
      </c>
      <c r="AE53" s="11">
        <f t="shared" si="72"/>
        <v>0</v>
      </c>
      <c r="AF53" s="11">
        <f t="shared" si="72"/>
        <v>0</v>
      </c>
      <c r="AG53" s="11">
        <f t="shared" si="72"/>
        <v>0</v>
      </c>
      <c r="AH53" s="11">
        <f t="shared" si="72"/>
        <v>0</v>
      </c>
      <c r="AI53" s="11">
        <f t="shared" si="72"/>
        <v>0</v>
      </c>
      <c r="AJ53" s="11">
        <f t="shared" ref="AJ53:BO53" si="73">IF(AJ52=0,0, ROUND(AJ49 * 1/AJ52* AJ$13,1))</f>
        <v>0</v>
      </c>
      <c r="AK53" s="11">
        <f t="shared" si="73"/>
        <v>0</v>
      </c>
      <c r="AL53" s="11">
        <f t="shared" si="73"/>
        <v>0</v>
      </c>
      <c r="AM53" s="11">
        <f t="shared" si="73"/>
        <v>0</v>
      </c>
      <c r="AN53" s="11">
        <f t="shared" si="73"/>
        <v>0</v>
      </c>
      <c r="AO53" s="11">
        <f t="shared" si="73"/>
        <v>0</v>
      </c>
      <c r="AP53" s="11">
        <f t="shared" si="73"/>
        <v>0</v>
      </c>
      <c r="AQ53" s="11">
        <f t="shared" si="73"/>
        <v>0</v>
      </c>
      <c r="AR53" s="11">
        <f t="shared" si="73"/>
        <v>0</v>
      </c>
      <c r="AS53" s="11">
        <f t="shared" si="73"/>
        <v>0</v>
      </c>
      <c r="AT53" s="11">
        <f t="shared" si="73"/>
        <v>0</v>
      </c>
      <c r="AU53" s="11">
        <f t="shared" si="73"/>
        <v>0</v>
      </c>
      <c r="AV53" s="11">
        <f t="shared" si="73"/>
        <v>0</v>
      </c>
      <c r="AW53" s="11">
        <f t="shared" si="73"/>
        <v>0</v>
      </c>
      <c r="AX53" s="11">
        <f t="shared" si="73"/>
        <v>0</v>
      </c>
      <c r="AY53" s="11">
        <f t="shared" si="73"/>
        <v>0</v>
      </c>
      <c r="AZ53" s="11">
        <f t="shared" si="73"/>
        <v>0</v>
      </c>
      <c r="BA53" s="11">
        <f t="shared" si="73"/>
        <v>0</v>
      </c>
      <c r="BB53" s="11">
        <f t="shared" si="73"/>
        <v>0</v>
      </c>
      <c r="BC53" s="11">
        <f t="shared" si="73"/>
        <v>0</v>
      </c>
      <c r="BD53" s="11">
        <f t="shared" si="73"/>
        <v>0</v>
      </c>
      <c r="BE53" s="11">
        <f t="shared" si="73"/>
        <v>0</v>
      </c>
      <c r="BF53" s="11">
        <f t="shared" si="73"/>
        <v>0</v>
      </c>
      <c r="BG53" s="11">
        <f t="shared" si="73"/>
        <v>0</v>
      </c>
      <c r="BH53" s="11">
        <f t="shared" si="73"/>
        <v>0</v>
      </c>
      <c r="BI53" s="11">
        <f t="shared" si="73"/>
        <v>0</v>
      </c>
      <c r="BJ53" s="11">
        <f t="shared" si="73"/>
        <v>0</v>
      </c>
      <c r="BK53" s="11">
        <f t="shared" si="73"/>
        <v>0</v>
      </c>
      <c r="BL53" s="11">
        <f t="shared" si="73"/>
        <v>0</v>
      </c>
      <c r="BM53" s="11">
        <f t="shared" si="73"/>
        <v>0</v>
      </c>
      <c r="BN53" s="11">
        <f t="shared" si="73"/>
        <v>0</v>
      </c>
      <c r="BO53" s="11">
        <f t="shared" si="73"/>
        <v>0</v>
      </c>
      <c r="BP53" s="11">
        <f t="shared" ref="BP53:CC53" si="74">IF(BP52=0,0, ROUND(BP49 * 1/BP52* BP$13,1))</f>
        <v>0</v>
      </c>
      <c r="BQ53" s="11">
        <f t="shared" si="74"/>
        <v>0</v>
      </c>
      <c r="BR53" s="11">
        <f t="shared" si="74"/>
        <v>0</v>
      </c>
      <c r="BS53" s="11">
        <f t="shared" si="74"/>
        <v>0</v>
      </c>
      <c r="BT53" s="11">
        <f t="shared" si="74"/>
        <v>0</v>
      </c>
      <c r="BU53" s="11">
        <f t="shared" si="74"/>
        <v>0</v>
      </c>
      <c r="BV53" s="11">
        <f t="shared" si="74"/>
        <v>0</v>
      </c>
      <c r="BW53" s="11">
        <f t="shared" si="74"/>
        <v>0</v>
      </c>
      <c r="BX53" s="11">
        <f t="shared" si="74"/>
        <v>0</v>
      </c>
      <c r="BY53" s="11">
        <f t="shared" si="74"/>
        <v>0</v>
      </c>
      <c r="BZ53" s="11">
        <f t="shared" si="74"/>
        <v>0</v>
      </c>
      <c r="CA53" s="11">
        <f t="shared" si="74"/>
        <v>0</v>
      </c>
      <c r="CB53" s="11">
        <f t="shared" si="74"/>
        <v>0</v>
      </c>
      <c r="CC53" s="11">
        <f t="shared" si="74"/>
        <v>0</v>
      </c>
    </row>
    <row r="54" spans="1:81" hidden="1" x14ac:dyDescent="0.2">
      <c r="A54">
        <v>5</v>
      </c>
      <c r="B54">
        <v>50</v>
      </c>
      <c r="C54" s="8">
        <v>1.0042500000000001</v>
      </c>
      <c r="D54">
        <f t="shared" ref="D54:AI54" si="75">D51/$B54</f>
        <v>0</v>
      </c>
      <c r="E54">
        <f t="shared" si="75"/>
        <v>0</v>
      </c>
      <c r="F54">
        <f t="shared" si="75"/>
        <v>0</v>
      </c>
      <c r="G54">
        <f t="shared" si="75"/>
        <v>0</v>
      </c>
      <c r="H54">
        <f t="shared" si="75"/>
        <v>0</v>
      </c>
      <c r="I54">
        <f t="shared" si="75"/>
        <v>0</v>
      </c>
      <c r="J54">
        <f t="shared" si="75"/>
        <v>0</v>
      </c>
      <c r="K54">
        <f t="shared" si="75"/>
        <v>0</v>
      </c>
      <c r="L54">
        <f t="shared" si="75"/>
        <v>0</v>
      </c>
      <c r="M54">
        <f t="shared" si="75"/>
        <v>0</v>
      </c>
      <c r="N54">
        <f t="shared" si="75"/>
        <v>0</v>
      </c>
      <c r="O54">
        <f t="shared" si="75"/>
        <v>0</v>
      </c>
      <c r="P54">
        <f t="shared" si="75"/>
        <v>0</v>
      </c>
      <c r="Q54">
        <f t="shared" si="75"/>
        <v>0</v>
      </c>
      <c r="R54">
        <f t="shared" si="75"/>
        <v>0</v>
      </c>
      <c r="S54">
        <f t="shared" si="75"/>
        <v>0</v>
      </c>
      <c r="T54">
        <f t="shared" si="75"/>
        <v>0</v>
      </c>
      <c r="U54">
        <f t="shared" si="75"/>
        <v>0</v>
      </c>
      <c r="V54">
        <f t="shared" si="75"/>
        <v>0</v>
      </c>
      <c r="W54">
        <f t="shared" si="75"/>
        <v>0</v>
      </c>
      <c r="X54">
        <f t="shared" si="75"/>
        <v>0</v>
      </c>
      <c r="Y54">
        <f t="shared" si="75"/>
        <v>0</v>
      </c>
      <c r="Z54">
        <f t="shared" si="75"/>
        <v>0</v>
      </c>
      <c r="AA54">
        <f t="shared" si="75"/>
        <v>0</v>
      </c>
      <c r="AB54">
        <f t="shared" si="75"/>
        <v>0</v>
      </c>
      <c r="AC54">
        <f t="shared" si="75"/>
        <v>0</v>
      </c>
      <c r="AD54">
        <f t="shared" si="75"/>
        <v>0</v>
      </c>
      <c r="AE54">
        <f t="shared" si="75"/>
        <v>0</v>
      </c>
      <c r="AF54">
        <f t="shared" si="75"/>
        <v>0</v>
      </c>
      <c r="AG54">
        <f t="shared" si="75"/>
        <v>0</v>
      </c>
      <c r="AH54">
        <f t="shared" si="75"/>
        <v>0</v>
      </c>
      <c r="AI54">
        <f t="shared" si="75"/>
        <v>0</v>
      </c>
      <c r="AJ54">
        <f t="shared" ref="AJ54:BO54" si="76">AJ51/$B54</f>
        <v>0</v>
      </c>
      <c r="AK54">
        <f t="shared" si="76"/>
        <v>0</v>
      </c>
      <c r="AL54">
        <f t="shared" si="76"/>
        <v>0</v>
      </c>
      <c r="AM54">
        <f t="shared" si="76"/>
        <v>0</v>
      </c>
      <c r="AN54">
        <f t="shared" si="76"/>
        <v>0</v>
      </c>
      <c r="AO54">
        <f t="shared" si="76"/>
        <v>0</v>
      </c>
      <c r="AP54">
        <f t="shared" si="76"/>
        <v>0</v>
      </c>
      <c r="AQ54">
        <f t="shared" si="76"/>
        <v>0</v>
      </c>
      <c r="AR54">
        <f t="shared" si="76"/>
        <v>0</v>
      </c>
      <c r="AS54">
        <f t="shared" si="76"/>
        <v>0</v>
      </c>
      <c r="AT54">
        <f t="shared" si="76"/>
        <v>0</v>
      </c>
      <c r="AU54">
        <f t="shared" si="76"/>
        <v>0</v>
      </c>
      <c r="AV54">
        <f t="shared" si="76"/>
        <v>0</v>
      </c>
      <c r="AW54">
        <f t="shared" si="76"/>
        <v>0</v>
      </c>
      <c r="AX54">
        <f t="shared" si="76"/>
        <v>0</v>
      </c>
      <c r="AY54">
        <f t="shared" si="76"/>
        <v>0</v>
      </c>
      <c r="AZ54">
        <f t="shared" si="76"/>
        <v>0</v>
      </c>
      <c r="BA54">
        <f t="shared" si="76"/>
        <v>0</v>
      </c>
      <c r="BB54">
        <f t="shared" si="76"/>
        <v>0</v>
      </c>
      <c r="BC54">
        <f t="shared" si="76"/>
        <v>0</v>
      </c>
      <c r="BD54">
        <f t="shared" si="76"/>
        <v>0</v>
      </c>
      <c r="BE54">
        <f t="shared" si="76"/>
        <v>0</v>
      </c>
      <c r="BF54">
        <f t="shared" si="76"/>
        <v>0</v>
      </c>
      <c r="BG54">
        <f t="shared" si="76"/>
        <v>0</v>
      </c>
      <c r="BH54">
        <f t="shared" si="76"/>
        <v>0</v>
      </c>
      <c r="BI54">
        <f t="shared" si="76"/>
        <v>0</v>
      </c>
      <c r="BJ54">
        <f t="shared" si="76"/>
        <v>0</v>
      </c>
      <c r="BK54">
        <f t="shared" si="76"/>
        <v>0</v>
      </c>
      <c r="BL54">
        <f t="shared" si="76"/>
        <v>0</v>
      </c>
      <c r="BM54">
        <f t="shared" si="76"/>
        <v>0</v>
      </c>
      <c r="BN54">
        <f t="shared" si="76"/>
        <v>0</v>
      </c>
      <c r="BO54">
        <f t="shared" si="76"/>
        <v>0</v>
      </c>
      <c r="BP54">
        <f t="shared" ref="BP54:CC54" si="77">BP51/$B54</f>
        <v>0</v>
      </c>
      <c r="BQ54">
        <f t="shared" si="77"/>
        <v>0</v>
      </c>
      <c r="BR54">
        <f t="shared" si="77"/>
        <v>0</v>
      </c>
      <c r="BS54">
        <f t="shared" si="77"/>
        <v>0</v>
      </c>
      <c r="BT54">
        <f t="shared" si="77"/>
        <v>0</v>
      </c>
      <c r="BU54">
        <f t="shared" si="77"/>
        <v>0</v>
      </c>
      <c r="BV54">
        <f t="shared" si="77"/>
        <v>0</v>
      </c>
      <c r="BW54">
        <f t="shared" si="77"/>
        <v>0</v>
      </c>
      <c r="BX54">
        <f t="shared" si="77"/>
        <v>0</v>
      </c>
      <c r="BY54">
        <f t="shared" si="77"/>
        <v>0</v>
      </c>
      <c r="BZ54">
        <f t="shared" si="77"/>
        <v>0</v>
      </c>
      <c r="CA54">
        <f t="shared" si="77"/>
        <v>0</v>
      </c>
      <c r="CB54">
        <f t="shared" si="77"/>
        <v>0</v>
      </c>
      <c r="CC54">
        <f t="shared" si="77"/>
        <v>0</v>
      </c>
    </row>
    <row r="55" spans="1:81" hidden="1" x14ac:dyDescent="0.2">
      <c r="B55" s="67">
        <f>SUM(D59:AJ59)/SUM($D$67:$AJ$67)</f>
        <v>1</v>
      </c>
      <c r="C55" s="9" t="s">
        <v>216</v>
      </c>
      <c r="D55">
        <f t="shared" ref="D55:AI55" si="78">D49-D52</f>
        <v>0</v>
      </c>
      <c r="E55">
        <f t="shared" si="78"/>
        <v>0</v>
      </c>
      <c r="F55">
        <f t="shared" si="78"/>
        <v>0</v>
      </c>
      <c r="G55">
        <f t="shared" si="78"/>
        <v>0</v>
      </c>
      <c r="H55">
        <f t="shared" si="78"/>
        <v>0</v>
      </c>
      <c r="I55">
        <f t="shared" si="78"/>
        <v>0</v>
      </c>
      <c r="J55">
        <f t="shared" si="78"/>
        <v>0</v>
      </c>
      <c r="K55">
        <f t="shared" si="78"/>
        <v>0</v>
      </c>
      <c r="L55">
        <f t="shared" si="78"/>
        <v>0</v>
      </c>
      <c r="M55">
        <f t="shared" si="78"/>
        <v>0</v>
      </c>
      <c r="N55">
        <f t="shared" si="78"/>
        <v>0</v>
      </c>
      <c r="O55">
        <f t="shared" si="78"/>
        <v>0</v>
      </c>
      <c r="P55">
        <f t="shared" si="78"/>
        <v>0</v>
      </c>
      <c r="Q55">
        <f t="shared" si="78"/>
        <v>0</v>
      </c>
      <c r="R55">
        <f t="shared" si="78"/>
        <v>0</v>
      </c>
      <c r="S55">
        <f t="shared" si="78"/>
        <v>0</v>
      </c>
      <c r="T55">
        <f t="shared" si="78"/>
        <v>0</v>
      </c>
      <c r="U55">
        <f t="shared" si="78"/>
        <v>0</v>
      </c>
      <c r="V55">
        <f t="shared" si="78"/>
        <v>0</v>
      </c>
      <c r="W55">
        <f t="shared" si="78"/>
        <v>0</v>
      </c>
      <c r="X55">
        <f t="shared" si="78"/>
        <v>0</v>
      </c>
      <c r="Y55">
        <f t="shared" si="78"/>
        <v>0</v>
      </c>
      <c r="Z55">
        <f t="shared" si="78"/>
        <v>0</v>
      </c>
      <c r="AA55">
        <f t="shared" si="78"/>
        <v>0</v>
      </c>
      <c r="AB55">
        <f t="shared" si="78"/>
        <v>0</v>
      </c>
      <c r="AC55">
        <f t="shared" si="78"/>
        <v>0</v>
      </c>
      <c r="AD55">
        <f t="shared" si="78"/>
        <v>0</v>
      </c>
      <c r="AE55">
        <f t="shared" si="78"/>
        <v>0</v>
      </c>
      <c r="AF55">
        <f t="shared" si="78"/>
        <v>0</v>
      </c>
      <c r="AG55">
        <f t="shared" si="78"/>
        <v>0</v>
      </c>
      <c r="AH55">
        <f t="shared" si="78"/>
        <v>0</v>
      </c>
      <c r="AI55">
        <f t="shared" si="78"/>
        <v>0</v>
      </c>
      <c r="AJ55">
        <f t="shared" ref="AJ55:BO55" si="79">AJ49-AJ52</f>
        <v>0</v>
      </c>
      <c r="AK55">
        <f t="shared" si="79"/>
        <v>0</v>
      </c>
      <c r="AL55">
        <f t="shared" si="79"/>
        <v>0</v>
      </c>
      <c r="AM55">
        <f t="shared" si="79"/>
        <v>0</v>
      </c>
      <c r="AN55">
        <f t="shared" si="79"/>
        <v>0</v>
      </c>
      <c r="AO55">
        <f t="shared" si="79"/>
        <v>0</v>
      </c>
      <c r="AP55">
        <f t="shared" si="79"/>
        <v>0</v>
      </c>
      <c r="AQ55">
        <f t="shared" si="79"/>
        <v>0</v>
      </c>
      <c r="AR55">
        <f t="shared" si="79"/>
        <v>0</v>
      </c>
      <c r="AS55">
        <f t="shared" si="79"/>
        <v>0</v>
      </c>
      <c r="AT55">
        <f t="shared" si="79"/>
        <v>0</v>
      </c>
      <c r="AU55">
        <f t="shared" si="79"/>
        <v>0</v>
      </c>
      <c r="AV55">
        <f t="shared" si="79"/>
        <v>0</v>
      </c>
      <c r="AW55">
        <f t="shared" si="79"/>
        <v>0</v>
      </c>
      <c r="AX55">
        <f t="shared" si="79"/>
        <v>0</v>
      </c>
      <c r="AY55">
        <f t="shared" si="79"/>
        <v>0</v>
      </c>
      <c r="AZ55">
        <f t="shared" si="79"/>
        <v>0</v>
      </c>
      <c r="BA55">
        <f t="shared" si="79"/>
        <v>0</v>
      </c>
      <c r="BB55">
        <f t="shared" si="79"/>
        <v>0</v>
      </c>
      <c r="BC55">
        <f t="shared" si="79"/>
        <v>0</v>
      </c>
      <c r="BD55">
        <f t="shared" si="79"/>
        <v>0</v>
      </c>
      <c r="BE55">
        <f t="shared" si="79"/>
        <v>0</v>
      </c>
      <c r="BF55">
        <f t="shared" si="79"/>
        <v>0</v>
      </c>
      <c r="BG55">
        <f t="shared" si="79"/>
        <v>0</v>
      </c>
      <c r="BH55">
        <f t="shared" si="79"/>
        <v>0</v>
      </c>
      <c r="BI55">
        <f t="shared" si="79"/>
        <v>0</v>
      </c>
      <c r="BJ55">
        <f t="shared" si="79"/>
        <v>0</v>
      </c>
      <c r="BK55">
        <f t="shared" si="79"/>
        <v>0</v>
      </c>
      <c r="BL55">
        <f t="shared" si="79"/>
        <v>0</v>
      </c>
      <c r="BM55">
        <f t="shared" si="79"/>
        <v>0</v>
      </c>
      <c r="BN55">
        <f t="shared" si="79"/>
        <v>0</v>
      </c>
      <c r="BO55">
        <f t="shared" si="79"/>
        <v>0</v>
      </c>
      <c r="BP55">
        <f t="shared" ref="BP55:CC55" si="80">BP49-BP52</f>
        <v>0</v>
      </c>
      <c r="BQ55">
        <f t="shared" si="80"/>
        <v>0</v>
      </c>
      <c r="BR55">
        <f t="shared" si="80"/>
        <v>0</v>
      </c>
      <c r="BS55">
        <f t="shared" si="80"/>
        <v>0</v>
      </c>
      <c r="BT55">
        <f t="shared" si="80"/>
        <v>0</v>
      </c>
      <c r="BU55">
        <f t="shared" si="80"/>
        <v>0</v>
      </c>
      <c r="BV55">
        <f t="shared" si="80"/>
        <v>0</v>
      </c>
      <c r="BW55">
        <f t="shared" si="80"/>
        <v>0</v>
      </c>
      <c r="BX55">
        <f t="shared" si="80"/>
        <v>0</v>
      </c>
      <c r="BY55">
        <f t="shared" si="80"/>
        <v>0</v>
      </c>
      <c r="BZ55">
        <f t="shared" si="80"/>
        <v>0</v>
      </c>
      <c r="CA55">
        <f t="shared" si="80"/>
        <v>0</v>
      </c>
      <c r="CB55">
        <f t="shared" si="80"/>
        <v>0</v>
      </c>
      <c r="CC55">
        <f t="shared" si="80"/>
        <v>0</v>
      </c>
    </row>
    <row r="56" spans="1:81" x14ac:dyDescent="0.2">
      <c r="A56" s="43" t="s">
        <v>336</v>
      </c>
      <c r="B56" s="44" t="s">
        <v>208</v>
      </c>
      <c r="C56" s="9" t="s">
        <v>38</v>
      </c>
      <c r="D56" s="58">
        <f>IFERROR(VLOOKUP(A56,OS!$A:$B,2,0),0)</f>
        <v>21240</v>
      </c>
      <c r="E56" s="5">
        <f>(D56+D57-D59)</f>
        <v>27360</v>
      </c>
      <c r="F56" s="5">
        <f>(E56+E57-E59)</f>
        <v>22560</v>
      </c>
      <c r="G56" s="5">
        <f>(F56+F57-F59)</f>
        <v>17760</v>
      </c>
      <c r="H56" s="5">
        <f>(G56+G57-G59)</f>
        <v>13920</v>
      </c>
      <c r="I56" s="5">
        <f t="shared" ref="I56:AN56" si="81">(H56+H57-H59+D58)</f>
        <v>14520</v>
      </c>
      <c r="J56" s="5">
        <f t="shared" si="81"/>
        <v>14160</v>
      </c>
      <c r="K56" s="5">
        <f t="shared" si="81"/>
        <v>12540</v>
      </c>
      <c r="L56" s="5">
        <f t="shared" si="81"/>
        <v>7740</v>
      </c>
      <c r="M56" s="5">
        <f t="shared" si="81"/>
        <v>1980</v>
      </c>
      <c r="N56" s="5">
        <f t="shared" si="81"/>
        <v>-5700</v>
      </c>
      <c r="O56" s="5">
        <f t="shared" si="81"/>
        <v>-5700</v>
      </c>
      <c r="P56" s="5">
        <f t="shared" si="81"/>
        <v>-5700</v>
      </c>
      <c r="Q56" s="5">
        <f t="shared" si="81"/>
        <v>-5700</v>
      </c>
      <c r="R56" s="5">
        <f t="shared" si="81"/>
        <v>-5700</v>
      </c>
      <c r="S56" s="5">
        <f t="shared" si="81"/>
        <v>-9540</v>
      </c>
      <c r="T56" s="5">
        <f t="shared" si="81"/>
        <v>-13380</v>
      </c>
      <c r="U56" s="5">
        <f t="shared" si="81"/>
        <v>-17220</v>
      </c>
      <c r="V56" s="5">
        <f t="shared" si="81"/>
        <v>-21300</v>
      </c>
      <c r="W56" s="5">
        <f t="shared" si="81"/>
        <v>-25380</v>
      </c>
      <c r="X56" s="5">
        <f t="shared" si="81"/>
        <v>-29460</v>
      </c>
      <c r="Y56" s="5">
        <f t="shared" si="81"/>
        <v>-33540</v>
      </c>
      <c r="Z56" s="5">
        <f t="shared" si="81"/>
        <v>-36180</v>
      </c>
      <c r="AA56" s="5">
        <f t="shared" si="81"/>
        <v>-38820</v>
      </c>
      <c r="AB56" s="5">
        <f t="shared" si="81"/>
        <v>-41460</v>
      </c>
      <c r="AC56" s="5">
        <f t="shared" si="81"/>
        <v>-44100</v>
      </c>
      <c r="AD56" s="5">
        <f t="shared" si="81"/>
        <v>-47940</v>
      </c>
      <c r="AE56" s="5">
        <f t="shared" si="81"/>
        <v>-51780</v>
      </c>
      <c r="AF56" s="5">
        <f t="shared" si="81"/>
        <v>-55620</v>
      </c>
      <c r="AG56" s="5">
        <f t="shared" si="81"/>
        <v>-59460</v>
      </c>
      <c r="AH56" s="5">
        <f t="shared" si="81"/>
        <v>-63300</v>
      </c>
      <c r="AI56" s="5">
        <f t="shared" si="81"/>
        <v>-68100</v>
      </c>
      <c r="AJ56" s="5">
        <f t="shared" si="81"/>
        <v>-72900</v>
      </c>
      <c r="AK56" s="5">
        <f t="shared" si="81"/>
        <v>-72900</v>
      </c>
      <c r="AL56" s="5">
        <f t="shared" si="81"/>
        <v>-72900</v>
      </c>
      <c r="AM56" s="5">
        <f t="shared" si="81"/>
        <v>-72900</v>
      </c>
      <c r="AN56" s="5">
        <f t="shared" si="81"/>
        <v>-72900</v>
      </c>
      <c r="AO56" s="5">
        <f t="shared" ref="AO56:BT56" si="82">(AN56+AN57-AN59+AJ58)</f>
        <v>-76586</v>
      </c>
      <c r="AP56" s="5">
        <f t="shared" si="82"/>
        <v>-80272</v>
      </c>
      <c r="AQ56" s="5">
        <f t="shared" si="82"/>
        <v>-83958</v>
      </c>
      <c r="AR56" s="5">
        <f t="shared" si="82"/>
        <v>-88410</v>
      </c>
      <c r="AS56" s="5">
        <f t="shared" si="82"/>
        <v>-92862</v>
      </c>
      <c r="AT56" s="5">
        <f t="shared" si="82"/>
        <v>-96424</v>
      </c>
      <c r="AU56" s="5">
        <f t="shared" si="82"/>
        <v>-100876</v>
      </c>
      <c r="AV56" s="5">
        <f t="shared" si="82"/>
        <v>-105106</v>
      </c>
      <c r="AW56" s="5">
        <f t="shared" si="82"/>
        <v>-109336</v>
      </c>
      <c r="AX56" s="5">
        <f t="shared" si="82"/>
        <v>-113566</v>
      </c>
      <c r="AY56" s="5">
        <f t="shared" si="82"/>
        <v>-117796</v>
      </c>
      <c r="AZ56" s="5">
        <f t="shared" si="82"/>
        <v>-121180</v>
      </c>
      <c r="BA56" s="5">
        <f t="shared" si="82"/>
        <v>-124564</v>
      </c>
      <c r="BB56" s="5">
        <f t="shared" si="82"/>
        <v>-127948</v>
      </c>
      <c r="BC56" s="5">
        <f t="shared" si="82"/>
        <v>-131332</v>
      </c>
      <c r="BD56" s="5">
        <f t="shared" si="82"/>
        <v>-134716</v>
      </c>
      <c r="BE56" s="5">
        <f t="shared" si="82"/>
        <v>-138100</v>
      </c>
      <c r="BF56" s="5">
        <f t="shared" si="82"/>
        <v>-141484</v>
      </c>
      <c r="BG56" s="5">
        <f t="shared" si="82"/>
        <v>-144868</v>
      </c>
      <c r="BH56" s="5">
        <f t="shared" si="82"/>
        <v>-148252</v>
      </c>
      <c r="BI56" s="5">
        <f t="shared" si="82"/>
        <v>-151636</v>
      </c>
      <c r="BJ56" s="5">
        <f t="shared" si="82"/>
        <v>-155020</v>
      </c>
      <c r="BK56" s="5">
        <f t="shared" si="82"/>
        <v>-158404</v>
      </c>
      <c r="BL56" s="5">
        <f t="shared" si="82"/>
        <v>-161788</v>
      </c>
      <c r="BM56" s="5">
        <f t="shared" si="82"/>
        <v>-165153</v>
      </c>
      <c r="BN56" s="5">
        <f t="shared" si="82"/>
        <v>-168518</v>
      </c>
      <c r="BO56" s="5">
        <f t="shared" si="82"/>
        <v>-174660</v>
      </c>
      <c r="BP56" s="5">
        <f t="shared" si="82"/>
        <v>-174660</v>
      </c>
      <c r="BQ56" s="5">
        <f t="shared" si="82"/>
        <v>-174660</v>
      </c>
      <c r="BR56" s="5">
        <f t="shared" si="82"/>
        <v>-174660</v>
      </c>
      <c r="BS56" s="5">
        <f t="shared" si="82"/>
        <v>-174660</v>
      </c>
      <c r="BT56" s="5">
        <f t="shared" si="82"/>
        <v>-178025</v>
      </c>
      <c r="BU56" s="5">
        <f t="shared" ref="BU56:CC56" si="83">(BT56+BT57-BT59+BP58)</f>
        <v>-181390</v>
      </c>
      <c r="BV56" s="5">
        <f t="shared" si="83"/>
        <v>-184755</v>
      </c>
      <c r="BW56" s="5">
        <f t="shared" si="83"/>
        <v>-188120</v>
      </c>
      <c r="BX56" s="5">
        <f t="shared" si="83"/>
        <v>-191485</v>
      </c>
      <c r="BY56" s="5">
        <f t="shared" si="83"/>
        <v>-194850</v>
      </c>
      <c r="BZ56" s="5">
        <f t="shared" si="83"/>
        <v>-198215</v>
      </c>
      <c r="CA56" s="5">
        <f t="shared" si="83"/>
        <v>-201580</v>
      </c>
      <c r="CB56" s="5">
        <f t="shared" si="83"/>
        <v>-204945</v>
      </c>
      <c r="CC56" s="5">
        <f t="shared" si="83"/>
        <v>-208310</v>
      </c>
    </row>
    <row r="57" spans="1:81" x14ac:dyDescent="0.2">
      <c r="A57" s="5" t="s">
        <v>209</v>
      </c>
      <c r="B57" s="5">
        <v>1.23655</v>
      </c>
      <c r="C57" s="45" t="s">
        <v>39</v>
      </c>
      <c r="D57" s="59">
        <f>IFERROR(VLOOKUP(A56,WIP!$A:$B,2,0),0)</f>
        <v>6120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 x14ac:dyDescent="0.2">
      <c r="A58" s="5" t="s">
        <v>210</v>
      </c>
      <c r="B58" s="5">
        <v>0.04</v>
      </c>
      <c r="C58" s="9" t="s">
        <v>211</v>
      </c>
      <c r="D58" s="60">
        <f>IFERROR(VLOOKUP($A56,Plan!$A:B,D$4,0),0)</f>
        <v>4440</v>
      </c>
      <c r="E58" s="60">
        <f>IFERROR(VLOOKUP($A56,Plan!$A:C,E$4,0),0)</f>
        <v>4440</v>
      </c>
      <c r="F58" s="60">
        <f>IFERROR(VLOOKUP($A56,Plan!$A:D,F$4,0),0)</f>
        <v>2220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 x14ac:dyDescent="0.2">
      <c r="A59" s="5" t="s">
        <v>212</v>
      </c>
      <c r="B59" s="5">
        <v>5.0000000000000001E-3</v>
      </c>
      <c r="C59" s="9" t="s">
        <v>213</v>
      </c>
      <c r="D59" s="61">
        <f>IFERROR(VLOOKUP($A56,Sales!$A:B,D$2,0),0)</f>
        <v>0</v>
      </c>
      <c r="E59" s="61">
        <f>IFERROR(VLOOKUP($A56,Sales!$A:C,E$2,0),0)</f>
        <v>4800</v>
      </c>
      <c r="F59" s="61">
        <f>IFERROR(VLOOKUP($A56,Sales!$A:D,F$2,0),0)</f>
        <v>4800</v>
      </c>
      <c r="G59" s="61">
        <f>IFERROR(VLOOKUP($A56,Sales!$A:E,G$2,0),0)</f>
        <v>3840</v>
      </c>
      <c r="H59" s="61">
        <f>IFERROR(VLOOKUP($A56,Sales!$A:F,H$2,0),0)</f>
        <v>3840</v>
      </c>
      <c r="I59" s="61">
        <f>IFERROR(VLOOKUP($A56,Sales!$A:G,I$2,0),0)</f>
        <v>4800</v>
      </c>
      <c r="J59" s="61">
        <f>IFERROR(VLOOKUP($A56,Sales!$A:H,J$2,0),0)</f>
        <v>3840</v>
      </c>
      <c r="K59" s="61">
        <f>IFERROR(VLOOKUP($A56,Sales!$A:I,K$2,0),0)</f>
        <v>4800</v>
      </c>
      <c r="L59" s="61">
        <f>IFERROR(VLOOKUP($A56,Sales!$A:J,L$2,0),0)</f>
        <v>5760</v>
      </c>
      <c r="M59" s="61">
        <f>IFERROR(VLOOKUP($A56,Sales!$A:K,M$2,0),0)</f>
        <v>7680</v>
      </c>
      <c r="N59" s="61">
        <f>IFERROR(VLOOKUP($A56,Sales!$A:L,N$2,0),0)</f>
        <v>0</v>
      </c>
      <c r="O59" s="61">
        <f>IFERROR(VLOOKUP($A56,Sales!$A:M,O$2,0),0)</f>
        <v>0</v>
      </c>
      <c r="P59" s="61">
        <f>IFERROR(VLOOKUP($A56,Sales!$A:N,P$2,0),0)</f>
        <v>0</v>
      </c>
      <c r="Q59" s="61">
        <f>IFERROR(VLOOKUP($A56,Sales!$A:O,Q$2,0),0)</f>
        <v>0</v>
      </c>
      <c r="R59" s="61">
        <f>IFERROR(VLOOKUP($A56,Sales!$A:P,R$2,0),0)</f>
        <v>3840</v>
      </c>
      <c r="S59" s="61">
        <f>IFERROR(VLOOKUP($A56,Sales!$A:Q,S$2,0),0)</f>
        <v>3840</v>
      </c>
      <c r="T59" s="61">
        <f>IFERROR(VLOOKUP($A56,Sales!$A:R,T$2,0),0)</f>
        <v>3840</v>
      </c>
      <c r="U59" s="61">
        <f>IFERROR(VLOOKUP($A56,Sales!$A:S,U$2,0),0)</f>
        <v>4080</v>
      </c>
      <c r="V59" s="61">
        <f>IFERROR(VLOOKUP($A56,Sales!$A:T,V$2,0),0)</f>
        <v>4080</v>
      </c>
      <c r="W59" s="61">
        <f>IFERROR(VLOOKUP($A56,Sales!$A:U,W$2,0),0)</f>
        <v>4080</v>
      </c>
      <c r="X59" s="61">
        <f>IFERROR(VLOOKUP($A56,Sales!$A:V,X$2,0),0)</f>
        <v>4080</v>
      </c>
      <c r="Y59" s="61">
        <f>IFERROR(VLOOKUP($A56,Sales!$A:W,Y$2,0),0)</f>
        <v>2640</v>
      </c>
      <c r="Z59" s="61">
        <f>IFERROR(VLOOKUP($A56,Sales!$A:X,Z$2,0),0)</f>
        <v>2640</v>
      </c>
      <c r="AA59" s="61">
        <f>IFERROR(VLOOKUP($A56,Sales!$A:Y,AA$2,0),0)</f>
        <v>2640</v>
      </c>
      <c r="AB59" s="61">
        <f>IFERROR(VLOOKUP($A56,Sales!$A:Z,AB$2,0),0)</f>
        <v>2640</v>
      </c>
      <c r="AC59" s="61">
        <f>IFERROR(VLOOKUP($A56,Sales!$A:AA,AC$2,0),0)</f>
        <v>3840</v>
      </c>
      <c r="AD59" s="61">
        <f>IFERROR(VLOOKUP($A56,Sales!$A:AB,AD$2,0),0)</f>
        <v>3840</v>
      </c>
      <c r="AE59" s="61">
        <f>IFERROR(VLOOKUP($A56,Sales!$A:AC,AE$2,0),0)</f>
        <v>3840</v>
      </c>
      <c r="AF59" s="61">
        <f>IFERROR(VLOOKUP($A56,Sales!$A:AD,AF$2,0),0)</f>
        <v>3840</v>
      </c>
      <c r="AG59" s="61">
        <f>IFERROR(VLOOKUP($A56,Sales!$A:AE,AG$2,0),0)</f>
        <v>3840</v>
      </c>
      <c r="AH59" s="61">
        <f>IFERROR(VLOOKUP($A56,Sales!$A:AF,AH$2,0),0)</f>
        <v>4800</v>
      </c>
      <c r="AI59" s="61">
        <f>IFERROR(VLOOKUP($A56,Sales!$A:AG,AI$2,0),0)</f>
        <v>4800</v>
      </c>
      <c r="AJ59" s="61">
        <f>IFERROR(VLOOKUP($A56,Sales!$A:AH,AJ$2,0),0)</f>
        <v>0</v>
      </c>
      <c r="AK59" s="74">
        <f t="shared" ref="AK59:CC59" si="84">CEILING(AK$5*$B55,1)</f>
        <v>0</v>
      </c>
      <c r="AL59" s="74">
        <f t="shared" si="84"/>
        <v>0</v>
      </c>
      <c r="AM59" s="74">
        <f t="shared" si="84"/>
        <v>0</v>
      </c>
      <c r="AN59" s="74">
        <f t="shared" si="84"/>
        <v>3686</v>
      </c>
      <c r="AO59" s="74">
        <f t="shared" si="84"/>
        <v>3686</v>
      </c>
      <c r="AP59" s="74">
        <f t="shared" si="84"/>
        <v>3686</v>
      </c>
      <c r="AQ59" s="74">
        <f t="shared" si="84"/>
        <v>4452</v>
      </c>
      <c r="AR59" s="74">
        <f t="shared" si="84"/>
        <v>4452</v>
      </c>
      <c r="AS59" s="74">
        <f t="shared" si="84"/>
        <v>3562</v>
      </c>
      <c r="AT59" s="74">
        <f t="shared" si="84"/>
        <v>4452</v>
      </c>
      <c r="AU59" s="74">
        <f t="shared" si="84"/>
        <v>4230</v>
      </c>
      <c r="AV59" s="74">
        <f t="shared" si="84"/>
        <v>4230</v>
      </c>
      <c r="AW59" s="74">
        <f t="shared" si="84"/>
        <v>4230</v>
      </c>
      <c r="AX59" s="74">
        <f t="shared" si="84"/>
        <v>4230</v>
      </c>
      <c r="AY59" s="74">
        <f t="shared" si="84"/>
        <v>3384</v>
      </c>
      <c r="AZ59" s="74">
        <f t="shared" si="84"/>
        <v>3384</v>
      </c>
      <c r="BA59" s="74">
        <f t="shared" si="84"/>
        <v>3384</v>
      </c>
      <c r="BB59" s="74">
        <f t="shared" si="84"/>
        <v>3384</v>
      </c>
      <c r="BC59" s="74">
        <f t="shared" si="84"/>
        <v>3384</v>
      </c>
      <c r="BD59" s="74">
        <f t="shared" si="84"/>
        <v>3384</v>
      </c>
      <c r="BE59" s="74">
        <f t="shared" si="84"/>
        <v>3384</v>
      </c>
      <c r="BF59" s="74">
        <f t="shared" si="84"/>
        <v>3384</v>
      </c>
      <c r="BG59" s="74">
        <f t="shared" si="84"/>
        <v>3384</v>
      </c>
      <c r="BH59" s="74">
        <f t="shared" si="84"/>
        <v>3384</v>
      </c>
      <c r="BI59" s="74">
        <f t="shared" si="84"/>
        <v>3384</v>
      </c>
      <c r="BJ59" s="74">
        <f t="shared" si="84"/>
        <v>3384</v>
      </c>
      <c r="BK59" s="74">
        <f t="shared" si="84"/>
        <v>3384</v>
      </c>
      <c r="BL59" s="74">
        <f t="shared" si="84"/>
        <v>3365</v>
      </c>
      <c r="BM59" s="74">
        <f t="shared" si="84"/>
        <v>3365</v>
      </c>
      <c r="BN59" s="74">
        <f t="shared" si="84"/>
        <v>6142</v>
      </c>
      <c r="BO59" s="74">
        <f t="shared" si="84"/>
        <v>0</v>
      </c>
      <c r="BP59" s="74">
        <f t="shared" si="84"/>
        <v>0</v>
      </c>
      <c r="BQ59" s="74">
        <f t="shared" si="84"/>
        <v>0</v>
      </c>
      <c r="BR59" s="74">
        <f t="shared" si="84"/>
        <v>0</v>
      </c>
      <c r="BS59" s="74">
        <f t="shared" si="84"/>
        <v>3365</v>
      </c>
      <c r="BT59" s="74">
        <f t="shared" si="84"/>
        <v>3365</v>
      </c>
      <c r="BU59" s="74">
        <f t="shared" si="84"/>
        <v>3365</v>
      </c>
      <c r="BV59" s="74">
        <f t="shared" si="84"/>
        <v>3365</v>
      </c>
      <c r="BW59" s="74">
        <f t="shared" si="84"/>
        <v>3365</v>
      </c>
      <c r="BX59" s="74">
        <f t="shared" si="84"/>
        <v>3365</v>
      </c>
      <c r="BY59" s="74">
        <f t="shared" si="84"/>
        <v>3365</v>
      </c>
      <c r="BZ59" s="74">
        <f t="shared" si="84"/>
        <v>3365</v>
      </c>
      <c r="CA59" s="74">
        <f t="shared" si="84"/>
        <v>3365</v>
      </c>
      <c r="CB59" s="74">
        <f t="shared" si="84"/>
        <v>3365</v>
      </c>
      <c r="CC59" s="74">
        <f t="shared" si="84"/>
        <v>3365</v>
      </c>
    </row>
    <row r="60" spans="1:81" x14ac:dyDescent="0.2">
      <c r="A60" s="5" t="s">
        <v>214</v>
      </c>
      <c r="B60" s="5">
        <v>4.4999999999999998E-2</v>
      </c>
      <c r="C60" s="46" t="s">
        <v>215</v>
      </c>
      <c r="D60" s="11">
        <f t="shared" ref="D60:AI60" si="85">IF(D59=0,0, ROUND(D56 * 1/D59* D$13,1))</f>
        <v>0</v>
      </c>
      <c r="E60" s="11">
        <f t="shared" si="85"/>
        <v>28.5</v>
      </c>
      <c r="F60" s="11">
        <f t="shared" si="85"/>
        <v>23.5</v>
      </c>
      <c r="G60" s="11">
        <f t="shared" si="85"/>
        <v>23.1</v>
      </c>
      <c r="H60" s="11">
        <f t="shared" si="85"/>
        <v>18.100000000000001</v>
      </c>
      <c r="I60" s="11">
        <f t="shared" si="85"/>
        <v>15.1</v>
      </c>
      <c r="J60" s="11">
        <f t="shared" si="85"/>
        <v>18.399999999999999</v>
      </c>
      <c r="K60" s="11">
        <f t="shared" si="85"/>
        <v>13.1</v>
      </c>
      <c r="L60" s="11">
        <f t="shared" si="85"/>
        <v>6.7</v>
      </c>
      <c r="M60" s="11">
        <f t="shared" si="85"/>
        <v>1.3</v>
      </c>
      <c r="N60" s="11">
        <f t="shared" si="85"/>
        <v>0</v>
      </c>
      <c r="O60" s="11">
        <f t="shared" si="85"/>
        <v>0</v>
      </c>
      <c r="P60" s="11">
        <f t="shared" si="85"/>
        <v>0</v>
      </c>
      <c r="Q60" s="11">
        <f t="shared" si="85"/>
        <v>0</v>
      </c>
      <c r="R60" s="11">
        <f t="shared" si="85"/>
        <v>-7.4</v>
      </c>
      <c r="S60" s="11">
        <f t="shared" si="85"/>
        <v>-12.4</v>
      </c>
      <c r="T60" s="11">
        <f t="shared" si="85"/>
        <v>-17.399999999999999</v>
      </c>
      <c r="U60" s="11">
        <f t="shared" si="85"/>
        <v>-21.1</v>
      </c>
      <c r="V60" s="11">
        <f t="shared" si="85"/>
        <v>-26.1</v>
      </c>
      <c r="W60" s="11">
        <f t="shared" si="85"/>
        <v>-31.1</v>
      </c>
      <c r="X60" s="11">
        <f t="shared" si="85"/>
        <v>-36.1</v>
      </c>
      <c r="Y60" s="11">
        <f t="shared" si="85"/>
        <v>-63.5</v>
      </c>
      <c r="Z60" s="11">
        <f t="shared" si="85"/>
        <v>-68.5</v>
      </c>
      <c r="AA60" s="11">
        <f t="shared" si="85"/>
        <v>-73.5</v>
      </c>
      <c r="AB60" s="11">
        <f t="shared" si="85"/>
        <v>-78.5</v>
      </c>
      <c r="AC60" s="11">
        <f t="shared" si="85"/>
        <v>-57.4</v>
      </c>
      <c r="AD60" s="11">
        <f t="shared" si="85"/>
        <v>-62.4</v>
      </c>
      <c r="AE60" s="11">
        <f t="shared" si="85"/>
        <v>-67.400000000000006</v>
      </c>
      <c r="AF60" s="11">
        <f t="shared" si="85"/>
        <v>-72.400000000000006</v>
      </c>
      <c r="AG60" s="11">
        <f t="shared" si="85"/>
        <v>-77.400000000000006</v>
      </c>
      <c r="AH60" s="11">
        <f t="shared" si="85"/>
        <v>-65.900000000000006</v>
      </c>
      <c r="AI60" s="11">
        <f t="shared" si="85"/>
        <v>-70.900000000000006</v>
      </c>
      <c r="AJ60" s="11">
        <f t="shared" ref="AJ60:BO60" si="86">IF(AJ59=0,0, ROUND(AJ56 * 1/AJ59* AJ$13,1))</f>
        <v>0</v>
      </c>
      <c r="AK60" s="11">
        <f t="shared" si="86"/>
        <v>0</v>
      </c>
      <c r="AL60" s="11">
        <f t="shared" si="86"/>
        <v>0</v>
      </c>
      <c r="AM60" s="11">
        <f t="shared" si="86"/>
        <v>0</v>
      </c>
      <c r="AN60" s="11">
        <f t="shared" si="86"/>
        <v>-98.9</v>
      </c>
      <c r="AO60" s="11">
        <f t="shared" si="86"/>
        <v>-103.9</v>
      </c>
      <c r="AP60" s="11">
        <f t="shared" si="86"/>
        <v>-108.9</v>
      </c>
      <c r="AQ60" s="11">
        <f t="shared" si="86"/>
        <v>-94.3</v>
      </c>
      <c r="AR60" s="11">
        <f t="shared" si="86"/>
        <v>-99.3</v>
      </c>
      <c r="AS60" s="11">
        <f t="shared" si="86"/>
        <v>-130.4</v>
      </c>
      <c r="AT60" s="11">
        <f t="shared" si="86"/>
        <v>-108.3</v>
      </c>
      <c r="AU60" s="11">
        <f t="shared" si="86"/>
        <v>-119.2</v>
      </c>
      <c r="AV60" s="11">
        <f t="shared" si="86"/>
        <v>-124.2</v>
      </c>
      <c r="AW60" s="11">
        <f t="shared" si="86"/>
        <v>-129.19999999999999</v>
      </c>
      <c r="AX60" s="11">
        <f t="shared" si="86"/>
        <v>-134.19999999999999</v>
      </c>
      <c r="AY60" s="11">
        <f t="shared" si="86"/>
        <v>-174</v>
      </c>
      <c r="AZ60" s="11">
        <f t="shared" si="86"/>
        <v>-179</v>
      </c>
      <c r="BA60" s="11">
        <f t="shared" si="86"/>
        <v>-184</v>
      </c>
      <c r="BB60" s="11">
        <f t="shared" si="86"/>
        <v>-189</v>
      </c>
      <c r="BC60" s="11">
        <f t="shared" si="86"/>
        <v>-194</v>
      </c>
      <c r="BD60" s="11">
        <f t="shared" si="86"/>
        <v>-199</v>
      </c>
      <c r="BE60" s="11">
        <f t="shared" si="86"/>
        <v>-204</v>
      </c>
      <c r="BF60" s="11">
        <f t="shared" si="86"/>
        <v>-209</v>
      </c>
      <c r="BG60" s="11">
        <f t="shared" si="86"/>
        <v>-214</v>
      </c>
      <c r="BH60" s="11">
        <f t="shared" si="86"/>
        <v>-219</v>
      </c>
      <c r="BI60" s="11">
        <f t="shared" si="86"/>
        <v>-224</v>
      </c>
      <c r="BJ60" s="11">
        <f t="shared" si="86"/>
        <v>-229</v>
      </c>
      <c r="BK60" s="11">
        <f t="shared" si="86"/>
        <v>-234</v>
      </c>
      <c r="BL60" s="11">
        <f t="shared" si="86"/>
        <v>-240.4</v>
      </c>
      <c r="BM60" s="11">
        <f t="shared" si="86"/>
        <v>-245.4</v>
      </c>
      <c r="BN60" s="11">
        <f t="shared" si="86"/>
        <v>-137.19999999999999</v>
      </c>
      <c r="BO60" s="11">
        <f t="shared" si="86"/>
        <v>0</v>
      </c>
      <c r="BP60" s="11">
        <f t="shared" ref="BP60:CC60" si="87">IF(BP59=0,0, ROUND(BP56 * 1/BP59* BP$13,1))</f>
        <v>0</v>
      </c>
      <c r="BQ60" s="11">
        <f t="shared" si="87"/>
        <v>0</v>
      </c>
      <c r="BR60" s="11">
        <f t="shared" si="87"/>
        <v>0</v>
      </c>
      <c r="BS60" s="11">
        <f t="shared" si="87"/>
        <v>-259.5</v>
      </c>
      <c r="BT60" s="11">
        <f t="shared" si="87"/>
        <v>-264.5</v>
      </c>
      <c r="BU60" s="11">
        <f t="shared" si="87"/>
        <v>-269.5</v>
      </c>
      <c r="BV60" s="11">
        <f t="shared" si="87"/>
        <v>-274.5</v>
      </c>
      <c r="BW60" s="11">
        <f t="shared" si="87"/>
        <v>-279.5</v>
      </c>
      <c r="BX60" s="11">
        <f t="shared" si="87"/>
        <v>-284.5</v>
      </c>
      <c r="BY60" s="11">
        <f t="shared" si="87"/>
        <v>-289.5</v>
      </c>
      <c r="BZ60" s="11">
        <f t="shared" si="87"/>
        <v>-294.5</v>
      </c>
      <c r="CA60" s="11">
        <f t="shared" si="87"/>
        <v>-299.5</v>
      </c>
      <c r="CB60" s="11">
        <f t="shared" si="87"/>
        <v>-304.5</v>
      </c>
      <c r="CC60" s="11">
        <f t="shared" si="87"/>
        <v>-309.5</v>
      </c>
    </row>
    <row r="61" spans="1:81" x14ac:dyDescent="0.2">
      <c r="A61">
        <v>4</v>
      </c>
      <c r="B61">
        <v>50</v>
      </c>
      <c r="C61" s="8">
        <v>0.93469000000000002</v>
      </c>
      <c r="D61">
        <f t="shared" ref="D61:AI61" si="88">D58/$B61</f>
        <v>88.8</v>
      </c>
      <c r="E61">
        <f t="shared" si="88"/>
        <v>88.8</v>
      </c>
      <c r="F61">
        <f t="shared" si="88"/>
        <v>44.4</v>
      </c>
      <c r="G61">
        <f t="shared" si="88"/>
        <v>0</v>
      </c>
      <c r="H61">
        <f t="shared" si="88"/>
        <v>0</v>
      </c>
      <c r="I61">
        <f t="shared" si="88"/>
        <v>0</v>
      </c>
      <c r="J61">
        <f t="shared" si="88"/>
        <v>0</v>
      </c>
      <c r="K61">
        <f t="shared" si="88"/>
        <v>0</v>
      </c>
      <c r="L61">
        <f t="shared" si="88"/>
        <v>0</v>
      </c>
      <c r="M61">
        <f t="shared" si="88"/>
        <v>0</v>
      </c>
      <c r="N61">
        <f t="shared" si="88"/>
        <v>0</v>
      </c>
      <c r="O61">
        <f t="shared" si="88"/>
        <v>0</v>
      </c>
      <c r="P61">
        <f t="shared" si="88"/>
        <v>0</v>
      </c>
      <c r="Q61">
        <f t="shared" si="88"/>
        <v>0</v>
      </c>
      <c r="R61">
        <f t="shared" si="88"/>
        <v>0</v>
      </c>
      <c r="S61">
        <f t="shared" si="88"/>
        <v>0</v>
      </c>
      <c r="T61">
        <f t="shared" si="88"/>
        <v>0</v>
      </c>
      <c r="U61">
        <f t="shared" si="88"/>
        <v>0</v>
      </c>
      <c r="V61">
        <f t="shared" si="88"/>
        <v>0</v>
      </c>
      <c r="W61">
        <f t="shared" si="88"/>
        <v>0</v>
      </c>
      <c r="X61">
        <f t="shared" si="88"/>
        <v>0</v>
      </c>
      <c r="Y61">
        <f t="shared" si="88"/>
        <v>0</v>
      </c>
      <c r="Z61">
        <f t="shared" si="88"/>
        <v>0</v>
      </c>
      <c r="AA61">
        <f t="shared" si="88"/>
        <v>0</v>
      </c>
      <c r="AB61">
        <f t="shared" si="88"/>
        <v>0</v>
      </c>
      <c r="AC61">
        <f t="shared" si="88"/>
        <v>0</v>
      </c>
      <c r="AD61">
        <f t="shared" si="88"/>
        <v>0</v>
      </c>
      <c r="AE61">
        <f t="shared" si="88"/>
        <v>0</v>
      </c>
      <c r="AF61">
        <f t="shared" si="88"/>
        <v>0</v>
      </c>
      <c r="AG61">
        <f t="shared" si="88"/>
        <v>0</v>
      </c>
      <c r="AH61">
        <f t="shared" si="88"/>
        <v>0</v>
      </c>
      <c r="AI61">
        <f t="shared" si="88"/>
        <v>0</v>
      </c>
      <c r="AJ61">
        <f t="shared" ref="AJ61:BO61" si="89">AJ58/$B61</f>
        <v>0</v>
      </c>
      <c r="AK61">
        <f t="shared" si="89"/>
        <v>0</v>
      </c>
      <c r="AL61">
        <f t="shared" si="89"/>
        <v>0</v>
      </c>
      <c r="AM61">
        <f t="shared" si="89"/>
        <v>0</v>
      </c>
      <c r="AN61">
        <f t="shared" si="89"/>
        <v>0</v>
      </c>
      <c r="AO61">
        <f t="shared" si="89"/>
        <v>0</v>
      </c>
      <c r="AP61">
        <f t="shared" si="89"/>
        <v>0</v>
      </c>
      <c r="AQ61">
        <f t="shared" si="89"/>
        <v>0</v>
      </c>
      <c r="AR61">
        <f t="shared" si="89"/>
        <v>0</v>
      </c>
      <c r="AS61">
        <f t="shared" si="89"/>
        <v>0</v>
      </c>
      <c r="AT61">
        <f t="shared" si="89"/>
        <v>0</v>
      </c>
      <c r="AU61">
        <f t="shared" si="89"/>
        <v>0</v>
      </c>
      <c r="AV61">
        <f t="shared" si="89"/>
        <v>0</v>
      </c>
      <c r="AW61">
        <f t="shared" si="89"/>
        <v>0</v>
      </c>
      <c r="AX61">
        <f t="shared" si="89"/>
        <v>0</v>
      </c>
      <c r="AY61">
        <f t="shared" si="89"/>
        <v>0</v>
      </c>
      <c r="AZ61">
        <f t="shared" si="89"/>
        <v>0</v>
      </c>
      <c r="BA61">
        <f t="shared" si="89"/>
        <v>0</v>
      </c>
      <c r="BB61">
        <f t="shared" si="89"/>
        <v>0</v>
      </c>
      <c r="BC61">
        <f t="shared" si="89"/>
        <v>0</v>
      </c>
      <c r="BD61">
        <f t="shared" si="89"/>
        <v>0</v>
      </c>
      <c r="BE61">
        <f t="shared" si="89"/>
        <v>0</v>
      </c>
      <c r="BF61">
        <f t="shared" si="89"/>
        <v>0</v>
      </c>
      <c r="BG61">
        <f t="shared" si="89"/>
        <v>0</v>
      </c>
      <c r="BH61">
        <f t="shared" si="89"/>
        <v>0</v>
      </c>
      <c r="BI61">
        <f t="shared" si="89"/>
        <v>0</v>
      </c>
      <c r="BJ61">
        <f t="shared" si="89"/>
        <v>0</v>
      </c>
      <c r="BK61">
        <f t="shared" si="89"/>
        <v>0</v>
      </c>
      <c r="BL61">
        <f t="shared" si="89"/>
        <v>0</v>
      </c>
      <c r="BM61">
        <f t="shared" si="89"/>
        <v>0</v>
      </c>
      <c r="BN61">
        <f t="shared" si="89"/>
        <v>0</v>
      </c>
      <c r="BO61">
        <f t="shared" si="89"/>
        <v>0</v>
      </c>
      <c r="BP61">
        <f t="shared" ref="BP61:CC61" si="90">BP58/$B61</f>
        <v>0</v>
      </c>
      <c r="BQ61">
        <f t="shared" si="90"/>
        <v>0</v>
      </c>
      <c r="BR61">
        <f t="shared" si="90"/>
        <v>0</v>
      </c>
      <c r="BS61">
        <f t="shared" si="90"/>
        <v>0</v>
      </c>
      <c r="BT61">
        <f t="shared" si="90"/>
        <v>0</v>
      </c>
      <c r="BU61">
        <f t="shared" si="90"/>
        <v>0</v>
      </c>
      <c r="BV61">
        <f t="shared" si="90"/>
        <v>0</v>
      </c>
      <c r="BW61">
        <f t="shared" si="90"/>
        <v>0</v>
      </c>
      <c r="BX61">
        <f t="shared" si="90"/>
        <v>0</v>
      </c>
      <c r="BY61">
        <f t="shared" si="90"/>
        <v>0</v>
      </c>
      <c r="BZ61">
        <f t="shared" si="90"/>
        <v>0</v>
      </c>
      <c r="CA61">
        <f t="shared" si="90"/>
        <v>0</v>
      </c>
      <c r="CB61">
        <f t="shared" si="90"/>
        <v>0</v>
      </c>
      <c r="CC61">
        <f t="shared" si="90"/>
        <v>0</v>
      </c>
    </row>
    <row r="62" spans="1:81" x14ac:dyDescent="0.2">
      <c r="C62" s="9" t="s">
        <v>216</v>
      </c>
      <c r="D62">
        <f t="shared" ref="D62:AI62" si="91">D56-D59</f>
        <v>21240</v>
      </c>
      <c r="E62">
        <f t="shared" si="91"/>
        <v>22560</v>
      </c>
      <c r="F62">
        <f t="shared" si="91"/>
        <v>17760</v>
      </c>
      <c r="G62">
        <f t="shared" si="91"/>
        <v>13920</v>
      </c>
      <c r="H62">
        <f t="shared" si="91"/>
        <v>10080</v>
      </c>
      <c r="I62">
        <f t="shared" si="91"/>
        <v>9720</v>
      </c>
      <c r="J62">
        <f t="shared" si="91"/>
        <v>10320</v>
      </c>
      <c r="K62">
        <f t="shared" si="91"/>
        <v>7740</v>
      </c>
      <c r="L62">
        <f t="shared" si="91"/>
        <v>1980</v>
      </c>
      <c r="M62">
        <f t="shared" si="91"/>
        <v>-5700</v>
      </c>
      <c r="N62">
        <f t="shared" si="91"/>
        <v>-5700</v>
      </c>
      <c r="O62">
        <f t="shared" si="91"/>
        <v>-5700</v>
      </c>
      <c r="P62">
        <f t="shared" si="91"/>
        <v>-5700</v>
      </c>
      <c r="Q62">
        <f t="shared" si="91"/>
        <v>-5700</v>
      </c>
      <c r="R62">
        <f t="shared" si="91"/>
        <v>-9540</v>
      </c>
      <c r="S62">
        <f t="shared" si="91"/>
        <v>-13380</v>
      </c>
      <c r="T62">
        <f t="shared" si="91"/>
        <v>-17220</v>
      </c>
      <c r="U62">
        <f t="shared" si="91"/>
        <v>-21300</v>
      </c>
      <c r="V62">
        <f t="shared" si="91"/>
        <v>-25380</v>
      </c>
      <c r="W62">
        <f t="shared" si="91"/>
        <v>-29460</v>
      </c>
      <c r="X62">
        <f t="shared" si="91"/>
        <v>-33540</v>
      </c>
      <c r="Y62">
        <f t="shared" si="91"/>
        <v>-36180</v>
      </c>
      <c r="Z62">
        <f t="shared" si="91"/>
        <v>-38820</v>
      </c>
      <c r="AA62">
        <f t="shared" si="91"/>
        <v>-41460</v>
      </c>
      <c r="AB62">
        <f t="shared" si="91"/>
        <v>-44100</v>
      </c>
      <c r="AC62">
        <f t="shared" si="91"/>
        <v>-47940</v>
      </c>
      <c r="AD62">
        <f t="shared" si="91"/>
        <v>-51780</v>
      </c>
      <c r="AE62">
        <f t="shared" si="91"/>
        <v>-55620</v>
      </c>
      <c r="AF62">
        <f t="shared" si="91"/>
        <v>-59460</v>
      </c>
      <c r="AG62">
        <f t="shared" si="91"/>
        <v>-63300</v>
      </c>
      <c r="AH62">
        <f t="shared" si="91"/>
        <v>-68100</v>
      </c>
      <c r="AI62">
        <f t="shared" si="91"/>
        <v>-72900</v>
      </c>
      <c r="AJ62">
        <f t="shared" ref="AJ62:BO62" si="92">AJ56-AJ59</f>
        <v>-72900</v>
      </c>
      <c r="AK62">
        <f t="shared" si="92"/>
        <v>-72900</v>
      </c>
      <c r="AL62">
        <f t="shared" si="92"/>
        <v>-72900</v>
      </c>
      <c r="AM62">
        <f t="shared" si="92"/>
        <v>-72900</v>
      </c>
      <c r="AN62">
        <f t="shared" si="92"/>
        <v>-76586</v>
      </c>
      <c r="AO62">
        <f t="shared" si="92"/>
        <v>-80272</v>
      </c>
      <c r="AP62">
        <f t="shared" si="92"/>
        <v>-83958</v>
      </c>
      <c r="AQ62">
        <f t="shared" si="92"/>
        <v>-88410</v>
      </c>
      <c r="AR62">
        <f t="shared" si="92"/>
        <v>-92862</v>
      </c>
      <c r="AS62">
        <f t="shared" si="92"/>
        <v>-96424</v>
      </c>
      <c r="AT62">
        <f t="shared" si="92"/>
        <v>-100876</v>
      </c>
      <c r="AU62">
        <f t="shared" si="92"/>
        <v>-105106</v>
      </c>
      <c r="AV62">
        <f t="shared" si="92"/>
        <v>-109336</v>
      </c>
      <c r="AW62">
        <f t="shared" si="92"/>
        <v>-113566</v>
      </c>
      <c r="AX62">
        <f t="shared" si="92"/>
        <v>-117796</v>
      </c>
      <c r="AY62">
        <f t="shared" si="92"/>
        <v>-121180</v>
      </c>
      <c r="AZ62">
        <f t="shared" si="92"/>
        <v>-124564</v>
      </c>
      <c r="BA62">
        <f t="shared" si="92"/>
        <v>-127948</v>
      </c>
      <c r="BB62">
        <f t="shared" si="92"/>
        <v>-131332</v>
      </c>
      <c r="BC62">
        <f t="shared" si="92"/>
        <v>-134716</v>
      </c>
      <c r="BD62">
        <f t="shared" si="92"/>
        <v>-138100</v>
      </c>
      <c r="BE62">
        <f t="shared" si="92"/>
        <v>-141484</v>
      </c>
      <c r="BF62">
        <f t="shared" si="92"/>
        <v>-144868</v>
      </c>
      <c r="BG62">
        <f t="shared" si="92"/>
        <v>-148252</v>
      </c>
      <c r="BH62">
        <f t="shared" si="92"/>
        <v>-151636</v>
      </c>
      <c r="BI62">
        <f t="shared" si="92"/>
        <v>-155020</v>
      </c>
      <c r="BJ62">
        <f t="shared" si="92"/>
        <v>-158404</v>
      </c>
      <c r="BK62">
        <f t="shared" si="92"/>
        <v>-161788</v>
      </c>
      <c r="BL62">
        <f t="shared" si="92"/>
        <v>-165153</v>
      </c>
      <c r="BM62">
        <f t="shared" si="92"/>
        <v>-168518</v>
      </c>
      <c r="BN62">
        <f t="shared" si="92"/>
        <v>-174660</v>
      </c>
      <c r="BO62">
        <f t="shared" si="92"/>
        <v>-174660</v>
      </c>
      <c r="BP62">
        <f t="shared" ref="BP62:CC62" si="93">BP56-BP59</f>
        <v>-174660</v>
      </c>
      <c r="BQ62">
        <f t="shared" si="93"/>
        <v>-174660</v>
      </c>
      <c r="BR62">
        <f t="shared" si="93"/>
        <v>-174660</v>
      </c>
      <c r="BS62">
        <f t="shared" si="93"/>
        <v>-178025</v>
      </c>
      <c r="BT62">
        <f t="shared" si="93"/>
        <v>-181390</v>
      </c>
      <c r="BU62">
        <f t="shared" si="93"/>
        <v>-184755</v>
      </c>
      <c r="BV62">
        <f t="shared" si="93"/>
        <v>-188120</v>
      </c>
      <c r="BW62">
        <f t="shared" si="93"/>
        <v>-191485</v>
      </c>
      <c r="BX62">
        <f t="shared" si="93"/>
        <v>-194850</v>
      </c>
      <c r="BY62">
        <f t="shared" si="93"/>
        <v>-198215</v>
      </c>
      <c r="BZ62">
        <f t="shared" si="93"/>
        <v>-201580</v>
      </c>
      <c r="CA62">
        <f t="shared" si="93"/>
        <v>-204945</v>
      </c>
      <c r="CB62">
        <f t="shared" si="93"/>
        <v>-208310</v>
      </c>
      <c r="CC62">
        <f t="shared" si="93"/>
        <v>-211675</v>
      </c>
    </row>
    <row r="63" spans="1:81" x14ac:dyDescent="0.2">
      <c r="C63" s="9"/>
    </row>
    <row r="64" spans="1:81" x14ac:dyDescent="0.2">
      <c r="A64" t="s">
        <v>251</v>
      </c>
      <c r="C64" s="47" t="s">
        <v>38</v>
      </c>
      <c r="D64" s="47">
        <f t="shared" ref="D64:AI64" si="94">D14+D21+D28+D35+D42+D49+D56</f>
        <v>21240</v>
      </c>
      <c r="E64" s="47">
        <f t="shared" si="94"/>
        <v>27360</v>
      </c>
      <c r="F64" s="47">
        <f t="shared" si="94"/>
        <v>22560</v>
      </c>
      <c r="G64" s="47">
        <f t="shared" si="94"/>
        <v>17760</v>
      </c>
      <c r="H64" s="47">
        <f t="shared" si="94"/>
        <v>13920</v>
      </c>
      <c r="I64" s="47">
        <f t="shared" si="94"/>
        <v>14520</v>
      </c>
      <c r="J64" s="47">
        <f t="shared" si="94"/>
        <v>14160</v>
      </c>
      <c r="K64" s="47">
        <f t="shared" si="94"/>
        <v>12540</v>
      </c>
      <c r="L64" s="47">
        <f t="shared" si="94"/>
        <v>7740</v>
      </c>
      <c r="M64" s="47">
        <f t="shared" si="94"/>
        <v>1980</v>
      </c>
      <c r="N64" s="47">
        <f t="shared" si="94"/>
        <v>-5700</v>
      </c>
      <c r="O64" s="47">
        <f t="shared" si="94"/>
        <v>-5700</v>
      </c>
      <c r="P64" s="47">
        <f t="shared" si="94"/>
        <v>-5700</v>
      </c>
      <c r="Q64" s="47">
        <f t="shared" si="94"/>
        <v>-5700</v>
      </c>
      <c r="R64" s="47">
        <f t="shared" si="94"/>
        <v>-5700</v>
      </c>
      <c r="S64" s="47">
        <f t="shared" si="94"/>
        <v>-9540</v>
      </c>
      <c r="T64" s="47">
        <f t="shared" si="94"/>
        <v>-13380</v>
      </c>
      <c r="U64" s="47">
        <f t="shared" si="94"/>
        <v>-17220</v>
      </c>
      <c r="V64" s="47">
        <f t="shared" si="94"/>
        <v>-21300</v>
      </c>
      <c r="W64" s="47">
        <f t="shared" si="94"/>
        <v>-25380</v>
      </c>
      <c r="X64" s="47">
        <f t="shared" si="94"/>
        <v>-29460</v>
      </c>
      <c r="Y64" s="47">
        <f t="shared" si="94"/>
        <v>-33540</v>
      </c>
      <c r="Z64" s="47">
        <f t="shared" si="94"/>
        <v>-36180</v>
      </c>
      <c r="AA64" s="47">
        <f t="shared" si="94"/>
        <v>-38820</v>
      </c>
      <c r="AB64" s="47">
        <f t="shared" si="94"/>
        <v>-41460</v>
      </c>
      <c r="AC64" s="47">
        <f t="shared" si="94"/>
        <v>-44100</v>
      </c>
      <c r="AD64" s="47">
        <f t="shared" si="94"/>
        <v>-47940</v>
      </c>
      <c r="AE64" s="47">
        <f t="shared" si="94"/>
        <v>-51780</v>
      </c>
      <c r="AF64" s="47">
        <f t="shared" si="94"/>
        <v>-55620</v>
      </c>
      <c r="AG64" s="47">
        <f t="shared" si="94"/>
        <v>-59460</v>
      </c>
      <c r="AH64" s="47">
        <f t="shared" si="94"/>
        <v>-63300</v>
      </c>
      <c r="AI64" s="47">
        <f t="shared" si="94"/>
        <v>-68100</v>
      </c>
      <c r="AJ64" s="47">
        <f t="shared" ref="AJ64:BO64" si="95">AJ14+AJ21+AJ28+AJ35+AJ42+AJ49+AJ56</f>
        <v>-72900</v>
      </c>
      <c r="AK64" s="47">
        <f t="shared" si="95"/>
        <v>-72900</v>
      </c>
      <c r="AL64" s="47">
        <f t="shared" si="95"/>
        <v>-72900</v>
      </c>
      <c r="AM64" s="47">
        <f t="shared" si="95"/>
        <v>-72900</v>
      </c>
      <c r="AN64" s="47">
        <f t="shared" si="95"/>
        <v>-72900</v>
      </c>
      <c r="AO64" s="47">
        <f t="shared" si="95"/>
        <v>-76586</v>
      </c>
      <c r="AP64" s="47">
        <f t="shared" si="95"/>
        <v>-80272</v>
      </c>
      <c r="AQ64" s="47">
        <f t="shared" si="95"/>
        <v>-83958</v>
      </c>
      <c r="AR64" s="47">
        <f t="shared" si="95"/>
        <v>-88410</v>
      </c>
      <c r="AS64" s="47">
        <f t="shared" si="95"/>
        <v>-92862</v>
      </c>
      <c r="AT64" s="47">
        <f t="shared" si="95"/>
        <v>-96424</v>
      </c>
      <c r="AU64" s="47">
        <f t="shared" si="95"/>
        <v>-100876</v>
      </c>
      <c r="AV64" s="47">
        <f t="shared" si="95"/>
        <v>-105106</v>
      </c>
      <c r="AW64" s="47">
        <f t="shared" si="95"/>
        <v>-109336</v>
      </c>
      <c r="AX64" s="47">
        <f t="shared" si="95"/>
        <v>-113566</v>
      </c>
      <c r="AY64" s="47">
        <f t="shared" si="95"/>
        <v>-117796</v>
      </c>
      <c r="AZ64" s="47">
        <f t="shared" si="95"/>
        <v>-121180</v>
      </c>
      <c r="BA64" s="47">
        <f t="shared" si="95"/>
        <v>-124564</v>
      </c>
      <c r="BB64" s="47">
        <f t="shared" si="95"/>
        <v>-127948</v>
      </c>
      <c r="BC64" s="47">
        <f t="shared" si="95"/>
        <v>-131332</v>
      </c>
      <c r="BD64" s="47">
        <f t="shared" si="95"/>
        <v>-134716</v>
      </c>
      <c r="BE64" s="47">
        <f t="shared" si="95"/>
        <v>-138100</v>
      </c>
      <c r="BF64" s="47">
        <f t="shared" si="95"/>
        <v>-141484</v>
      </c>
      <c r="BG64" s="47">
        <f t="shared" si="95"/>
        <v>-144868</v>
      </c>
      <c r="BH64" s="47">
        <f t="shared" si="95"/>
        <v>-148252</v>
      </c>
      <c r="BI64" s="47">
        <f t="shared" si="95"/>
        <v>-151636</v>
      </c>
      <c r="BJ64" s="47">
        <f t="shared" si="95"/>
        <v>-155020</v>
      </c>
      <c r="BK64" s="47">
        <f t="shared" si="95"/>
        <v>-158404</v>
      </c>
      <c r="BL64" s="47">
        <f t="shared" si="95"/>
        <v>-161788</v>
      </c>
      <c r="BM64" s="47">
        <f t="shared" si="95"/>
        <v>-165153</v>
      </c>
      <c r="BN64" s="47">
        <f t="shared" si="95"/>
        <v>-168518</v>
      </c>
      <c r="BO64" s="47">
        <f t="shared" si="95"/>
        <v>-174660</v>
      </c>
      <c r="BP64" s="47">
        <f t="shared" ref="BP64:CC64" si="96">BP14+BP21+BP28+BP35+BP42+BP49+BP56</f>
        <v>-174660</v>
      </c>
      <c r="BQ64" s="47">
        <f t="shared" si="96"/>
        <v>-174660</v>
      </c>
      <c r="BR64" s="47">
        <f t="shared" si="96"/>
        <v>-174660</v>
      </c>
      <c r="BS64" s="47">
        <f t="shared" si="96"/>
        <v>-174660</v>
      </c>
      <c r="BT64" s="47">
        <f t="shared" si="96"/>
        <v>-178025</v>
      </c>
      <c r="BU64" s="47">
        <f t="shared" si="96"/>
        <v>-181390</v>
      </c>
      <c r="BV64" s="47">
        <f t="shared" si="96"/>
        <v>-184755</v>
      </c>
      <c r="BW64" s="47">
        <f t="shared" si="96"/>
        <v>-188120</v>
      </c>
      <c r="BX64" s="47">
        <f t="shared" si="96"/>
        <v>-191485</v>
      </c>
      <c r="BY64" s="47">
        <f t="shared" si="96"/>
        <v>-194850</v>
      </c>
      <c r="BZ64" s="47">
        <f t="shared" si="96"/>
        <v>-198215</v>
      </c>
      <c r="CA64" s="47">
        <f t="shared" si="96"/>
        <v>-201580</v>
      </c>
      <c r="CB64" s="47">
        <f t="shared" si="96"/>
        <v>-204945</v>
      </c>
      <c r="CC64" s="47">
        <f t="shared" si="96"/>
        <v>-208310</v>
      </c>
    </row>
    <row r="65" spans="1:81" x14ac:dyDescent="0.2">
      <c r="C65" s="47" t="s">
        <v>39</v>
      </c>
      <c r="D65" s="47">
        <f t="shared" ref="D65:AI65" si="97">D15+D22+D29+D36+D43+D50+D57</f>
        <v>6120</v>
      </c>
      <c r="E65" s="47">
        <f t="shared" si="97"/>
        <v>0</v>
      </c>
      <c r="F65" s="47">
        <f t="shared" si="97"/>
        <v>0</v>
      </c>
      <c r="G65" s="47">
        <f t="shared" si="97"/>
        <v>0</v>
      </c>
      <c r="H65" s="47">
        <f t="shared" si="97"/>
        <v>0</v>
      </c>
      <c r="I65" s="47">
        <f t="shared" si="97"/>
        <v>0</v>
      </c>
      <c r="J65" s="47">
        <f t="shared" si="97"/>
        <v>0</v>
      </c>
      <c r="K65" s="47">
        <f t="shared" si="97"/>
        <v>0</v>
      </c>
      <c r="L65" s="47">
        <f t="shared" si="97"/>
        <v>0</v>
      </c>
      <c r="M65" s="47">
        <f t="shared" si="97"/>
        <v>0</v>
      </c>
      <c r="N65" s="47">
        <f t="shared" si="97"/>
        <v>0</v>
      </c>
      <c r="O65" s="47">
        <f t="shared" si="97"/>
        <v>0</v>
      </c>
      <c r="P65" s="47">
        <f t="shared" si="97"/>
        <v>0</v>
      </c>
      <c r="Q65" s="47">
        <f t="shared" si="97"/>
        <v>0</v>
      </c>
      <c r="R65" s="47">
        <f t="shared" si="97"/>
        <v>0</v>
      </c>
      <c r="S65" s="47">
        <f t="shared" si="97"/>
        <v>0</v>
      </c>
      <c r="T65" s="47">
        <f t="shared" si="97"/>
        <v>0</v>
      </c>
      <c r="U65" s="47">
        <f t="shared" si="97"/>
        <v>0</v>
      </c>
      <c r="V65" s="47">
        <f t="shared" si="97"/>
        <v>0</v>
      </c>
      <c r="W65" s="47">
        <f t="shared" si="97"/>
        <v>0</v>
      </c>
      <c r="X65" s="47">
        <f t="shared" si="97"/>
        <v>0</v>
      </c>
      <c r="Y65" s="47">
        <f t="shared" si="97"/>
        <v>0</v>
      </c>
      <c r="Z65" s="47">
        <f t="shared" si="97"/>
        <v>0</v>
      </c>
      <c r="AA65" s="47">
        <f t="shared" si="97"/>
        <v>0</v>
      </c>
      <c r="AB65" s="47">
        <f t="shared" si="97"/>
        <v>0</v>
      </c>
      <c r="AC65" s="47">
        <f t="shared" si="97"/>
        <v>0</v>
      </c>
      <c r="AD65" s="47">
        <f t="shared" si="97"/>
        <v>0</v>
      </c>
      <c r="AE65" s="47">
        <f t="shared" si="97"/>
        <v>0</v>
      </c>
      <c r="AF65" s="47">
        <f t="shared" si="97"/>
        <v>0</v>
      </c>
      <c r="AG65" s="47">
        <f t="shared" si="97"/>
        <v>0</v>
      </c>
      <c r="AH65" s="47">
        <f t="shared" si="97"/>
        <v>0</v>
      </c>
      <c r="AI65" s="47">
        <f t="shared" si="97"/>
        <v>0</v>
      </c>
      <c r="AJ65" s="47">
        <f t="shared" ref="AJ65:BO65" si="98">AJ15+AJ22+AJ29+AJ36+AJ43+AJ50+AJ57</f>
        <v>0</v>
      </c>
      <c r="AK65" s="47">
        <f t="shared" si="98"/>
        <v>0</v>
      </c>
      <c r="AL65" s="47">
        <f t="shared" si="98"/>
        <v>0</v>
      </c>
      <c r="AM65" s="47">
        <f t="shared" si="98"/>
        <v>0</v>
      </c>
      <c r="AN65" s="47">
        <f t="shared" si="98"/>
        <v>0</v>
      </c>
      <c r="AO65" s="47">
        <f t="shared" si="98"/>
        <v>0</v>
      </c>
      <c r="AP65" s="47">
        <f t="shared" si="98"/>
        <v>0</v>
      </c>
      <c r="AQ65" s="47">
        <f t="shared" si="98"/>
        <v>0</v>
      </c>
      <c r="AR65" s="47">
        <f t="shared" si="98"/>
        <v>0</v>
      </c>
      <c r="AS65" s="47">
        <f t="shared" si="98"/>
        <v>0</v>
      </c>
      <c r="AT65" s="47">
        <f t="shared" si="98"/>
        <v>0</v>
      </c>
      <c r="AU65" s="47">
        <f t="shared" si="98"/>
        <v>0</v>
      </c>
      <c r="AV65" s="47">
        <f t="shared" si="98"/>
        <v>0</v>
      </c>
      <c r="AW65" s="47">
        <f t="shared" si="98"/>
        <v>0</v>
      </c>
      <c r="AX65" s="47">
        <f t="shared" si="98"/>
        <v>0</v>
      </c>
      <c r="AY65" s="47">
        <f t="shared" si="98"/>
        <v>0</v>
      </c>
      <c r="AZ65" s="47">
        <f t="shared" si="98"/>
        <v>0</v>
      </c>
      <c r="BA65" s="47">
        <f t="shared" si="98"/>
        <v>0</v>
      </c>
      <c r="BB65" s="47">
        <f t="shared" si="98"/>
        <v>0</v>
      </c>
      <c r="BC65" s="47">
        <f t="shared" si="98"/>
        <v>0</v>
      </c>
      <c r="BD65" s="47">
        <f t="shared" si="98"/>
        <v>0</v>
      </c>
      <c r="BE65" s="47">
        <f t="shared" si="98"/>
        <v>0</v>
      </c>
      <c r="BF65" s="47">
        <f t="shared" si="98"/>
        <v>0</v>
      </c>
      <c r="BG65" s="47">
        <f t="shared" si="98"/>
        <v>0</v>
      </c>
      <c r="BH65" s="47">
        <f t="shared" si="98"/>
        <v>0</v>
      </c>
      <c r="BI65" s="47">
        <f t="shared" si="98"/>
        <v>0</v>
      </c>
      <c r="BJ65" s="47">
        <f t="shared" si="98"/>
        <v>0</v>
      </c>
      <c r="BK65" s="47">
        <f t="shared" si="98"/>
        <v>0</v>
      </c>
      <c r="BL65" s="47">
        <f t="shared" si="98"/>
        <v>0</v>
      </c>
      <c r="BM65" s="47">
        <f t="shared" si="98"/>
        <v>0</v>
      </c>
      <c r="BN65" s="47">
        <f t="shared" si="98"/>
        <v>0</v>
      </c>
      <c r="BO65" s="47">
        <f t="shared" si="98"/>
        <v>0</v>
      </c>
      <c r="BP65" s="47">
        <f t="shared" ref="BP65:CC65" si="99">BP15+BP22+BP29+BP36+BP43+BP50+BP57</f>
        <v>0</v>
      </c>
      <c r="BQ65" s="47">
        <f t="shared" si="99"/>
        <v>0</v>
      </c>
      <c r="BR65" s="47">
        <f t="shared" si="99"/>
        <v>0</v>
      </c>
      <c r="BS65" s="47">
        <f t="shared" si="99"/>
        <v>0</v>
      </c>
      <c r="BT65" s="47">
        <f t="shared" si="99"/>
        <v>0</v>
      </c>
      <c r="BU65" s="47">
        <f t="shared" si="99"/>
        <v>0</v>
      </c>
      <c r="BV65" s="47">
        <f t="shared" si="99"/>
        <v>0</v>
      </c>
      <c r="BW65" s="47">
        <f t="shared" si="99"/>
        <v>0</v>
      </c>
      <c r="BX65" s="47">
        <f t="shared" si="99"/>
        <v>0</v>
      </c>
      <c r="BY65" s="47">
        <f t="shared" si="99"/>
        <v>0</v>
      </c>
      <c r="BZ65" s="47">
        <f t="shared" si="99"/>
        <v>0</v>
      </c>
      <c r="CA65" s="47">
        <f t="shared" si="99"/>
        <v>0</v>
      </c>
      <c r="CB65" s="47">
        <f t="shared" si="99"/>
        <v>0</v>
      </c>
      <c r="CC65" s="47">
        <f t="shared" si="99"/>
        <v>0</v>
      </c>
    </row>
    <row r="66" spans="1:81" x14ac:dyDescent="0.2">
      <c r="C66" s="47" t="s">
        <v>211</v>
      </c>
      <c r="D66" s="47">
        <f t="shared" ref="D66:AI66" si="100">D16+D23+D30+D37+D44+D51+D58</f>
        <v>4440</v>
      </c>
      <c r="E66" s="47">
        <f t="shared" si="100"/>
        <v>4440</v>
      </c>
      <c r="F66" s="47">
        <f t="shared" si="100"/>
        <v>2220</v>
      </c>
      <c r="G66" s="47">
        <f t="shared" si="100"/>
        <v>0</v>
      </c>
      <c r="H66" s="47">
        <f t="shared" si="100"/>
        <v>0</v>
      </c>
      <c r="I66" s="47">
        <f t="shared" si="100"/>
        <v>0</v>
      </c>
      <c r="J66" s="47">
        <f t="shared" si="100"/>
        <v>0</v>
      </c>
      <c r="K66" s="47">
        <f t="shared" si="100"/>
        <v>0</v>
      </c>
      <c r="L66" s="47">
        <f t="shared" si="100"/>
        <v>0</v>
      </c>
      <c r="M66" s="47">
        <f t="shared" si="100"/>
        <v>0</v>
      </c>
      <c r="N66" s="47">
        <f t="shared" si="100"/>
        <v>0</v>
      </c>
      <c r="O66" s="47">
        <f t="shared" si="100"/>
        <v>0</v>
      </c>
      <c r="P66" s="47">
        <f t="shared" si="100"/>
        <v>0</v>
      </c>
      <c r="Q66" s="47">
        <f t="shared" si="100"/>
        <v>0</v>
      </c>
      <c r="R66" s="47">
        <f t="shared" si="100"/>
        <v>0</v>
      </c>
      <c r="S66" s="47">
        <f t="shared" si="100"/>
        <v>0</v>
      </c>
      <c r="T66" s="47">
        <f t="shared" si="100"/>
        <v>0</v>
      </c>
      <c r="U66" s="47">
        <f t="shared" si="100"/>
        <v>0</v>
      </c>
      <c r="V66" s="47">
        <f t="shared" si="100"/>
        <v>0</v>
      </c>
      <c r="W66" s="47">
        <f t="shared" si="100"/>
        <v>0</v>
      </c>
      <c r="X66" s="47">
        <f t="shared" si="100"/>
        <v>0</v>
      </c>
      <c r="Y66" s="47">
        <f t="shared" si="100"/>
        <v>0</v>
      </c>
      <c r="Z66" s="47">
        <f t="shared" si="100"/>
        <v>0</v>
      </c>
      <c r="AA66" s="47">
        <f t="shared" si="100"/>
        <v>0</v>
      </c>
      <c r="AB66" s="47">
        <f t="shared" si="100"/>
        <v>0</v>
      </c>
      <c r="AC66" s="47">
        <f t="shared" si="100"/>
        <v>0</v>
      </c>
      <c r="AD66" s="47">
        <f t="shared" si="100"/>
        <v>0</v>
      </c>
      <c r="AE66" s="47">
        <f t="shared" si="100"/>
        <v>0</v>
      </c>
      <c r="AF66" s="47">
        <f t="shared" si="100"/>
        <v>0</v>
      </c>
      <c r="AG66" s="47">
        <f t="shared" si="100"/>
        <v>0</v>
      </c>
      <c r="AH66" s="47">
        <f t="shared" si="100"/>
        <v>0</v>
      </c>
      <c r="AI66" s="47">
        <f t="shared" si="100"/>
        <v>0</v>
      </c>
      <c r="AJ66" s="47">
        <f t="shared" ref="AJ66:BO66" si="101">AJ16+AJ23+AJ30+AJ37+AJ44+AJ51+AJ58</f>
        <v>0</v>
      </c>
      <c r="AK66" s="47">
        <f t="shared" si="101"/>
        <v>0</v>
      </c>
      <c r="AL66" s="47">
        <f t="shared" si="101"/>
        <v>0</v>
      </c>
      <c r="AM66" s="47">
        <f t="shared" si="101"/>
        <v>0</v>
      </c>
      <c r="AN66" s="47">
        <f t="shared" si="101"/>
        <v>0</v>
      </c>
      <c r="AO66" s="47">
        <f t="shared" si="101"/>
        <v>0</v>
      </c>
      <c r="AP66" s="47">
        <f t="shared" si="101"/>
        <v>0</v>
      </c>
      <c r="AQ66" s="47">
        <f t="shared" si="101"/>
        <v>0</v>
      </c>
      <c r="AR66" s="47">
        <f t="shared" si="101"/>
        <v>0</v>
      </c>
      <c r="AS66" s="47">
        <f t="shared" si="101"/>
        <v>0</v>
      </c>
      <c r="AT66" s="47">
        <f t="shared" si="101"/>
        <v>0</v>
      </c>
      <c r="AU66" s="47">
        <f t="shared" si="101"/>
        <v>0</v>
      </c>
      <c r="AV66" s="47">
        <f t="shared" si="101"/>
        <v>0</v>
      </c>
      <c r="AW66" s="47">
        <f t="shared" si="101"/>
        <v>0</v>
      </c>
      <c r="AX66" s="47">
        <f t="shared" si="101"/>
        <v>0</v>
      </c>
      <c r="AY66" s="47">
        <f t="shared" si="101"/>
        <v>0</v>
      </c>
      <c r="AZ66" s="47">
        <f t="shared" si="101"/>
        <v>0</v>
      </c>
      <c r="BA66" s="47">
        <f t="shared" si="101"/>
        <v>0</v>
      </c>
      <c r="BB66" s="47">
        <f t="shared" si="101"/>
        <v>0</v>
      </c>
      <c r="BC66" s="47">
        <f t="shared" si="101"/>
        <v>0</v>
      </c>
      <c r="BD66" s="47">
        <f t="shared" si="101"/>
        <v>0</v>
      </c>
      <c r="BE66" s="47">
        <f t="shared" si="101"/>
        <v>0</v>
      </c>
      <c r="BF66" s="47">
        <f t="shared" si="101"/>
        <v>0</v>
      </c>
      <c r="BG66" s="47">
        <f t="shared" si="101"/>
        <v>0</v>
      </c>
      <c r="BH66" s="47">
        <f t="shared" si="101"/>
        <v>0</v>
      </c>
      <c r="BI66" s="47">
        <f t="shared" si="101"/>
        <v>0</v>
      </c>
      <c r="BJ66" s="47">
        <f t="shared" si="101"/>
        <v>0</v>
      </c>
      <c r="BK66" s="47">
        <f t="shared" si="101"/>
        <v>0</v>
      </c>
      <c r="BL66" s="47">
        <f t="shared" si="101"/>
        <v>0</v>
      </c>
      <c r="BM66" s="47">
        <f t="shared" si="101"/>
        <v>0</v>
      </c>
      <c r="BN66" s="47">
        <f t="shared" si="101"/>
        <v>0</v>
      </c>
      <c r="BO66" s="47">
        <f t="shared" si="101"/>
        <v>0</v>
      </c>
      <c r="BP66" s="47">
        <f t="shared" ref="BP66:CC66" si="102">BP16+BP23+BP30+BP37+BP44+BP51+BP58</f>
        <v>0</v>
      </c>
      <c r="BQ66" s="47">
        <f t="shared" si="102"/>
        <v>0</v>
      </c>
      <c r="BR66" s="47">
        <f t="shared" si="102"/>
        <v>0</v>
      </c>
      <c r="BS66" s="47">
        <f t="shared" si="102"/>
        <v>0</v>
      </c>
      <c r="BT66" s="47">
        <f t="shared" si="102"/>
        <v>0</v>
      </c>
      <c r="BU66" s="47">
        <f t="shared" si="102"/>
        <v>0</v>
      </c>
      <c r="BV66" s="47">
        <f t="shared" si="102"/>
        <v>0</v>
      </c>
      <c r="BW66" s="47">
        <f t="shared" si="102"/>
        <v>0</v>
      </c>
      <c r="BX66" s="47">
        <f t="shared" si="102"/>
        <v>0</v>
      </c>
      <c r="BY66" s="47">
        <f t="shared" si="102"/>
        <v>0</v>
      </c>
      <c r="BZ66" s="47">
        <f t="shared" si="102"/>
        <v>0</v>
      </c>
      <c r="CA66" s="47">
        <f t="shared" si="102"/>
        <v>0</v>
      </c>
      <c r="CB66" s="47">
        <f t="shared" si="102"/>
        <v>0</v>
      </c>
      <c r="CC66" s="47">
        <f t="shared" si="102"/>
        <v>0</v>
      </c>
    </row>
    <row r="67" spans="1:81" x14ac:dyDescent="0.2">
      <c r="C67" s="47" t="s">
        <v>213</v>
      </c>
      <c r="D67" s="47">
        <f t="shared" ref="D67:AI67" si="103">D17+D24+D31+D38+D45+D52+D59</f>
        <v>0</v>
      </c>
      <c r="E67" s="47">
        <f t="shared" si="103"/>
        <v>4800</v>
      </c>
      <c r="F67" s="47">
        <f t="shared" si="103"/>
        <v>4800</v>
      </c>
      <c r="G67" s="47">
        <f t="shared" si="103"/>
        <v>3840</v>
      </c>
      <c r="H67" s="47">
        <f t="shared" si="103"/>
        <v>3840</v>
      </c>
      <c r="I67" s="47">
        <f t="shared" si="103"/>
        <v>4800</v>
      </c>
      <c r="J67" s="47">
        <f t="shared" si="103"/>
        <v>3840</v>
      </c>
      <c r="K67" s="47">
        <f t="shared" si="103"/>
        <v>4800</v>
      </c>
      <c r="L67" s="47">
        <f t="shared" si="103"/>
        <v>5760</v>
      </c>
      <c r="M67" s="47">
        <f t="shared" si="103"/>
        <v>7680</v>
      </c>
      <c r="N67" s="47">
        <f t="shared" si="103"/>
        <v>0</v>
      </c>
      <c r="O67" s="47">
        <f t="shared" si="103"/>
        <v>0</v>
      </c>
      <c r="P67" s="47">
        <f t="shared" si="103"/>
        <v>0</v>
      </c>
      <c r="Q67" s="47">
        <f t="shared" si="103"/>
        <v>0</v>
      </c>
      <c r="R67" s="47">
        <f t="shared" si="103"/>
        <v>3840</v>
      </c>
      <c r="S67" s="47">
        <f t="shared" si="103"/>
        <v>3840</v>
      </c>
      <c r="T67" s="47">
        <f t="shared" si="103"/>
        <v>3840</v>
      </c>
      <c r="U67" s="47">
        <f t="shared" si="103"/>
        <v>4080</v>
      </c>
      <c r="V67" s="47">
        <f t="shared" si="103"/>
        <v>4080</v>
      </c>
      <c r="W67" s="47">
        <f t="shared" si="103"/>
        <v>4080</v>
      </c>
      <c r="X67" s="47">
        <f t="shared" si="103"/>
        <v>4080</v>
      </c>
      <c r="Y67" s="47">
        <f t="shared" si="103"/>
        <v>2640</v>
      </c>
      <c r="Z67" s="47">
        <f t="shared" si="103"/>
        <v>2640</v>
      </c>
      <c r="AA67" s="47">
        <f t="shared" si="103"/>
        <v>2640</v>
      </c>
      <c r="AB67" s="47">
        <f t="shared" si="103"/>
        <v>2640</v>
      </c>
      <c r="AC67" s="47">
        <f t="shared" si="103"/>
        <v>3840</v>
      </c>
      <c r="AD67" s="47">
        <f t="shared" si="103"/>
        <v>3840</v>
      </c>
      <c r="AE67" s="47">
        <f t="shared" si="103"/>
        <v>3840</v>
      </c>
      <c r="AF67" s="47">
        <f t="shared" si="103"/>
        <v>3840</v>
      </c>
      <c r="AG67" s="47">
        <f t="shared" si="103"/>
        <v>3840</v>
      </c>
      <c r="AH67" s="47">
        <f t="shared" si="103"/>
        <v>4800</v>
      </c>
      <c r="AI67" s="47">
        <f t="shared" si="103"/>
        <v>4800</v>
      </c>
      <c r="AJ67" s="47">
        <f t="shared" ref="AJ67:BO67" si="104">AJ17+AJ24+AJ31+AJ38+AJ45+AJ52+AJ59</f>
        <v>0</v>
      </c>
      <c r="AK67" s="47">
        <f t="shared" si="104"/>
        <v>0</v>
      </c>
      <c r="AL67" s="47">
        <f t="shared" si="104"/>
        <v>0</v>
      </c>
      <c r="AM67" s="47">
        <f t="shared" si="104"/>
        <v>0</v>
      </c>
      <c r="AN67" s="47">
        <f t="shared" si="104"/>
        <v>3686</v>
      </c>
      <c r="AO67" s="47">
        <f t="shared" si="104"/>
        <v>3686</v>
      </c>
      <c r="AP67" s="47">
        <f t="shared" si="104"/>
        <v>3686</v>
      </c>
      <c r="AQ67" s="47">
        <f t="shared" si="104"/>
        <v>4452</v>
      </c>
      <c r="AR67" s="47">
        <f t="shared" si="104"/>
        <v>4452</v>
      </c>
      <c r="AS67" s="47">
        <f t="shared" si="104"/>
        <v>3562</v>
      </c>
      <c r="AT67" s="47">
        <f t="shared" si="104"/>
        <v>4452</v>
      </c>
      <c r="AU67" s="47">
        <f t="shared" si="104"/>
        <v>4230</v>
      </c>
      <c r="AV67" s="47">
        <f t="shared" si="104"/>
        <v>4230</v>
      </c>
      <c r="AW67" s="47">
        <f t="shared" si="104"/>
        <v>4230</v>
      </c>
      <c r="AX67" s="47">
        <f t="shared" si="104"/>
        <v>4230</v>
      </c>
      <c r="AY67" s="47">
        <f t="shared" si="104"/>
        <v>3384</v>
      </c>
      <c r="AZ67" s="47">
        <f t="shared" si="104"/>
        <v>3384</v>
      </c>
      <c r="BA67" s="47">
        <f t="shared" si="104"/>
        <v>3384</v>
      </c>
      <c r="BB67" s="47">
        <f t="shared" si="104"/>
        <v>3384</v>
      </c>
      <c r="BC67" s="47">
        <f t="shared" si="104"/>
        <v>3384</v>
      </c>
      <c r="BD67" s="47">
        <f t="shared" si="104"/>
        <v>3384</v>
      </c>
      <c r="BE67" s="47">
        <f t="shared" si="104"/>
        <v>3384</v>
      </c>
      <c r="BF67" s="47">
        <f t="shared" si="104"/>
        <v>3384</v>
      </c>
      <c r="BG67" s="47">
        <f t="shared" si="104"/>
        <v>3384</v>
      </c>
      <c r="BH67" s="47">
        <f t="shared" si="104"/>
        <v>3384</v>
      </c>
      <c r="BI67" s="47">
        <f t="shared" si="104"/>
        <v>3384</v>
      </c>
      <c r="BJ67" s="47">
        <f t="shared" si="104"/>
        <v>3384</v>
      </c>
      <c r="BK67" s="47">
        <f t="shared" si="104"/>
        <v>3384</v>
      </c>
      <c r="BL67" s="47">
        <f t="shared" si="104"/>
        <v>3365</v>
      </c>
      <c r="BM67" s="47">
        <f t="shared" si="104"/>
        <v>3365</v>
      </c>
      <c r="BN67" s="47">
        <f t="shared" si="104"/>
        <v>6142</v>
      </c>
      <c r="BO67" s="47">
        <f t="shared" si="104"/>
        <v>0</v>
      </c>
      <c r="BP67" s="47">
        <f t="shared" ref="BP67:CC67" si="105">BP17+BP24+BP31+BP38+BP45+BP52+BP59</f>
        <v>0</v>
      </c>
      <c r="BQ67" s="47">
        <f t="shared" si="105"/>
        <v>0</v>
      </c>
      <c r="BR67" s="47">
        <f t="shared" si="105"/>
        <v>0</v>
      </c>
      <c r="BS67" s="47">
        <f t="shared" si="105"/>
        <v>3365</v>
      </c>
      <c r="BT67" s="47">
        <f t="shared" si="105"/>
        <v>3365</v>
      </c>
      <c r="BU67" s="47">
        <f t="shared" si="105"/>
        <v>3365</v>
      </c>
      <c r="BV67" s="47">
        <f t="shared" si="105"/>
        <v>3365</v>
      </c>
      <c r="BW67" s="47">
        <f t="shared" si="105"/>
        <v>3365</v>
      </c>
      <c r="BX67" s="47">
        <f t="shared" si="105"/>
        <v>3365</v>
      </c>
      <c r="BY67" s="47">
        <f t="shared" si="105"/>
        <v>3365</v>
      </c>
      <c r="BZ67" s="47">
        <f t="shared" si="105"/>
        <v>3365</v>
      </c>
      <c r="CA67" s="47">
        <f t="shared" si="105"/>
        <v>3365</v>
      </c>
      <c r="CB67" s="47">
        <f t="shared" si="105"/>
        <v>3365</v>
      </c>
      <c r="CC67" s="47">
        <f t="shared" si="105"/>
        <v>3365</v>
      </c>
    </row>
    <row r="68" spans="1:81" x14ac:dyDescent="0.2">
      <c r="C68" s="47" t="s">
        <v>252</v>
      </c>
      <c r="D68" s="47">
        <f t="shared" ref="D68:AI68" si="106">D16*$A19+D23*$A26+D30*$A33+D37*$A40+D44*$A47+D51*$A54+D58*$A61</f>
        <v>17760</v>
      </c>
      <c r="E68" s="47">
        <f t="shared" si="106"/>
        <v>17760</v>
      </c>
      <c r="F68" s="47">
        <f t="shared" si="106"/>
        <v>8880</v>
      </c>
      <c r="G68" s="47">
        <f t="shared" si="106"/>
        <v>0</v>
      </c>
      <c r="H68" s="47">
        <f t="shared" si="106"/>
        <v>0</v>
      </c>
      <c r="I68" s="47">
        <f t="shared" si="106"/>
        <v>0</v>
      </c>
      <c r="J68" s="47">
        <f t="shared" si="106"/>
        <v>0</v>
      </c>
      <c r="K68" s="47">
        <f t="shared" si="106"/>
        <v>0</v>
      </c>
      <c r="L68" s="47">
        <f t="shared" si="106"/>
        <v>0</v>
      </c>
      <c r="M68" s="47">
        <f t="shared" si="106"/>
        <v>0</v>
      </c>
      <c r="N68" s="47">
        <f t="shared" si="106"/>
        <v>0</v>
      </c>
      <c r="O68" s="47">
        <f t="shared" si="106"/>
        <v>0</v>
      </c>
      <c r="P68" s="47">
        <f t="shared" si="106"/>
        <v>0</v>
      </c>
      <c r="Q68" s="47">
        <f t="shared" si="106"/>
        <v>0</v>
      </c>
      <c r="R68" s="47">
        <f t="shared" si="106"/>
        <v>0</v>
      </c>
      <c r="S68" s="47">
        <f t="shared" si="106"/>
        <v>0</v>
      </c>
      <c r="T68" s="47">
        <f t="shared" si="106"/>
        <v>0</v>
      </c>
      <c r="U68" s="47">
        <f t="shared" si="106"/>
        <v>0</v>
      </c>
      <c r="V68" s="47">
        <f t="shared" si="106"/>
        <v>0</v>
      </c>
      <c r="W68" s="47">
        <f t="shared" si="106"/>
        <v>0</v>
      </c>
      <c r="X68" s="47">
        <f t="shared" si="106"/>
        <v>0</v>
      </c>
      <c r="Y68" s="47">
        <f t="shared" si="106"/>
        <v>0</v>
      </c>
      <c r="Z68" s="47">
        <f t="shared" si="106"/>
        <v>0</v>
      </c>
      <c r="AA68" s="47">
        <f t="shared" si="106"/>
        <v>0</v>
      </c>
      <c r="AB68" s="47">
        <f t="shared" si="106"/>
        <v>0</v>
      </c>
      <c r="AC68" s="47">
        <f t="shared" si="106"/>
        <v>0</v>
      </c>
      <c r="AD68" s="47">
        <f t="shared" si="106"/>
        <v>0</v>
      </c>
      <c r="AE68" s="47">
        <f t="shared" si="106"/>
        <v>0</v>
      </c>
      <c r="AF68" s="47">
        <f t="shared" si="106"/>
        <v>0</v>
      </c>
      <c r="AG68" s="47">
        <f t="shared" si="106"/>
        <v>0</v>
      </c>
      <c r="AH68" s="47">
        <f t="shared" si="106"/>
        <v>0</v>
      </c>
      <c r="AI68" s="47">
        <f t="shared" si="106"/>
        <v>0</v>
      </c>
      <c r="AJ68" s="47">
        <f t="shared" ref="AJ68:BO68" si="107">AJ16*$A19+AJ23*$A26+AJ30*$A33+AJ37*$A40+AJ44*$A47+AJ51*$A54+AJ58*$A61</f>
        <v>0</v>
      </c>
      <c r="AK68" s="47">
        <f t="shared" si="107"/>
        <v>0</v>
      </c>
      <c r="AL68" s="47">
        <f t="shared" si="107"/>
        <v>0</v>
      </c>
      <c r="AM68" s="47">
        <f t="shared" si="107"/>
        <v>0</v>
      </c>
      <c r="AN68" s="47">
        <f t="shared" si="107"/>
        <v>0</v>
      </c>
      <c r="AO68" s="47">
        <f t="shared" si="107"/>
        <v>0</v>
      </c>
      <c r="AP68" s="47">
        <f t="shared" si="107"/>
        <v>0</v>
      </c>
      <c r="AQ68" s="47">
        <f t="shared" si="107"/>
        <v>0</v>
      </c>
      <c r="AR68" s="47">
        <f t="shared" si="107"/>
        <v>0</v>
      </c>
      <c r="AS68" s="47">
        <f t="shared" si="107"/>
        <v>0</v>
      </c>
      <c r="AT68" s="47">
        <f t="shared" si="107"/>
        <v>0</v>
      </c>
      <c r="AU68" s="47">
        <f t="shared" si="107"/>
        <v>0</v>
      </c>
      <c r="AV68" s="47">
        <f t="shared" si="107"/>
        <v>0</v>
      </c>
      <c r="AW68" s="47">
        <f t="shared" si="107"/>
        <v>0</v>
      </c>
      <c r="AX68" s="47">
        <f t="shared" si="107"/>
        <v>0</v>
      </c>
      <c r="AY68" s="47">
        <f t="shared" si="107"/>
        <v>0</v>
      </c>
      <c r="AZ68" s="47">
        <f t="shared" si="107"/>
        <v>0</v>
      </c>
      <c r="BA68" s="47">
        <f t="shared" si="107"/>
        <v>0</v>
      </c>
      <c r="BB68" s="47">
        <f t="shared" si="107"/>
        <v>0</v>
      </c>
      <c r="BC68" s="47">
        <f t="shared" si="107"/>
        <v>0</v>
      </c>
      <c r="BD68" s="47">
        <f t="shared" si="107"/>
        <v>0</v>
      </c>
      <c r="BE68" s="47">
        <f t="shared" si="107"/>
        <v>0</v>
      </c>
      <c r="BF68" s="47">
        <f t="shared" si="107"/>
        <v>0</v>
      </c>
      <c r="BG68" s="47">
        <f t="shared" si="107"/>
        <v>0</v>
      </c>
      <c r="BH68" s="47">
        <f t="shared" si="107"/>
        <v>0</v>
      </c>
      <c r="BI68" s="47">
        <f t="shared" si="107"/>
        <v>0</v>
      </c>
      <c r="BJ68" s="47">
        <f t="shared" si="107"/>
        <v>0</v>
      </c>
      <c r="BK68" s="47">
        <f t="shared" si="107"/>
        <v>0</v>
      </c>
      <c r="BL68" s="47">
        <f t="shared" si="107"/>
        <v>0</v>
      </c>
      <c r="BM68" s="47">
        <f t="shared" si="107"/>
        <v>0</v>
      </c>
      <c r="BN68" s="47">
        <f t="shared" si="107"/>
        <v>0</v>
      </c>
      <c r="BO68" s="47">
        <f t="shared" si="107"/>
        <v>0</v>
      </c>
      <c r="BP68" s="47">
        <f t="shared" ref="BP68:CC68" si="108">BP16*$A19+BP23*$A26+BP30*$A33+BP37*$A40+BP44*$A47+BP51*$A54+BP58*$A61</f>
        <v>0</v>
      </c>
      <c r="BQ68" s="47">
        <f t="shared" si="108"/>
        <v>0</v>
      </c>
      <c r="BR68" s="47">
        <f t="shared" si="108"/>
        <v>0</v>
      </c>
      <c r="BS68" s="47">
        <f t="shared" si="108"/>
        <v>0</v>
      </c>
      <c r="BT68" s="47">
        <f t="shared" si="108"/>
        <v>0</v>
      </c>
      <c r="BU68" s="47">
        <f t="shared" si="108"/>
        <v>0</v>
      </c>
      <c r="BV68" s="47">
        <f t="shared" si="108"/>
        <v>0</v>
      </c>
      <c r="BW68" s="47">
        <f t="shared" si="108"/>
        <v>0</v>
      </c>
      <c r="BX68" s="47">
        <f t="shared" si="108"/>
        <v>0</v>
      </c>
      <c r="BY68" s="47">
        <f t="shared" si="108"/>
        <v>0</v>
      </c>
      <c r="BZ68" s="47">
        <f t="shared" si="108"/>
        <v>0</v>
      </c>
      <c r="CA68" s="47">
        <f t="shared" si="108"/>
        <v>0</v>
      </c>
      <c r="CB68" s="47">
        <f t="shared" si="108"/>
        <v>0</v>
      </c>
      <c r="CC68" s="47">
        <f t="shared" si="108"/>
        <v>0</v>
      </c>
    </row>
    <row r="69" spans="1:81" x14ac:dyDescent="0.2">
      <c r="C69" s="47" t="s">
        <v>253</v>
      </c>
      <c r="D69" s="48">
        <f t="shared" ref="D69:AI69" si="109">ROUND(IF(D95=0,0,D81/D95*100),1)/100</f>
        <v>1.2109999999999999</v>
      </c>
      <c r="E69" s="48">
        <f t="shared" si="109"/>
        <v>1.2109999999999999</v>
      </c>
      <c r="F69" s="48">
        <f t="shared" si="109"/>
        <v>1.2109999999999999</v>
      </c>
      <c r="G69" s="48">
        <f t="shared" si="109"/>
        <v>0</v>
      </c>
      <c r="H69" s="48">
        <f t="shared" si="109"/>
        <v>0</v>
      </c>
      <c r="I69" s="48">
        <f t="shared" si="109"/>
        <v>0</v>
      </c>
      <c r="J69" s="48">
        <f t="shared" si="109"/>
        <v>0</v>
      </c>
      <c r="K69" s="48">
        <f t="shared" si="109"/>
        <v>0</v>
      </c>
      <c r="L69" s="48">
        <f t="shared" si="109"/>
        <v>0</v>
      </c>
      <c r="M69" s="48">
        <f t="shared" si="109"/>
        <v>0</v>
      </c>
      <c r="N69" s="48">
        <f t="shared" si="109"/>
        <v>0</v>
      </c>
      <c r="O69" s="48">
        <f t="shared" si="109"/>
        <v>0</v>
      </c>
      <c r="P69" s="48">
        <f t="shared" si="109"/>
        <v>0</v>
      </c>
      <c r="Q69" s="48">
        <f t="shared" si="109"/>
        <v>0</v>
      </c>
      <c r="R69" s="48">
        <f t="shared" si="109"/>
        <v>0</v>
      </c>
      <c r="S69" s="48">
        <f t="shared" si="109"/>
        <v>0</v>
      </c>
      <c r="T69" s="48">
        <f t="shared" si="109"/>
        <v>0</v>
      </c>
      <c r="U69" s="48">
        <f t="shared" si="109"/>
        <v>0</v>
      </c>
      <c r="V69" s="48">
        <f t="shared" si="109"/>
        <v>0</v>
      </c>
      <c r="W69" s="48">
        <f t="shared" si="109"/>
        <v>0</v>
      </c>
      <c r="X69" s="48">
        <f t="shared" si="109"/>
        <v>0</v>
      </c>
      <c r="Y69" s="48">
        <f t="shared" si="109"/>
        <v>0</v>
      </c>
      <c r="Z69" s="48">
        <f t="shared" si="109"/>
        <v>0</v>
      </c>
      <c r="AA69" s="48">
        <f t="shared" si="109"/>
        <v>0</v>
      </c>
      <c r="AB69" s="48">
        <f t="shared" si="109"/>
        <v>0</v>
      </c>
      <c r="AC69" s="48">
        <f t="shared" si="109"/>
        <v>0</v>
      </c>
      <c r="AD69" s="48">
        <f t="shared" si="109"/>
        <v>0</v>
      </c>
      <c r="AE69" s="48">
        <f t="shared" si="109"/>
        <v>0</v>
      </c>
      <c r="AF69" s="48">
        <f t="shared" si="109"/>
        <v>0</v>
      </c>
      <c r="AG69" s="48">
        <f t="shared" si="109"/>
        <v>0</v>
      </c>
      <c r="AH69" s="48">
        <f t="shared" si="109"/>
        <v>0</v>
      </c>
      <c r="AI69" s="48">
        <f t="shared" si="109"/>
        <v>0</v>
      </c>
      <c r="AJ69" s="48">
        <f t="shared" ref="AJ69:BO69" si="110">ROUND(IF(AJ95=0,0,AJ81/AJ95*100),1)/100</f>
        <v>0</v>
      </c>
      <c r="AK69" s="48">
        <f t="shared" si="110"/>
        <v>0</v>
      </c>
      <c r="AL69" s="48">
        <f t="shared" si="110"/>
        <v>0</v>
      </c>
      <c r="AM69" s="48">
        <f t="shared" si="110"/>
        <v>0</v>
      </c>
      <c r="AN69" s="48">
        <f t="shared" si="110"/>
        <v>0</v>
      </c>
      <c r="AO69" s="48">
        <f t="shared" si="110"/>
        <v>0</v>
      </c>
      <c r="AP69" s="48">
        <f t="shared" si="110"/>
        <v>0</v>
      </c>
      <c r="AQ69" s="48">
        <f t="shared" si="110"/>
        <v>0</v>
      </c>
      <c r="AR69" s="48">
        <f t="shared" si="110"/>
        <v>0</v>
      </c>
      <c r="AS69" s="48">
        <f t="shared" si="110"/>
        <v>0</v>
      </c>
      <c r="AT69" s="48">
        <f t="shared" si="110"/>
        <v>0</v>
      </c>
      <c r="AU69" s="48">
        <f t="shared" si="110"/>
        <v>0</v>
      </c>
      <c r="AV69" s="48">
        <f t="shared" si="110"/>
        <v>0</v>
      </c>
      <c r="AW69" s="48">
        <f t="shared" si="110"/>
        <v>0</v>
      </c>
      <c r="AX69" s="48">
        <f t="shared" si="110"/>
        <v>0</v>
      </c>
      <c r="AY69" s="48">
        <f t="shared" si="110"/>
        <v>0</v>
      </c>
      <c r="AZ69" s="48">
        <f t="shared" si="110"/>
        <v>0</v>
      </c>
      <c r="BA69" s="48">
        <f t="shared" si="110"/>
        <v>0</v>
      </c>
      <c r="BB69" s="48">
        <f t="shared" si="110"/>
        <v>0</v>
      </c>
      <c r="BC69" s="48">
        <f t="shared" si="110"/>
        <v>0</v>
      </c>
      <c r="BD69" s="48">
        <f t="shared" si="110"/>
        <v>0</v>
      </c>
      <c r="BE69" s="48">
        <f t="shared" si="110"/>
        <v>0</v>
      </c>
      <c r="BF69" s="48">
        <f t="shared" si="110"/>
        <v>0</v>
      </c>
      <c r="BG69" s="48">
        <f t="shared" si="110"/>
        <v>0</v>
      </c>
      <c r="BH69" s="48">
        <f t="shared" si="110"/>
        <v>0</v>
      </c>
      <c r="BI69" s="48">
        <f t="shared" si="110"/>
        <v>0</v>
      </c>
      <c r="BJ69" s="48">
        <f t="shared" si="110"/>
        <v>0</v>
      </c>
      <c r="BK69" s="48">
        <f t="shared" si="110"/>
        <v>0</v>
      </c>
      <c r="BL69" s="48">
        <f t="shared" si="110"/>
        <v>0</v>
      </c>
      <c r="BM69" s="48">
        <f t="shared" si="110"/>
        <v>0</v>
      </c>
      <c r="BN69" s="48">
        <f t="shared" si="110"/>
        <v>0</v>
      </c>
      <c r="BO69" s="48">
        <f t="shared" si="110"/>
        <v>0</v>
      </c>
      <c r="BP69" s="48">
        <f t="shared" ref="BP69:CC69" si="111">ROUND(IF(BP95=0,0,BP81/BP95*100),1)/100</f>
        <v>0</v>
      </c>
      <c r="BQ69" s="48">
        <f t="shared" si="111"/>
        <v>0</v>
      </c>
      <c r="BR69" s="48">
        <f t="shared" si="111"/>
        <v>0</v>
      </c>
      <c r="BS69" s="48">
        <f t="shared" si="111"/>
        <v>0</v>
      </c>
      <c r="BT69" s="48">
        <f t="shared" si="111"/>
        <v>0</v>
      </c>
      <c r="BU69" s="48">
        <f t="shared" si="111"/>
        <v>0</v>
      </c>
      <c r="BV69" s="48">
        <f t="shared" si="111"/>
        <v>0</v>
      </c>
      <c r="BW69" s="48">
        <f t="shared" si="111"/>
        <v>0</v>
      </c>
      <c r="BX69" s="48">
        <f t="shared" si="111"/>
        <v>0</v>
      </c>
      <c r="BY69" s="48">
        <f t="shared" si="111"/>
        <v>0</v>
      </c>
      <c r="BZ69" s="48">
        <f t="shared" si="111"/>
        <v>0</v>
      </c>
      <c r="CA69" s="48">
        <f t="shared" si="111"/>
        <v>0</v>
      </c>
      <c r="CB69" s="48">
        <f t="shared" si="111"/>
        <v>0</v>
      </c>
      <c r="CC69" s="48">
        <f t="shared" si="111"/>
        <v>0</v>
      </c>
    </row>
    <row r="70" spans="1:81" x14ac:dyDescent="0.2">
      <c r="C70" s="49" t="s">
        <v>215</v>
      </c>
      <c r="D70" s="49">
        <f t="shared" ref="D70:AI70" si="112">IF(D67=0,0, ROUND(D64 * 1/D67*D$13,1))</f>
        <v>0</v>
      </c>
      <c r="E70" s="49">
        <f t="shared" si="112"/>
        <v>28.5</v>
      </c>
      <c r="F70" s="49">
        <f t="shared" si="112"/>
        <v>23.5</v>
      </c>
      <c r="G70" s="49">
        <f t="shared" si="112"/>
        <v>23.1</v>
      </c>
      <c r="H70" s="49">
        <f t="shared" si="112"/>
        <v>18.100000000000001</v>
      </c>
      <c r="I70" s="49">
        <f t="shared" si="112"/>
        <v>15.1</v>
      </c>
      <c r="J70" s="49">
        <f t="shared" si="112"/>
        <v>18.399999999999999</v>
      </c>
      <c r="K70" s="49">
        <f t="shared" si="112"/>
        <v>13.1</v>
      </c>
      <c r="L70" s="49">
        <f t="shared" si="112"/>
        <v>6.7</v>
      </c>
      <c r="M70" s="49">
        <f t="shared" si="112"/>
        <v>1.3</v>
      </c>
      <c r="N70" s="49">
        <f t="shared" si="112"/>
        <v>0</v>
      </c>
      <c r="O70" s="49">
        <f t="shared" si="112"/>
        <v>0</v>
      </c>
      <c r="P70" s="49">
        <f t="shared" si="112"/>
        <v>0</v>
      </c>
      <c r="Q70" s="49">
        <f t="shared" si="112"/>
        <v>0</v>
      </c>
      <c r="R70" s="49">
        <f t="shared" si="112"/>
        <v>-7.4</v>
      </c>
      <c r="S70" s="49">
        <f t="shared" si="112"/>
        <v>-12.4</v>
      </c>
      <c r="T70" s="49">
        <f t="shared" si="112"/>
        <v>-17.399999999999999</v>
      </c>
      <c r="U70" s="49">
        <f t="shared" si="112"/>
        <v>-21.1</v>
      </c>
      <c r="V70" s="49">
        <f t="shared" si="112"/>
        <v>-26.1</v>
      </c>
      <c r="W70" s="49">
        <f t="shared" si="112"/>
        <v>-31.1</v>
      </c>
      <c r="X70" s="49">
        <f t="shared" si="112"/>
        <v>-36.1</v>
      </c>
      <c r="Y70" s="49">
        <f t="shared" si="112"/>
        <v>-63.5</v>
      </c>
      <c r="Z70" s="49">
        <f t="shared" si="112"/>
        <v>-68.5</v>
      </c>
      <c r="AA70" s="49">
        <f t="shared" si="112"/>
        <v>-73.5</v>
      </c>
      <c r="AB70" s="49">
        <f t="shared" si="112"/>
        <v>-78.5</v>
      </c>
      <c r="AC70" s="49">
        <f t="shared" si="112"/>
        <v>-57.4</v>
      </c>
      <c r="AD70" s="49">
        <f t="shared" si="112"/>
        <v>-62.4</v>
      </c>
      <c r="AE70" s="49">
        <f t="shared" si="112"/>
        <v>-67.400000000000006</v>
      </c>
      <c r="AF70" s="49">
        <f t="shared" si="112"/>
        <v>-72.400000000000006</v>
      </c>
      <c r="AG70" s="49">
        <f t="shared" si="112"/>
        <v>-77.400000000000006</v>
      </c>
      <c r="AH70" s="49">
        <f t="shared" si="112"/>
        <v>-65.900000000000006</v>
      </c>
      <c r="AI70" s="49">
        <f t="shared" si="112"/>
        <v>-70.900000000000006</v>
      </c>
      <c r="AJ70" s="49">
        <f t="shared" ref="AJ70:BO70" si="113">IF(AJ67=0,0, ROUND(AJ64 * 1/AJ67*AJ$13,1))</f>
        <v>0</v>
      </c>
      <c r="AK70" s="49">
        <f t="shared" si="113"/>
        <v>0</v>
      </c>
      <c r="AL70" s="49">
        <f t="shared" si="113"/>
        <v>0</v>
      </c>
      <c r="AM70" s="49">
        <f t="shared" si="113"/>
        <v>0</v>
      </c>
      <c r="AN70" s="49">
        <f t="shared" si="113"/>
        <v>-98.9</v>
      </c>
      <c r="AO70" s="49">
        <f t="shared" si="113"/>
        <v>-103.9</v>
      </c>
      <c r="AP70" s="49">
        <f t="shared" si="113"/>
        <v>-108.9</v>
      </c>
      <c r="AQ70" s="49">
        <f t="shared" si="113"/>
        <v>-94.3</v>
      </c>
      <c r="AR70" s="49">
        <f t="shared" si="113"/>
        <v>-99.3</v>
      </c>
      <c r="AS70" s="49">
        <f t="shared" si="113"/>
        <v>-130.4</v>
      </c>
      <c r="AT70" s="49">
        <f t="shared" si="113"/>
        <v>-108.3</v>
      </c>
      <c r="AU70" s="49">
        <f t="shared" si="113"/>
        <v>-119.2</v>
      </c>
      <c r="AV70" s="49">
        <f t="shared" si="113"/>
        <v>-124.2</v>
      </c>
      <c r="AW70" s="49">
        <f t="shared" si="113"/>
        <v>-129.19999999999999</v>
      </c>
      <c r="AX70" s="49">
        <f t="shared" si="113"/>
        <v>-134.19999999999999</v>
      </c>
      <c r="AY70" s="49">
        <f t="shared" si="113"/>
        <v>-174</v>
      </c>
      <c r="AZ70" s="49">
        <f t="shared" si="113"/>
        <v>-179</v>
      </c>
      <c r="BA70" s="49">
        <f t="shared" si="113"/>
        <v>-184</v>
      </c>
      <c r="BB70" s="49">
        <f t="shared" si="113"/>
        <v>-189</v>
      </c>
      <c r="BC70" s="49">
        <f t="shared" si="113"/>
        <v>-194</v>
      </c>
      <c r="BD70" s="49">
        <f t="shared" si="113"/>
        <v>-199</v>
      </c>
      <c r="BE70" s="49">
        <f t="shared" si="113"/>
        <v>-204</v>
      </c>
      <c r="BF70" s="49">
        <f t="shared" si="113"/>
        <v>-209</v>
      </c>
      <c r="BG70" s="49">
        <f t="shared" si="113"/>
        <v>-214</v>
      </c>
      <c r="BH70" s="49">
        <f t="shared" si="113"/>
        <v>-219</v>
      </c>
      <c r="BI70" s="49">
        <f t="shared" si="113"/>
        <v>-224</v>
      </c>
      <c r="BJ70" s="49">
        <f t="shared" si="113"/>
        <v>-229</v>
      </c>
      <c r="BK70" s="49">
        <f t="shared" si="113"/>
        <v>-234</v>
      </c>
      <c r="BL70" s="49">
        <f t="shared" si="113"/>
        <v>-240.4</v>
      </c>
      <c r="BM70" s="49">
        <f t="shared" si="113"/>
        <v>-245.4</v>
      </c>
      <c r="BN70" s="49">
        <f t="shared" si="113"/>
        <v>-137.19999999999999</v>
      </c>
      <c r="BO70" s="49">
        <f t="shared" si="113"/>
        <v>0</v>
      </c>
      <c r="BP70" s="49">
        <f t="shared" ref="BP70:CC70" si="114">IF(BP67=0,0, ROUND(BP64 * 1/BP67*BP$13,1))</f>
        <v>0</v>
      </c>
      <c r="BQ70" s="49">
        <f t="shared" si="114"/>
        <v>0</v>
      </c>
      <c r="BR70" s="49">
        <f t="shared" si="114"/>
        <v>0</v>
      </c>
      <c r="BS70" s="49">
        <f t="shared" si="114"/>
        <v>-259.5</v>
      </c>
      <c r="BT70" s="49">
        <f t="shared" si="114"/>
        <v>-264.5</v>
      </c>
      <c r="BU70" s="49">
        <f t="shared" si="114"/>
        <v>-269.5</v>
      </c>
      <c r="BV70" s="49">
        <f t="shared" si="114"/>
        <v>-274.5</v>
      </c>
      <c r="BW70" s="49">
        <f t="shared" si="114"/>
        <v>-279.5</v>
      </c>
      <c r="BX70" s="49">
        <f t="shared" si="114"/>
        <v>-284.5</v>
      </c>
      <c r="BY70" s="49">
        <f t="shared" si="114"/>
        <v>-289.5</v>
      </c>
      <c r="BZ70" s="49">
        <f t="shared" si="114"/>
        <v>-294.5</v>
      </c>
      <c r="CA70" s="49">
        <f t="shared" si="114"/>
        <v>-299.5</v>
      </c>
      <c r="CB70" s="49">
        <f t="shared" si="114"/>
        <v>-304.5</v>
      </c>
      <c r="CC70" s="49">
        <f t="shared" si="114"/>
        <v>-309.5</v>
      </c>
    </row>
    <row r="71" spans="1:81" x14ac:dyDescent="0.2">
      <c r="C71" s="39" t="s">
        <v>254</v>
      </c>
      <c r="D71" s="39">
        <v>6</v>
      </c>
      <c r="E71" s="39">
        <v>6</v>
      </c>
      <c r="F71" s="39">
        <v>0</v>
      </c>
      <c r="G71" s="39">
        <v>6</v>
      </c>
      <c r="H71" s="39">
        <v>6</v>
      </c>
      <c r="I71" s="39">
        <v>5</v>
      </c>
      <c r="J71" s="39">
        <v>4</v>
      </c>
      <c r="K71" s="39">
        <v>5</v>
      </c>
      <c r="L71" s="39">
        <v>6</v>
      </c>
      <c r="M71" s="39">
        <v>6</v>
      </c>
      <c r="N71" s="39">
        <v>5</v>
      </c>
      <c r="O71" s="39">
        <v>6</v>
      </c>
      <c r="P71" s="39">
        <v>0</v>
      </c>
      <c r="Q71" s="39">
        <v>0</v>
      </c>
      <c r="R71" s="39">
        <v>6</v>
      </c>
      <c r="S71" s="39">
        <v>5</v>
      </c>
      <c r="T71" s="39">
        <v>6</v>
      </c>
      <c r="U71" s="39">
        <v>6</v>
      </c>
      <c r="V71" s="39">
        <v>6</v>
      </c>
      <c r="W71" s="39">
        <v>4</v>
      </c>
      <c r="X71" s="39">
        <v>6</v>
      </c>
      <c r="Y71" s="39">
        <v>5</v>
      </c>
      <c r="Z71" s="39">
        <v>6</v>
      </c>
      <c r="AA71" s="39">
        <v>6</v>
      </c>
      <c r="AB71" s="39">
        <v>6</v>
      </c>
      <c r="AC71" s="39">
        <v>6</v>
      </c>
      <c r="AD71" s="39">
        <v>6</v>
      </c>
      <c r="AE71" s="39">
        <v>6</v>
      </c>
      <c r="AF71" s="39">
        <v>6</v>
      </c>
      <c r="AG71" s="39">
        <v>6</v>
      </c>
      <c r="AH71" s="39">
        <v>6</v>
      </c>
      <c r="AI71" s="39">
        <v>6</v>
      </c>
      <c r="AJ71" s="39">
        <v>4</v>
      </c>
      <c r="AK71" s="39">
        <v>0</v>
      </c>
      <c r="AL71" s="39">
        <v>6</v>
      </c>
      <c r="AM71" s="39">
        <v>5</v>
      </c>
      <c r="AN71" s="39">
        <v>6</v>
      </c>
      <c r="AO71" s="39">
        <v>6</v>
      </c>
      <c r="AP71" s="39">
        <v>5</v>
      </c>
      <c r="AQ71" s="39">
        <v>6</v>
      </c>
      <c r="AR71" s="39">
        <v>5</v>
      </c>
      <c r="AS71" s="39">
        <v>6</v>
      </c>
      <c r="AT71" s="39">
        <v>6</v>
      </c>
      <c r="AU71" s="39">
        <v>6</v>
      </c>
      <c r="AV71" s="39">
        <v>3</v>
      </c>
      <c r="AW71" s="39">
        <v>5</v>
      </c>
      <c r="AX71" s="39">
        <v>6</v>
      </c>
      <c r="AY71" s="39">
        <v>3</v>
      </c>
      <c r="AZ71" s="39">
        <v>6</v>
      </c>
      <c r="BA71" s="39">
        <v>6</v>
      </c>
      <c r="BB71" s="39">
        <v>5</v>
      </c>
      <c r="BC71" s="39">
        <v>5</v>
      </c>
      <c r="BD71" s="39">
        <v>5</v>
      </c>
      <c r="BE71" s="39">
        <v>5</v>
      </c>
      <c r="BF71" s="39">
        <v>5</v>
      </c>
      <c r="BG71" s="39">
        <v>5</v>
      </c>
      <c r="BH71" s="39">
        <v>5</v>
      </c>
      <c r="BI71" s="39">
        <v>5</v>
      </c>
      <c r="BJ71" s="39">
        <v>5</v>
      </c>
      <c r="BK71" s="39">
        <v>5</v>
      </c>
      <c r="BL71" s="39">
        <v>5</v>
      </c>
      <c r="BM71" s="39">
        <v>5</v>
      </c>
      <c r="BN71" s="39">
        <v>5</v>
      </c>
      <c r="BO71" s="39">
        <v>5</v>
      </c>
      <c r="BP71" s="39">
        <v>5</v>
      </c>
      <c r="BQ71" s="39">
        <v>5</v>
      </c>
      <c r="BR71" s="39">
        <v>5</v>
      </c>
      <c r="BS71" s="39">
        <v>5</v>
      </c>
      <c r="BT71" s="39">
        <v>5</v>
      </c>
      <c r="BU71" s="39">
        <v>5</v>
      </c>
      <c r="BV71" s="39">
        <v>5</v>
      </c>
      <c r="BW71" s="39">
        <v>5</v>
      </c>
      <c r="BX71" s="39">
        <v>5</v>
      </c>
      <c r="BY71" s="39">
        <v>5</v>
      </c>
      <c r="BZ71" s="39">
        <v>5</v>
      </c>
      <c r="CA71" s="39">
        <v>5</v>
      </c>
      <c r="CB71" s="39">
        <v>5</v>
      </c>
      <c r="CC71" s="39">
        <v>5</v>
      </c>
    </row>
    <row r="72" spans="1:81" x14ac:dyDescent="0.2">
      <c r="C72" s="50" t="s">
        <v>255</v>
      </c>
      <c r="D72" s="50">
        <f t="array" aca="1" ref="D72:CC72" ca="1">TRANSPOSE('T-ADIENT CHUSION'!K12:K89)</f>
        <v>4410</v>
      </c>
      <c r="E72" s="50">
        <f ca="1"/>
        <v>4410</v>
      </c>
      <c r="F72" s="50">
        <f ca="1"/>
        <v>2205</v>
      </c>
      <c r="G72" s="50">
        <f ca="1"/>
        <v>3675</v>
      </c>
      <c r="H72" s="50">
        <f ca="1"/>
        <v>4410</v>
      </c>
      <c r="I72" s="50">
        <f ca="1"/>
        <v>3675</v>
      </c>
      <c r="J72" s="50">
        <f ca="1"/>
        <v>4410</v>
      </c>
      <c r="K72" s="50">
        <f ca="1"/>
        <v>3150</v>
      </c>
      <c r="L72" s="50">
        <f ca="1"/>
        <v>3780</v>
      </c>
      <c r="M72" s="50">
        <f ca="1"/>
        <v>0</v>
      </c>
      <c r="N72" s="50">
        <f ca="1"/>
        <v>0</v>
      </c>
      <c r="O72" s="50">
        <f ca="1"/>
        <v>3780</v>
      </c>
      <c r="P72" s="50">
        <f ca="1"/>
        <v>3780</v>
      </c>
      <c r="Q72" s="50">
        <f ca="1"/>
        <v>3780</v>
      </c>
      <c r="R72" s="50">
        <f ca="1"/>
        <v>3780</v>
      </c>
      <c r="S72" s="50">
        <f ca="1"/>
        <v>3150</v>
      </c>
      <c r="T72" s="50">
        <f ca="1"/>
        <v>3780</v>
      </c>
      <c r="U72" s="50">
        <f ca="1"/>
        <v>3780</v>
      </c>
      <c r="V72" s="50">
        <f ca="1"/>
        <v>3780</v>
      </c>
      <c r="W72" s="50">
        <f ca="1"/>
        <v>2520</v>
      </c>
      <c r="X72" s="50">
        <f ca="1"/>
        <v>3150</v>
      </c>
      <c r="Y72" s="50">
        <f ca="1"/>
        <v>3150</v>
      </c>
      <c r="Z72" s="50">
        <f ca="1"/>
        <v>3780</v>
      </c>
      <c r="AA72" s="50">
        <f ca="1"/>
        <v>3780</v>
      </c>
      <c r="AB72" s="50">
        <f ca="1"/>
        <v>3780</v>
      </c>
      <c r="AC72" s="50">
        <f ca="1"/>
        <v>3780</v>
      </c>
      <c r="AD72" s="50">
        <f ca="1"/>
        <v>3780</v>
      </c>
      <c r="AE72" s="50">
        <f ca="1"/>
        <v>3780</v>
      </c>
      <c r="AF72" s="50">
        <f ca="1"/>
        <v>3780</v>
      </c>
      <c r="AG72" s="50">
        <f ca="1"/>
        <v>3780</v>
      </c>
      <c r="AH72" s="50">
        <f ca="1"/>
        <v>3780</v>
      </c>
      <c r="AI72" s="50">
        <f ca="1"/>
        <v>3780</v>
      </c>
      <c r="AJ72" s="50">
        <f ca="1"/>
        <v>3780</v>
      </c>
      <c r="AK72" s="50">
        <f ca="1"/>
        <v>0</v>
      </c>
      <c r="AL72" s="50">
        <f ca="1"/>
        <v>3780</v>
      </c>
      <c r="AM72" s="50">
        <f ca="1"/>
        <v>2520</v>
      </c>
      <c r="AN72" s="50">
        <f ca="1"/>
        <v>3780</v>
      </c>
      <c r="AO72" s="50">
        <f ca="1"/>
        <v>3780</v>
      </c>
      <c r="AP72" s="50">
        <f ca="1"/>
        <v>3150</v>
      </c>
      <c r="AQ72" s="50">
        <f ca="1"/>
        <v>3780</v>
      </c>
      <c r="AR72" s="50">
        <f ca="1"/>
        <v>1838</v>
      </c>
      <c r="AS72" s="50">
        <f ca="1"/>
        <v>2205</v>
      </c>
      <c r="AT72" s="50">
        <f ca="1"/>
        <v>2205</v>
      </c>
      <c r="AU72" s="50">
        <f ca="1"/>
        <v>2205</v>
      </c>
      <c r="AV72" s="50">
        <f ca="1"/>
        <v>1103</v>
      </c>
      <c r="AW72" s="50">
        <f ca="1"/>
        <v>2940</v>
      </c>
      <c r="AX72" s="50">
        <f ca="1"/>
        <v>4410</v>
      </c>
      <c r="AY72" s="50">
        <f ca="1"/>
        <v>2940</v>
      </c>
      <c r="AZ72" s="50">
        <f ca="1"/>
        <v>4410</v>
      </c>
      <c r="BA72" s="50">
        <f ca="1"/>
        <v>4410</v>
      </c>
      <c r="BB72" s="50">
        <f ca="1"/>
        <v>2205</v>
      </c>
      <c r="BC72" s="50">
        <f ca="1"/>
        <v>3780</v>
      </c>
      <c r="BD72" s="50">
        <f ca="1"/>
        <v>1890</v>
      </c>
      <c r="BE72" s="50">
        <f ca="1"/>
        <v>3780</v>
      </c>
      <c r="BF72" s="50">
        <f ca="1"/>
        <v>3780</v>
      </c>
      <c r="BG72" s="50">
        <f ca="1"/>
        <v>3780</v>
      </c>
      <c r="BH72" s="50">
        <f ca="1"/>
        <v>3780</v>
      </c>
      <c r="BI72" s="50">
        <f ca="1"/>
        <v>3150</v>
      </c>
      <c r="BJ72" s="50">
        <f ca="1"/>
        <v>3780</v>
      </c>
      <c r="BK72" s="50">
        <f ca="1"/>
        <v>2520</v>
      </c>
      <c r="BL72" s="50">
        <f ca="1"/>
        <v>630</v>
      </c>
      <c r="BM72" s="50">
        <f ca="1"/>
        <v>3780</v>
      </c>
      <c r="BN72" s="50">
        <f ca="1"/>
        <v>3780</v>
      </c>
      <c r="BO72" s="50">
        <f ca="1"/>
        <v>3150</v>
      </c>
      <c r="BP72" s="50">
        <f ca="1"/>
        <v>3780</v>
      </c>
      <c r="BQ72" s="50">
        <f ca="1"/>
        <v>0</v>
      </c>
      <c r="BR72" s="50">
        <f ca="1"/>
        <v>0</v>
      </c>
      <c r="BS72" s="50">
        <f ca="1"/>
        <v>3150</v>
      </c>
      <c r="BT72" s="50">
        <f ca="1"/>
        <v>3780</v>
      </c>
      <c r="BU72" s="50">
        <f ca="1"/>
        <v>3780</v>
      </c>
      <c r="BV72" s="50">
        <f ca="1"/>
        <v>3780</v>
      </c>
      <c r="BW72" s="50">
        <f ca="1"/>
        <v>3780</v>
      </c>
      <c r="BX72" s="50">
        <f ca="1"/>
        <v>2520</v>
      </c>
      <c r="BY72" s="50">
        <f ca="1"/>
        <v>3780</v>
      </c>
      <c r="BZ72" s="50">
        <f ca="1"/>
        <v>3150</v>
      </c>
      <c r="CA72" s="50">
        <f ca="1"/>
        <v>3780</v>
      </c>
      <c r="CB72" s="50">
        <f ca="1"/>
        <v>3780</v>
      </c>
      <c r="CC72" s="50">
        <f ca="1"/>
        <v>3780</v>
      </c>
    </row>
    <row r="73" spans="1:81" x14ac:dyDescent="0.2">
      <c r="C73" s="39" t="s">
        <v>256</v>
      </c>
      <c r="D73" s="39">
        <f t="shared" ref="D73:AI73" ca="1" si="115">D72-D66</f>
        <v>-30</v>
      </c>
      <c r="E73" s="39">
        <f t="shared" ca="1" si="115"/>
        <v>-30</v>
      </c>
      <c r="F73" s="39">
        <f t="shared" ca="1" si="115"/>
        <v>-15</v>
      </c>
      <c r="G73" s="39">
        <f t="shared" ca="1" si="115"/>
        <v>3675</v>
      </c>
      <c r="H73" s="39">
        <f t="shared" ca="1" si="115"/>
        <v>4410</v>
      </c>
      <c r="I73" s="39">
        <f t="shared" ca="1" si="115"/>
        <v>3675</v>
      </c>
      <c r="J73" s="39">
        <f t="shared" ca="1" si="115"/>
        <v>4410</v>
      </c>
      <c r="K73" s="39">
        <f t="shared" ca="1" si="115"/>
        <v>3150</v>
      </c>
      <c r="L73" s="39">
        <f t="shared" ca="1" si="115"/>
        <v>3780</v>
      </c>
      <c r="M73" s="39">
        <f t="shared" ca="1" si="115"/>
        <v>0</v>
      </c>
      <c r="N73" s="39">
        <f t="shared" ca="1" si="115"/>
        <v>0</v>
      </c>
      <c r="O73" s="39">
        <f t="shared" ca="1" si="115"/>
        <v>3780</v>
      </c>
      <c r="P73" s="39">
        <f t="shared" ca="1" si="115"/>
        <v>3780</v>
      </c>
      <c r="Q73" s="39">
        <f t="shared" ca="1" si="115"/>
        <v>3780</v>
      </c>
      <c r="R73" s="39">
        <f t="shared" ca="1" si="115"/>
        <v>3780</v>
      </c>
      <c r="S73" s="39">
        <f t="shared" ca="1" si="115"/>
        <v>3150</v>
      </c>
      <c r="T73" s="39">
        <f t="shared" ca="1" si="115"/>
        <v>3780</v>
      </c>
      <c r="U73" s="39">
        <f t="shared" ca="1" si="115"/>
        <v>3780</v>
      </c>
      <c r="V73" s="39">
        <f t="shared" ca="1" si="115"/>
        <v>3780</v>
      </c>
      <c r="W73" s="39">
        <f t="shared" ca="1" si="115"/>
        <v>2520</v>
      </c>
      <c r="X73" s="39">
        <f t="shared" ca="1" si="115"/>
        <v>3150</v>
      </c>
      <c r="Y73" s="39">
        <f t="shared" ca="1" si="115"/>
        <v>3150</v>
      </c>
      <c r="Z73" s="39">
        <f t="shared" ca="1" si="115"/>
        <v>3780</v>
      </c>
      <c r="AA73" s="39">
        <f t="shared" ca="1" si="115"/>
        <v>3780</v>
      </c>
      <c r="AB73" s="39">
        <f t="shared" ca="1" si="115"/>
        <v>3780</v>
      </c>
      <c r="AC73" s="39">
        <f t="shared" ca="1" si="115"/>
        <v>3780</v>
      </c>
      <c r="AD73" s="39">
        <f t="shared" ca="1" si="115"/>
        <v>3780</v>
      </c>
      <c r="AE73" s="39">
        <f t="shared" ca="1" si="115"/>
        <v>3780</v>
      </c>
      <c r="AF73" s="39">
        <f t="shared" ca="1" si="115"/>
        <v>3780</v>
      </c>
      <c r="AG73" s="39">
        <f t="shared" ca="1" si="115"/>
        <v>3780</v>
      </c>
      <c r="AH73" s="39">
        <f t="shared" ca="1" si="115"/>
        <v>3780</v>
      </c>
      <c r="AI73" s="39">
        <f t="shared" ca="1" si="115"/>
        <v>3780</v>
      </c>
      <c r="AJ73" s="39">
        <f t="shared" ref="AJ73:BO73" ca="1" si="116">AJ72-AJ66</f>
        <v>3780</v>
      </c>
      <c r="AK73" s="39">
        <f t="shared" ca="1" si="116"/>
        <v>0</v>
      </c>
      <c r="AL73" s="39">
        <f t="shared" ca="1" si="116"/>
        <v>3780</v>
      </c>
      <c r="AM73" s="39">
        <f t="shared" ca="1" si="116"/>
        <v>2520</v>
      </c>
      <c r="AN73" s="39">
        <f t="shared" ca="1" si="116"/>
        <v>3780</v>
      </c>
      <c r="AO73" s="39">
        <f t="shared" ca="1" si="116"/>
        <v>3780</v>
      </c>
      <c r="AP73" s="39">
        <f t="shared" ca="1" si="116"/>
        <v>3150</v>
      </c>
      <c r="AQ73" s="39">
        <f t="shared" ca="1" si="116"/>
        <v>3780</v>
      </c>
      <c r="AR73" s="39">
        <f t="shared" ca="1" si="116"/>
        <v>1838</v>
      </c>
      <c r="AS73" s="39">
        <f t="shared" ca="1" si="116"/>
        <v>2205</v>
      </c>
      <c r="AT73" s="39">
        <f t="shared" ca="1" si="116"/>
        <v>2205</v>
      </c>
      <c r="AU73" s="39">
        <f t="shared" ca="1" si="116"/>
        <v>2205</v>
      </c>
      <c r="AV73" s="39">
        <f t="shared" ca="1" si="116"/>
        <v>1103</v>
      </c>
      <c r="AW73" s="39">
        <f t="shared" ca="1" si="116"/>
        <v>2940</v>
      </c>
      <c r="AX73" s="39">
        <f t="shared" ca="1" si="116"/>
        <v>4410</v>
      </c>
      <c r="AY73" s="39">
        <f t="shared" ca="1" si="116"/>
        <v>2940</v>
      </c>
      <c r="AZ73" s="39">
        <f t="shared" ca="1" si="116"/>
        <v>4410</v>
      </c>
      <c r="BA73" s="39">
        <f t="shared" ca="1" si="116"/>
        <v>4410</v>
      </c>
      <c r="BB73" s="39">
        <f t="shared" ca="1" si="116"/>
        <v>2205</v>
      </c>
      <c r="BC73" s="39">
        <f t="shared" ca="1" si="116"/>
        <v>3780</v>
      </c>
      <c r="BD73" s="39">
        <f t="shared" ca="1" si="116"/>
        <v>1890</v>
      </c>
      <c r="BE73" s="39">
        <f t="shared" ca="1" si="116"/>
        <v>3780</v>
      </c>
      <c r="BF73" s="39">
        <f t="shared" ca="1" si="116"/>
        <v>3780</v>
      </c>
      <c r="BG73" s="39">
        <f t="shared" ca="1" si="116"/>
        <v>3780</v>
      </c>
      <c r="BH73" s="39">
        <f t="shared" ca="1" si="116"/>
        <v>3780</v>
      </c>
      <c r="BI73" s="39">
        <f t="shared" ca="1" si="116"/>
        <v>3150</v>
      </c>
      <c r="BJ73" s="39">
        <f t="shared" ca="1" si="116"/>
        <v>3780</v>
      </c>
      <c r="BK73" s="39">
        <f t="shared" ca="1" si="116"/>
        <v>2520</v>
      </c>
      <c r="BL73" s="39">
        <f t="shared" ca="1" si="116"/>
        <v>630</v>
      </c>
      <c r="BM73" s="39">
        <f t="shared" ca="1" si="116"/>
        <v>3780</v>
      </c>
      <c r="BN73" s="39">
        <f t="shared" ca="1" si="116"/>
        <v>3780</v>
      </c>
      <c r="BO73" s="39">
        <f t="shared" ca="1" si="116"/>
        <v>3150</v>
      </c>
      <c r="BP73" s="39">
        <f t="shared" ref="BP73:CC73" ca="1" si="117">BP72-BP66</f>
        <v>3780</v>
      </c>
      <c r="BQ73" s="39">
        <f t="shared" ca="1" si="117"/>
        <v>0</v>
      </c>
      <c r="BR73" s="39">
        <f t="shared" ca="1" si="117"/>
        <v>0</v>
      </c>
      <c r="BS73" s="39">
        <f t="shared" ca="1" si="117"/>
        <v>3150</v>
      </c>
      <c r="BT73" s="39">
        <f t="shared" ca="1" si="117"/>
        <v>3780</v>
      </c>
      <c r="BU73" s="39">
        <f t="shared" ca="1" si="117"/>
        <v>3780</v>
      </c>
      <c r="BV73" s="39">
        <f t="shared" ca="1" si="117"/>
        <v>3780</v>
      </c>
      <c r="BW73" s="39">
        <f t="shared" ca="1" si="117"/>
        <v>3780</v>
      </c>
      <c r="BX73" s="39">
        <f t="shared" ca="1" si="117"/>
        <v>2520</v>
      </c>
      <c r="BY73" s="39">
        <f t="shared" ca="1" si="117"/>
        <v>3780</v>
      </c>
      <c r="BZ73" s="39">
        <f t="shared" ca="1" si="117"/>
        <v>3150</v>
      </c>
      <c r="CA73" s="39">
        <f t="shared" ca="1" si="117"/>
        <v>3780</v>
      </c>
      <c r="CB73" s="39">
        <f t="shared" ca="1" si="117"/>
        <v>3780</v>
      </c>
      <c r="CC73" s="39">
        <f t="shared" ca="1" si="117"/>
        <v>3780</v>
      </c>
    </row>
    <row r="76" spans="1:81" x14ac:dyDescent="0.2">
      <c r="A76" t="s">
        <v>257</v>
      </c>
      <c r="D76" s="39">
        <f t="shared" ref="D76:AI76" si="118">ROUND(D14*$B15+D21*$B22+D28*$B29+D35*$B36+D42*$B43+D49*$B50+D56*$B57,0)</f>
        <v>26264</v>
      </c>
      <c r="E76" s="39">
        <f t="shared" si="118"/>
        <v>33832</v>
      </c>
      <c r="F76" s="39">
        <f t="shared" si="118"/>
        <v>27897</v>
      </c>
      <c r="G76" s="39">
        <f t="shared" si="118"/>
        <v>21961</v>
      </c>
      <c r="H76" s="39">
        <f t="shared" si="118"/>
        <v>17213</v>
      </c>
      <c r="I76" s="39">
        <f t="shared" si="118"/>
        <v>17955</v>
      </c>
      <c r="J76" s="39">
        <f t="shared" si="118"/>
        <v>17510</v>
      </c>
      <c r="K76" s="39">
        <f t="shared" si="118"/>
        <v>15506</v>
      </c>
      <c r="L76" s="39">
        <f t="shared" si="118"/>
        <v>9571</v>
      </c>
      <c r="M76" s="39">
        <f t="shared" si="118"/>
        <v>2448</v>
      </c>
      <c r="N76" s="39">
        <f t="shared" si="118"/>
        <v>-7048</v>
      </c>
      <c r="O76" s="39">
        <f t="shared" si="118"/>
        <v>-7048</v>
      </c>
      <c r="P76" s="39">
        <f t="shared" si="118"/>
        <v>-7048</v>
      </c>
      <c r="Q76" s="39">
        <f t="shared" si="118"/>
        <v>-7048</v>
      </c>
      <c r="R76" s="39">
        <f t="shared" si="118"/>
        <v>-7048</v>
      </c>
      <c r="S76" s="39">
        <f t="shared" si="118"/>
        <v>-11797</v>
      </c>
      <c r="T76" s="39">
        <f t="shared" si="118"/>
        <v>-16545</v>
      </c>
      <c r="U76" s="39">
        <f t="shared" si="118"/>
        <v>-21293</v>
      </c>
      <c r="V76" s="39">
        <f t="shared" si="118"/>
        <v>-26339</v>
      </c>
      <c r="W76" s="39">
        <f t="shared" si="118"/>
        <v>-31384</v>
      </c>
      <c r="X76" s="39">
        <f t="shared" si="118"/>
        <v>-36429</v>
      </c>
      <c r="Y76" s="39">
        <f t="shared" si="118"/>
        <v>-41474</v>
      </c>
      <c r="Z76" s="39">
        <f t="shared" si="118"/>
        <v>-44738</v>
      </c>
      <c r="AA76" s="39">
        <f t="shared" si="118"/>
        <v>-48003</v>
      </c>
      <c r="AB76" s="39">
        <f t="shared" si="118"/>
        <v>-51267</v>
      </c>
      <c r="AC76" s="39">
        <f t="shared" si="118"/>
        <v>-54532</v>
      </c>
      <c r="AD76" s="39">
        <f t="shared" si="118"/>
        <v>-59280</v>
      </c>
      <c r="AE76" s="39">
        <f t="shared" si="118"/>
        <v>-64029</v>
      </c>
      <c r="AF76" s="39">
        <f t="shared" si="118"/>
        <v>-68777</v>
      </c>
      <c r="AG76" s="39">
        <f t="shared" si="118"/>
        <v>-73525</v>
      </c>
      <c r="AH76" s="39">
        <f t="shared" si="118"/>
        <v>-78274</v>
      </c>
      <c r="AI76" s="39">
        <f t="shared" si="118"/>
        <v>-84209</v>
      </c>
      <c r="AJ76" s="39">
        <f t="shared" ref="AJ76:BO76" si="119">ROUND(AJ14*$B15+AJ21*$B22+AJ28*$B29+AJ35*$B36+AJ42*$B43+AJ49*$B50+AJ56*$B57,0)</f>
        <v>-90144</v>
      </c>
      <c r="AK76" s="39">
        <f t="shared" si="119"/>
        <v>-90144</v>
      </c>
      <c r="AL76" s="39">
        <f t="shared" si="119"/>
        <v>-90144</v>
      </c>
      <c r="AM76" s="39">
        <f t="shared" si="119"/>
        <v>-90144</v>
      </c>
      <c r="AN76" s="39">
        <f t="shared" si="119"/>
        <v>-90144</v>
      </c>
      <c r="AO76" s="39">
        <f t="shared" si="119"/>
        <v>-94702</v>
      </c>
      <c r="AP76" s="39">
        <f t="shared" si="119"/>
        <v>-99260</v>
      </c>
      <c r="AQ76" s="39">
        <f t="shared" si="119"/>
        <v>-103818</v>
      </c>
      <c r="AR76" s="39">
        <f t="shared" si="119"/>
        <v>-109323</v>
      </c>
      <c r="AS76" s="39">
        <f t="shared" si="119"/>
        <v>-114829</v>
      </c>
      <c r="AT76" s="39">
        <f t="shared" si="119"/>
        <v>-119233</v>
      </c>
      <c r="AU76" s="39">
        <f t="shared" si="119"/>
        <v>-124738</v>
      </c>
      <c r="AV76" s="39">
        <f t="shared" si="119"/>
        <v>-129969</v>
      </c>
      <c r="AW76" s="39">
        <f t="shared" si="119"/>
        <v>-135199</v>
      </c>
      <c r="AX76" s="39">
        <f t="shared" si="119"/>
        <v>-140430</v>
      </c>
      <c r="AY76" s="39">
        <f t="shared" si="119"/>
        <v>-145661</v>
      </c>
      <c r="AZ76" s="39">
        <f t="shared" si="119"/>
        <v>-149845</v>
      </c>
      <c r="BA76" s="39">
        <f t="shared" si="119"/>
        <v>-154030</v>
      </c>
      <c r="BB76" s="39">
        <f t="shared" si="119"/>
        <v>-158214</v>
      </c>
      <c r="BC76" s="39">
        <f t="shared" si="119"/>
        <v>-162399</v>
      </c>
      <c r="BD76" s="39">
        <f t="shared" si="119"/>
        <v>-166583</v>
      </c>
      <c r="BE76" s="39">
        <f t="shared" si="119"/>
        <v>-170768</v>
      </c>
      <c r="BF76" s="39">
        <f t="shared" si="119"/>
        <v>-174952</v>
      </c>
      <c r="BG76" s="39">
        <f t="shared" si="119"/>
        <v>-179137</v>
      </c>
      <c r="BH76" s="39">
        <f t="shared" si="119"/>
        <v>-183321</v>
      </c>
      <c r="BI76" s="39">
        <f t="shared" si="119"/>
        <v>-187505</v>
      </c>
      <c r="BJ76" s="39">
        <f t="shared" si="119"/>
        <v>-191690</v>
      </c>
      <c r="BK76" s="39">
        <f t="shared" si="119"/>
        <v>-195874</v>
      </c>
      <c r="BL76" s="39">
        <f t="shared" si="119"/>
        <v>-200059</v>
      </c>
      <c r="BM76" s="39">
        <f t="shared" si="119"/>
        <v>-204220</v>
      </c>
      <c r="BN76" s="39">
        <f t="shared" si="119"/>
        <v>-208381</v>
      </c>
      <c r="BO76" s="39">
        <f t="shared" si="119"/>
        <v>-215976</v>
      </c>
      <c r="BP76" s="39">
        <f t="shared" ref="BP76:CC76" si="120">ROUND(BP14*$B15+BP21*$B22+BP28*$B29+BP35*$B36+BP42*$B43+BP49*$B50+BP56*$B57,0)</f>
        <v>-215976</v>
      </c>
      <c r="BQ76" s="39">
        <f t="shared" si="120"/>
        <v>-215976</v>
      </c>
      <c r="BR76" s="39">
        <f t="shared" si="120"/>
        <v>-215976</v>
      </c>
      <c r="BS76" s="39">
        <f t="shared" si="120"/>
        <v>-215976</v>
      </c>
      <c r="BT76" s="39">
        <f t="shared" si="120"/>
        <v>-220137</v>
      </c>
      <c r="BU76" s="39">
        <f t="shared" si="120"/>
        <v>-224298</v>
      </c>
      <c r="BV76" s="39">
        <f t="shared" si="120"/>
        <v>-228459</v>
      </c>
      <c r="BW76" s="39">
        <f t="shared" si="120"/>
        <v>-232620</v>
      </c>
      <c r="BX76" s="39">
        <f t="shared" si="120"/>
        <v>-236781</v>
      </c>
      <c r="BY76" s="39">
        <f t="shared" si="120"/>
        <v>-240942</v>
      </c>
      <c r="BZ76" s="39">
        <f t="shared" si="120"/>
        <v>-245103</v>
      </c>
      <c r="CA76" s="39">
        <f t="shared" si="120"/>
        <v>-249264</v>
      </c>
      <c r="CB76" s="39">
        <f t="shared" si="120"/>
        <v>-253425</v>
      </c>
      <c r="CC76" s="39">
        <f t="shared" si="120"/>
        <v>-257586</v>
      </c>
    </row>
    <row r="77" spans="1:81" x14ac:dyDescent="0.2">
      <c r="A77" t="s">
        <v>258</v>
      </c>
      <c r="D77" s="39">
        <f t="shared" ref="D77:AI77" si="121">ROUND(D15*$B15+D22*$B22+D29*$B29+D36*$B36+D43*$B43+D50*$B50+D57*$B57,0)</f>
        <v>7568</v>
      </c>
      <c r="E77" s="39">
        <f t="shared" si="121"/>
        <v>0</v>
      </c>
      <c r="F77" s="39">
        <f t="shared" si="121"/>
        <v>0</v>
      </c>
      <c r="G77" s="39">
        <f t="shared" si="121"/>
        <v>0</v>
      </c>
      <c r="H77" s="39">
        <f t="shared" si="121"/>
        <v>0</v>
      </c>
      <c r="I77" s="39">
        <f t="shared" si="121"/>
        <v>0</v>
      </c>
      <c r="J77" s="39">
        <f t="shared" si="121"/>
        <v>0</v>
      </c>
      <c r="K77" s="39">
        <f t="shared" si="121"/>
        <v>0</v>
      </c>
      <c r="L77" s="39">
        <f t="shared" si="121"/>
        <v>0</v>
      </c>
      <c r="M77" s="39">
        <f t="shared" si="121"/>
        <v>0</v>
      </c>
      <c r="N77" s="39">
        <f t="shared" si="121"/>
        <v>0</v>
      </c>
      <c r="O77" s="39">
        <f t="shared" si="121"/>
        <v>0</v>
      </c>
      <c r="P77" s="39">
        <f t="shared" si="121"/>
        <v>0</v>
      </c>
      <c r="Q77" s="39">
        <f t="shared" si="121"/>
        <v>0</v>
      </c>
      <c r="R77" s="39">
        <f t="shared" si="121"/>
        <v>0</v>
      </c>
      <c r="S77" s="39">
        <f t="shared" si="121"/>
        <v>0</v>
      </c>
      <c r="T77" s="39">
        <f t="shared" si="121"/>
        <v>0</v>
      </c>
      <c r="U77" s="39">
        <f t="shared" si="121"/>
        <v>0</v>
      </c>
      <c r="V77" s="39">
        <f t="shared" si="121"/>
        <v>0</v>
      </c>
      <c r="W77" s="39">
        <f t="shared" si="121"/>
        <v>0</v>
      </c>
      <c r="X77" s="39">
        <f t="shared" si="121"/>
        <v>0</v>
      </c>
      <c r="Y77" s="39">
        <f t="shared" si="121"/>
        <v>0</v>
      </c>
      <c r="Z77" s="39">
        <f t="shared" si="121"/>
        <v>0</v>
      </c>
      <c r="AA77" s="39">
        <f t="shared" si="121"/>
        <v>0</v>
      </c>
      <c r="AB77" s="39">
        <f t="shared" si="121"/>
        <v>0</v>
      </c>
      <c r="AC77" s="39">
        <f t="shared" si="121"/>
        <v>0</v>
      </c>
      <c r="AD77" s="39">
        <f t="shared" si="121"/>
        <v>0</v>
      </c>
      <c r="AE77" s="39">
        <f t="shared" si="121"/>
        <v>0</v>
      </c>
      <c r="AF77" s="39">
        <f t="shared" si="121"/>
        <v>0</v>
      </c>
      <c r="AG77" s="39">
        <f t="shared" si="121"/>
        <v>0</v>
      </c>
      <c r="AH77" s="39">
        <f t="shared" si="121"/>
        <v>0</v>
      </c>
      <c r="AI77" s="39">
        <f t="shared" si="121"/>
        <v>0</v>
      </c>
      <c r="AJ77" s="39">
        <f t="shared" ref="AJ77:BO77" si="122">ROUND(AJ15*$B15+AJ22*$B22+AJ29*$B29+AJ36*$B36+AJ43*$B43+AJ50*$B50+AJ57*$B57,0)</f>
        <v>0</v>
      </c>
      <c r="AK77" s="39">
        <f t="shared" si="122"/>
        <v>0</v>
      </c>
      <c r="AL77" s="39">
        <f t="shared" si="122"/>
        <v>0</v>
      </c>
      <c r="AM77" s="39">
        <f t="shared" si="122"/>
        <v>0</v>
      </c>
      <c r="AN77" s="39">
        <f t="shared" si="122"/>
        <v>0</v>
      </c>
      <c r="AO77" s="39">
        <f t="shared" si="122"/>
        <v>0</v>
      </c>
      <c r="AP77" s="39">
        <f t="shared" si="122"/>
        <v>0</v>
      </c>
      <c r="AQ77" s="39">
        <f t="shared" si="122"/>
        <v>0</v>
      </c>
      <c r="AR77" s="39">
        <f t="shared" si="122"/>
        <v>0</v>
      </c>
      <c r="AS77" s="39">
        <f t="shared" si="122"/>
        <v>0</v>
      </c>
      <c r="AT77" s="39">
        <f t="shared" si="122"/>
        <v>0</v>
      </c>
      <c r="AU77" s="39">
        <f t="shared" si="122"/>
        <v>0</v>
      </c>
      <c r="AV77" s="39">
        <f t="shared" si="122"/>
        <v>0</v>
      </c>
      <c r="AW77" s="39">
        <f t="shared" si="122"/>
        <v>0</v>
      </c>
      <c r="AX77" s="39">
        <f t="shared" si="122"/>
        <v>0</v>
      </c>
      <c r="AY77" s="39">
        <f t="shared" si="122"/>
        <v>0</v>
      </c>
      <c r="AZ77" s="39">
        <f t="shared" si="122"/>
        <v>0</v>
      </c>
      <c r="BA77" s="39">
        <f t="shared" si="122"/>
        <v>0</v>
      </c>
      <c r="BB77" s="39">
        <f t="shared" si="122"/>
        <v>0</v>
      </c>
      <c r="BC77" s="39">
        <f t="shared" si="122"/>
        <v>0</v>
      </c>
      <c r="BD77" s="39">
        <f t="shared" si="122"/>
        <v>0</v>
      </c>
      <c r="BE77" s="39">
        <f t="shared" si="122"/>
        <v>0</v>
      </c>
      <c r="BF77" s="39">
        <f t="shared" si="122"/>
        <v>0</v>
      </c>
      <c r="BG77" s="39">
        <f t="shared" si="122"/>
        <v>0</v>
      </c>
      <c r="BH77" s="39">
        <f t="shared" si="122"/>
        <v>0</v>
      </c>
      <c r="BI77" s="39">
        <f t="shared" si="122"/>
        <v>0</v>
      </c>
      <c r="BJ77" s="39">
        <f t="shared" si="122"/>
        <v>0</v>
      </c>
      <c r="BK77" s="39">
        <f t="shared" si="122"/>
        <v>0</v>
      </c>
      <c r="BL77" s="39">
        <f t="shared" si="122"/>
        <v>0</v>
      </c>
      <c r="BM77" s="39">
        <f t="shared" si="122"/>
        <v>0</v>
      </c>
      <c r="BN77" s="39">
        <f t="shared" si="122"/>
        <v>0</v>
      </c>
      <c r="BO77" s="39">
        <f t="shared" si="122"/>
        <v>0</v>
      </c>
      <c r="BP77" s="39">
        <f t="shared" ref="BP77:CC77" si="123">ROUND(BP15*$B15+BP22*$B22+BP29*$B29+BP36*$B36+BP43*$B43+BP50*$B50+BP57*$B57,0)</f>
        <v>0</v>
      </c>
      <c r="BQ77" s="39">
        <f t="shared" si="123"/>
        <v>0</v>
      </c>
      <c r="BR77" s="39">
        <f t="shared" si="123"/>
        <v>0</v>
      </c>
      <c r="BS77" s="39">
        <f t="shared" si="123"/>
        <v>0</v>
      </c>
      <c r="BT77" s="39">
        <f t="shared" si="123"/>
        <v>0</v>
      </c>
      <c r="BU77" s="39">
        <f t="shared" si="123"/>
        <v>0</v>
      </c>
      <c r="BV77" s="39">
        <f t="shared" si="123"/>
        <v>0</v>
      </c>
      <c r="BW77" s="39">
        <f t="shared" si="123"/>
        <v>0</v>
      </c>
      <c r="BX77" s="39">
        <f t="shared" si="123"/>
        <v>0</v>
      </c>
      <c r="BY77" s="39">
        <f t="shared" si="123"/>
        <v>0</v>
      </c>
      <c r="BZ77" s="39">
        <f t="shared" si="123"/>
        <v>0</v>
      </c>
      <c r="CA77" s="39">
        <f t="shared" si="123"/>
        <v>0</v>
      </c>
      <c r="CB77" s="39">
        <f t="shared" si="123"/>
        <v>0</v>
      </c>
      <c r="CC77" s="39">
        <f t="shared" si="123"/>
        <v>0</v>
      </c>
    </row>
    <row r="78" spans="1:81" x14ac:dyDescent="0.2">
      <c r="A78" t="s">
        <v>259</v>
      </c>
      <c r="D78" s="39">
        <f t="shared" ref="D78:AI78" si="124">ROUND(D16*$B15+D23*$B22+D30*$B29+D37*$B36+D44*$B43+D51*$B50+D58*$B57,0)</f>
        <v>5490</v>
      </c>
      <c r="E78" s="39">
        <f t="shared" si="124"/>
        <v>5490</v>
      </c>
      <c r="F78" s="39">
        <f t="shared" si="124"/>
        <v>2745</v>
      </c>
      <c r="G78" s="39">
        <f t="shared" si="124"/>
        <v>0</v>
      </c>
      <c r="H78" s="39">
        <f t="shared" si="124"/>
        <v>0</v>
      </c>
      <c r="I78" s="39">
        <f t="shared" si="124"/>
        <v>0</v>
      </c>
      <c r="J78" s="39">
        <f t="shared" si="124"/>
        <v>0</v>
      </c>
      <c r="K78" s="39">
        <f t="shared" si="124"/>
        <v>0</v>
      </c>
      <c r="L78" s="39">
        <f t="shared" si="124"/>
        <v>0</v>
      </c>
      <c r="M78" s="39">
        <f t="shared" si="124"/>
        <v>0</v>
      </c>
      <c r="N78" s="39">
        <f t="shared" si="124"/>
        <v>0</v>
      </c>
      <c r="O78" s="39">
        <f t="shared" si="124"/>
        <v>0</v>
      </c>
      <c r="P78" s="39">
        <f t="shared" si="124"/>
        <v>0</v>
      </c>
      <c r="Q78" s="39">
        <f t="shared" si="124"/>
        <v>0</v>
      </c>
      <c r="R78" s="39">
        <f t="shared" si="124"/>
        <v>0</v>
      </c>
      <c r="S78" s="39">
        <f t="shared" si="124"/>
        <v>0</v>
      </c>
      <c r="T78" s="39">
        <f t="shared" si="124"/>
        <v>0</v>
      </c>
      <c r="U78" s="39">
        <f t="shared" si="124"/>
        <v>0</v>
      </c>
      <c r="V78" s="39">
        <f t="shared" si="124"/>
        <v>0</v>
      </c>
      <c r="W78" s="39">
        <f t="shared" si="124"/>
        <v>0</v>
      </c>
      <c r="X78" s="39">
        <f t="shared" si="124"/>
        <v>0</v>
      </c>
      <c r="Y78" s="39">
        <f t="shared" si="124"/>
        <v>0</v>
      </c>
      <c r="Z78" s="39">
        <f t="shared" si="124"/>
        <v>0</v>
      </c>
      <c r="AA78" s="39">
        <f t="shared" si="124"/>
        <v>0</v>
      </c>
      <c r="AB78" s="39">
        <f t="shared" si="124"/>
        <v>0</v>
      </c>
      <c r="AC78" s="39">
        <f t="shared" si="124"/>
        <v>0</v>
      </c>
      <c r="AD78" s="39">
        <f t="shared" si="124"/>
        <v>0</v>
      </c>
      <c r="AE78" s="39">
        <f t="shared" si="124"/>
        <v>0</v>
      </c>
      <c r="AF78" s="39">
        <f t="shared" si="124"/>
        <v>0</v>
      </c>
      <c r="AG78" s="39">
        <f t="shared" si="124"/>
        <v>0</v>
      </c>
      <c r="AH78" s="39">
        <f t="shared" si="124"/>
        <v>0</v>
      </c>
      <c r="AI78" s="39">
        <f t="shared" si="124"/>
        <v>0</v>
      </c>
      <c r="AJ78" s="39">
        <f t="shared" ref="AJ78:BO78" si="125">ROUND(AJ16*$B15+AJ23*$B22+AJ30*$B29+AJ37*$B36+AJ44*$B43+AJ51*$B50+AJ58*$B57,0)</f>
        <v>0</v>
      </c>
      <c r="AK78" s="39">
        <f t="shared" si="125"/>
        <v>0</v>
      </c>
      <c r="AL78" s="39">
        <f t="shared" si="125"/>
        <v>0</v>
      </c>
      <c r="AM78" s="39">
        <f t="shared" si="125"/>
        <v>0</v>
      </c>
      <c r="AN78" s="39">
        <f t="shared" si="125"/>
        <v>0</v>
      </c>
      <c r="AO78" s="39">
        <f t="shared" si="125"/>
        <v>0</v>
      </c>
      <c r="AP78" s="39">
        <f t="shared" si="125"/>
        <v>0</v>
      </c>
      <c r="AQ78" s="39">
        <f t="shared" si="125"/>
        <v>0</v>
      </c>
      <c r="AR78" s="39">
        <f t="shared" si="125"/>
        <v>0</v>
      </c>
      <c r="AS78" s="39">
        <f t="shared" si="125"/>
        <v>0</v>
      </c>
      <c r="AT78" s="39">
        <f t="shared" si="125"/>
        <v>0</v>
      </c>
      <c r="AU78" s="39">
        <f t="shared" si="125"/>
        <v>0</v>
      </c>
      <c r="AV78" s="39">
        <f t="shared" si="125"/>
        <v>0</v>
      </c>
      <c r="AW78" s="39">
        <f t="shared" si="125"/>
        <v>0</v>
      </c>
      <c r="AX78" s="39">
        <f t="shared" si="125"/>
        <v>0</v>
      </c>
      <c r="AY78" s="39">
        <f t="shared" si="125"/>
        <v>0</v>
      </c>
      <c r="AZ78" s="39">
        <f t="shared" si="125"/>
        <v>0</v>
      </c>
      <c r="BA78" s="39">
        <f t="shared" si="125"/>
        <v>0</v>
      </c>
      <c r="BB78" s="39">
        <f t="shared" si="125"/>
        <v>0</v>
      </c>
      <c r="BC78" s="39">
        <f t="shared" si="125"/>
        <v>0</v>
      </c>
      <c r="BD78" s="39">
        <f t="shared" si="125"/>
        <v>0</v>
      </c>
      <c r="BE78" s="39">
        <f t="shared" si="125"/>
        <v>0</v>
      </c>
      <c r="BF78" s="39">
        <f t="shared" si="125"/>
        <v>0</v>
      </c>
      <c r="BG78" s="39">
        <f t="shared" si="125"/>
        <v>0</v>
      </c>
      <c r="BH78" s="39">
        <f t="shared" si="125"/>
        <v>0</v>
      </c>
      <c r="BI78" s="39">
        <f t="shared" si="125"/>
        <v>0</v>
      </c>
      <c r="BJ78" s="39">
        <f t="shared" si="125"/>
        <v>0</v>
      </c>
      <c r="BK78" s="39">
        <f t="shared" si="125"/>
        <v>0</v>
      </c>
      <c r="BL78" s="39">
        <f t="shared" si="125"/>
        <v>0</v>
      </c>
      <c r="BM78" s="39">
        <f t="shared" si="125"/>
        <v>0</v>
      </c>
      <c r="BN78" s="39">
        <f t="shared" si="125"/>
        <v>0</v>
      </c>
      <c r="BO78" s="39">
        <f t="shared" si="125"/>
        <v>0</v>
      </c>
      <c r="BP78" s="39">
        <f t="shared" ref="BP78:CC78" si="126">ROUND(BP16*$B15+BP23*$B22+BP30*$B29+BP37*$B36+BP44*$B43+BP51*$B50+BP58*$B57,0)</f>
        <v>0</v>
      </c>
      <c r="BQ78" s="39">
        <f t="shared" si="126"/>
        <v>0</v>
      </c>
      <c r="BR78" s="39">
        <f t="shared" si="126"/>
        <v>0</v>
      </c>
      <c r="BS78" s="39">
        <f t="shared" si="126"/>
        <v>0</v>
      </c>
      <c r="BT78" s="39">
        <f t="shared" si="126"/>
        <v>0</v>
      </c>
      <c r="BU78" s="39">
        <f t="shared" si="126"/>
        <v>0</v>
      </c>
      <c r="BV78" s="39">
        <f t="shared" si="126"/>
        <v>0</v>
      </c>
      <c r="BW78" s="39">
        <f t="shared" si="126"/>
        <v>0</v>
      </c>
      <c r="BX78" s="39">
        <f t="shared" si="126"/>
        <v>0</v>
      </c>
      <c r="BY78" s="39">
        <f t="shared" si="126"/>
        <v>0</v>
      </c>
      <c r="BZ78" s="39">
        <f t="shared" si="126"/>
        <v>0</v>
      </c>
      <c r="CA78" s="39">
        <f t="shared" si="126"/>
        <v>0</v>
      </c>
      <c r="CB78" s="39">
        <f t="shared" si="126"/>
        <v>0</v>
      </c>
      <c r="CC78" s="39">
        <f t="shared" si="126"/>
        <v>0</v>
      </c>
    </row>
    <row r="79" spans="1:81" x14ac:dyDescent="0.2">
      <c r="A79" t="s">
        <v>260</v>
      </c>
      <c r="D79" s="39">
        <f t="shared" ref="D79:AI79" si="127">ROUND(D17*$B15+D24*$B22+D31*$B29+D38*$B36+D45*$B43+D52*$B50+D59*$B57,0)</f>
        <v>0</v>
      </c>
      <c r="E79" s="39">
        <f t="shared" si="127"/>
        <v>5935</v>
      </c>
      <c r="F79" s="39">
        <f t="shared" si="127"/>
        <v>5935</v>
      </c>
      <c r="G79" s="39">
        <f t="shared" si="127"/>
        <v>4748</v>
      </c>
      <c r="H79" s="39">
        <f t="shared" si="127"/>
        <v>4748</v>
      </c>
      <c r="I79" s="39">
        <f t="shared" si="127"/>
        <v>5935</v>
      </c>
      <c r="J79" s="39">
        <f t="shared" si="127"/>
        <v>4748</v>
      </c>
      <c r="K79" s="39">
        <f t="shared" si="127"/>
        <v>5935</v>
      </c>
      <c r="L79" s="39">
        <f t="shared" si="127"/>
        <v>7123</v>
      </c>
      <c r="M79" s="39">
        <f t="shared" si="127"/>
        <v>9497</v>
      </c>
      <c r="N79" s="39">
        <f t="shared" si="127"/>
        <v>0</v>
      </c>
      <c r="O79" s="39">
        <f t="shared" si="127"/>
        <v>0</v>
      </c>
      <c r="P79" s="39">
        <f t="shared" si="127"/>
        <v>0</v>
      </c>
      <c r="Q79" s="39">
        <f t="shared" si="127"/>
        <v>0</v>
      </c>
      <c r="R79" s="39">
        <f t="shared" si="127"/>
        <v>4748</v>
      </c>
      <c r="S79" s="39">
        <f t="shared" si="127"/>
        <v>4748</v>
      </c>
      <c r="T79" s="39">
        <f t="shared" si="127"/>
        <v>4748</v>
      </c>
      <c r="U79" s="39">
        <f t="shared" si="127"/>
        <v>5045</v>
      </c>
      <c r="V79" s="39">
        <f t="shared" si="127"/>
        <v>5045</v>
      </c>
      <c r="W79" s="39">
        <f t="shared" si="127"/>
        <v>5045</v>
      </c>
      <c r="X79" s="39">
        <f t="shared" si="127"/>
        <v>5045</v>
      </c>
      <c r="Y79" s="39">
        <f t="shared" si="127"/>
        <v>3264</v>
      </c>
      <c r="Z79" s="39">
        <f t="shared" si="127"/>
        <v>3264</v>
      </c>
      <c r="AA79" s="39">
        <f t="shared" si="127"/>
        <v>3264</v>
      </c>
      <c r="AB79" s="39">
        <f t="shared" si="127"/>
        <v>3264</v>
      </c>
      <c r="AC79" s="39">
        <f t="shared" si="127"/>
        <v>4748</v>
      </c>
      <c r="AD79" s="39">
        <f t="shared" si="127"/>
        <v>4748</v>
      </c>
      <c r="AE79" s="39">
        <f t="shared" si="127"/>
        <v>4748</v>
      </c>
      <c r="AF79" s="39">
        <f t="shared" si="127"/>
        <v>4748</v>
      </c>
      <c r="AG79" s="39">
        <f t="shared" si="127"/>
        <v>4748</v>
      </c>
      <c r="AH79" s="39">
        <f t="shared" si="127"/>
        <v>5935</v>
      </c>
      <c r="AI79" s="39">
        <f t="shared" si="127"/>
        <v>5935</v>
      </c>
      <c r="AJ79" s="39">
        <f t="shared" ref="AJ79:BO79" si="128">ROUND(AJ17*$B15+AJ24*$B22+AJ31*$B29+AJ38*$B36+AJ45*$B43+AJ52*$B50+AJ59*$B57,0)</f>
        <v>0</v>
      </c>
      <c r="AK79" s="39">
        <f t="shared" si="128"/>
        <v>0</v>
      </c>
      <c r="AL79" s="39">
        <f t="shared" si="128"/>
        <v>0</v>
      </c>
      <c r="AM79" s="39">
        <f t="shared" si="128"/>
        <v>0</v>
      </c>
      <c r="AN79" s="39">
        <f t="shared" si="128"/>
        <v>4558</v>
      </c>
      <c r="AO79" s="39">
        <f t="shared" si="128"/>
        <v>4558</v>
      </c>
      <c r="AP79" s="39">
        <f t="shared" si="128"/>
        <v>4558</v>
      </c>
      <c r="AQ79" s="39">
        <f t="shared" si="128"/>
        <v>5505</v>
      </c>
      <c r="AR79" s="39">
        <f t="shared" si="128"/>
        <v>5505</v>
      </c>
      <c r="AS79" s="39">
        <f t="shared" si="128"/>
        <v>4405</v>
      </c>
      <c r="AT79" s="39">
        <f t="shared" si="128"/>
        <v>5505</v>
      </c>
      <c r="AU79" s="39">
        <f t="shared" si="128"/>
        <v>5231</v>
      </c>
      <c r="AV79" s="39">
        <f t="shared" si="128"/>
        <v>5231</v>
      </c>
      <c r="AW79" s="39">
        <f t="shared" si="128"/>
        <v>5231</v>
      </c>
      <c r="AX79" s="39">
        <f t="shared" si="128"/>
        <v>5231</v>
      </c>
      <c r="AY79" s="39">
        <f t="shared" si="128"/>
        <v>4184</v>
      </c>
      <c r="AZ79" s="39">
        <f t="shared" si="128"/>
        <v>4184</v>
      </c>
      <c r="BA79" s="39">
        <f t="shared" si="128"/>
        <v>4184</v>
      </c>
      <c r="BB79" s="39">
        <f t="shared" si="128"/>
        <v>4184</v>
      </c>
      <c r="BC79" s="39">
        <f t="shared" si="128"/>
        <v>4184</v>
      </c>
      <c r="BD79" s="39">
        <f t="shared" si="128"/>
        <v>4184</v>
      </c>
      <c r="BE79" s="39">
        <f t="shared" si="128"/>
        <v>4184</v>
      </c>
      <c r="BF79" s="39">
        <f t="shared" si="128"/>
        <v>4184</v>
      </c>
      <c r="BG79" s="39">
        <f t="shared" si="128"/>
        <v>4184</v>
      </c>
      <c r="BH79" s="39">
        <f t="shared" si="128"/>
        <v>4184</v>
      </c>
      <c r="BI79" s="39">
        <f t="shared" si="128"/>
        <v>4184</v>
      </c>
      <c r="BJ79" s="39">
        <f t="shared" si="128"/>
        <v>4184</v>
      </c>
      <c r="BK79" s="39">
        <f t="shared" si="128"/>
        <v>4184</v>
      </c>
      <c r="BL79" s="39">
        <f t="shared" si="128"/>
        <v>4161</v>
      </c>
      <c r="BM79" s="39">
        <f t="shared" si="128"/>
        <v>4161</v>
      </c>
      <c r="BN79" s="39">
        <f t="shared" si="128"/>
        <v>7595</v>
      </c>
      <c r="BO79" s="39">
        <f t="shared" si="128"/>
        <v>0</v>
      </c>
      <c r="BP79" s="39">
        <f t="shared" ref="BP79:CC79" si="129">ROUND(BP17*$B15+BP24*$B22+BP31*$B29+BP38*$B36+BP45*$B43+BP52*$B50+BP59*$B57,0)</f>
        <v>0</v>
      </c>
      <c r="BQ79" s="39">
        <f t="shared" si="129"/>
        <v>0</v>
      </c>
      <c r="BR79" s="39">
        <f t="shared" si="129"/>
        <v>0</v>
      </c>
      <c r="BS79" s="39">
        <f t="shared" si="129"/>
        <v>4161</v>
      </c>
      <c r="BT79" s="39">
        <f t="shared" si="129"/>
        <v>4161</v>
      </c>
      <c r="BU79" s="39">
        <f t="shared" si="129"/>
        <v>4161</v>
      </c>
      <c r="BV79" s="39">
        <f t="shared" si="129"/>
        <v>4161</v>
      </c>
      <c r="BW79" s="39">
        <f t="shared" si="129"/>
        <v>4161</v>
      </c>
      <c r="BX79" s="39">
        <f t="shared" si="129"/>
        <v>4161</v>
      </c>
      <c r="BY79" s="39">
        <f t="shared" si="129"/>
        <v>4161</v>
      </c>
      <c r="BZ79" s="39">
        <f t="shared" si="129"/>
        <v>4161</v>
      </c>
      <c r="CA79" s="39">
        <f t="shared" si="129"/>
        <v>4161</v>
      </c>
      <c r="CB79" s="39">
        <f t="shared" si="129"/>
        <v>4161</v>
      </c>
      <c r="CC79" s="39">
        <f t="shared" si="129"/>
        <v>4161</v>
      </c>
    </row>
    <row r="80" spans="1:81" x14ac:dyDescent="0.2">
      <c r="A80" t="s">
        <v>261</v>
      </c>
      <c r="D80" s="51">
        <f t="shared" ref="D80:AI80" si="130">ROUND(D16*$C19+D23*$C26+D30*$C33+D37*$C40+D44*$C47+D51*$C54+D58*$C61,0)</f>
        <v>4150</v>
      </c>
      <c r="E80" s="51">
        <f t="shared" si="130"/>
        <v>4150</v>
      </c>
      <c r="F80" s="51">
        <f t="shared" si="130"/>
        <v>2075</v>
      </c>
      <c r="G80" s="51">
        <f t="shared" si="130"/>
        <v>0</v>
      </c>
      <c r="H80" s="51">
        <f t="shared" si="130"/>
        <v>0</v>
      </c>
      <c r="I80" s="51">
        <f t="shared" si="130"/>
        <v>0</v>
      </c>
      <c r="J80" s="51">
        <f t="shared" si="130"/>
        <v>0</v>
      </c>
      <c r="K80" s="51">
        <f t="shared" si="130"/>
        <v>0</v>
      </c>
      <c r="L80" s="51">
        <f t="shared" si="130"/>
        <v>0</v>
      </c>
      <c r="M80" s="51">
        <f t="shared" si="130"/>
        <v>0</v>
      </c>
      <c r="N80" s="51">
        <f t="shared" si="130"/>
        <v>0</v>
      </c>
      <c r="O80" s="51">
        <f t="shared" si="130"/>
        <v>0</v>
      </c>
      <c r="P80" s="51">
        <f t="shared" si="130"/>
        <v>0</v>
      </c>
      <c r="Q80" s="51">
        <f t="shared" si="130"/>
        <v>0</v>
      </c>
      <c r="R80" s="51">
        <f t="shared" si="130"/>
        <v>0</v>
      </c>
      <c r="S80" s="51">
        <f t="shared" si="130"/>
        <v>0</v>
      </c>
      <c r="T80" s="51">
        <f t="shared" si="130"/>
        <v>0</v>
      </c>
      <c r="U80" s="51">
        <f t="shared" si="130"/>
        <v>0</v>
      </c>
      <c r="V80" s="51">
        <f t="shared" si="130"/>
        <v>0</v>
      </c>
      <c r="W80" s="51">
        <f t="shared" si="130"/>
        <v>0</v>
      </c>
      <c r="X80" s="51">
        <f t="shared" si="130"/>
        <v>0</v>
      </c>
      <c r="Y80" s="51">
        <f t="shared" si="130"/>
        <v>0</v>
      </c>
      <c r="Z80" s="51">
        <f t="shared" si="130"/>
        <v>0</v>
      </c>
      <c r="AA80" s="51">
        <f t="shared" si="130"/>
        <v>0</v>
      </c>
      <c r="AB80" s="51">
        <f t="shared" si="130"/>
        <v>0</v>
      </c>
      <c r="AC80" s="51">
        <f t="shared" si="130"/>
        <v>0</v>
      </c>
      <c r="AD80" s="51">
        <f t="shared" si="130"/>
        <v>0</v>
      </c>
      <c r="AE80" s="51">
        <f t="shared" si="130"/>
        <v>0</v>
      </c>
      <c r="AF80" s="51">
        <f t="shared" si="130"/>
        <v>0</v>
      </c>
      <c r="AG80" s="51">
        <f t="shared" si="130"/>
        <v>0</v>
      </c>
      <c r="AH80" s="51">
        <f t="shared" si="130"/>
        <v>0</v>
      </c>
      <c r="AI80" s="51">
        <f t="shared" si="130"/>
        <v>0</v>
      </c>
      <c r="AJ80" s="51">
        <f t="shared" ref="AJ80:BO80" si="131">ROUND(AJ16*$C19+AJ23*$C26+AJ30*$C33+AJ37*$C40+AJ44*$C47+AJ51*$C54+AJ58*$C61,0)</f>
        <v>0</v>
      </c>
      <c r="AK80" s="51">
        <f t="shared" si="131"/>
        <v>0</v>
      </c>
      <c r="AL80" s="51">
        <f t="shared" si="131"/>
        <v>0</v>
      </c>
      <c r="AM80" s="51">
        <f t="shared" si="131"/>
        <v>0</v>
      </c>
      <c r="AN80" s="51">
        <f t="shared" si="131"/>
        <v>0</v>
      </c>
      <c r="AO80" s="51">
        <f t="shared" si="131"/>
        <v>0</v>
      </c>
      <c r="AP80" s="51">
        <f t="shared" si="131"/>
        <v>0</v>
      </c>
      <c r="AQ80" s="51">
        <f t="shared" si="131"/>
        <v>0</v>
      </c>
      <c r="AR80" s="51">
        <f t="shared" si="131"/>
        <v>0</v>
      </c>
      <c r="AS80" s="51">
        <f t="shared" si="131"/>
        <v>0</v>
      </c>
      <c r="AT80" s="51">
        <f t="shared" si="131"/>
        <v>0</v>
      </c>
      <c r="AU80" s="51">
        <f t="shared" si="131"/>
        <v>0</v>
      </c>
      <c r="AV80" s="51">
        <f t="shared" si="131"/>
        <v>0</v>
      </c>
      <c r="AW80" s="51">
        <f t="shared" si="131"/>
        <v>0</v>
      </c>
      <c r="AX80" s="51">
        <f t="shared" si="131"/>
        <v>0</v>
      </c>
      <c r="AY80" s="51">
        <f t="shared" si="131"/>
        <v>0</v>
      </c>
      <c r="AZ80" s="51">
        <f t="shared" si="131"/>
        <v>0</v>
      </c>
      <c r="BA80" s="51">
        <f t="shared" si="131"/>
        <v>0</v>
      </c>
      <c r="BB80" s="51">
        <f t="shared" si="131"/>
        <v>0</v>
      </c>
      <c r="BC80" s="51">
        <f t="shared" si="131"/>
        <v>0</v>
      </c>
      <c r="BD80" s="51">
        <f t="shared" si="131"/>
        <v>0</v>
      </c>
      <c r="BE80" s="51">
        <f t="shared" si="131"/>
        <v>0</v>
      </c>
      <c r="BF80" s="51">
        <f t="shared" si="131"/>
        <v>0</v>
      </c>
      <c r="BG80" s="51">
        <f t="shared" si="131"/>
        <v>0</v>
      </c>
      <c r="BH80" s="51">
        <f t="shared" si="131"/>
        <v>0</v>
      </c>
      <c r="BI80" s="51">
        <f t="shared" si="131"/>
        <v>0</v>
      </c>
      <c r="BJ80" s="51">
        <f t="shared" si="131"/>
        <v>0</v>
      </c>
      <c r="BK80" s="51">
        <f t="shared" si="131"/>
        <v>0</v>
      </c>
      <c r="BL80" s="51">
        <f t="shared" si="131"/>
        <v>0</v>
      </c>
      <c r="BM80" s="51">
        <f t="shared" si="131"/>
        <v>0</v>
      </c>
      <c r="BN80" s="51">
        <f t="shared" si="131"/>
        <v>0</v>
      </c>
      <c r="BO80" s="51">
        <f t="shared" si="131"/>
        <v>0</v>
      </c>
      <c r="BP80" s="51">
        <f t="shared" ref="BP80:CC80" si="132">ROUND(BP16*$C19+BP23*$C26+BP30*$C33+BP37*$C40+BP44*$C47+BP51*$C54+BP58*$C61,0)</f>
        <v>0</v>
      </c>
      <c r="BQ80" s="51">
        <f t="shared" si="132"/>
        <v>0</v>
      </c>
      <c r="BR80" s="51">
        <f t="shared" si="132"/>
        <v>0</v>
      </c>
      <c r="BS80" s="51">
        <f t="shared" si="132"/>
        <v>0</v>
      </c>
      <c r="BT80" s="51">
        <f t="shared" si="132"/>
        <v>0</v>
      </c>
      <c r="BU80" s="51">
        <f t="shared" si="132"/>
        <v>0</v>
      </c>
      <c r="BV80" s="51">
        <f t="shared" si="132"/>
        <v>0</v>
      </c>
      <c r="BW80" s="51">
        <f t="shared" si="132"/>
        <v>0</v>
      </c>
      <c r="BX80" s="51">
        <f t="shared" si="132"/>
        <v>0</v>
      </c>
      <c r="BY80" s="51">
        <f t="shared" si="132"/>
        <v>0</v>
      </c>
      <c r="BZ80" s="51">
        <f t="shared" si="132"/>
        <v>0</v>
      </c>
      <c r="CA80" s="51">
        <f t="shared" si="132"/>
        <v>0</v>
      </c>
      <c r="CB80" s="51">
        <f t="shared" si="132"/>
        <v>0</v>
      </c>
      <c r="CC80" s="51">
        <f t="shared" si="132"/>
        <v>0</v>
      </c>
    </row>
    <row r="81" spans="1:81" x14ac:dyDescent="0.2">
      <c r="A81" t="s">
        <v>262</v>
      </c>
      <c r="D81" s="52">
        <f t="shared" ref="D81:AI81" si="133">ROUND(D16*$B16+D23*$B23+D30*$B30+D37*$B37+D44*$B44+D51*$B51+D58*$B58,0)</f>
        <v>178</v>
      </c>
      <c r="E81" s="52">
        <f t="shared" si="133"/>
        <v>178</v>
      </c>
      <c r="F81" s="52">
        <f t="shared" si="133"/>
        <v>89</v>
      </c>
      <c r="G81" s="52">
        <f t="shared" si="133"/>
        <v>0</v>
      </c>
      <c r="H81" s="52">
        <f t="shared" si="133"/>
        <v>0</v>
      </c>
      <c r="I81" s="52">
        <f t="shared" si="133"/>
        <v>0</v>
      </c>
      <c r="J81" s="52">
        <f t="shared" si="133"/>
        <v>0</v>
      </c>
      <c r="K81" s="52">
        <f t="shared" si="133"/>
        <v>0</v>
      </c>
      <c r="L81" s="52">
        <f t="shared" si="133"/>
        <v>0</v>
      </c>
      <c r="M81" s="52">
        <f t="shared" si="133"/>
        <v>0</v>
      </c>
      <c r="N81" s="52">
        <f t="shared" si="133"/>
        <v>0</v>
      </c>
      <c r="O81" s="52">
        <f t="shared" si="133"/>
        <v>0</v>
      </c>
      <c r="P81" s="52">
        <f t="shared" si="133"/>
        <v>0</v>
      </c>
      <c r="Q81" s="52">
        <f t="shared" si="133"/>
        <v>0</v>
      </c>
      <c r="R81" s="52">
        <f t="shared" si="133"/>
        <v>0</v>
      </c>
      <c r="S81" s="52">
        <f t="shared" si="133"/>
        <v>0</v>
      </c>
      <c r="T81" s="52">
        <f t="shared" si="133"/>
        <v>0</v>
      </c>
      <c r="U81" s="52">
        <f t="shared" si="133"/>
        <v>0</v>
      </c>
      <c r="V81" s="52">
        <f t="shared" si="133"/>
        <v>0</v>
      </c>
      <c r="W81" s="52">
        <f t="shared" si="133"/>
        <v>0</v>
      </c>
      <c r="X81" s="52">
        <f t="shared" si="133"/>
        <v>0</v>
      </c>
      <c r="Y81" s="52">
        <f t="shared" si="133"/>
        <v>0</v>
      </c>
      <c r="Z81" s="52">
        <f t="shared" si="133"/>
        <v>0</v>
      </c>
      <c r="AA81" s="52">
        <f t="shared" si="133"/>
        <v>0</v>
      </c>
      <c r="AB81" s="52">
        <f t="shared" si="133"/>
        <v>0</v>
      </c>
      <c r="AC81" s="52">
        <f t="shared" si="133"/>
        <v>0</v>
      </c>
      <c r="AD81" s="52">
        <f t="shared" si="133"/>
        <v>0</v>
      </c>
      <c r="AE81" s="52">
        <f t="shared" si="133"/>
        <v>0</v>
      </c>
      <c r="AF81" s="52">
        <f t="shared" si="133"/>
        <v>0</v>
      </c>
      <c r="AG81" s="52">
        <f t="shared" si="133"/>
        <v>0</v>
      </c>
      <c r="AH81" s="52">
        <f t="shared" si="133"/>
        <v>0</v>
      </c>
      <c r="AI81" s="52">
        <f t="shared" si="133"/>
        <v>0</v>
      </c>
      <c r="AJ81" s="52">
        <f t="shared" ref="AJ81:BO81" si="134">ROUND(AJ16*$B16+AJ23*$B23+AJ30*$B30+AJ37*$B37+AJ44*$B44+AJ51*$B51+AJ58*$B58,0)</f>
        <v>0</v>
      </c>
      <c r="AK81" s="52">
        <f t="shared" si="134"/>
        <v>0</v>
      </c>
      <c r="AL81" s="52">
        <f t="shared" si="134"/>
        <v>0</v>
      </c>
      <c r="AM81" s="52">
        <f t="shared" si="134"/>
        <v>0</v>
      </c>
      <c r="AN81" s="52">
        <f t="shared" si="134"/>
        <v>0</v>
      </c>
      <c r="AO81" s="52">
        <f t="shared" si="134"/>
        <v>0</v>
      </c>
      <c r="AP81" s="52">
        <f t="shared" si="134"/>
        <v>0</v>
      </c>
      <c r="AQ81" s="52">
        <f t="shared" si="134"/>
        <v>0</v>
      </c>
      <c r="AR81" s="52">
        <f t="shared" si="134"/>
        <v>0</v>
      </c>
      <c r="AS81" s="52">
        <f t="shared" si="134"/>
        <v>0</v>
      </c>
      <c r="AT81" s="52">
        <f t="shared" si="134"/>
        <v>0</v>
      </c>
      <c r="AU81" s="52">
        <f t="shared" si="134"/>
        <v>0</v>
      </c>
      <c r="AV81" s="52">
        <f t="shared" si="134"/>
        <v>0</v>
      </c>
      <c r="AW81" s="52">
        <f t="shared" si="134"/>
        <v>0</v>
      </c>
      <c r="AX81" s="52">
        <f t="shared" si="134"/>
        <v>0</v>
      </c>
      <c r="AY81" s="52">
        <f t="shared" si="134"/>
        <v>0</v>
      </c>
      <c r="AZ81" s="52">
        <f t="shared" si="134"/>
        <v>0</v>
      </c>
      <c r="BA81" s="52">
        <f t="shared" si="134"/>
        <v>0</v>
      </c>
      <c r="BB81" s="52">
        <f t="shared" si="134"/>
        <v>0</v>
      </c>
      <c r="BC81" s="52">
        <f t="shared" si="134"/>
        <v>0</v>
      </c>
      <c r="BD81" s="52">
        <f t="shared" si="134"/>
        <v>0</v>
      </c>
      <c r="BE81" s="52">
        <f t="shared" si="134"/>
        <v>0</v>
      </c>
      <c r="BF81" s="52">
        <f t="shared" si="134"/>
        <v>0</v>
      </c>
      <c r="BG81" s="52">
        <f t="shared" si="134"/>
        <v>0</v>
      </c>
      <c r="BH81" s="52">
        <f t="shared" si="134"/>
        <v>0</v>
      </c>
      <c r="BI81" s="52">
        <f t="shared" si="134"/>
        <v>0</v>
      </c>
      <c r="BJ81" s="52">
        <f t="shared" si="134"/>
        <v>0</v>
      </c>
      <c r="BK81" s="52">
        <f t="shared" si="134"/>
        <v>0</v>
      </c>
      <c r="BL81" s="52">
        <f t="shared" si="134"/>
        <v>0</v>
      </c>
      <c r="BM81" s="52">
        <f t="shared" si="134"/>
        <v>0</v>
      </c>
      <c r="BN81" s="52">
        <f t="shared" si="134"/>
        <v>0</v>
      </c>
      <c r="BO81" s="52">
        <f t="shared" si="134"/>
        <v>0</v>
      </c>
      <c r="BP81" s="52">
        <f t="shared" ref="BP81:CC81" si="135">ROUND(BP16*$B16+BP23*$B23+BP30*$B30+BP37*$B37+BP44*$B44+BP51*$B51+BP58*$B58,0)</f>
        <v>0</v>
      </c>
      <c r="BQ81" s="52">
        <f t="shared" si="135"/>
        <v>0</v>
      </c>
      <c r="BR81" s="52">
        <f t="shared" si="135"/>
        <v>0</v>
      </c>
      <c r="BS81" s="52">
        <f t="shared" si="135"/>
        <v>0</v>
      </c>
      <c r="BT81" s="52">
        <f t="shared" si="135"/>
        <v>0</v>
      </c>
      <c r="BU81" s="52">
        <f t="shared" si="135"/>
        <v>0</v>
      </c>
      <c r="BV81" s="52">
        <f t="shared" si="135"/>
        <v>0</v>
      </c>
      <c r="BW81" s="52">
        <f t="shared" si="135"/>
        <v>0</v>
      </c>
      <c r="BX81" s="52">
        <f t="shared" si="135"/>
        <v>0</v>
      </c>
      <c r="BY81" s="52">
        <f t="shared" si="135"/>
        <v>0</v>
      </c>
      <c r="BZ81" s="52">
        <f t="shared" si="135"/>
        <v>0</v>
      </c>
      <c r="CA81" s="52">
        <f t="shared" si="135"/>
        <v>0</v>
      </c>
      <c r="CB81" s="52">
        <f t="shared" si="135"/>
        <v>0</v>
      </c>
      <c r="CC81" s="52">
        <f t="shared" si="135"/>
        <v>0</v>
      </c>
    </row>
    <row r="82" spans="1:81" x14ac:dyDescent="0.2">
      <c r="A82" t="s">
        <v>263</v>
      </c>
      <c r="D82" s="39">
        <f t="shared" ref="D82:AI82" si="136">ROUND(D16*$B18+D23*$B25+D30*$B32+D37*$B39+D44*$B46+D51*$B53+D58*$B60,0)</f>
        <v>200</v>
      </c>
      <c r="E82" s="39">
        <f t="shared" si="136"/>
        <v>200</v>
      </c>
      <c r="F82" s="39">
        <f t="shared" si="136"/>
        <v>100</v>
      </c>
      <c r="G82" s="39">
        <f t="shared" si="136"/>
        <v>0</v>
      </c>
      <c r="H82" s="39">
        <f t="shared" si="136"/>
        <v>0</v>
      </c>
      <c r="I82" s="39">
        <f t="shared" si="136"/>
        <v>0</v>
      </c>
      <c r="J82" s="39">
        <f t="shared" si="136"/>
        <v>0</v>
      </c>
      <c r="K82" s="39">
        <f t="shared" si="136"/>
        <v>0</v>
      </c>
      <c r="L82" s="39">
        <f t="shared" si="136"/>
        <v>0</v>
      </c>
      <c r="M82" s="39">
        <f t="shared" si="136"/>
        <v>0</v>
      </c>
      <c r="N82" s="39">
        <f t="shared" si="136"/>
        <v>0</v>
      </c>
      <c r="O82" s="39">
        <f t="shared" si="136"/>
        <v>0</v>
      </c>
      <c r="P82" s="39">
        <f t="shared" si="136"/>
        <v>0</v>
      </c>
      <c r="Q82" s="39">
        <f t="shared" si="136"/>
        <v>0</v>
      </c>
      <c r="R82" s="39">
        <f t="shared" si="136"/>
        <v>0</v>
      </c>
      <c r="S82" s="39">
        <f t="shared" si="136"/>
        <v>0</v>
      </c>
      <c r="T82" s="39">
        <f t="shared" si="136"/>
        <v>0</v>
      </c>
      <c r="U82" s="39">
        <f t="shared" si="136"/>
        <v>0</v>
      </c>
      <c r="V82" s="39">
        <f t="shared" si="136"/>
        <v>0</v>
      </c>
      <c r="W82" s="39">
        <f t="shared" si="136"/>
        <v>0</v>
      </c>
      <c r="X82" s="39">
        <f t="shared" si="136"/>
        <v>0</v>
      </c>
      <c r="Y82" s="39">
        <f t="shared" si="136"/>
        <v>0</v>
      </c>
      <c r="Z82" s="39">
        <f t="shared" si="136"/>
        <v>0</v>
      </c>
      <c r="AA82" s="39">
        <f t="shared" si="136"/>
        <v>0</v>
      </c>
      <c r="AB82" s="39">
        <f t="shared" si="136"/>
        <v>0</v>
      </c>
      <c r="AC82" s="39">
        <f t="shared" si="136"/>
        <v>0</v>
      </c>
      <c r="AD82" s="39">
        <f t="shared" si="136"/>
        <v>0</v>
      </c>
      <c r="AE82" s="39">
        <f t="shared" si="136"/>
        <v>0</v>
      </c>
      <c r="AF82" s="39">
        <f t="shared" si="136"/>
        <v>0</v>
      </c>
      <c r="AG82" s="39">
        <f t="shared" si="136"/>
        <v>0</v>
      </c>
      <c r="AH82" s="39">
        <f t="shared" si="136"/>
        <v>0</v>
      </c>
      <c r="AI82" s="39">
        <f t="shared" si="136"/>
        <v>0</v>
      </c>
      <c r="AJ82" s="39">
        <f t="shared" ref="AJ82:BO82" si="137">ROUND(AJ16*$B18+AJ23*$B25+AJ30*$B32+AJ37*$B39+AJ44*$B46+AJ51*$B53+AJ58*$B60,0)</f>
        <v>0</v>
      </c>
      <c r="AK82" s="39">
        <f t="shared" si="137"/>
        <v>0</v>
      </c>
      <c r="AL82" s="39">
        <f t="shared" si="137"/>
        <v>0</v>
      </c>
      <c r="AM82" s="39">
        <f t="shared" si="137"/>
        <v>0</v>
      </c>
      <c r="AN82" s="39">
        <f t="shared" si="137"/>
        <v>0</v>
      </c>
      <c r="AO82" s="39">
        <f t="shared" si="137"/>
        <v>0</v>
      </c>
      <c r="AP82" s="39">
        <f t="shared" si="137"/>
        <v>0</v>
      </c>
      <c r="AQ82" s="39">
        <f t="shared" si="137"/>
        <v>0</v>
      </c>
      <c r="AR82" s="39">
        <f t="shared" si="137"/>
        <v>0</v>
      </c>
      <c r="AS82" s="39">
        <f t="shared" si="137"/>
        <v>0</v>
      </c>
      <c r="AT82" s="39">
        <f t="shared" si="137"/>
        <v>0</v>
      </c>
      <c r="AU82" s="39">
        <f t="shared" si="137"/>
        <v>0</v>
      </c>
      <c r="AV82" s="39">
        <f t="shared" si="137"/>
        <v>0</v>
      </c>
      <c r="AW82" s="39">
        <f t="shared" si="137"/>
        <v>0</v>
      </c>
      <c r="AX82" s="39">
        <f t="shared" si="137"/>
        <v>0</v>
      </c>
      <c r="AY82" s="39">
        <f t="shared" si="137"/>
        <v>0</v>
      </c>
      <c r="AZ82" s="39">
        <f t="shared" si="137"/>
        <v>0</v>
      </c>
      <c r="BA82" s="39">
        <f t="shared" si="137"/>
        <v>0</v>
      </c>
      <c r="BB82" s="39">
        <f t="shared" si="137"/>
        <v>0</v>
      </c>
      <c r="BC82" s="39">
        <f t="shared" si="137"/>
        <v>0</v>
      </c>
      <c r="BD82" s="39">
        <f t="shared" si="137"/>
        <v>0</v>
      </c>
      <c r="BE82" s="39">
        <f t="shared" si="137"/>
        <v>0</v>
      </c>
      <c r="BF82" s="39">
        <f t="shared" si="137"/>
        <v>0</v>
      </c>
      <c r="BG82" s="39">
        <f t="shared" si="137"/>
        <v>0</v>
      </c>
      <c r="BH82" s="39">
        <f t="shared" si="137"/>
        <v>0</v>
      </c>
      <c r="BI82" s="39">
        <f t="shared" si="137"/>
        <v>0</v>
      </c>
      <c r="BJ82" s="39">
        <f t="shared" si="137"/>
        <v>0</v>
      </c>
      <c r="BK82" s="39">
        <f t="shared" si="137"/>
        <v>0</v>
      </c>
      <c r="BL82" s="39">
        <f t="shared" si="137"/>
        <v>0</v>
      </c>
      <c r="BM82" s="39">
        <f t="shared" si="137"/>
        <v>0</v>
      </c>
      <c r="BN82" s="39">
        <f t="shared" si="137"/>
        <v>0</v>
      </c>
      <c r="BO82" s="39">
        <f t="shared" si="137"/>
        <v>0</v>
      </c>
      <c r="BP82" s="39">
        <f t="shared" ref="BP82:CC82" si="138">ROUND(BP16*$B18+BP23*$B25+BP30*$B32+BP37*$B39+BP44*$B46+BP51*$B53+BP58*$B60,0)</f>
        <v>0</v>
      </c>
      <c r="BQ82" s="39">
        <f t="shared" si="138"/>
        <v>0</v>
      </c>
      <c r="BR82" s="39">
        <f t="shared" si="138"/>
        <v>0</v>
      </c>
      <c r="BS82" s="39">
        <f t="shared" si="138"/>
        <v>0</v>
      </c>
      <c r="BT82" s="39">
        <f t="shared" si="138"/>
        <v>0</v>
      </c>
      <c r="BU82" s="39">
        <f t="shared" si="138"/>
        <v>0</v>
      </c>
      <c r="BV82" s="39">
        <f t="shared" si="138"/>
        <v>0</v>
      </c>
      <c r="BW82" s="39">
        <f t="shared" si="138"/>
        <v>0</v>
      </c>
      <c r="BX82" s="39">
        <f t="shared" si="138"/>
        <v>0</v>
      </c>
      <c r="BY82" s="39">
        <f t="shared" si="138"/>
        <v>0</v>
      </c>
      <c r="BZ82" s="39">
        <f t="shared" si="138"/>
        <v>0</v>
      </c>
      <c r="CA82" s="39">
        <f t="shared" si="138"/>
        <v>0</v>
      </c>
      <c r="CB82" s="39">
        <f t="shared" si="138"/>
        <v>0</v>
      </c>
      <c r="CC82" s="39">
        <f t="shared" si="138"/>
        <v>0</v>
      </c>
    </row>
    <row r="83" spans="1:81" x14ac:dyDescent="0.2">
      <c r="A83" t="s">
        <v>264</v>
      </c>
      <c r="D83" s="39">
        <f t="shared" ref="D83:AI83" si="139">ROUND(D17*$B16+D24*$B23+D31*$B30+D38*$B37+D45*$B44+D52*$B51+D59*$B58,0)</f>
        <v>0</v>
      </c>
      <c r="E83" s="39">
        <f t="shared" si="139"/>
        <v>192</v>
      </c>
      <c r="F83" s="39">
        <f t="shared" si="139"/>
        <v>192</v>
      </c>
      <c r="G83" s="39">
        <f t="shared" si="139"/>
        <v>154</v>
      </c>
      <c r="H83" s="39">
        <f t="shared" si="139"/>
        <v>154</v>
      </c>
      <c r="I83" s="39">
        <f t="shared" si="139"/>
        <v>192</v>
      </c>
      <c r="J83" s="39">
        <f t="shared" si="139"/>
        <v>154</v>
      </c>
      <c r="K83" s="39">
        <f t="shared" si="139"/>
        <v>192</v>
      </c>
      <c r="L83" s="39">
        <f t="shared" si="139"/>
        <v>230</v>
      </c>
      <c r="M83" s="39">
        <f t="shared" si="139"/>
        <v>307</v>
      </c>
      <c r="N83" s="39">
        <f t="shared" si="139"/>
        <v>0</v>
      </c>
      <c r="O83" s="39">
        <f t="shared" si="139"/>
        <v>0</v>
      </c>
      <c r="P83" s="39">
        <f t="shared" si="139"/>
        <v>0</v>
      </c>
      <c r="Q83" s="39">
        <f t="shared" si="139"/>
        <v>0</v>
      </c>
      <c r="R83" s="39">
        <f t="shared" si="139"/>
        <v>154</v>
      </c>
      <c r="S83" s="39">
        <f t="shared" si="139"/>
        <v>154</v>
      </c>
      <c r="T83" s="39">
        <f t="shared" si="139"/>
        <v>154</v>
      </c>
      <c r="U83" s="39">
        <f t="shared" si="139"/>
        <v>163</v>
      </c>
      <c r="V83" s="39">
        <f t="shared" si="139"/>
        <v>163</v>
      </c>
      <c r="W83" s="39">
        <f t="shared" si="139"/>
        <v>163</v>
      </c>
      <c r="X83" s="39">
        <f t="shared" si="139"/>
        <v>163</v>
      </c>
      <c r="Y83" s="39">
        <f t="shared" si="139"/>
        <v>106</v>
      </c>
      <c r="Z83" s="39">
        <f t="shared" si="139"/>
        <v>106</v>
      </c>
      <c r="AA83" s="39">
        <f t="shared" si="139"/>
        <v>106</v>
      </c>
      <c r="AB83" s="39">
        <f t="shared" si="139"/>
        <v>106</v>
      </c>
      <c r="AC83" s="39">
        <f t="shared" si="139"/>
        <v>154</v>
      </c>
      <c r="AD83" s="39">
        <f t="shared" si="139"/>
        <v>154</v>
      </c>
      <c r="AE83" s="39">
        <f t="shared" si="139"/>
        <v>154</v>
      </c>
      <c r="AF83" s="39">
        <f t="shared" si="139"/>
        <v>154</v>
      </c>
      <c r="AG83" s="39">
        <f t="shared" si="139"/>
        <v>154</v>
      </c>
      <c r="AH83" s="39">
        <f t="shared" si="139"/>
        <v>192</v>
      </c>
      <c r="AI83" s="39">
        <f t="shared" si="139"/>
        <v>192</v>
      </c>
      <c r="AJ83" s="39">
        <f t="shared" ref="AJ83:BO83" si="140">ROUND(AJ17*$B16+AJ24*$B23+AJ31*$B30+AJ38*$B37+AJ45*$B44+AJ52*$B51+AJ59*$B58,0)</f>
        <v>0</v>
      </c>
      <c r="AK83" s="39">
        <f t="shared" si="140"/>
        <v>0</v>
      </c>
      <c r="AL83" s="39">
        <f t="shared" si="140"/>
        <v>0</v>
      </c>
      <c r="AM83" s="39">
        <f t="shared" si="140"/>
        <v>0</v>
      </c>
      <c r="AN83" s="39">
        <f t="shared" si="140"/>
        <v>147</v>
      </c>
      <c r="AO83" s="39">
        <f t="shared" si="140"/>
        <v>147</v>
      </c>
      <c r="AP83" s="39">
        <f t="shared" si="140"/>
        <v>147</v>
      </c>
      <c r="AQ83" s="39">
        <f t="shared" si="140"/>
        <v>178</v>
      </c>
      <c r="AR83" s="39">
        <f t="shared" si="140"/>
        <v>178</v>
      </c>
      <c r="AS83" s="39">
        <f t="shared" si="140"/>
        <v>142</v>
      </c>
      <c r="AT83" s="39">
        <f t="shared" si="140"/>
        <v>178</v>
      </c>
      <c r="AU83" s="39">
        <f t="shared" si="140"/>
        <v>169</v>
      </c>
      <c r="AV83" s="39">
        <f t="shared" si="140"/>
        <v>169</v>
      </c>
      <c r="AW83" s="39">
        <f t="shared" si="140"/>
        <v>169</v>
      </c>
      <c r="AX83" s="39">
        <f t="shared" si="140"/>
        <v>169</v>
      </c>
      <c r="AY83" s="39">
        <f t="shared" si="140"/>
        <v>135</v>
      </c>
      <c r="AZ83" s="39">
        <f t="shared" si="140"/>
        <v>135</v>
      </c>
      <c r="BA83" s="39">
        <f t="shared" si="140"/>
        <v>135</v>
      </c>
      <c r="BB83" s="39">
        <f t="shared" si="140"/>
        <v>135</v>
      </c>
      <c r="BC83" s="39">
        <f t="shared" si="140"/>
        <v>135</v>
      </c>
      <c r="BD83" s="39">
        <f t="shared" si="140"/>
        <v>135</v>
      </c>
      <c r="BE83" s="39">
        <f t="shared" si="140"/>
        <v>135</v>
      </c>
      <c r="BF83" s="39">
        <f t="shared" si="140"/>
        <v>135</v>
      </c>
      <c r="BG83" s="39">
        <f t="shared" si="140"/>
        <v>135</v>
      </c>
      <c r="BH83" s="39">
        <f t="shared" si="140"/>
        <v>135</v>
      </c>
      <c r="BI83" s="39">
        <f t="shared" si="140"/>
        <v>135</v>
      </c>
      <c r="BJ83" s="39">
        <f t="shared" si="140"/>
        <v>135</v>
      </c>
      <c r="BK83" s="39">
        <f t="shared" si="140"/>
        <v>135</v>
      </c>
      <c r="BL83" s="39">
        <f t="shared" si="140"/>
        <v>135</v>
      </c>
      <c r="BM83" s="39">
        <f t="shared" si="140"/>
        <v>135</v>
      </c>
      <c r="BN83" s="39">
        <f t="shared" si="140"/>
        <v>246</v>
      </c>
      <c r="BO83" s="39">
        <f t="shared" si="140"/>
        <v>0</v>
      </c>
      <c r="BP83" s="39">
        <f t="shared" ref="BP83:CC83" si="141">ROUND(BP17*$B16+BP24*$B23+BP31*$B30+BP38*$B37+BP45*$B44+BP52*$B51+BP59*$B58,0)</f>
        <v>0</v>
      </c>
      <c r="BQ83" s="39">
        <f t="shared" si="141"/>
        <v>0</v>
      </c>
      <c r="BR83" s="39">
        <f t="shared" si="141"/>
        <v>0</v>
      </c>
      <c r="BS83" s="39">
        <f t="shared" si="141"/>
        <v>135</v>
      </c>
      <c r="BT83" s="39">
        <f t="shared" si="141"/>
        <v>135</v>
      </c>
      <c r="BU83" s="39">
        <f t="shared" si="141"/>
        <v>135</v>
      </c>
      <c r="BV83" s="39">
        <f t="shared" si="141"/>
        <v>135</v>
      </c>
      <c r="BW83" s="39">
        <f t="shared" si="141"/>
        <v>135</v>
      </c>
      <c r="BX83" s="39">
        <f t="shared" si="141"/>
        <v>135</v>
      </c>
      <c r="BY83" s="39">
        <f t="shared" si="141"/>
        <v>135</v>
      </c>
      <c r="BZ83" s="39">
        <f t="shared" si="141"/>
        <v>135</v>
      </c>
      <c r="CA83" s="39">
        <f t="shared" si="141"/>
        <v>135</v>
      </c>
      <c r="CB83" s="39">
        <f t="shared" si="141"/>
        <v>135</v>
      </c>
      <c r="CC83" s="39">
        <f t="shared" si="141"/>
        <v>135</v>
      </c>
    </row>
    <row r="84" spans="1:81" x14ac:dyDescent="0.2">
      <c r="A84" t="s">
        <v>265</v>
      </c>
      <c r="D84" s="39">
        <f t="shared" ref="D84:AI84" si="142">ROUND(D17*$B18+D24*$B25+D31*$B32+D38*$B39+D45*$B46+D52*$B53+D59*$B60,0)</f>
        <v>0</v>
      </c>
      <c r="E84" s="39">
        <f t="shared" si="142"/>
        <v>216</v>
      </c>
      <c r="F84" s="39">
        <f t="shared" si="142"/>
        <v>216</v>
      </c>
      <c r="G84" s="39">
        <f t="shared" si="142"/>
        <v>173</v>
      </c>
      <c r="H84" s="39">
        <f t="shared" si="142"/>
        <v>173</v>
      </c>
      <c r="I84" s="39">
        <f t="shared" si="142"/>
        <v>216</v>
      </c>
      <c r="J84" s="39">
        <f t="shared" si="142"/>
        <v>173</v>
      </c>
      <c r="K84" s="39">
        <f t="shared" si="142"/>
        <v>216</v>
      </c>
      <c r="L84" s="39">
        <f t="shared" si="142"/>
        <v>259</v>
      </c>
      <c r="M84" s="39">
        <f t="shared" si="142"/>
        <v>346</v>
      </c>
      <c r="N84" s="39">
        <f t="shared" si="142"/>
        <v>0</v>
      </c>
      <c r="O84" s="39">
        <f t="shared" si="142"/>
        <v>0</v>
      </c>
      <c r="P84" s="39">
        <f t="shared" si="142"/>
        <v>0</v>
      </c>
      <c r="Q84" s="39">
        <f t="shared" si="142"/>
        <v>0</v>
      </c>
      <c r="R84" s="39">
        <f t="shared" si="142"/>
        <v>173</v>
      </c>
      <c r="S84" s="39">
        <f t="shared" si="142"/>
        <v>173</v>
      </c>
      <c r="T84" s="39">
        <f t="shared" si="142"/>
        <v>173</v>
      </c>
      <c r="U84" s="39">
        <f t="shared" si="142"/>
        <v>184</v>
      </c>
      <c r="V84" s="39">
        <f t="shared" si="142"/>
        <v>184</v>
      </c>
      <c r="W84" s="39">
        <f t="shared" si="142"/>
        <v>184</v>
      </c>
      <c r="X84" s="39">
        <f t="shared" si="142"/>
        <v>184</v>
      </c>
      <c r="Y84" s="39">
        <f t="shared" si="142"/>
        <v>119</v>
      </c>
      <c r="Z84" s="39">
        <f t="shared" si="142"/>
        <v>119</v>
      </c>
      <c r="AA84" s="39">
        <f t="shared" si="142"/>
        <v>119</v>
      </c>
      <c r="AB84" s="39">
        <f t="shared" si="142"/>
        <v>119</v>
      </c>
      <c r="AC84" s="39">
        <f t="shared" si="142"/>
        <v>173</v>
      </c>
      <c r="AD84" s="39">
        <f t="shared" si="142"/>
        <v>173</v>
      </c>
      <c r="AE84" s="39">
        <f t="shared" si="142"/>
        <v>173</v>
      </c>
      <c r="AF84" s="39">
        <f t="shared" si="142"/>
        <v>173</v>
      </c>
      <c r="AG84" s="39">
        <f t="shared" si="142"/>
        <v>173</v>
      </c>
      <c r="AH84" s="39">
        <f t="shared" si="142"/>
        <v>216</v>
      </c>
      <c r="AI84" s="39">
        <f t="shared" si="142"/>
        <v>216</v>
      </c>
      <c r="AJ84" s="39">
        <f t="shared" ref="AJ84:BO84" si="143">ROUND(AJ17*$B18+AJ24*$B25+AJ31*$B32+AJ38*$B39+AJ45*$B46+AJ52*$B53+AJ59*$B60,0)</f>
        <v>0</v>
      </c>
      <c r="AK84" s="39">
        <f t="shared" si="143"/>
        <v>0</v>
      </c>
      <c r="AL84" s="39">
        <f t="shared" si="143"/>
        <v>0</v>
      </c>
      <c r="AM84" s="39">
        <f t="shared" si="143"/>
        <v>0</v>
      </c>
      <c r="AN84" s="39">
        <f t="shared" si="143"/>
        <v>166</v>
      </c>
      <c r="AO84" s="39">
        <f t="shared" si="143"/>
        <v>166</v>
      </c>
      <c r="AP84" s="39">
        <f t="shared" si="143"/>
        <v>166</v>
      </c>
      <c r="AQ84" s="39">
        <f t="shared" si="143"/>
        <v>200</v>
      </c>
      <c r="AR84" s="39">
        <f t="shared" si="143"/>
        <v>200</v>
      </c>
      <c r="AS84" s="39">
        <f t="shared" si="143"/>
        <v>160</v>
      </c>
      <c r="AT84" s="39">
        <f t="shared" si="143"/>
        <v>200</v>
      </c>
      <c r="AU84" s="39">
        <f t="shared" si="143"/>
        <v>190</v>
      </c>
      <c r="AV84" s="39">
        <f t="shared" si="143"/>
        <v>190</v>
      </c>
      <c r="AW84" s="39">
        <f t="shared" si="143"/>
        <v>190</v>
      </c>
      <c r="AX84" s="39">
        <f t="shared" si="143"/>
        <v>190</v>
      </c>
      <c r="AY84" s="39">
        <f t="shared" si="143"/>
        <v>152</v>
      </c>
      <c r="AZ84" s="39">
        <f t="shared" si="143"/>
        <v>152</v>
      </c>
      <c r="BA84" s="39">
        <f t="shared" si="143"/>
        <v>152</v>
      </c>
      <c r="BB84" s="39">
        <f t="shared" si="143"/>
        <v>152</v>
      </c>
      <c r="BC84" s="39">
        <f t="shared" si="143"/>
        <v>152</v>
      </c>
      <c r="BD84" s="39">
        <f t="shared" si="143"/>
        <v>152</v>
      </c>
      <c r="BE84" s="39">
        <f t="shared" si="143"/>
        <v>152</v>
      </c>
      <c r="BF84" s="39">
        <f t="shared" si="143"/>
        <v>152</v>
      </c>
      <c r="BG84" s="39">
        <f t="shared" si="143"/>
        <v>152</v>
      </c>
      <c r="BH84" s="39">
        <f t="shared" si="143"/>
        <v>152</v>
      </c>
      <c r="BI84" s="39">
        <f t="shared" si="143"/>
        <v>152</v>
      </c>
      <c r="BJ84" s="39">
        <f t="shared" si="143"/>
        <v>152</v>
      </c>
      <c r="BK84" s="39">
        <f t="shared" si="143"/>
        <v>152</v>
      </c>
      <c r="BL84" s="39">
        <f t="shared" si="143"/>
        <v>151</v>
      </c>
      <c r="BM84" s="39">
        <f t="shared" si="143"/>
        <v>151</v>
      </c>
      <c r="BN84" s="39">
        <f t="shared" si="143"/>
        <v>276</v>
      </c>
      <c r="BO84" s="39">
        <f t="shared" si="143"/>
        <v>0</v>
      </c>
      <c r="BP84" s="39">
        <f t="shared" ref="BP84:CC84" si="144">ROUND(BP17*$B18+BP24*$B25+BP31*$B32+BP38*$B39+BP45*$B46+BP52*$B53+BP59*$B60,0)</f>
        <v>0</v>
      </c>
      <c r="BQ84" s="39">
        <f t="shared" si="144"/>
        <v>0</v>
      </c>
      <c r="BR84" s="39">
        <f t="shared" si="144"/>
        <v>0</v>
      </c>
      <c r="BS84" s="39">
        <f t="shared" si="144"/>
        <v>151</v>
      </c>
      <c r="BT84" s="39">
        <f t="shared" si="144"/>
        <v>151</v>
      </c>
      <c r="BU84" s="39">
        <f t="shared" si="144"/>
        <v>151</v>
      </c>
      <c r="BV84" s="39">
        <f t="shared" si="144"/>
        <v>151</v>
      </c>
      <c r="BW84" s="39">
        <f t="shared" si="144"/>
        <v>151</v>
      </c>
      <c r="BX84" s="39">
        <f t="shared" si="144"/>
        <v>151</v>
      </c>
      <c r="BY84" s="39">
        <f t="shared" si="144"/>
        <v>151</v>
      </c>
      <c r="BZ84" s="39">
        <f t="shared" si="144"/>
        <v>151</v>
      </c>
      <c r="CA84" s="39">
        <f t="shared" si="144"/>
        <v>151</v>
      </c>
      <c r="CB84" s="39">
        <f t="shared" si="144"/>
        <v>151</v>
      </c>
      <c r="CC84" s="39">
        <f t="shared" si="144"/>
        <v>151</v>
      </c>
    </row>
    <row r="85" spans="1:81" x14ac:dyDescent="0.2">
      <c r="A85" t="s">
        <v>266</v>
      </c>
      <c r="D85" s="39">
        <f t="shared" ref="D85:AI85" si="145">ROUND(D14*$B16+D21*$B23+D28*$B30+D35*$B37+D42*$B44+D49*$B51+D56*$B58,0)</f>
        <v>850</v>
      </c>
      <c r="E85" s="39">
        <f t="shared" si="145"/>
        <v>1094</v>
      </c>
      <c r="F85" s="39">
        <f t="shared" si="145"/>
        <v>902</v>
      </c>
      <c r="G85" s="39">
        <f t="shared" si="145"/>
        <v>710</v>
      </c>
      <c r="H85" s="39">
        <f t="shared" si="145"/>
        <v>557</v>
      </c>
      <c r="I85" s="39">
        <f t="shared" si="145"/>
        <v>581</v>
      </c>
      <c r="J85" s="39">
        <f t="shared" si="145"/>
        <v>566</v>
      </c>
      <c r="K85" s="39">
        <f t="shared" si="145"/>
        <v>502</v>
      </c>
      <c r="L85" s="39">
        <f t="shared" si="145"/>
        <v>310</v>
      </c>
      <c r="M85" s="39">
        <f t="shared" si="145"/>
        <v>79</v>
      </c>
      <c r="N85" s="39">
        <f t="shared" si="145"/>
        <v>-228</v>
      </c>
      <c r="O85" s="39">
        <f t="shared" si="145"/>
        <v>-228</v>
      </c>
      <c r="P85" s="39">
        <f t="shared" si="145"/>
        <v>-228</v>
      </c>
      <c r="Q85" s="39">
        <f t="shared" si="145"/>
        <v>-228</v>
      </c>
      <c r="R85" s="39">
        <f t="shared" si="145"/>
        <v>-228</v>
      </c>
      <c r="S85" s="39">
        <f t="shared" si="145"/>
        <v>-382</v>
      </c>
      <c r="T85" s="39">
        <f t="shared" si="145"/>
        <v>-535</v>
      </c>
      <c r="U85" s="39">
        <f t="shared" si="145"/>
        <v>-689</v>
      </c>
      <c r="V85" s="39">
        <f t="shared" si="145"/>
        <v>-852</v>
      </c>
      <c r="W85" s="39">
        <f t="shared" si="145"/>
        <v>-1015</v>
      </c>
      <c r="X85" s="39">
        <f t="shared" si="145"/>
        <v>-1178</v>
      </c>
      <c r="Y85" s="39">
        <f t="shared" si="145"/>
        <v>-1342</v>
      </c>
      <c r="Z85" s="39">
        <f t="shared" si="145"/>
        <v>-1447</v>
      </c>
      <c r="AA85" s="39">
        <f t="shared" si="145"/>
        <v>-1553</v>
      </c>
      <c r="AB85" s="39">
        <f t="shared" si="145"/>
        <v>-1658</v>
      </c>
      <c r="AC85" s="39">
        <f t="shared" si="145"/>
        <v>-1764</v>
      </c>
      <c r="AD85" s="39">
        <f t="shared" si="145"/>
        <v>-1918</v>
      </c>
      <c r="AE85" s="39">
        <f t="shared" si="145"/>
        <v>-2071</v>
      </c>
      <c r="AF85" s="39">
        <f t="shared" si="145"/>
        <v>-2225</v>
      </c>
      <c r="AG85" s="39">
        <f t="shared" si="145"/>
        <v>-2378</v>
      </c>
      <c r="AH85" s="39">
        <f t="shared" si="145"/>
        <v>-2532</v>
      </c>
      <c r="AI85" s="39">
        <f t="shared" si="145"/>
        <v>-2724</v>
      </c>
      <c r="AJ85" s="39">
        <f t="shared" ref="AJ85:BO85" si="146">ROUND(AJ14*$B16+AJ21*$B23+AJ28*$B30+AJ35*$B37+AJ42*$B44+AJ49*$B51+AJ56*$B58,0)</f>
        <v>-2916</v>
      </c>
      <c r="AK85" s="39">
        <f t="shared" si="146"/>
        <v>-2916</v>
      </c>
      <c r="AL85" s="39">
        <f t="shared" si="146"/>
        <v>-2916</v>
      </c>
      <c r="AM85" s="39">
        <f t="shared" si="146"/>
        <v>-2916</v>
      </c>
      <c r="AN85" s="39">
        <f t="shared" si="146"/>
        <v>-2916</v>
      </c>
      <c r="AO85" s="39">
        <f t="shared" si="146"/>
        <v>-3063</v>
      </c>
      <c r="AP85" s="39">
        <f t="shared" si="146"/>
        <v>-3211</v>
      </c>
      <c r="AQ85" s="39">
        <f t="shared" si="146"/>
        <v>-3358</v>
      </c>
      <c r="AR85" s="39">
        <f t="shared" si="146"/>
        <v>-3536</v>
      </c>
      <c r="AS85" s="39">
        <f t="shared" si="146"/>
        <v>-3714</v>
      </c>
      <c r="AT85" s="39">
        <f t="shared" si="146"/>
        <v>-3857</v>
      </c>
      <c r="AU85" s="39">
        <f t="shared" si="146"/>
        <v>-4035</v>
      </c>
      <c r="AV85" s="39">
        <f t="shared" si="146"/>
        <v>-4204</v>
      </c>
      <c r="AW85" s="39">
        <f t="shared" si="146"/>
        <v>-4373</v>
      </c>
      <c r="AX85" s="39">
        <f t="shared" si="146"/>
        <v>-4543</v>
      </c>
      <c r="AY85" s="39">
        <f t="shared" si="146"/>
        <v>-4712</v>
      </c>
      <c r="AZ85" s="39">
        <f t="shared" si="146"/>
        <v>-4847</v>
      </c>
      <c r="BA85" s="39">
        <f t="shared" si="146"/>
        <v>-4983</v>
      </c>
      <c r="BB85" s="39">
        <f t="shared" si="146"/>
        <v>-5118</v>
      </c>
      <c r="BC85" s="39">
        <f t="shared" si="146"/>
        <v>-5253</v>
      </c>
      <c r="BD85" s="39">
        <f t="shared" si="146"/>
        <v>-5389</v>
      </c>
      <c r="BE85" s="39">
        <f t="shared" si="146"/>
        <v>-5524</v>
      </c>
      <c r="BF85" s="39">
        <f t="shared" si="146"/>
        <v>-5659</v>
      </c>
      <c r="BG85" s="39">
        <f t="shared" si="146"/>
        <v>-5795</v>
      </c>
      <c r="BH85" s="39">
        <f t="shared" si="146"/>
        <v>-5930</v>
      </c>
      <c r="BI85" s="39">
        <f t="shared" si="146"/>
        <v>-6065</v>
      </c>
      <c r="BJ85" s="39">
        <f t="shared" si="146"/>
        <v>-6201</v>
      </c>
      <c r="BK85" s="39">
        <f t="shared" si="146"/>
        <v>-6336</v>
      </c>
      <c r="BL85" s="39">
        <f t="shared" si="146"/>
        <v>-6472</v>
      </c>
      <c r="BM85" s="39">
        <f t="shared" si="146"/>
        <v>-6606</v>
      </c>
      <c r="BN85" s="39">
        <f t="shared" si="146"/>
        <v>-6741</v>
      </c>
      <c r="BO85" s="39">
        <f t="shared" si="146"/>
        <v>-6986</v>
      </c>
      <c r="BP85" s="39">
        <f t="shared" ref="BP85:CC85" si="147">ROUND(BP14*$B16+BP21*$B23+BP28*$B30+BP35*$B37+BP42*$B44+BP49*$B51+BP56*$B58,0)</f>
        <v>-6986</v>
      </c>
      <c r="BQ85" s="39">
        <f t="shared" si="147"/>
        <v>-6986</v>
      </c>
      <c r="BR85" s="39">
        <f t="shared" si="147"/>
        <v>-6986</v>
      </c>
      <c r="BS85" s="39">
        <f t="shared" si="147"/>
        <v>-6986</v>
      </c>
      <c r="BT85" s="39">
        <f t="shared" si="147"/>
        <v>-7121</v>
      </c>
      <c r="BU85" s="39">
        <f t="shared" si="147"/>
        <v>-7256</v>
      </c>
      <c r="BV85" s="39">
        <f t="shared" si="147"/>
        <v>-7390</v>
      </c>
      <c r="BW85" s="39">
        <f t="shared" si="147"/>
        <v>-7525</v>
      </c>
      <c r="BX85" s="39">
        <f t="shared" si="147"/>
        <v>-7659</v>
      </c>
      <c r="BY85" s="39">
        <f t="shared" si="147"/>
        <v>-7794</v>
      </c>
      <c r="BZ85" s="39">
        <f t="shared" si="147"/>
        <v>-7929</v>
      </c>
      <c r="CA85" s="39">
        <f t="shared" si="147"/>
        <v>-8063</v>
      </c>
      <c r="CB85" s="39">
        <f t="shared" si="147"/>
        <v>-8198</v>
      </c>
      <c r="CC85" s="39">
        <f t="shared" si="147"/>
        <v>-8332</v>
      </c>
    </row>
    <row r="86" spans="1:81" x14ac:dyDescent="0.2">
      <c r="A86" t="s">
        <v>267</v>
      </c>
      <c r="D86" s="39">
        <f t="shared" ref="D86:AI86" si="148">ROUND(D16*$B17+D23*$B24+D30*$B31+D37*$B38+D44*$B45+D51*$B52+D58*$B59,0)</f>
        <v>22</v>
      </c>
      <c r="E86" s="39">
        <f t="shared" si="148"/>
        <v>22</v>
      </c>
      <c r="F86" s="39">
        <f t="shared" si="148"/>
        <v>11</v>
      </c>
      <c r="G86" s="39">
        <f t="shared" si="148"/>
        <v>0</v>
      </c>
      <c r="H86" s="39">
        <f t="shared" si="148"/>
        <v>0</v>
      </c>
      <c r="I86" s="39">
        <f t="shared" si="148"/>
        <v>0</v>
      </c>
      <c r="J86" s="39">
        <f t="shared" si="148"/>
        <v>0</v>
      </c>
      <c r="K86" s="39">
        <f t="shared" si="148"/>
        <v>0</v>
      </c>
      <c r="L86" s="39">
        <f t="shared" si="148"/>
        <v>0</v>
      </c>
      <c r="M86" s="39">
        <f t="shared" si="148"/>
        <v>0</v>
      </c>
      <c r="N86" s="39">
        <f t="shared" si="148"/>
        <v>0</v>
      </c>
      <c r="O86" s="39">
        <f t="shared" si="148"/>
        <v>0</v>
      </c>
      <c r="P86" s="39">
        <f t="shared" si="148"/>
        <v>0</v>
      </c>
      <c r="Q86" s="39">
        <f t="shared" si="148"/>
        <v>0</v>
      </c>
      <c r="R86" s="39">
        <f t="shared" si="148"/>
        <v>0</v>
      </c>
      <c r="S86" s="39">
        <f t="shared" si="148"/>
        <v>0</v>
      </c>
      <c r="T86" s="39">
        <f t="shared" si="148"/>
        <v>0</v>
      </c>
      <c r="U86" s="39">
        <f t="shared" si="148"/>
        <v>0</v>
      </c>
      <c r="V86" s="39">
        <f t="shared" si="148"/>
        <v>0</v>
      </c>
      <c r="W86" s="39">
        <f t="shared" si="148"/>
        <v>0</v>
      </c>
      <c r="X86" s="39">
        <f t="shared" si="148"/>
        <v>0</v>
      </c>
      <c r="Y86" s="39">
        <f t="shared" si="148"/>
        <v>0</v>
      </c>
      <c r="Z86" s="39">
        <f t="shared" si="148"/>
        <v>0</v>
      </c>
      <c r="AA86" s="39">
        <f t="shared" si="148"/>
        <v>0</v>
      </c>
      <c r="AB86" s="39">
        <f t="shared" si="148"/>
        <v>0</v>
      </c>
      <c r="AC86" s="39">
        <f t="shared" si="148"/>
        <v>0</v>
      </c>
      <c r="AD86" s="39">
        <f t="shared" si="148"/>
        <v>0</v>
      </c>
      <c r="AE86" s="39">
        <f t="shared" si="148"/>
        <v>0</v>
      </c>
      <c r="AF86" s="39">
        <f t="shared" si="148"/>
        <v>0</v>
      </c>
      <c r="AG86" s="39">
        <f t="shared" si="148"/>
        <v>0</v>
      </c>
      <c r="AH86" s="39">
        <f t="shared" si="148"/>
        <v>0</v>
      </c>
      <c r="AI86" s="39">
        <f t="shared" si="148"/>
        <v>0</v>
      </c>
      <c r="AJ86" s="39">
        <f t="shared" ref="AJ86:BO86" si="149">ROUND(AJ16*$B17+AJ23*$B24+AJ30*$B31+AJ37*$B38+AJ44*$B45+AJ51*$B52+AJ58*$B59,0)</f>
        <v>0</v>
      </c>
      <c r="AK86" s="39">
        <f t="shared" si="149"/>
        <v>0</v>
      </c>
      <c r="AL86" s="39">
        <f t="shared" si="149"/>
        <v>0</v>
      </c>
      <c r="AM86" s="39">
        <f t="shared" si="149"/>
        <v>0</v>
      </c>
      <c r="AN86" s="39">
        <f t="shared" si="149"/>
        <v>0</v>
      </c>
      <c r="AO86" s="39">
        <f t="shared" si="149"/>
        <v>0</v>
      </c>
      <c r="AP86" s="39">
        <f t="shared" si="149"/>
        <v>0</v>
      </c>
      <c r="AQ86" s="39">
        <f t="shared" si="149"/>
        <v>0</v>
      </c>
      <c r="AR86" s="39">
        <f t="shared" si="149"/>
        <v>0</v>
      </c>
      <c r="AS86" s="39">
        <f t="shared" si="149"/>
        <v>0</v>
      </c>
      <c r="AT86" s="39">
        <f t="shared" si="149"/>
        <v>0</v>
      </c>
      <c r="AU86" s="39">
        <f t="shared" si="149"/>
        <v>0</v>
      </c>
      <c r="AV86" s="39">
        <f t="shared" si="149"/>
        <v>0</v>
      </c>
      <c r="AW86" s="39">
        <f t="shared" si="149"/>
        <v>0</v>
      </c>
      <c r="AX86" s="39">
        <f t="shared" si="149"/>
        <v>0</v>
      </c>
      <c r="AY86" s="39">
        <f t="shared" si="149"/>
        <v>0</v>
      </c>
      <c r="AZ86" s="39">
        <f t="shared" si="149"/>
        <v>0</v>
      </c>
      <c r="BA86" s="39">
        <f t="shared" si="149"/>
        <v>0</v>
      </c>
      <c r="BB86" s="39">
        <f t="shared" si="149"/>
        <v>0</v>
      </c>
      <c r="BC86" s="39">
        <f t="shared" si="149"/>
        <v>0</v>
      </c>
      <c r="BD86" s="39">
        <f t="shared" si="149"/>
        <v>0</v>
      </c>
      <c r="BE86" s="39">
        <f t="shared" si="149"/>
        <v>0</v>
      </c>
      <c r="BF86" s="39">
        <f t="shared" si="149"/>
        <v>0</v>
      </c>
      <c r="BG86" s="39">
        <f t="shared" si="149"/>
        <v>0</v>
      </c>
      <c r="BH86" s="39">
        <f t="shared" si="149"/>
        <v>0</v>
      </c>
      <c r="BI86" s="39">
        <f t="shared" si="149"/>
        <v>0</v>
      </c>
      <c r="BJ86" s="39">
        <f t="shared" si="149"/>
        <v>0</v>
      </c>
      <c r="BK86" s="39">
        <f t="shared" si="149"/>
        <v>0</v>
      </c>
      <c r="BL86" s="39">
        <f t="shared" si="149"/>
        <v>0</v>
      </c>
      <c r="BM86" s="39">
        <f t="shared" si="149"/>
        <v>0</v>
      </c>
      <c r="BN86" s="39">
        <f t="shared" si="149"/>
        <v>0</v>
      </c>
      <c r="BO86" s="39">
        <f t="shared" si="149"/>
        <v>0</v>
      </c>
      <c r="BP86" s="39">
        <f t="shared" ref="BP86:CC86" si="150">ROUND(BP16*$B17+BP23*$B24+BP30*$B31+BP37*$B38+BP44*$B45+BP51*$B52+BP58*$B59,0)</f>
        <v>0</v>
      </c>
      <c r="BQ86" s="39">
        <f t="shared" si="150"/>
        <v>0</v>
      </c>
      <c r="BR86" s="39">
        <f t="shared" si="150"/>
        <v>0</v>
      </c>
      <c r="BS86" s="39">
        <f t="shared" si="150"/>
        <v>0</v>
      </c>
      <c r="BT86" s="39">
        <f t="shared" si="150"/>
        <v>0</v>
      </c>
      <c r="BU86" s="39">
        <f t="shared" si="150"/>
        <v>0</v>
      </c>
      <c r="BV86" s="39">
        <f t="shared" si="150"/>
        <v>0</v>
      </c>
      <c r="BW86" s="39">
        <f t="shared" si="150"/>
        <v>0</v>
      </c>
      <c r="BX86" s="39">
        <f t="shared" si="150"/>
        <v>0</v>
      </c>
      <c r="BY86" s="39">
        <f t="shared" si="150"/>
        <v>0</v>
      </c>
      <c r="BZ86" s="39">
        <f t="shared" si="150"/>
        <v>0</v>
      </c>
      <c r="CA86" s="39">
        <f t="shared" si="150"/>
        <v>0</v>
      </c>
      <c r="CB86" s="39">
        <f t="shared" si="150"/>
        <v>0</v>
      </c>
      <c r="CC86" s="39">
        <f t="shared" si="150"/>
        <v>0</v>
      </c>
    </row>
    <row r="87" spans="1:81" x14ac:dyDescent="0.2">
      <c r="A87" t="s">
        <v>268</v>
      </c>
      <c r="D87" s="53">
        <f t="shared" ref="D87:AI87" ca="1" si="151">ROUND(IF(D88=0,0,D89/D88),0)</f>
        <v>4</v>
      </c>
      <c r="E87" s="53">
        <f t="shared" ca="1" si="151"/>
        <v>4</v>
      </c>
      <c r="F87" s="53">
        <f t="shared" ca="1" si="151"/>
        <v>4</v>
      </c>
      <c r="G87" s="53">
        <f t="shared" ca="1" si="151"/>
        <v>0</v>
      </c>
      <c r="H87" s="53">
        <f t="shared" ca="1" si="151"/>
        <v>0</v>
      </c>
      <c r="I87" s="53">
        <f t="shared" ca="1" si="151"/>
        <v>0</v>
      </c>
      <c r="J87" s="53">
        <f t="shared" ca="1" si="151"/>
        <v>0</v>
      </c>
      <c r="K87" s="53">
        <f t="shared" ca="1" si="151"/>
        <v>0</v>
      </c>
      <c r="L87" s="53">
        <f t="shared" ca="1" si="151"/>
        <v>0</v>
      </c>
      <c r="M87" s="53">
        <f t="shared" si="151"/>
        <v>0</v>
      </c>
      <c r="N87" s="53">
        <f t="shared" si="151"/>
        <v>0</v>
      </c>
      <c r="O87" s="53">
        <f t="shared" ca="1" si="151"/>
        <v>0</v>
      </c>
      <c r="P87" s="53">
        <f t="shared" ca="1" si="151"/>
        <v>0</v>
      </c>
      <c r="Q87" s="53">
        <f t="shared" ca="1" si="151"/>
        <v>0</v>
      </c>
      <c r="R87" s="53">
        <f t="shared" ca="1" si="151"/>
        <v>0</v>
      </c>
      <c r="S87" s="53">
        <f t="shared" ca="1" si="151"/>
        <v>0</v>
      </c>
      <c r="T87" s="53">
        <f t="shared" ca="1" si="151"/>
        <v>0</v>
      </c>
      <c r="U87" s="53">
        <f t="shared" ca="1" si="151"/>
        <v>0</v>
      </c>
      <c r="V87" s="53">
        <f t="shared" ca="1" si="151"/>
        <v>0</v>
      </c>
      <c r="W87" s="53">
        <f t="shared" ca="1" si="151"/>
        <v>0</v>
      </c>
      <c r="X87" s="53">
        <f t="shared" ca="1" si="151"/>
        <v>0</v>
      </c>
      <c r="Y87" s="53">
        <f t="shared" ca="1" si="151"/>
        <v>0</v>
      </c>
      <c r="Z87" s="53">
        <f t="shared" ca="1" si="151"/>
        <v>0</v>
      </c>
      <c r="AA87" s="53">
        <f t="shared" ca="1" si="151"/>
        <v>0</v>
      </c>
      <c r="AB87" s="53">
        <f t="shared" ca="1" si="151"/>
        <v>0</v>
      </c>
      <c r="AC87" s="53">
        <f t="shared" ca="1" si="151"/>
        <v>0</v>
      </c>
      <c r="AD87" s="53">
        <f t="shared" ca="1" si="151"/>
        <v>0</v>
      </c>
      <c r="AE87" s="53">
        <f t="shared" ca="1" si="151"/>
        <v>0</v>
      </c>
      <c r="AF87" s="53">
        <f t="shared" ca="1" si="151"/>
        <v>0</v>
      </c>
      <c r="AG87" s="53">
        <f t="shared" ca="1" si="151"/>
        <v>0</v>
      </c>
      <c r="AH87" s="53">
        <f t="shared" ca="1" si="151"/>
        <v>0</v>
      </c>
      <c r="AI87" s="53">
        <f t="shared" ca="1" si="151"/>
        <v>0</v>
      </c>
      <c r="AJ87" s="53">
        <f t="shared" ref="AJ87:BO87" ca="1" si="152">ROUND(IF(AJ88=0,0,AJ89/AJ88),0)</f>
        <v>0</v>
      </c>
      <c r="AK87" s="53">
        <f t="shared" si="152"/>
        <v>0</v>
      </c>
      <c r="AL87" s="53">
        <f t="shared" ca="1" si="152"/>
        <v>0</v>
      </c>
      <c r="AM87" s="53">
        <f t="shared" ca="1" si="152"/>
        <v>0</v>
      </c>
      <c r="AN87" s="53">
        <f t="shared" ca="1" si="152"/>
        <v>0</v>
      </c>
      <c r="AO87" s="53">
        <f t="shared" ca="1" si="152"/>
        <v>0</v>
      </c>
      <c r="AP87" s="53">
        <f t="shared" ca="1" si="152"/>
        <v>0</v>
      </c>
      <c r="AQ87" s="53">
        <f t="shared" ca="1" si="152"/>
        <v>0</v>
      </c>
      <c r="AR87" s="53">
        <f t="shared" ca="1" si="152"/>
        <v>0</v>
      </c>
      <c r="AS87" s="53">
        <f t="shared" ca="1" si="152"/>
        <v>0</v>
      </c>
      <c r="AT87" s="53">
        <f t="shared" ca="1" si="152"/>
        <v>0</v>
      </c>
      <c r="AU87" s="53">
        <f t="shared" ca="1" si="152"/>
        <v>0</v>
      </c>
      <c r="AV87" s="53">
        <f t="shared" ca="1" si="152"/>
        <v>0</v>
      </c>
      <c r="AW87" s="53">
        <f t="shared" ca="1" si="152"/>
        <v>0</v>
      </c>
      <c r="AX87" s="53">
        <f t="shared" ca="1" si="152"/>
        <v>0</v>
      </c>
      <c r="AY87" s="53">
        <f t="shared" ca="1" si="152"/>
        <v>0</v>
      </c>
      <c r="AZ87" s="53">
        <f t="shared" ca="1" si="152"/>
        <v>0</v>
      </c>
      <c r="BA87" s="53">
        <f t="shared" ca="1" si="152"/>
        <v>0</v>
      </c>
      <c r="BB87" s="53">
        <f t="shared" ca="1" si="152"/>
        <v>0</v>
      </c>
      <c r="BC87" s="53">
        <f t="shared" ca="1" si="152"/>
        <v>0</v>
      </c>
      <c r="BD87" s="53">
        <f t="shared" ca="1" si="152"/>
        <v>0</v>
      </c>
      <c r="BE87" s="53">
        <f t="shared" ca="1" si="152"/>
        <v>0</v>
      </c>
      <c r="BF87" s="53">
        <f t="shared" ca="1" si="152"/>
        <v>0</v>
      </c>
      <c r="BG87" s="53">
        <f t="shared" ca="1" si="152"/>
        <v>0</v>
      </c>
      <c r="BH87" s="53">
        <f t="shared" ca="1" si="152"/>
        <v>0</v>
      </c>
      <c r="BI87" s="53">
        <f t="shared" ca="1" si="152"/>
        <v>0</v>
      </c>
      <c r="BJ87" s="53">
        <f t="shared" ca="1" si="152"/>
        <v>0</v>
      </c>
      <c r="BK87" s="53">
        <f t="shared" ca="1" si="152"/>
        <v>0</v>
      </c>
      <c r="BL87" s="53">
        <f t="shared" ca="1" si="152"/>
        <v>0</v>
      </c>
      <c r="BM87" s="53">
        <f t="shared" ca="1" si="152"/>
        <v>0</v>
      </c>
      <c r="BN87" s="53">
        <f t="shared" ca="1" si="152"/>
        <v>0</v>
      </c>
      <c r="BO87" s="53">
        <f t="shared" ca="1" si="152"/>
        <v>0</v>
      </c>
      <c r="BP87" s="53">
        <f t="shared" ref="BP87:CC87" ca="1" si="153">ROUND(IF(BP88=0,0,BP89/BP88),0)</f>
        <v>0</v>
      </c>
      <c r="BQ87" s="53">
        <f t="shared" si="153"/>
        <v>0</v>
      </c>
      <c r="BR87" s="53">
        <f t="shared" si="153"/>
        <v>0</v>
      </c>
      <c r="BS87" s="53">
        <f t="shared" ca="1" si="153"/>
        <v>0</v>
      </c>
      <c r="BT87" s="53">
        <f t="shared" ca="1" si="153"/>
        <v>0</v>
      </c>
      <c r="BU87" s="53">
        <f t="shared" ca="1" si="153"/>
        <v>0</v>
      </c>
      <c r="BV87" s="53">
        <f t="shared" ca="1" si="153"/>
        <v>0</v>
      </c>
      <c r="BW87" s="53">
        <f t="shared" ca="1" si="153"/>
        <v>0</v>
      </c>
      <c r="BX87" s="53">
        <f t="shared" ca="1" si="153"/>
        <v>0</v>
      </c>
      <c r="BY87" s="53">
        <f t="shared" ca="1" si="153"/>
        <v>0</v>
      </c>
      <c r="BZ87" s="53">
        <f t="shared" ca="1" si="153"/>
        <v>0</v>
      </c>
      <c r="CA87" s="53">
        <f t="shared" ca="1" si="153"/>
        <v>0</v>
      </c>
      <c r="CB87" s="53">
        <f t="shared" ca="1" si="153"/>
        <v>0</v>
      </c>
      <c r="CC87" s="53">
        <f t="shared" ca="1" si="153"/>
        <v>0</v>
      </c>
    </row>
    <row r="88" spans="1:81" x14ac:dyDescent="0.2">
      <c r="A88" t="s">
        <v>269</v>
      </c>
      <c r="D88" s="39">
        <f t="array" ref="D88:CC88">TRANSPOSE('T-ADIENT CHUSION'!U12:U89)</f>
        <v>42</v>
      </c>
      <c r="E88" s="39">
        <v>42</v>
      </c>
      <c r="F88" s="39">
        <v>21</v>
      </c>
      <c r="G88" s="39">
        <v>35</v>
      </c>
      <c r="H88" s="39">
        <v>42</v>
      </c>
      <c r="I88" s="39">
        <v>35</v>
      </c>
      <c r="J88" s="39">
        <v>42</v>
      </c>
      <c r="K88" s="39">
        <v>35</v>
      </c>
      <c r="L88" s="39">
        <v>42</v>
      </c>
      <c r="M88" s="39">
        <v>0</v>
      </c>
      <c r="N88" s="39">
        <v>0</v>
      </c>
      <c r="O88" s="39">
        <v>42</v>
      </c>
      <c r="P88" s="39">
        <v>42</v>
      </c>
      <c r="Q88" s="39">
        <v>42</v>
      </c>
      <c r="R88" s="39">
        <v>42</v>
      </c>
      <c r="S88" s="39">
        <v>35</v>
      </c>
      <c r="T88" s="39">
        <v>42</v>
      </c>
      <c r="U88" s="39">
        <v>42</v>
      </c>
      <c r="V88" s="39">
        <v>42</v>
      </c>
      <c r="W88" s="39">
        <v>28</v>
      </c>
      <c r="X88" s="39">
        <v>35</v>
      </c>
      <c r="Y88" s="39">
        <v>35</v>
      </c>
      <c r="Z88" s="39">
        <v>42</v>
      </c>
      <c r="AA88" s="39">
        <v>42</v>
      </c>
      <c r="AB88" s="39">
        <v>42</v>
      </c>
      <c r="AC88" s="39">
        <v>42</v>
      </c>
      <c r="AD88" s="39">
        <v>42</v>
      </c>
      <c r="AE88" s="39">
        <v>42</v>
      </c>
      <c r="AF88" s="39">
        <v>42</v>
      </c>
      <c r="AG88" s="39">
        <v>42</v>
      </c>
      <c r="AH88" s="39">
        <v>42</v>
      </c>
      <c r="AI88" s="39">
        <v>42</v>
      </c>
      <c r="AJ88" s="39">
        <v>42</v>
      </c>
      <c r="AK88" s="39">
        <v>0</v>
      </c>
      <c r="AL88" s="39">
        <v>42</v>
      </c>
      <c r="AM88" s="39">
        <v>28</v>
      </c>
      <c r="AN88" s="39">
        <v>42</v>
      </c>
      <c r="AO88" s="39">
        <v>42</v>
      </c>
      <c r="AP88" s="39">
        <v>35</v>
      </c>
      <c r="AQ88" s="39">
        <v>42</v>
      </c>
      <c r="AR88" s="39">
        <v>17.5</v>
      </c>
      <c r="AS88" s="39">
        <v>21</v>
      </c>
      <c r="AT88" s="39">
        <v>21</v>
      </c>
      <c r="AU88" s="39">
        <v>21</v>
      </c>
      <c r="AV88" s="39">
        <v>10.5</v>
      </c>
      <c r="AW88" s="39">
        <v>28</v>
      </c>
      <c r="AX88" s="39">
        <v>42</v>
      </c>
      <c r="AY88" s="39">
        <v>28</v>
      </c>
      <c r="AZ88" s="39">
        <v>42</v>
      </c>
      <c r="BA88" s="39">
        <v>42</v>
      </c>
      <c r="BB88" s="39">
        <v>21</v>
      </c>
      <c r="BC88" s="39">
        <v>42</v>
      </c>
      <c r="BD88" s="39">
        <v>21</v>
      </c>
      <c r="BE88" s="39">
        <v>42</v>
      </c>
      <c r="BF88" s="39">
        <v>42</v>
      </c>
      <c r="BG88" s="39">
        <v>42</v>
      </c>
      <c r="BH88" s="39">
        <v>42</v>
      </c>
      <c r="BI88" s="39">
        <v>35</v>
      </c>
      <c r="BJ88" s="39">
        <v>42</v>
      </c>
      <c r="BK88" s="39">
        <v>28</v>
      </c>
      <c r="BL88" s="39">
        <v>7</v>
      </c>
      <c r="BM88" s="39">
        <v>42</v>
      </c>
      <c r="BN88" s="39">
        <v>42</v>
      </c>
      <c r="BO88" s="39">
        <v>35</v>
      </c>
      <c r="BP88" s="39">
        <v>42</v>
      </c>
      <c r="BQ88" s="39">
        <v>0</v>
      </c>
      <c r="BR88" s="39">
        <v>0</v>
      </c>
      <c r="BS88" s="39">
        <v>35</v>
      </c>
      <c r="BT88" s="39">
        <v>42</v>
      </c>
      <c r="BU88" s="39">
        <v>42</v>
      </c>
      <c r="BV88" s="39">
        <v>42</v>
      </c>
      <c r="BW88" s="39">
        <v>42</v>
      </c>
      <c r="BX88" s="39">
        <v>28</v>
      </c>
      <c r="BY88" s="39">
        <v>42</v>
      </c>
      <c r="BZ88" s="39">
        <v>35</v>
      </c>
      <c r="CA88" s="39">
        <v>42</v>
      </c>
      <c r="CB88" s="39">
        <v>42</v>
      </c>
      <c r="CC88" s="39">
        <v>42</v>
      </c>
    </row>
    <row r="89" spans="1:81" x14ac:dyDescent="0.2">
      <c r="A89" t="s">
        <v>270</v>
      </c>
      <c r="D89" s="39">
        <f t="shared" ref="D89:AI89" ca="1" si="154">IF(D90=0,0,ROUND(D81/(D90/100)/100,0))</f>
        <v>148</v>
      </c>
      <c r="E89" s="39">
        <f t="shared" ca="1" si="154"/>
        <v>148</v>
      </c>
      <c r="F89" s="39">
        <f t="shared" ca="1" si="154"/>
        <v>74</v>
      </c>
      <c r="G89" s="39">
        <f t="shared" ca="1" si="154"/>
        <v>0</v>
      </c>
      <c r="H89" s="39">
        <f t="shared" ca="1" si="154"/>
        <v>0</v>
      </c>
      <c r="I89" s="39">
        <f t="shared" ca="1" si="154"/>
        <v>0</v>
      </c>
      <c r="J89" s="39">
        <f t="shared" ca="1" si="154"/>
        <v>0</v>
      </c>
      <c r="K89" s="39">
        <f t="shared" ca="1" si="154"/>
        <v>0</v>
      </c>
      <c r="L89" s="39">
        <f t="shared" ca="1" si="154"/>
        <v>0</v>
      </c>
      <c r="M89" s="39">
        <f t="shared" si="154"/>
        <v>0</v>
      </c>
      <c r="N89" s="39">
        <f t="shared" si="154"/>
        <v>0</v>
      </c>
      <c r="O89" s="39">
        <f t="shared" ca="1" si="154"/>
        <v>0</v>
      </c>
      <c r="P89" s="39">
        <f t="shared" ca="1" si="154"/>
        <v>0</v>
      </c>
      <c r="Q89" s="39">
        <f t="shared" ca="1" si="154"/>
        <v>0</v>
      </c>
      <c r="R89" s="39">
        <f t="shared" ca="1" si="154"/>
        <v>0</v>
      </c>
      <c r="S89" s="39">
        <f t="shared" ca="1" si="154"/>
        <v>0</v>
      </c>
      <c r="T89" s="39">
        <f t="shared" ca="1" si="154"/>
        <v>0</v>
      </c>
      <c r="U89" s="39">
        <f t="shared" ca="1" si="154"/>
        <v>0</v>
      </c>
      <c r="V89" s="39">
        <f t="shared" ca="1" si="154"/>
        <v>0</v>
      </c>
      <c r="W89" s="39">
        <f t="shared" ca="1" si="154"/>
        <v>0</v>
      </c>
      <c r="X89" s="39">
        <f t="shared" ca="1" si="154"/>
        <v>0</v>
      </c>
      <c r="Y89" s="39">
        <f t="shared" ca="1" si="154"/>
        <v>0</v>
      </c>
      <c r="Z89" s="39">
        <f t="shared" ca="1" si="154"/>
        <v>0</v>
      </c>
      <c r="AA89" s="39">
        <f t="shared" ca="1" si="154"/>
        <v>0</v>
      </c>
      <c r="AB89" s="39">
        <f t="shared" ca="1" si="154"/>
        <v>0</v>
      </c>
      <c r="AC89" s="39">
        <f t="shared" ca="1" si="154"/>
        <v>0</v>
      </c>
      <c r="AD89" s="39">
        <f t="shared" ca="1" si="154"/>
        <v>0</v>
      </c>
      <c r="AE89" s="39">
        <f t="shared" ca="1" si="154"/>
        <v>0</v>
      </c>
      <c r="AF89" s="39">
        <f t="shared" ca="1" si="154"/>
        <v>0</v>
      </c>
      <c r="AG89" s="39">
        <f t="shared" ca="1" si="154"/>
        <v>0</v>
      </c>
      <c r="AH89" s="39">
        <f t="shared" ca="1" si="154"/>
        <v>0</v>
      </c>
      <c r="AI89" s="39">
        <f t="shared" ca="1" si="154"/>
        <v>0</v>
      </c>
      <c r="AJ89" s="39">
        <f t="shared" ref="AJ89:BO89" ca="1" si="155">IF(AJ90=0,0,ROUND(AJ81/(AJ90/100)/100,0))</f>
        <v>0</v>
      </c>
      <c r="AK89" s="39">
        <f t="shared" si="155"/>
        <v>0</v>
      </c>
      <c r="AL89" s="39">
        <f t="shared" ca="1" si="155"/>
        <v>0</v>
      </c>
      <c r="AM89" s="39">
        <f t="shared" ca="1" si="155"/>
        <v>0</v>
      </c>
      <c r="AN89" s="39">
        <f t="shared" ca="1" si="155"/>
        <v>0</v>
      </c>
      <c r="AO89" s="39">
        <f t="shared" ca="1" si="155"/>
        <v>0</v>
      </c>
      <c r="AP89" s="39">
        <f t="shared" ca="1" si="155"/>
        <v>0</v>
      </c>
      <c r="AQ89" s="39">
        <f t="shared" ca="1" si="155"/>
        <v>0</v>
      </c>
      <c r="AR89" s="39">
        <f t="shared" ca="1" si="155"/>
        <v>0</v>
      </c>
      <c r="AS89" s="39">
        <f t="shared" ca="1" si="155"/>
        <v>0</v>
      </c>
      <c r="AT89" s="39">
        <f t="shared" ca="1" si="155"/>
        <v>0</v>
      </c>
      <c r="AU89" s="39">
        <f t="shared" ca="1" si="155"/>
        <v>0</v>
      </c>
      <c r="AV89" s="39">
        <f t="shared" ca="1" si="155"/>
        <v>0</v>
      </c>
      <c r="AW89" s="39">
        <f t="shared" ca="1" si="155"/>
        <v>0</v>
      </c>
      <c r="AX89" s="39">
        <f t="shared" ca="1" si="155"/>
        <v>0</v>
      </c>
      <c r="AY89" s="39">
        <f t="shared" ca="1" si="155"/>
        <v>0</v>
      </c>
      <c r="AZ89" s="39">
        <f t="shared" ca="1" si="155"/>
        <v>0</v>
      </c>
      <c r="BA89" s="39">
        <f t="shared" ca="1" si="155"/>
        <v>0</v>
      </c>
      <c r="BB89" s="39">
        <f t="shared" ca="1" si="155"/>
        <v>0</v>
      </c>
      <c r="BC89" s="39">
        <f t="shared" ca="1" si="155"/>
        <v>0</v>
      </c>
      <c r="BD89" s="39">
        <f t="shared" ca="1" si="155"/>
        <v>0</v>
      </c>
      <c r="BE89" s="39">
        <f t="shared" ca="1" si="155"/>
        <v>0</v>
      </c>
      <c r="BF89" s="39">
        <f t="shared" ca="1" si="155"/>
        <v>0</v>
      </c>
      <c r="BG89" s="39">
        <f t="shared" ca="1" si="155"/>
        <v>0</v>
      </c>
      <c r="BH89" s="39">
        <f t="shared" ca="1" si="155"/>
        <v>0</v>
      </c>
      <c r="BI89" s="39">
        <f t="shared" ca="1" si="155"/>
        <v>0</v>
      </c>
      <c r="BJ89" s="39">
        <f t="shared" ca="1" si="155"/>
        <v>0</v>
      </c>
      <c r="BK89" s="39">
        <f t="shared" ca="1" si="155"/>
        <v>0</v>
      </c>
      <c r="BL89" s="39">
        <f t="shared" ca="1" si="155"/>
        <v>0</v>
      </c>
      <c r="BM89" s="39">
        <f t="shared" ca="1" si="155"/>
        <v>0</v>
      </c>
      <c r="BN89" s="39">
        <f t="shared" ca="1" si="155"/>
        <v>0</v>
      </c>
      <c r="BO89" s="39">
        <f t="shared" ca="1" si="155"/>
        <v>0</v>
      </c>
      <c r="BP89" s="39">
        <f t="shared" ref="BP89:CC89" ca="1" si="156">IF(BP90=0,0,ROUND(BP81/(BP90/100)/100,0))</f>
        <v>0</v>
      </c>
      <c r="BQ89" s="39">
        <f t="shared" si="156"/>
        <v>0</v>
      </c>
      <c r="BR89" s="39">
        <f t="shared" si="156"/>
        <v>0</v>
      </c>
      <c r="BS89" s="39">
        <f t="shared" ca="1" si="156"/>
        <v>0</v>
      </c>
      <c r="BT89" s="39">
        <f t="shared" ca="1" si="156"/>
        <v>0</v>
      </c>
      <c r="BU89" s="39">
        <f t="shared" ca="1" si="156"/>
        <v>0</v>
      </c>
      <c r="BV89" s="39">
        <f t="shared" ca="1" si="156"/>
        <v>0</v>
      </c>
      <c r="BW89" s="39">
        <f t="shared" ca="1" si="156"/>
        <v>0</v>
      </c>
      <c r="BX89" s="39">
        <f t="shared" ca="1" si="156"/>
        <v>0</v>
      </c>
      <c r="BY89" s="39">
        <f t="shared" ca="1" si="156"/>
        <v>0</v>
      </c>
      <c r="BZ89" s="39">
        <f t="shared" ca="1" si="156"/>
        <v>0</v>
      </c>
      <c r="CA89" s="39">
        <f t="shared" ca="1" si="156"/>
        <v>0</v>
      </c>
      <c r="CB89" s="39">
        <f t="shared" ca="1" si="156"/>
        <v>0</v>
      </c>
      <c r="CC89" s="39">
        <f t="shared" ca="1" si="156"/>
        <v>0</v>
      </c>
    </row>
    <row r="90" spans="1:81" x14ac:dyDescent="0.2">
      <c r="A90" t="s">
        <v>271</v>
      </c>
      <c r="D90" s="54">
        <f t="array" ref="D90:CC90" ca="1">TRANSPOSE('T-ADIENT CHUSION'!AI12:AI89)</f>
        <v>1.2</v>
      </c>
      <c r="E90" s="54">
        <f ca="1"/>
        <v>1.2</v>
      </c>
      <c r="F90" s="54">
        <f ca="1"/>
        <v>1.2</v>
      </c>
      <c r="G90" s="54">
        <f ca="1"/>
        <v>1.2</v>
      </c>
      <c r="H90" s="54">
        <f ca="1"/>
        <v>1.2</v>
      </c>
      <c r="I90" s="54">
        <f ca="1"/>
        <v>1.2</v>
      </c>
      <c r="J90" s="54">
        <f ca="1"/>
        <v>1.2</v>
      </c>
      <c r="K90" s="54">
        <f ca="1"/>
        <v>1.2</v>
      </c>
      <c r="L90" s="54">
        <f ca="1"/>
        <v>1.2000000000000002</v>
      </c>
      <c r="M90" s="54">
        <v>0</v>
      </c>
      <c r="N90" s="54">
        <v>0</v>
      </c>
      <c r="O90" s="54">
        <f ca="1"/>
        <v>1.2000000000000002</v>
      </c>
      <c r="P90" s="54">
        <f ca="1"/>
        <v>1.2000000000000002</v>
      </c>
      <c r="Q90" s="54">
        <f ca="1"/>
        <v>1.2000000000000002</v>
      </c>
      <c r="R90" s="54">
        <f ca="1"/>
        <v>1.2000000000000002</v>
      </c>
      <c r="S90" s="54">
        <f ca="1"/>
        <v>1.2</v>
      </c>
      <c r="T90" s="54">
        <f ca="1"/>
        <v>1.2000000000000002</v>
      </c>
      <c r="U90" s="54">
        <f ca="1"/>
        <v>1.2000000000000002</v>
      </c>
      <c r="V90" s="54">
        <f ca="1"/>
        <v>1.2000000000000002</v>
      </c>
      <c r="W90" s="54">
        <f ca="1"/>
        <v>1.2</v>
      </c>
      <c r="X90" s="54">
        <f ca="1"/>
        <v>1.2</v>
      </c>
      <c r="Y90" s="54">
        <f ca="1"/>
        <v>1.2</v>
      </c>
      <c r="Z90" s="54">
        <f ca="1"/>
        <v>1.2000000000000002</v>
      </c>
      <c r="AA90" s="54">
        <f ca="1"/>
        <v>1.2000000000000002</v>
      </c>
      <c r="AB90" s="54">
        <f ca="1"/>
        <v>1.2000000000000002</v>
      </c>
      <c r="AC90" s="54">
        <f ca="1"/>
        <v>1.2000000000000002</v>
      </c>
      <c r="AD90" s="54">
        <f ca="1"/>
        <v>1.2000000000000002</v>
      </c>
      <c r="AE90" s="54">
        <f ca="1"/>
        <v>1.2000000000000002</v>
      </c>
      <c r="AF90" s="54">
        <f ca="1"/>
        <v>1.2000000000000002</v>
      </c>
      <c r="AG90" s="54">
        <f ca="1"/>
        <v>1.2000000000000002</v>
      </c>
      <c r="AH90" s="54">
        <f ca="1"/>
        <v>1.2000000000000002</v>
      </c>
      <c r="AI90" s="54">
        <f ca="1"/>
        <v>1.2000000000000002</v>
      </c>
      <c r="AJ90" s="54">
        <f ca="1"/>
        <v>1.2000000000000002</v>
      </c>
      <c r="AK90" s="54">
        <v>0</v>
      </c>
      <c r="AL90" s="54">
        <f ca="1"/>
        <v>1.2000000000000002</v>
      </c>
      <c r="AM90" s="54">
        <f ca="1"/>
        <v>1.2</v>
      </c>
      <c r="AN90" s="54">
        <f ca="1"/>
        <v>1.2000000000000002</v>
      </c>
      <c r="AO90" s="54">
        <f ca="1"/>
        <v>1.2000000000000002</v>
      </c>
      <c r="AP90" s="54">
        <f ca="1"/>
        <v>1.2</v>
      </c>
      <c r="AQ90" s="54">
        <f ca="1"/>
        <v>1.2000000000000002</v>
      </c>
      <c r="AR90" s="54">
        <f ca="1"/>
        <v>1.2003265306122448</v>
      </c>
      <c r="AS90" s="54">
        <f ca="1"/>
        <v>1.2</v>
      </c>
      <c r="AT90" s="54">
        <f ca="1"/>
        <v>1.2</v>
      </c>
      <c r="AU90" s="54">
        <f ca="1"/>
        <v>1.2</v>
      </c>
      <c r="AV90" s="54">
        <f ca="1"/>
        <v>1.2005442176870749</v>
      </c>
      <c r="AW90" s="54">
        <f ca="1"/>
        <v>1.2000000000000002</v>
      </c>
      <c r="AX90" s="54">
        <f ca="1"/>
        <v>1.2</v>
      </c>
      <c r="AY90" s="54">
        <f ca="1"/>
        <v>1.2000000000000002</v>
      </c>
      <c r="AZ90" s="54">
        <f ca="1"/>
        <v>1.2</v>
      </c>
      <c r="BA90" s="54">
        <f ca="1"/>
        <v>1.2</v>
      </c>
      <c r="BB90" s="54">
        <f ca="1"/>
        <v>1.2</v>
      </c>
      <c r="BC90" s="54">
        <f ca="1"/>
        <v>1.2000000000000002</v>
      </c>
      <c r="BD90" s="54">
        <f ca="1"/>
        <v>1.2000000000000002</v>
      </c>
      <c r="BE90" s="54">
        <f ca="1"/>
        <v>1.2000000000000002</v>
      </c>
      <c r="BF90" s="54">
        <f ca="1"/>
        <v>1.2000000000000002</v>
      </c>
      <c r="BG90" s="54">
        <f ca="1"/>
        <v>1.2000000000000002</v>
      </c>
      <c r="BH90" s="54">
        <f ca="1"/>
        <v>1.2000000000000002</v>
      </c>
      <c r="BI90" s="54">
        <f ca="1"/>
        <v>1.2</v>
      </c>
      <c r="BJ90" s="54">
        <f ca="1"/>
        <v>1.2000000000000002</v>
      </c>
      <c r="BK90" s="54">
        <f ca="1"/>
        <v>1.2</v>
      </c>
      <c r="BL90" s="54">
        <f ca="1"/>
        <v>1.2</v>
      </c>
      <c r="BM90" s="54">
        <f ca="1"/>
        <v>1.2000000000000002</v>
      </c>
      <c r="BN90" s="54">
        <f ca="1"/>
        <v>1.2000000000000002</v>
      </c>
      <c r="BO90" s="54">
        <f ca="1"/>
        <v>1.2</v>
      </c>
      <c r="BP90" s="54">
        <f ca="1"/>
        <v>1.2000000000000002</v>
      </c>
      <c r="BQ90" s="54">
        <v>0</v>
      </c>
      <c r="BR90" s="54">
        <v>0</v>
      </c>
      <c r="BS90" s="54">
        <f ca="1"/>
        <v>1.2</v>
      </c>
      <c r="BT90" s="54">
        <f ca="1"/>
        <v>1.2000000000000002</v>
      </c>
      <c r="BU90" s="54">
        <f ca="1"/>
        <v>1.2000000000000002</v>
      </c>
      <c r="BV90" s="54">
        <f ca="1"/>
        <v>1.2000000000000002</v>
      </c>
      <c r="BW90" s="54">
        <f ca="1"/>
        <v>1.2000000000000002</v>
      </c>
      <c r="BX90" s="54">
        <f ca="1"/>
        <v>1.2</v>
      </c>
      <c r="BY90" s="54">
        <f ca="1"/>
        <v>1.2000000000000002</v>
      </c>
      <c r="BZ90" s="54">
        <f ca="1"/>
        <v>1.2</v>
      </c>
      <c r="CA90" s="54">
        <f ca="1"/>
        <v>1.2000000000000002</v>
      </c>
      <c r="CB90" s="54">
        <f ca="1"/>
        <v>1.2000000000000002</v>
      </c>
      <c r="CC90" s="54">
        <f ca="1"/>
        <v>1.2000000000000002</v>
      </c>
    </row>
    <row r="91" spans="1:81" x14ac:dyDescent="0.2">
      <c r="A91" t="s">
        <v>272</v>
      </c>
      <c r="D91" s="39">
        <f t="shared" ref="D91:AI91" si="157">ROUND(D19+D26+D33+D40+D47+D54+D61,0)</f>
        <v>89</v>
      </c>
      <c r="E91" s="39">
        <f t="shared" si="157"/>
        <v>89</v>
      </c>
      <c r="F91" s="39">
        <f t="shared" si="157"/>
        <v>44</v>
      </c>
      <c r="G91" s="39">
        <f t="shared" si="157"/>
        <v>0</v>
      </c>
      <c r="H91" s="39">
        <f t="shared" si="157"/>
        <v>0</v>
      </c>
      <c r="I91" s="39">
        <f t="shared" si="157"/>
        <v>0</v>
      </c>
      <c r="J91" s="39">
        <f t="shared" si="157"/>
        <v>0</v>
      </c>
      <c r="K91" s="39">
        <f t="shared" si="157"/>
        <v>0</v>
      </c>
      <c r="L91" s="39">
        <f t="shared" si="157"/>
        <v>0</v>
      </c>
      <c r="M91" s="39">
        <f t="shared" si="157"/>
        <v>0</v>
      </c>
      <c r="N91" s="39">
        <f t="shared" si="157"/>
        <v>0</v>
      </c>
      <c r="O91" s="39">
        <f t="shared" si="157"/>
        <v>0</v>
      </c>
      <c r="P91" s="39">
        <f t="shared" si="157"/>
        <v>0</v>
      </c>
      <c r="Q91" s="39">
        <f t="shared" si="157"/>
        <v>0</v>
      </c>
      <c r="R91" s="39">
        <f t="shared" si="157"/>
        <v>0</v>
      </c>
      <c r="S91" s="39">
        <f t="shared" si="157"/>
        <v>0</v>
      </c>
      <c r="T91" s="39">
        <f t="shared" si="157"/>
        <v>0</v>
      </c>
      <c r="U91" s="39">
        <f t="shared" si="157"/>
        <v>0</v>
      </c>
      <c r="V91" s="39">
        <f t="shared" si="157"/>
        <v>0</v>
      </c>
      <c r="W91" s="39">
        <f t="shared" si="157"/>
        <v>0</v>
      </c>
      <c r="X91" s="39">
        <f t="shared" si="157"/>
        <v>0</v>
      </c>
      <c r="Y91" s="39">
        <f t="shared" si="157"/>
        <v>0</v>
      </c>
      <c r="Z91" s="39">
        <f t="shared" si="157"/>
        <v>0</v>
      </c>
      <c r="AA91" s="39">
        <f t="shared" si="157"/>
        <v>0</v>
      </c>
      <c r="AB91" s="39">
        <f t="shared" si="157"/>
        <v>0</v>
      </c>
      <c r="AC91" s="39">
        <f t="shared" si="157"/>
        <v>0</v>
      </c>
      <c r="AD91" s="39">
        <f t="shared" si="157"/>
        <v>0</v>
      </c>
      <c r="AE91" s="39">
        <f t="shared" si="157"/>
        <v>0</v>
      </c>
      <c r="AF91" s="39">
        <f t="shared" si="157"/>
        <v>0</v>
      </c>
      <c r="AG91" s="39">
        <f t="shared" si="157"/>
        <v>0</v>
      </c>
      <c r="AH91" s="39">
        <f t="shared" si="157"/>
        <v>0</v>
      </c>
      <c r="AI91" s="39">
        <f t="shared" si="157"/>
        <v>0</v>
      </c>
      <c r="AJ91" s="39">
        <f t="shared" ref="AJ91:BO91" si="158">ROUND(AJ19+AJ26+AJ33+AJ40+AJ47+AJ54+AJ61,0)</f>
        <v>0</v>
      </c>
      <c r="AK91" s="39">
        <f t="shared" si="158"/>
        <v>0</v>
      </c>
      <c r="AL91" s="39">
        <f t="shared" si="158"/>
        <v>0</v>
      </c>
      <c r="AM91" s="39">
        <f t="shared" si="158"/>
        <v>0</v>
      </c>
      <c r="AN91" s="39">
        <f t="shared" si="158"/>
        <v>0</v>
      </c>
      <c r="AO91" s="39">
        <f t="shared" si="158"/>
        <v>0</v>
      </c>
      <c r="AP91" s="39">
        <f t="shared" si="158"/>
        <v>0</v>
      </c>
      <c r="AQ91" s="39">
        <f t="shared" si="158"/>
        <v>0</v>
      </c>
      <c r="AR91" s="39">
        <f t="shared" si="158"/>
        <v>0</v>
      </c>
      <c r="AS91" s="39">
        <f t="shared" si="158"/>
        <v>0</v>
      </c>
      <c r="AT91" s="39">
        <f t="shared" si="158"/>
        <v>0</v>
      </c>
      <c r="AU91" s="39">
        <f t="shared" si="158"/>
        <v>0</v>
      </c>
      <c r="AV91" s="39">
        <f t="shared" si="158"/>
        <v>0</v>
      </c>
      <c r="AW91" s="39">
        <f t="shared" si="158"/>
        <v>0</v>
      </c>
      <c r="AX91" s="39">
        <f t="shared" si="158"/>
        <v>0</v>
      </c>
      <c r="AY91" s="39">
        <f t="shared" si="158"/>
        <v>0</v>
      </c>
      <c r="AZ91" s="39">
        <f t="shared" si="158"/>
        <v>0</v>
      </c>
      <c r="BA91" s="39">
        <f t="shared" si="158"/>
        <v>0</v>
      </c>
      <c r="BB91" s="39">
        <f t="shared" si="158"/>
        <v>0</v>
      </c>
      <c r="BC91" s="39">
        <f t="shared" si="158"/>
        <v>0</v>
      </c>
      <c r="BD91" s="39">
        <f t="shared" si="158"/>
        <v>0</v>
      </c>
      <c r="BE91" s="39">
        <f t="shared" si="158"/>
        <v>0</v>
      </c>
      <c r="BF91" s="39">
        <f t="shared" si="158"/>
        <v>0</v>
      </c>
      <c r="BG91" s="39">
        <f t="shared" si="158"/>
        <v>0</v>
      </c>
      <c r="BH91" s="39">
        <f t="shared" si="158"/>
        <v>0</v>
      </c>
      <c r="BI91" s="39">
        <f t="shared" si="158"/>
        <v>0</v>
      </c>
      <c r="BJ91" s="39">
        <f t="shared" si="158"/>
        <v>0</v>
      </c>
      <c r="BK91" s="39">
        <f t="shared" si="158"/>
        <v>0</v>
      </c>
      <c r="BL91" s="39">
        <f t="shared" si="158"/>
        <v>0</v>
      </c>
      <c r="BM91" s="39">
        <f t="shared" si="158"/>
        <v>0</v>
      </c>
      <c r="BN91" s="39">
        <f t="shared" si="158"/>
        <v>0</v>
      </c>
      <c r="BO91" s="39">
        <f t="shared" si="158"/>
        <v>0</v>
      </c>
      <c r="BP91" s="39">
        <f t="shared" ref="BP91:CC91" si="159">ROUND(BP19+BP26+BP33+BP40+BP47+BP54+BP61,0)</f>
        <v>0</v>
      </c>
      <c r="BQ91" s="39">
        <f t="shared" si="159"/>
        <v>0</v>
      </c>
      <c r="BR91" s="39">
        <f t="shared" si="159"/>
        <v>0</v>
      </c>
      <c r="BS91" s="39">
        <f t="shared" si="159"/>
        <v>0</v>
      </c>
      <c r="BT91" s="39">
        <f t="shared" si="159"/>
        <v>0</v>
      </c>
      <c r="BU91" s="39">
        <f t="shared" si="159"/>
        <v>0</v>
      </c>
      <c r="BV91" s="39">
        <f t="shared" si="159"/>
        <v>0</v>
      </c>
      <c r="BW91" s="39">
        <f t="shared" si="159"/>
        <v>0</v>
      </c>
      <c r="BX91" s="39">
        <f t="shared" si="159"/>
        <v>0</v>
      </c>
      <c r="BY91" s="39">
        <f t="shared" si="159"/>
        <v>0</v>
      </c>
      <c r="BZ91" s="39">
        <f t="shared" si="159"/>
        <v>0</v>
      </c>
      <c r="CA91" s="39">
        <f t="shared" si="159"/>
        <v>0</v>
      </c>
      <c r="CB91" s="39">
        <f t="shared" si="159"/>
        <v>0</v>
      </c>
      <c r="CC91" s="39">
        <f t="shared" si="159"/>
        <v>0</v>
      </c>
    </row>
    <row r="94" spans="1:81" x14ac:dyDescent="0.2">
      <c r="A94" t="s">
        <v>273</v>
      </c>
      <c r="D94">
        <f t="array" ref="D94:CC94">TRANSPOSE('T-ADIENT CHUSION'!AE12:AE89)</f>
        <v>3.5</v>
      </c>
      <c r="E94">
        <v>3.5</v>
      </c>
      <c r="F94">
        <v>3.5</v>
      </c>
      <c r="G94">
        <v>3.5</v>
      </c>
      <c r="H94">
        <v>3.5</v>
      </c>
      <c r="I94">
        <v>3.5</v>
      </c>
      <c r="J94">
        <v>3.5</v>
      </c>
      <c r="K94">
        <v>3</v>
      </c>
      <c r="L94">
        <v>3</v>
      </c>
      <c r="M94">
        <v>3</v>
      </c>
      <c r="N94">
        <v>3</v>
      </c>
      <c r="O94">
        <v>3</v>
      </c>
      <c r="P94">
        <v>3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3.5</v>
      </c>
      <c r="AS94">
        <v>3.5</v>
      </c>
      <c r="AT94">
        <v>3.5</v>
      </c>
      <c r="AU94">
        <v>3.5</v>
      </c>
      <c r="AV94">
        <v>3.5</v>
      </c>
      <c r="AW94">
        <v>3.5</v>
      </c>
      <c r="AX94">
        <v>3.5</v>
      </c>
      <c r="AY94">
        <v>3.5</v>
      </c>
      <c r="AZ94">
        <v>3.5</v>
      </c>
      <c r="BA94">
        <v>3.5</v>
      </c>
      <c r="BB94">
        <v>3.5</v>
      </c>
      <c r="BC94">
        <v>3</v>
      </c>
      <c r="BD94">
        <v>3</v>
      </c>
      <c r="BE94">
        <v>3</v>
      </c>
      <c r="BF94">
        <v>3</v>
      </c>
      <c r="BG94">
        <v>3</v>
      </c>
      <c r="BH94">
        <v>3</v>
      </c>
      <c r="BI94">
        <v>3</v>
      </c>
      <c r="BJ94">
        <v>3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3</v>
      </c>
      <c r="BY94">
        <v>3</v>
      </c>
      <c r="BZ94">
        <v>3</v>
      </c>
      <c r="CA94">
        <v>3</v>
      </c>
      <c r="CB94">
        <v>3</v>
      </c>
      <c r="CC94">
        <v>3</v>
      </c>
    </row>
    <row r="95" spans="1:81" x14ac:dyDescent="0.2">
      <c r="A95" t="s">
        <v>56</v>
      </c>
      <c r="D95">
        <f t="array" ref="D95:CC95">TRANSPOSE('T-ADIENT CHUSION'!AH12:AH89)</f>
        <v>147</v>
      </c>
      <c r="E95">
        <v>147</v>
      </c>
      <c r="F95">
        <v>73.5</v>
      </c>
      <c r="G95">
        <v>122.5</v>
      </c>
      <c r="H95">
        <v>147</v>
      </c>
      <c r="I95">
        <v>122.5</v>
      </c>
      <c r="J95">
        <v>147</v>
      </c>
      <c r="K95">
        <v>105</v>
      </c>
      <c r="L95">
        <v>126</v>
      </c>
      <c r="M95">
        <v>0</v>
      </c>
      <c r="N95">
        <v>0</v>
      </c>
      <c r="O95">
        <v>126</v>
      </c>
      <c r="P95">
        <v>126</v>
      </c>
      <c r="Q95">
        <v>126</v>
      </c>
      <c r="R95">
        <v>126</v>
      </c>
      <c r="S95">
        <v>105</v>
      </c>
      <c r="T95">
        <v>126</v>
      </c>
      <c r="U95">
        <v>126</v>
      </c>
      <c r="V95">
        <v>126</v>
      </c>
      <c r="W95">
        <v>84</v>
      </c>
      <c r="X95">
        <v>105</v>
      </c>
      <c r="Y95">
        <v>105</v>
      </c>
      <c r="Z95">
        <v>126</v>
      </c>
      <c r="AA95">
        <v>126</v>
      </c>
      <c r="AB95">
        <v>126</v>
      </c>
      <c r="AC95">
        <v>126</v>
      </c>
      <c r="AD95">
        <v>126</v>
      </c>
      <c r="AE95">
        <v>126</v>
      </c>
      <c r="AF95">
        <v>126</v>
      </c>
      <c r="AG95">
        <v>126</v>
      </c>
      <c r="AH95">
        <v>126</v>
      </c>
      <c r="AI95">
        <v>126</v>
      </c>
      <c r="AJ95">
        <v>126</v>
      </c>
      <c r="AK95">
        <v>0</v>
      </c>
      <c r="AL95">
        <v>126</v>
      </c>
      <c r="AM95">
        <v>84</v>
      </c>
      <c r="AN95">
        <v>126</v>
      </c>
      <c r="AO95">
        <v>126</v>
      </c>
      <c r="AP95">
        <v>105</v>
      </c>
      <c r="AQ95">
        <v>126</v>
      </c>
      <c r="AR95">
        <v>61.25</v>
      </c>
      <c r="AS95">
        <v>73.5</v>
      </c>
      <c r="AT95">
        <v>73.5</v>
      </c>
      <c r="AU95">
        <v>73.5</v>
      </c>
      <c r="AV95">
        <v>36.75</v>
      </c>
      <c r="AW95">
        <v>98</v>
      </c>
      <c r="AX95">
        <v>147</v>
      </c>
      <c r="AY95">
        <v>98</v>
      </c>
      <c r="AZ95">
        <v>147</v>
      </c>
      <c r="BA95">
        <v>147</v>
      </c>
      <c r="BB95">
        <v>73.5</v>
      </c>
      <c r="BC95">
        <v>126</v>
      </c>
      <c r="BD95">
        <v>63</v>
      </c>
      <c r="BE95">
        <v>126</v>
      </c>
      <c r="BF95">
        <v>126</v>
      </c>
      <c r="BG95">
        <v>126</v>
      </c>
      <c r="BH95">
        <v>126</v>
      </c>
      <c r="BI95">
        <v>105</v>
      </c>
      <c r="BJ95">
        <v>126</v>
      </c>
      <c r="BK95">
        <v>84</v>
      </c>
      <c r="BL95">
        <v>21</v>
      </c>
      <c r="BM95">
        <v>126</v>
      </c>
      <c r="BN95">
        <v>126</v>
      </c>
      <c r="BO95">
        <v>105</v>
      </c>
      <c r="BP95">
        <v>126</v>
      </c>
      <c r="BQ95">
        <v>0</v>
      </c>
      <c r="BR95">
        <v>0</v>
      </c>
      <c r="BS95">
        <v>105</v>
      </c>
      <c r="BT95">
        <v>126</v>
      </c>
      <c r="BU95">
        <v>126</v>
      </c>
      <c r="BV95">
        <v>126</v>
      </c>
      <c r="BW95">
        <v>126</v>
      </c>
      <c r="BX95">
        <v>84</v>
      </c>
      <c r="BY95">
        <v>126</v>
      </c>
      <c r="BZ95">
        <v>105</v>
      </c>
      <c r="CA95">
        <v>126</v>
      </c>
      <c r="CB95">
        <v>126</v>
      </c>
      <c r="CC95">
        <v>126</v>
      </c>
    </row>
    <row r="96" spans="1:81" x14ac:dyDescent="0.2">
      <c r="A96" t="s">
        <v>274</v>
      </c>
      <c r="D96">
        <f t="shared" ref="D96:AI96" si="160">ROUND(D17*$C19+D24*$C26+D31*$C33+D38*$C40+D45*$C47+D52*$C54+D59*$C61,0)</f>
        <v>0</v>
      </c>
      <c r="E96">
        <f t="shared" si="160"/>
        <v>4487</v>
      </c>
      <c r="F96">
        <f t="shared" si="160"/>
        <v>4487</v>
      </c>
      <c r="G96">
        <f t="shared" si="160"/>
        <v>3589</v>
      </c>
      <c r="H96">
        <f t="shared" si="160"/>
        <v>3589</v>
      </c>
      <c r="I96">
        <f t="shared" si="160"/>
        <v>4487</v>
      </c>
      <c r="J96">
        <f t="shared" si="160"/>
        <v>3589</v>
      </c>
      <c r="K96">
        <f t="shared" si="160"/>
        <v>4487</v>
      </c>
      <c r="L96">
        <f t="shared" si="160"/>
        <v>5384</v>
      </c>
      <c r="M96">
        <f t="shared" si="160"/>
        <v>7178</v>
      </c>
      <c r="N96">
        <f t="shared" si="160"/>
        <v>0</v>
      </c>
      <c r="O96">
        <f t="shared" si="160"/>
        <v>0</v>
      </c>
      <c r="P96">
        <f t="shared" si="160"/>
        <v>0</v>
      </c>
      <c r="Q96">
        <f t="shared" si="160"/>
        <v>0</v>
      </c>
      <c r="R96">
        <f t="shared" si="160"/>
        <v>3589</v>
      </c>
      <c r="S96">
        <f t="shared" si="160"/>
        <v>3589</v>
      </c>
      <c r="T96">
        <f t="shared" si="160"/>
        <v>3589</v>
      </c>
      <c r="U96">
        <f t="shared" si="160"/>
        <v>3814</v>
      </c>
      <c r="V96">
        <f t="shared" si="160"/>
        <v>3814</v>
      </c>
      <c r="W96">
        <f t="shared" si="160"/>
        <v>3814</v>
      </c>
      <c r="X96">
        <f t="shared" si="160"/>
        <v>3814</v>
      </c>
      <c r="Y96">
        <f t="shared" si="160"/>
        <v>2468</v>
      </c>
      <c r="Z96">
        <f t="shared" si="160"/>
        <v>2468</v>
      </c>
      <c r="AA96">
        <f t="shared" si="160"/>
        <v>2468</v>
      </c>
      <c r="AB96">
        <f t="shared" si="160"/>
        <v>2468</v>
      </c>
      <c r="AC96">
        <f t="shared" si="160"/>
        <v>3589</v>
      </c>
      <c r="AD96">
        <f t="shared" si="160"/>
        <v>3589</v>
      </c>
      <c r="AE96">
        <f t="shared" si="160"/>
        <v>3589</v>
      </c>
      <c r="AF96">
        <f t="shared" si="160"/>
        <v>3589</v>
      </c>
      <c r="AG96">
        <f t="shared" si="160"/>
        <v>3589</v>
      </c>
      <c r="AH96">
        <f t="shared" si="160"/>
        <v>4487</v>
      </c>
      <c r="AI96">
        <f t="shared" si="160"/>
        <v>4487</v>
      </c>
      <c r="AJ96">
        <f t="shared" ref="AJ96:BO96" si="161">ROUND(AJ17*$C19+AJ24*$C26+AJ31*$C33+AJ38*$C40+AJ45*$C47+AJ52*$C54+AJ59*$C61,0)</f>
        <v>0</v>
      </c>
      <c r="AK96">
        <f t="shared" si="161"/>
        <v>0</v>
      </c>
      <c r="AL96">
        <f t="shared" si="161"/>
        <v>0</v>
      </c>
      <c r="AM96">
        <f t="shared" si="161"/>
        <v>0</v>
      </c>
      <c r="AN96">
        <f t="shared" si="161"/>
        <v>3445</v>
      </c>
      <c r="AO96">
        <f t="shared" si="161"/>
        <v>3445</v>
      </c>
      <c r="AP96">
        <f t="shared" si="161"/>
        <v>3445</v>
      </c>
      <c r="AQ96">
        <f t="shared" si="161"/>
        <v>4161</v>
      </c>
      <c r="AR96">
        <f t="shared" si="161"/>
        <v>4161</v>
      </c>
      <c r="AS96">
        <f t="shared" si="161"/>
        <v>3329</v>
      </c>
      <c r="AT96">
        <f t="shared" si="161"/>
        <v>4161</v>
      </c>
      <c r="AU96">
        <f t="shared" si="161"/>
        <v>3954</v>
      </c>
      <c r="AV96">
        <f t="shared" si="161"/>
        <v>3954</v>
      </c>
      <c r="AW96">
        <f t="shared" si="161"/>
        <v>3954</v>
      </c>
      <c r="AX96">
        <f t="shared" si="161"/>
        <v>3954</v>
      </c>
      <c r="AY96">
        <f t="shared" si="161"/>
        <v>3163</v>
      </c>
      <c r="AZ96">
        <f t="shared" si="161"/>
        <v>3163</v>
      </c>
      <c r="BA96">
        <f t="shared" si="161"/>
        <v>3163</v>
      </c>
      <c r="BB96">
        <f t="shared" si="161"/>
        <v>3163</v>
      </c>
      <c r="BC96">
        <f t="shared" si="161"/>
        <v>3163</v>
      </c>
      <c r="BD96">
        <f t="shared" si="161"/>
        <v>3163</v>
      </c>
      <c r="BE96">
        <f t="shared" si="161"/>
        <v>3163</v>
      </c>
      <c r="BF96">
        <f t="shared" si="161"/>
        <v>3163</v>
      </c>
      <c r="BG96">
        <f t="shared" si="161"/>
        <v>3163</v>
      </c>
      <c r="BH96">
        <f t="shared" si="161"/>
        <v>3163</v>
      </c>
      <c r="BI96">
        <f t="shared" si="161"/>
        <v>3163</v>
      </c>
      <c r="BJ96">
        <f t="shared" si="161"/>
        <v>3163</v>
      </c>
      <c r="BK96">
        <f t="shared" si="161"/>
        <v>3163</v>
      </c>
      <c r="BL96">
        <f t="shared" si="161"/>
        <v>3145</v>
      </c>
      <c r="BM96">
        <f t="shared" si="161"/>
        <v>3145</v>
      </c>
      <c r="BN96">
        <f t="shared" si="161"/>
        <v>5741</v>
      </c>
      <c r="BO96">
        <f t="shared" si="161"/>
        <v>0</v>
      </c>
      <c r="BP96">
        <f t="shared" ref="BP96:CC96" si="162">ROUND(BP17*$C19+BP24*$C26+BP31*$C33+BP38*$C40+BP45*$C47+BP52*$C54+BP59*$C61,0)</f>
        <v>0</v>
      </c>
      <c r="BQ96">
        <f t="shared" si="162"/>
        <v>0</v>
      </c>
      <c r="BR96">
        <f t="shared" si="162"/>
        <v>0</v>
      </c>
      <c r="BS96">
        <f t="shared" si="162"/>
        <v>3145</v>
      </c>
      <c r="BT96">
        <f t="shared" si="162"/>
        <v>3145</v>
      </c>
      <c r="BU96">
        <f t="shared" si="162"/>
        <v>3145</v>
      </c>
      <c r="BV96">
        <f t="shared" si="162"/>
        <v>3145</v>
      </c>
      <c r="BW96">
        <f t="shared" si="162"/>
        <v>3145</v>
      </c>
      <c r="BX96">
        <f t="shared" si="162"/>
        <v>3145</v>
      </c>
      <c r="BY96">
        <f t="shared" si="162"/>
        <v>3145</v>
      </c>
      <c r="BZ96">
        <f t="shared" si="162"/>
        <v>3145</v>
      </c>
      <c r="CA96">
        <f t="shared" si="162"/>
        <v>3145</v>
      </c>
      <c r="CB96">
        <f t="shared" si="162"/>
        <v>3145</v>
      </c>
      <c r="CC96">
        <f t="shared" si="162"/>
        <v>3145</v>
      </c>
    </row>
    <row r="97" spans="1:81" x14ac:dyDescent="0.2">
      <c r="A97" t="s">
        <v>275</v>
      </c>
      <c r="D97">
        <f t="shared" ref="D97:AI97" si="163">ROUND(D17*$A19+D24*$A26+D31*$A33+D38*$A40+D45*$A47+D52*$A54+D59*$A61,0)</f>
        <v>0</v>
      </c>
      <c r="E97">
        <f t="shared" si="163"/>
        <v>19200</v>
      </c>
      <c r="F97">
        <f t="shared" si="163"/>
        <v>19200</v>
      </c>
      <c r="G97">
        <f t="shared" si="163"/>
        <v>15360</v>
      </c>
      <c r="H97">
        <f t="shared" si="163"/>
        <v>15360</v>
      </c>
      <c r="I97">
        <f t="shared" si="163"/>
        <v>19200</v>
      </c>
      <c r="J97">
        <f t="shared" si="163"/>
        <v>15360</v>
      </c>
      <c r="K97">
        <f t="shared" si="163"/>
        <v>19200</v>
      </c>
      <c r="L97">
        <f t="shared" si="163"/>
        <v>23040</v>
      </c>
      <c r="M97">
        <f t="shared" si="163"/>
        <v>30720</v>
      </c>
      <c r="N97">
        <f t="shared" si="163"/>
        <v>0</v>
      </c>
      <c r="O97">
        <f t="shared" si="163"/>
        <v>0</v>
      </c>
      <c r="P97">
        <f t="shared" si="163"/>
        <v>0</v>
      </c>
      <c r="Q97">
        <f t="shared" si="163"/>
        <v>0</v>
      </c>
      <c r="R97">
        <f t="shared" si="163"/>
        <v>15360</v>
      </c>
      <c r="S97">
        <f t="shared" si="163"/>
        <v>15360</v>
      </c>
      <c r="T97">
        <f t="shared" si="163"/>
        <v>15360</v>
      </c>
      <c r="U97">
        <f t="shared" si="163"/>
        <v>16320</v>
      </c>
      <c r="V97">
        <f t="shared" si="163"/>
        <v>16320</v>
      </c>
      <c r="W97">
        <f t="shared" si="163"/>
        <v>16320</v>
      </c>
      <c r="X97">
        <f t="shared" si="163"/>
        <v>16320</v>
      </c>
      <c r="Y97">
        <f t="shared" si="163"/>
        <v>10560</v>
      </c>
      <c r="Z97">
        <f t="shared" si="163"/>
        <v>10560</v>
      </c>
      <c r="AA97">
        <f t="shared" si="163"/>
        <v>10560</v>
      </c>
      <c r="AB97">
        <f t="shared" si="163"/>
        <v>10560</v>
      </c>
      <c r="AC97">
        <f t="shared" si="163"/>
        <v>15360</v>
      </c>
      <c r="AD97">
        <f t="shared" si="163"/>
        <v>15360</v>
      </c>
      <c r="AE97">
        <f t="shared" si="163"/>
        <v>15360</v>
      </c>
      <c r="AF97">
        <f t="shared" si="163"/>
        <v>15360</v>
      </c>
      <c r="AG97">
        <f t="shared" si="163"/>
        <v>15360</v>
      </c>
      <c r="AH97">
        <f t="shared" si="163"/>
        <v>19200</v>
      </c>
      <c r="AI97">
        <f t="shared" si="163"/>
        <v>19200</v>
      </c>
      <c r="AJ97">
        <f t="shared" ref="AJ97:BO97" si="164">ROUND(AJ17*$A19+AJ24*$A26+AJ31*$A33+AJ38*$A40+AJ45*$A47+AJ52*$A54+AJ59*$A61,0)</f>
        <v>0</v>
      </c>
      <c r="AK97">
        <f t="shared" si="164"/>
        <v>0</v>
      </c>
      <c r="AL97">
        <f t="shared" si="164"/>
        <v>0</v>
      </c>
      <c r="AM97">
        <f t="shared" si="164"/>
        <v>0</v>
      </c>
      <c r="AN97">
        <f t="shared" si="164"/>
        <v>14744</v>
      </c>
      <c r="AO97">
        <f t="shared" si="164"/>
        <v>14744</v>
      </c>
      <c r="AP97">
        <f t="shared" si="164"/>
        <v>14744</v>
      </c>
      <c r="AQ97">
        <f t="shared" si="164"/>
        <v>17808</v>
      </c>
      <c r="AR97">
        <f t="shared" si="164"/>
        <v>17808</v>
      </c>
      <c r="AS97">
        <f t="shared" si="164"/>
        <v>14248</v>
      </c>
      <c r="AT97">
        <f t="shared" si="164"/>
        <v>17808</v>
      </c>
      <c r="AU97">
        <f t="shared" si="164"/>
        <v>16920</v>
      </c>
      <c r="AV97">
        <f t="shared" si="164"/>
        <v>16920</v>
      </c>
      <c r="AW97">
        <f t="shared" si="164"/>
        <v>16920</v>
      </c>
      <c r="AX97">
        <f t="shared" si="164"/>
        <v>16920</v>
      </c>
      <c r="AY97">
        <f t="shared" si="164"/>
        <v>13536</v>
      </c>
      <c r="AZ97">
        <f t="shared" si="164"/>
        <v>13536</v>
      </c>
      <c r="BA97">
        <f t="shared" si="164"/>
        <v>13536</v>
      </c>
      <c r="BB97">
        <f t="shared" si="164"/>
        <v>13536</v>
      </c>
      <c r="BC97">
        <f t="shared" si="164"/>
        <v>13536</v>
      </c>
      <c r="BD97">
        <f t="shared" si="164"/>
        <v>13536</v>
      </c>
      <c r="BE97">
        <f t="shared" si="164"/>
        <v>13536</v>
      </c>
      <c r="BF97">
        <f t="shared" si="164"/>
        <v>13536</v>
      </c>
      <c r="BG97">
        <f t="shared" si="164"/>
        <v>13536</v>
      </c>
      <c r="BH97">
        <f t="shared" si="164"/>
        <v>13536</v>
      </c>
      <c r="BI97">
        <f t="shared" si="164"/>
        <v>13536</v>
      </c>
      <c r="BJ97">
        <f t="shared" si="164"/>
        <v>13536</v>
      </c>
      <c r="BK97">
        <f t="shared" si="164"/>
        <v>13536</v>
      </c>
      <c r="BL97">
        <f t="shared" si="164"/>
        <v>13460</v>
      </c>
      <c r="BM97">
        <f t="shared" si="164"/>
        <v>13460</v>
      </c>
      <c r="BN97">
        <f t="shared" si="164"/>
        <v>24568</v>
      </c>
      <c r="BO97">
        <f t="shared" si="164"/>
        <v>0</v>
      </c>
      <c r="BP97">
        <f t="shared" ref="BP97:CC97" si="165">ROUND(BP17*$A19+BP24*$A26+BP31*$A33+BP38*$A40+BP45*$A47+BP52*$A54+BP59*$A61,0)</f>
        <v>0</v>
      </c>
      <c r="BQ97">
        <f t="shared" si="165"/>
        <v>0</v>
      </c>
      <c r="BR97">
        <f t="shared" si="165"/>
        <v>0</v>
      </c>
      <c r="BS97">
        <f t="shared" si="165"/>
        <v>13460</v>
      </c>
      <c r="BT97">
        <f t="shared" si="165"/>
        <v>13460</v>
      </c>
      <c r="BU97">
        <f t="shared" si="165"/>
        <v>13460</v>
      </c>
      <c r="BV97">
        <f t="shared" si="165"/>
        <v>13460</v>
      </c>
      <c r="BW97">
        <f t="shared" si="165"/>
        <v>13460</v>
      </c>
      <c r="BX97">
        <f t="shared" si="165"/>
        <v>13460</v>
      </c>
      <c r="BY97">
        <f t="shared" si="165"/>
        <v>13460</v>
      </c>
      <c r="BZ97">
        <f t="shared" si="165"/>
        <v>13460</v>
      </c>
      <c r="CA97">
        <f t="shared" si="165"/>
        <v>13460</v>
      </c>
      <c r="CB97">
        <f t="shared" si="165"/>
        <v>13460</v>
      </c>
      <c r="CC97">
        <f t="shared" si="165"/>
        <v>13460</v>
      </c>
    </row>
    <row r="99" spans="1:81" x14ac:dyDescent="0.2">
      <c r="A99" t="s">
        <v>276</v>
      </c>
      <c r="D99">
        <f ca="1">ROUND(SUM(D83:OFFSET(D83:D83,0,B105-1))/SUM(D67:OFFSET(D67:D67,0,B105-1)),4)</f>
        <v>0.04</v>
      </c>
    </row>
    <row r="100" spans="1:81" x14ac:dyDescent="0.2">
      <c r="A100" t="s">
        <v>277</v>
      </c>
      <c r="D100">
        <f ca="1">ROUND(SUM(D81:OFFSET(D81:D81,0,B105-1))/SUM(D66:OFFSET(D66:D66,0,B105-1)),4)</f>
        <v>4.0099999999999997E-2</v>
      </c>
    </row>
    <row r="101" spans="1:81" x14ac:dyDescent="0.2">
      <c r="A101" t="s">
        <v>278</v>
      </c>
      <c r="D101">
        <f ca="1">ROUND(SUM(D96:OFFSET(D96:D96,0,B105-1))/SUM(D67:OFFSET(D67:D67,0,B105-1)),4)</f>
        <v>0.93469999999999998</v>
      </c>
    </row>
    <row r="102" spans="1:81" x14ac:dyDescent="0.2">
      <c r="A102" t="s">
        <v>279</v>
      </c>
      <c r="D102">
        <f ca="1">ROUND(SUM(D80:OFFSET(D80:D80,0,B105-1))/SUM(D66:OFFSET(D66:D66,0,B105-1)),4)</f>
        <v>0.93469999999999998</v>
      </c>
    </row>
    <row r="103" spans="1:81" x14ac:dyDescent="0.2">
      <c r="A103" t="s">
        <v>280</v>
      </c>
      <c r="D103">
        <f ca="1">ROUND(SUM(D97:OFFSET(D97:D97,0,B105-1))/SUM(D67:OFFSET(D67:D67,0,B105-1)),0)</f>
        <v>4</v>
      </c>
    </row>
    <row r="104" spans="1:81" x14ac:dyDescent="0.2">
      <c r="A104" t="s">
        <v>281</v>
      </c>
      <c r="D104">
        <f ca="1">ROUND(SUM(D68:OFFSET(D68:D68,0,B105-1))/SUM(D66:OFFSET(D66:D66,0,B105-1)),0)</f>
        <v>4</v>
      </c>
    </row>
    <row r="105" spans="1:81" x14ac:dyDescent="0.2">
      <c r="A105" t="s">
        <v>282</v>
      </c>
      <c r="B105">
        <v>12</v>
      </c>
    </row>
  </sheetData>
  <mergeCells count="23">
    <mergeCell ref="F1:G1"/>
    <mergeCell ref="H1:J1"/>
    <mergeCell ref="B3:M3"/>
    <mergeCell ref="C5:F5"/>
    <mergeCell ref="G5:H5"/>
    <mergeCell ref="I5:J5"/>
    <mergeCell ref="K5:L5"/>
    <mergeCell ref="C6:F6"/>
    <mergeCell ref="G6:H6"/>
    <mergeCell ref="I6:J6"/>
    <mergeCell ref="K6:L6"/>
    <mergeCell ref="C7:F7"/>
    <mergeCell ref="G7:H7"/>
    <mergeCell ref="I7:J7"/>
    <mergeCell ref="K7:L7"/>
    <mergeCell ref="E8:F8"/>
    <mergeCell ref="G8:H8"/>
    <mergeCell ref="I8:J8"/>
    <mergeCell ref="K8:L8"/>
    <mergeCell ref="E9:F9"/>
    <mergeCell ref="G9:H9"/>
    <mergeCell ref="I9:J9"/>
    <mergeCell ref="K9:L9"/>
  </mergeCells>
  <conditionalFormatting sqref="D19:X19">
    <cfRule type="expression" dxfId="11" priority="14" stopIfTrue="1">
      <formula>D$71=0</formula>
    </cfRule>
  </conditionalFormatting>
  <conditionalFormatting sqref="D14:CC14">
    <cfRule type="cellIs" dxfId="10" priority="17" stopIfTrue="1" operator="lessThan">
      <formula>0</formula>
    </cfRule>
  </conditionalFormatting>
  <conditionalFormatting sqref="D20:CC20 E21:X21 D26:X27 Y27:CC27 E28:X28 D33:X34 Y34:CC34 E35:X35 D40:X41 Y41:CC41 E42:X42 D47:X48 Y48:CC48 E49:X49 D54:X55 Y55:CC55 E56:X56 D61:X61">
    <cfRule type="expression" dxfId="9" priority="16" stopIfTrue="1">
      <formula>D$71=0</formula>
    </cfRule>
  </conditionalFormatting>
  <conditionalFormatting sqref="D21:CC21">
    <cfRule type="cellIs" dxfId="8" priority="13" stopIfTrue="1" operator="lessThan">
      <formula>0</formula>
    </cfRule>
  </conditionalFormatting>
  <conditionalFormatting sqref="D28:CC28">
    <cfRule type="cellIs" dxfId="7" priority="11" stopIfTrue="1" operator="lessThan">
      <formula>0</formula>
    </cfRule>
  </conditionalFormatting>
  <conditionalFormatting sqref="D35:CC35">
    <cfRule type="cellIs" dxfId="6" priority="9" stopIfTrue="1" operator="lessThan">
      <formula>0</formula>
    </cfRule>
  </conditionalFormatting>
  <conditionalFormatting sqref="D42:CC42">
    <cfRule type="cellIs" dxfId="5" priority="7" stopIfTrue="1" operator="lessThan">
      <formula>0</formula>
    </cfRule>
  </conditionalFormatting>
  <conditionalFormatting sqref="D49:CC49">
    <cfRule type="cellIs" dxfId="4" priority="5" stopIfTrue="1" operator="lessThan">
      <formula>0</formula>
    </cfRule>
  </conditionalFormatting>
  <conditionalFormatting sqref="D56:CC56">
    <cfRule type="cellIs" dxfId="3" priority="3" stopIfTrue="1" operator="lessThan">
      <formula>0</formula>
    </cfRule>
  </conditionalFormatting>
  <conditionalFormatting sqref="D62:CC63">
    <cfRule type="cellIs" dxfId="2" priority="1" stopIfTrue="1" operator="lessThan">
      <formula>0</formula>
    </cfRule>
  </conditionalFormatting>
  <conditionalFormatting sqref="D62:CC91 D11:CC18 D21:CC25 D28:CC32 D35:CC39 D42:CC46 D49:CC53 D56:CC60">
    <cfRule type="expression" dxfId="1" priority="2" stopIfTrue="1">
      <formula>D$71=0</formula>
    </cfRule>
  </conditionalFormatting>
  <conditionalFormatting sqref="E21:X21 E28:X28 E35:X35 E42:X42 E49:X49 E56:X56 D20:CC20 D26:X27 Y27:CC27 D33:X34 Y34:CC34 D40:X41 Y41:CC41 D47:X48 Y48:CC48 D54:X55 Y55:CC55 D61:X61">
    <cfRule type="cellIs" dxfId="0" priority="15" stopIfTrue="1" operator="lessThan">
      <formula>0</formula>
    </cfRule>
  </conditionalFormatting>
  <pageMargins left="0.75" right="0.75" top="1" bottom="1" header="0.5" footer="0.5"/>
  <pageSetup orientation="portrait" horizontalDpi="200" verticalDpi="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83"/>
  <sheetViews>
    <sheetView workbookViewId="0">
      <selection activeCell="H19" sqref="H19"/>
    </sheetView>
  </sheetViews>
  <sheetFormatPr defaultRowHeight="12.75" x14ac:dyDescent="0.2"/>
  <cols>
    <col min="1" max="1" width="17.42578125" customWidth="1"/>
    <col min="2" max="2" width="11.140625" customWidth="1"/>
  </cols>
  <sheetData>
    <row r="1" spans="1:2" s="56" customFormat="1" x14ac:dyDescent="0.2">
      <c r="A1" s="56" t="s">
        <v>337</v>
      </c>
      <c r="B1" s="56" t="s">
        <v>338</v>
      </c>
    </row>
    <row r="2" spans="1:2" x14ac:dyDescent="0.2">
      <c r="A2" s="57" t="s">
        <v>339</v>
      </c>
      <c r="B2">
        <v>15</v>
      </c>
    </row>
    <row r="3" spans="1:2" x14ac:dyDescent="0.2">
      <c r="A3" s="57" t="s">
        <v>340</v>
      </c>
      <c r="B3">
        <v>3</v>
      </c>
    </row>
    <row r="4" spans="1:2" x14ac:dyDescent="0.2">
      <c r="A4" s="57" t="s">
        <v>341</v>
      </c>
      <c r="B4">
        <v>2250</v>
      </c>
    </row>
    <row r="5" spans="1:2" x14ac:dyDescent="0.2">
      <c r="A5" s="57" t="s">
        <v>342</v>
      </c>
      <c r="B5">
        <v>1000</v>
      </c>
    </row>
    <row r="6" spans="1:2" x14ac:dyDescent="0.2">
      <c r="A6" s="57" t="s">
        <v>343</v>
      </c>
      <c r="B6">
        <v>30</v>
      </c>
    </row>
    <row r="7" spans="1:2" x14ac:dyDescent="0.2">
      <c r="A7" s="57" t="s">
        <v>344</v>
      </c>
      <c r="B7">
        <v>2</v>
      </c>
    </row>
    <row r="8" spans="1:2" x14ac:dyDescent="0.2">
      <c r="A8" s="57" t="s">
        <v>345</v>
      </c>
      <c r="B8">
        <v>20</v>
      </c>
    </row>
    <row r="9" spans="1:2" x14ac:dyDescent="0.2">
      <c r="A9" s="57" t="s">
        <v>346</v>
      </c>
      <c r="B9">
        <v>1</v>
      </c>
    </row>
    <row r="10" spans="1:2" x14ac:dyDescent="0.2">
      <c r="A10" s="57" t="s">
        <v>347</v>
      </c>
      <c r="B10">
        <v>6</v>
      </c>
    </row>
    <row r="11" spans="1:2" x14ac:dyDescent="0.2">
      <c r="A11" s="57" t="s">
        <v>348</v>
      </c>
      <c r="B11">
        <v>4</v>
      </c>
    </row>
    <row r="12" spans="1:2" x14ac:dyDescent="0.2">
      <c r="A12" s="57" t="s">
        <v>349</v>
      </c>
      <c r="B12">
        <v>208</v>
      </c>
    </row>
    <row r="13" spans="1:2" x14ac:dyDescent="0.2">
      <c r="A13" s="57" t="s">
        <v>350</v>
      </c>
      <c r="B13">
        <v>16</v>
      </c>
    </row>
    <row r="14" spans="1:2" x14ac:dyDescent="0.2">
      <c r="A14" s="57" t="s">
        <v>351</v>
      </c>
      <c r="B14">
        <v>24</v>
      </c>
    </row>
    <row r="15" spans="1:2" x14ac:dyDescent="0.2">
      <c r="A15" s="57" t="s">
        <v>352</v>
      </c>
      <c r="B15">
        <v>13</v>
      </c>
    </row>
    <row r="16" spans="1:2" x14ac:dyDescent="0.2">
      <c r="A16" s="57" t="s">
        <v>353</v>
      </c>
      <c r="B16">
        <v>33</v>
      </c>
    </row>
    <row r="17" spans="1:2" x14ac:dyDescent="0.2">
      <c r="A17" s="57" t="s">
        <v>354</v>
      </c>
      <c r="B17">
        <v>1</v>
      </c>
    </row>
    <row r="18" spans="1:2" x14ac:dyDescent="0.2">
      <c r="A18" s="57" t="s">
        <v>355</v>
      </c>
      <c r="B18">
        <v>6</v>
      </c>
    </row>
    <row r="19" spans="1:2" x14ac:dyDescent="0.2">
      <c r="A19" s="57" t="s">
        <v>356</v>
      </c>
      <c r="B19">
        <v>23</v>
      </c>
    </row>
    <row r="20" spans="1:2" x14ac:dyDescent="0.2">
      <c r="A20" s="57" t="s">
        <v>357</v>
      </c>
      <c r="B20">
        <v>1</v>
      </c>
    </row>
    <row r="21" spans="1:2" x14ac:dyDescent="0.2">
      <c r="A21" s="57" t="s">
        <v>358</v>
      </c>
      <c r="B21">
        <v>185</v>
      </c>
    </row>
    <row r="22" spans="1:2" x14ac:dyDescent="0.2">
      <c r="A22" s="57" t="s">
        <v>359</v>
      </c>
      <c r="B22">
        <v>1</v>
      </c>
    </row>
    <row r="23" spans="1:2" x14ac:dyDescent="0.2">
      <c r="A23" s="57" t="s">
        <v>360</v>
      </c>
      <c r="B23">
        <v>1</v>
      </c>
    </row>
    <row r="24" spans="1:2" x14ac:dyDescent="0.2">
      <c r="A24" s="57" t="s">
        <v>361</v>
      </c>
      <c r="B24">
        <v>5</v>
      </c>
    </row>
    <row r="25" spans="1:2" x14ac:dyDescent="0.2">
      <c r="A25" s="57" t="s">
        <v>362</v>
      </c>
      <c r="B25">
        <v>4</v>
      </c>
    </row>
    <row r="26" spans="1:2" x14ac:dyDescent="0.2">
      <c r="A26" s="57" t="s">
        <v>363</v>
      </c>
      <c r="B26">
        <v>1</v>
      </c>
    </row>
    <row r="27" spans="1:2" x14ac:dyDescent="0.2">
      <c r="A27" s="57" t="s">
        <v>364</v>
      </c>
      <c r="B27">
        <v>1</v>
      </c>
    </row>
    <row r="28" spans="1:2" x14ac:dyDescent="0.2">
      <c r="A28" s="57" t="s">
        <v>365</v>
      </c>
      <c r="B28">
        <v>1</v>
      </c>
    </row>
    <row r="29" spans="1:2" x14ac:dyDescent="0.2">
      <c r="A29" s="57" t="s">
        <v>366</v>
      </c>
      <c r="B29">
        <v>221</v>
      </c>
    </row>
    <row r="30" spans="1:2" x14ac:dyDescent="0.2">
      <c r="A30" s="57" t="s">
        <v>367</v>
      </c>
      <c r="B30">
        <v>822</v>
      </c>
    </row>
    <row r="31" spans="1:2" x14ac:dyDescent="0.2">
      <c r="A31" s="57" t="s">
        <v>368</v>
      </c>
      <c r="B31">
        <v>1</v>
      </c>
    </row>
    <row r="32" spans="1:2" x14ac:dyDescent="0.2">
      <c r="A32" s="57" t="s">
        <v>369</v>
      </c>
      <c r="B32">
        <v>10</v>
      </c>
    </row>
    <row r="33" spans="1:2" x14ac:dyDescent="0.2">
      <c r="A33" s="57" t="s">
        <v>370</v>
      </c>
      <c r="B33">
        <v>2</v>
      </c>
    </row>
    <row r="34" spans="1:2" x14ac:dyDescent="0.2">
      <c r="A34" s="57" t="s">
        <v>371</v>
      </c>
      <c r="B34">
        <v>8</v>
      </c>
    </row>
    <row r="35" spans="1:2" x14ac:dyDescent="0.2">
      <c r="A35" s="57" t="s">
        <v>372</v>
      </c>
      <c r="B35">
        <v>11</v>
      </c>
    </row>
    <row r="36" spans="1:2" x14ac:dyDescent="0.2">
      <c r="A36" s="57" t="s">
        <v>373</v>
      </c>
      <c r="B36">
        <v>1</v>
      </c>
    </row>
    <row r="37" spans="1:2" x14ac:dyDescent="0.2">
      <c r="A37" s="57" t="s">
        <v>374</v>
      </c>
      <c r="B37">
        <v>11</v>
      </c>
    </row>
    <row r="38" spans="1:2" x14ac:dyDescent="0.2">
      <c r="A38" s="57" t="s">
        <v>375</v>
      </c>
      <c r="B38">
        <v>84</v>
      </c>
    </row>
    <row r="39" spans="1:2" x14ac:dyDescent="0.2">
      <c r="A39" s="57" t="s">
        <v>376</v>
      </c>
      <c r="B39">
        <v>32</v>
      </c>
    </row>
    <row r="40" spans="1:2" x14ac:dyDescent="0.2">
      <c r="A40" s="57" t="s">
        <v>377</v>
      </c>
      <c r="B40">
        <v>1</v>
      </c>
    </row>
    <row r="41" spans="1:2" x14ac:dyDescent="0.2">
      <c r="A41" s="57" t="s">
        <v>378</v>
      </c>
      <c r="B41">
        <v>2</v>
      </c>
    </row>
    <row r="42" spans="1:2" x14ac:dyDescent="0.2">
      <c r="A42" s="57" t="s">
        <v>379</v>
      </c>
      <c r="B42">
        <v>300</v>
      </c>
    </row>
    <row r="43" spans="1:2" x14ac:dyDescent="0.2">
      <c r="A43" s="57" t="s">
        <v>380</v>
      </c>
      <c r="B43">
        <v>246</v>
      </c>
    </row>
    <row r="44" spans="1:2" x14ac:dyDescent="0.2">
      <c r="A44" s="57" t="s">
        <v>381</v>
      </c>
      <c r="B44">
        <v>1</v>
      </c>
    </row>
    <row r="45" spans="1:2" x14ac:dyDescent="0.2">
      <c r="A45" s="57" t="s">
        <v>382</v>
      </c>
      <c r="B45">
        <v>90</v>
      </c>
    </row>
    <row r="46" spans="1:2" x14ac:dyDescent="0.2">
      <c r="A46" s="57" t="s">
        <v>383</v>
      </c>
      <c r="B46">
        <v>19</v>
      </c>
    </row>
    <row r="47" spans="1:2" x14ac:dyDescent="0.2">
      <c r="A47" s="57" t="s">
        <v>384</v>
      </c>
      <c r="B47">
        <v>95</v>
      </c>
    </row>
    <row r="48" spans="1:2" x14ac:dyDescent="0.2">
      <c r="A48" s="57" t="s">
        <v>385</v>
      </c>
      <c r="B48">
        <v>7</v>
      </c>
    </row>
    <row r="49" spans="1:2" x14ac:dyDescent="0.2">
      <c r="A49" s="57" t="s">
        <v>386</v>
      </c>
      <c r="B49">
        <v>4</v>
      </c>
    </row>
    <row r="50" spans="1:2" x14ac:dyDescent="0.2">
      <c r="A50" s="57" t="s">
        <v>387</v>
      </c>
      <c r="B50">
        <v>21</v>
      </c>
    </row>
    <row r="51" spans="1:2" x14ac:dyDescent="0.2">
      <c r="A51" s="57" t="s">
        <v>388</v>
      </c>
      <c r="B51">
        <v>17</v>
      </c>
    </row>
    <row r="52" spans="1:2" x14ac:dyDescent="0.2">
      <c r="A52" s="57" t="s">
        <v>389</v>
      </c>
      <c r="B52">
        <v>1</v>
      </c>
    </row>
    <row r="53" spans="1:2" x14ac:dyDescent="0.2">
      <c r="A53" s="57" t="s">
        <v>390</v>
      </c>
      <c r="B53">
        <v>19</v>
      </c>
    </row>
    <row r="54" spans="1:2" x14ac:dyDescent="0.2">
      <c r="A54" s="57" t="s">
        <v>391</v>
      </c>
      <c r="B54">
        <v>20</v>
      </c>
    </row>
    <row r="55" spans="1:2" x14ac:dyDescent="0.2">
      <c r="A55" s="57" t="s">
        <v>392</v>
      </c>
      <c r="B55">
        <v>208</v>
      </c>
    </row>
    <row r="56" spans="1:2" x14ac:dyDescent="0.2">
      <c r="A56" s="57" t="s">
        <v>393</v>
      </c>
      <c r="B56">
        <v>37</v>
      </c>
    </row>
    <row r="57" spans="1:2" x14ac:dyDescent="0.2">
      <c r="A57" s="57" t="s">
        <v>394</v>
      </c>
      <c r="B57">
        <v>45</v>
      </c>
    </row>
    <row r="58" spans="1:2" x14ac:dyDescent="0.2">
      <c r="A58" s="57" t="s">
        <v>395</v>
      </c>
      <c r="B58">
        <v>26</v>
      </c>
    </row>
    <row r="59" spans="1:2" x14ac:dyDescent="0.2">
      <c r="A59" s="57" t="s">
        <v>396</v>
      </c>
      <c r="B59">
        <v>13</v>
      </c>
    </row>
    <row r="60" spans="1:2" x14ac:dyDescent="0.2">
      <c r="A60" s="57" t="s">
        <v>397</v>
      </c>
      <c r="B60">
        <v>1</v>
      </c>
    </row>
    <row r="61" spans="1:2" x14ac:dyDescent="0.2">
      <c r="A61" s="57" t="s">
        <v>398</v>
      </c>
      <c r="B61">
        <v>7</v>
      </c>
    </row>
    <row r="62" spans="1:2" x14ac:dyDescent="0.2">
      <c r="A62" s="57" t="s">
        <v>399</v>
      </c>
      <c r="B62">
        <v>14</v>
      </c>
    </row>
    <row r="63" spans="1:2" x14ac:dyDescent="0.2">
      <c r="A63" s="57" t="s">
        <v>400</v>
      </c>
      <c r="B63">
        <v>21</v>
      </c>
    </row>
    <row r="64" spans="1:2" x14ac:dyDescent="0.2">
      <c r="A64" s="57" t="s">
        <v>401</v>
      </c>
      <c r="B64">
        <v>19</v>
      </c>
    </row>
    <row r="65" spans="1:2" x14ac:dyDescent="0.2">
      <c r="A65" s="57" t="s">
        <v>402</v>
      </c>
      <c r="B65">
        <v>11</v>
      </c>
    </row>
    <row r="66" spans="1:2" x14ac:dyDescent="0.2">
      <c r="A66" s="57" t="s">
        <v>403</v>
      </c>
      <c r="B66">
        <v>1</v>
      </c>
    </row>
    <row r="67" spans="1:2" x14ac:dyDescent="0.2">
      <c r="A67" s="57" t="s">
        <v>404</v>
      </c>
      <c r="B67">
        <v>13</v>
      </c>
    </row>
    <row r="68" spans="1:2" x14ac:dyDescent="0.2">
      <c r="A68" s="57" t="s">
        <v>405</v>
      </c>
      <c r="B68">
        <v>197</v>
      </c>
    </row>
    <row r="69" spans="1:2" x14ac:dyDescent="0.2">
      <c r="A69" s="57" t="s">
        <v>406</v>
      </c>
      <c r="B69">
        <v>82</v>
      </c>
    </row>
    <row r="70" spans="1:2" x14ac:dyDescent="0.2">
      <c r="A70" s="57" t="s">
        <v>407</v>
      </c>
      <c r="B70">
        <v>8</v>
      </c>
    </row>
    <row r="71" spans="1:2" x14ac:dyDescent="0.2">
      <c r="A71" s="57" t="s">
        <v>408</v>
      </c>
      <c r="B71">
        <v>7</v>
      </c>
    </row>
    <row r="72" spans="1:2" x14ac:dyDescent="0.2">
      <c r="A72" s="57" t="s">
        <v>409</v>
      </c>
      <c r="B72">
        <v>23</v>
      </c>
    </row>
    <row r="73" spans="1:2" x14ac:dyDescent="0.2">
      <c r="A73" s="57" t="s">
        <v>410</v>
      </c>
      <c r="B73">
        <v>37</v>
      </c>
    </row>
    <row r="74" spans="1:2" x14ac:dyDescent="0.2">
      <c r="A74" s="57" t="s">
        <v>411</v>
      </c>
      <c r="B74">
        <v>6</v>
      </c>
    </row>
    <row r="75" spans="1:2" x14ac:dyDescent="0.2">
      <c r="A75" s="57" t="s">
        <v>412</v>
      </c>
      <c r="B75">
        <v>38</v>
      </c>
    </row>
    <row r="76" spans="1:2" x14ac:dyDescent="0.2">
      <c r="A76" s="57" t="s">
        <v>413</v>
      </c>
      <c r="B76">
        <v>123</v>
      </c>
    </row>
    <row r="77" spans="1:2" x14ac:dyDescent="0.2">
      <c r="A77" s="57" t="s">
        <v>414</v>
      </c>
      <c r="B77">
        <v>6</v>
      </c>
    </row>
    <row r="78" spans="1:2" x14ac:dyDescent="0.2">
      <c r="A78" s="57" t="s">
        <v>415</v>
      </c>
      <c r="B78">
        <v>222</v>
      </c>
    </row>
    <row r="79" spans="1:2" x14ac:dyDescent="0.2">
      <c r="A79" s="57" t="s">
        <v>416</v>
      </c>
      <c r="B79">
        <v>59</v>
      </c>
    </row>
    <row r="80" spans="1:2" x14ac:dyDescent="0.2">
      <c r="A80" s="57" t="s">
        <v>417</v>
      </c>
      <c r="B80">
        <v>8</v>
      </c>
    </row>
    <row r="81" spans="1:2" x14ac:dyDescent="0.2">
      <c r="A81" s="57" t="s">
        <v>418</v>
      </c>
      <c r="B81">
        <v>141</v>
      </c>
    </row>
    <row r="82" spans="1:2" x14ac:dyDescent="0.2">
      <c r="A82" s="57" t="s">
        <v>419</v>
      </c>
      <c r="B82">
        <v>6</v>
      </c>
    </row>
    <row r="83" spans="1:2" x14ac:dyDescent="0.2">
      <c r="A83" s="57" t="s">
        <v>420</v>
      </c>
      <c r="B83">
        <v>41</v>
      </c>
    </row>
    <row r="84" spans="1:2" x14ac:dyDescent="0.2">
      <c r="A84" s="57" t="s">
        <v>421</v>
      </c>
      <c r="B84">
        <v>58</v>
      </c>
    </row>
    <row r="85" spans="1:2" x14ac:dyDescent="0.2">
      <c r="A85" s="57" t="s">
        <v>422</v>
      </c>
      <c r="B85">
        <v>15</v>
      </c>
    </row>
    <row r="86" spans="1:2" x14ac:dyDescent="0.2">
      <c r="A86" s="57" t="s">
        <v>423</v>
      </c>
      <c r="B86">
        <v>47</v>
      </c>
    </row>
    <row r="87" spans="1:2" x14ac:dyDescent="0.2">
      <c r="A87" s="57" t="s">
        <v>424</v>
      </c>
      <c r="B87">
        <v>21</v>
      </c>
    </row>
    <row r="88" spans="1:2" x14ac:dyDescent="0.2">
      <c r="A88" s="57" t="s">
        <v>425</v>
      </c>
      <c r="B88">
        <v>560</v>
      </c>
    </row>
    <row r="89" spans="1:2" x14ac:dyDescent="0.2">
      <c r="A89" s="57" t="s">
        <v>426</v>
      </c>
      <c r="B89">
        <v>220</v>
      </c>
    </row>
    <row r="90" spans="1:2" x14ac:dyDescent="0.2">
      <c r="A90" s="57" t="s">
        <v>427</v>
      </c>
      <c r="B90">
        <v>1300</v>
      </c>
    </row>
    <row r="91" spans="1:2" x14ac:dyDescent="0.2">
      <c r="A91" s="57" t="s">
        <v>428</v>
      </c>
      <c r="B91">
        <v>540</v>
      </c>
    </row>
    <row r="92" spans="1:2" x14ac:dyDescent="0.2">
      <c r="A92" s="57" t="s">
        <v>429</v>
      </c>
      <c r="B92">
        <v>4</v>
      </c>
    </row>
    <row r="93" spans="1:2" x14ac:dyDescent="0.2">
      <c r="A93" s="57" t="s">
        <v>430</v>
      </c>
      <c r="B93">
        <v>9</v>
      </c>
    </row>
    <row r="94" spans="1:2" x14ac:dyDescent="0.2">
      <c r="A94" s="57" t="s">
        <v>431</v>
      </c>
      <c r="B94">
        <v>87</v>
      </c>
    </row>
    <row r="95" spans="1:2" x14ac:dyDescent="0.2">
      <c r="A95" s="57" t="s">
        <v>432</v>
      </c>
      <c r="B95">
        <v>1000</v>
      </c>
    </row>
    <row r="96" spans="1:2" x14ac:dyDescent="0.2">
      <c r="A96" s="57" t="s">
        <v>433</v>
      </c>
      <c r="B96">
        <v>120</v>
      </c>
    </row>
    <row r="97" spans="1:2" x14ac:dyDescent="0.2">
      <c r="A97" s="57" t="s">
        <v>434</v>
      </c>
      <c r="B97">
        <v>2220</v>
      </c>
    </row>
    <row r="98" spans="1:2" x14ac:dyDescent="0.2">
      <c r="A98" s="57" t="s">
        <v>435</v>
      </c>
      <c r="B98">
        <v>1300</v>
      </c>
    </row>
    <row r="99" spans="1:2" x14ac:dyDescent="0.2">
      <c r="A99" s="57" t="s">
        <v>436</v>
      </c>
      <c r="B99">
        <v>49</v>
      </c>
    </row>
    <row r="100" spans="1:2" x14ac:dyDescent="0.2">
      <c r="A100" s="57" t="s">
        <v>437</v>
      </c>
      <c r="B100">
        <v>427</v>
      </c>
    </row>
    <row r="101" spans="1:2" x14ac:dyDescent="0.2">
      <c r="A101" s="57" t="s">
        <v>438</v>
      </c>
      <c r="B101">
        <v>1922</v>
      </c>
    </row>
    <row r="102" spans="1:2" x14ac:dyDescent="0.2">
      <c r="A102" s="57" t="s">
        <v>439</v>
      </c>
      <c r="B102">
        <v>663</v>
      </c>
    </row>
    <row r="103" spans="1:2" x14ac:dyDescent="0.2">
      <c r="A103" s="57" t="s">
        <v>440</v>
      </c>
      <c r="B103">
        <v>602</v>
      </c>
    </row>
    <row r="104" spans="1:2" x14ac:dyDescent="0.2">
      <c r="A104" s="57" t="s">
        <v>441</v>
      </c>
      <c r="B104">
        <v>42</v>
      </c>
    </row>
    <row r="105" spans="1:2" x14ac:dyDescent="0.2">
      <c r="A105" s="57" t="s">
        <v>442</v>
      </c>
      <c r="B105">
        <v>197</v>
      </c>
    </row>
    <row r="106" spans="1:2" x14ac:dyDescent="0.2">
      <c r="A106" s="57" t="s">
        <v>443</v>
      </c>
      <c r="B106">
        <v>540</v>
      </c>
    </row>
    <row r="107" spans="1:2" x14ac:dyDescent="0.2">
      <c r="A107" s="57" t="s">
        <v>444</v>
      </c>
      <c r="B107">
        <v>60</v>
      </c>
    </row>
    <row r="108" spans="1:2" x14ac:dyDescent="0.2">
      <c r="A108" s="57" t="s">
        <v>445</v>
      </c>
      <c r="B108">
        <v>15</v>
      </c>
    </row>
    <row r="109" spans="1:2" x14ac:dyDescent="0.2">
      <c r="A109" s="57" t="s">
        <v>446</v>
      </c>
      <c r="B109">
        <v>1007</v>
      </c>
    </row>
    <row r="110" spans="1:2" x14ac:dyDescent="0.2">
      <c r="A110" s="57" t="s">
        <v>447</v>
      </c>
      <c r="B110">
        <v>107</v>
      </c>
    </row>
    <row r="111" spans="1:2" x14ac:dyDescent="0.2">
      <c r="A111" s="57" t="s">
        <v>448</v>
      </c>
      <c r="B111">
        <v>17</v>
      </c>
    </row>
    <row r="112" spans="1:2" x14ac:dyDescent="0.2">
      <c r="A112" s="57" t="s">
        <v>449</v>
      </c>
      <c r="B112">
        <v>80</v>
      </c>
    </row>
    <row r="113" spans="1:2" x14ac:dyDescent="0.2">
      <c r="A113" s="57" t="s">
        <v>450</v>
      </c>
      <c r="B113">
        <v>750</v>
      </c>
    </row>
    <row r="114" spans="1:2" x14ac:dyDescent="0.2">
      <c r="A114" s="57" t="s">
        <v>451</v>
      </c>
      <c r="B114">
        <v>212</v>
      </c>
    </row>
    <row r="115" spans="1:2" x14ac:dyDescent="0.2">
      <c r="A115" s="57" t="s">
        <v>452</v>
      </c>
      <c r="B115">
        <v>600</v>
      </c>
    </row>
    <row r="116" spans="1:2" x14ac:dyDescent="0.2">
      <c r="A116" s="57" t="s">
        <v>453</v>
      </c>
      <c r="B116">
        <v>150</v>
      </c>
    </row>
    <row r="117" spans="1:2" x14ac:dyDescent="0.2">
      <c r="A117" s="57" t="s">
        <v>454</v>
      </c>
      <c r="B117">
        <v>465</v>
      </c>
    </row>
    <row r="118" spans="1:2" x14ac:dyDescent="0.2">
      <c r="A118" s="57" t="s">
        <v>455</v>
      </c>
      <c r="B118">
        <v>201</v>
      </c>
    </row>
    <row r="119" spans="1:2" x14ac:dyDescent="0.2">
      <c r="A119" s="57" t="s">
        <v>456</v>
      </c>
      <c r="B119">
        <v>279</v>
      </c>
    </row>
    <row r="120" spans="1:2" x14ac:dyDescent="0.2">
      <c r="A120" s="57" t="s">
        <v>457</v>
      </c>
      <c r="B120">
        <v>775</v>
      </c>
    </row>
    <row r="121" spans="1:2" x14ac:dyDescent="0.2">
      <c r="A121" s="57" t="s">
        <v>458</v>
      </c>
      <c r="B121">
        <v>1475</v>
      </c>
    </row>
    <row r="122" spans="1:2" x14ac:dyDescent="0.2">
      <c r="A122" s="57" t="s">
        <v>459</v>
      </c>
      <c r="B122">
        <v>485</v>
      </c>
    </row>
    <row r="123" spans="1:2" x14ac:dyDescent="0.2">
      <c r="A123" s="57" t="s">
        <v>460</v>
      </c>
      <c r="B123">
        <v>200</v>
      </c>
    </row>
    <row r="124" spans="1:2" x14ac:dyDescent="0.2">
      <c r="A124" s="57" t="s">
        <v>461</v>
      </c>
      <c r="B124">
        <v>106</v>
      </c>
    </row>
    <row r="125" spans="1:2" x14ac:dyDescent="0.2">
      <c r="A125" s="57" t="s">
        <v>462</v>
      </c>
      <c r="B125">
        <v>2026</v>
      </c>
    </row>
    <row r="126" spans="1:2" x14ac:dyDescent="0.2">
      <c r="A126" s="57" t="s">
        <v>463</v>
      </c>
      <c r="B126">
        <v>401</v>
      </c>
    </row>
    <row r="127" spans="1:2" x14ac:dyDescent="0.2">
      <c r="A127" s="57" t="s">
        <v>464</v>
      </c>
      <c r="B127">
        <v>927</v>
      </c>
    </row>
    <row r="128" spans="1:2" x14ac:dyDescent="0.2">
      <c r="A128" s="57" t="s">
        <v>465</v>
      </c>
      <c r="B128">
        <v>660</v>
      </c>
    </row>
    <row r="129" spans="1:2" x14ac:dyDescent="0.2">
      <c r="A129" s="57" t="s">
        <v>466</v>
      </c>
      <c r="B129">
        <v>202</v>
      </c>
    </row>
    <row r="130" spans="1:2" x14ac:dyDescent="0.2">
      <c r="A130" s="57" t="s">
        <v>467</v>
      </c>
      <c r="B130">
        <v>20</v>
      </c>
    </row>
    <row r="131" spans="1:2" x14ac:dyDescent="0.2">
      <c r="A131" s="57" t="s">
        <v>468</v>
      </c>
      <c r="B131">
        <v>80</v>
      </c>
    </row>
    <row r="132" spans="1:2" x14ac:dyDescent="0.2">
      <c r="A132" s="57" t="s">
        <v>469</v>
      </c>
      <c r="B132">
        <v>260</v>
      </c>
    </row>
    <row r="133" spans="1:2" x14ac:dyDescent="0.2">
      <c r="A133" s="57" t="s">
        <v>470</v>
      </c>
      <c r="B133">
        <v>20</v>
      </c>
    </row>
    <row r="134" spans="1:2" x14ac:dyDescent="0.2">
      <c r="A134" s="57" t="s">
        <v>471</v>
      </c>
      <c r="B134">
        <v>71</v>
      </c>
    </row>
    <row r="135" spans="1:2" x14ac:dyDescent="0.2">
      <c r="A135" s="57" t="s">
        <v>472</v>
      </c>
      <c r="B135">
        <v>22</v>
      </c>
    </row>
    <row r="136" spans="1:2" x14ac:dyDescent="0.2">
      <c r="A136" s="57" t="s">
        <v>473</v>
      </c>
      <c r="B136">
        <v>19</v>
      </c>
    </row>
    <row r="137" spans="1:2" x14ac:dyDescent="0.2">
      <c r="A137" s="57" t="s">
        <v>474</v>
      </c>
      <c r="B137">
        <v>92</v>
      </c>
    </row>
    <row r="138" spans="1:2" x14ac:dyDescent="0.2">
      <c r="A138" s="57" t="s">
        <v>475</v>
      </c>
      <c r="B138">
        <v>41</v>
      </c>
    </row>
    <row r="139" spans="1:2" x14ac:dyDescent="0.2">
      <c r="A139" s="57" t="s">
        <v>476</v>
      </c>
      <c r="B139">
        <v>1</v>
      </c>
    </row>
    <row r="140" spans="1:2" x14ac:dyDescent="0.2">
      <c r="A140" s="57" t="s">
        <v>477</v>
      </c>
      <c r="B140">
        <v>38</v>
      </c>
    </row>
    <row r="141" spans="1:2" x14ac:dyDescent="0.2">
      <c r="A141" s="57" t="s">
        <v>478</v>
      </c>
      <c r="B141">
        <v>6</v>
      </c>
    </row>
    <row r="142" spans="1:2" x14ac:dyDescent="0.2">
      <c r="A142" s="57" t="s">
        <v>479</v>
      </c>
      <c r="B142">
        <v>8</v>
      </c>
    </row>
    <row r="143" spans="1:2" x14ac:dyDescent="0.2">
      <c r="A143" s="57" t="s">
        <v>480</v>
      </c>
      <c r="B143">
        <v>166</v>
      </c>
    </row>
    <row r="144" spans="1:2" x14ac:dyDescent="0.2">
      <c r="A144" s="57" t="s">
        <v>481</v>
      </c>
      <c r="B144">
        <v>99</v>
      </c>
    </row>
    <row r="145" spans="1:2" x14ac:dyDescent="0.2">
      <c r="A145" s="57" t="s">
        <v>482</v>
      </c>
      <c r="B145">
        <v>6</v>
      </c>
    </row>
    <row r="146" spans="1:2" x14ac:dyDescent="0.2">
      <c r="A146" s="57" t="s">
        <v>483</v>
      </c>
      <c r="B146">
        <v>3</v>
      </c>
    </row>
    <row r="147" spans="1:2" x14ac:dyDescent="0.2">
      <c r="A147" s="57" t="s">
        <v>484</v>
      </c>
      <c r="B147">
        <v>33</v>
      </c>
    </row>
    <row r="148" spans="1:2" x14ac:dyDescent="0.2">
      <c r="A148" s="57" t="s">
        <v>485</v>
      </c>
      <c r="B148">
        <v>9</v>
      </c>
    </row>
    <row r="149" spans="1:2" x14ac:dyDescent="0.2">
      <c r="A149" s="57" t="s">
        <v>486</v>
      </c>
      <c r="B149">
        <v>34</v>
      </c>
    </row>
    <row r="150" spans="1:2" x14ac:dyDescent="0.2">
      <c r="A150" s="57" t="s">
        <v>487</v>
      </c>
      <c r="B150">
        <v>25</v>
      </c>
    </row>
    <row r="151" spans="1:2" x14ac:dyDescent="0.2">
      <c r="A151" s="57" t="s">
        <v>488</v>
      </c>
      <c r="B151">
        <v>10</v>
      </c>
    </row>
    <row r="152" spans="1:2" x14ac:dyDescent="0.2">
      <c r="A152" s="57" t="s">
        <v>489</v>
      </c>
      <c r="B152">
        <v>3</v>
      </c>
    </row>
    <row r="153" spans="1:2" x14ac:dyDescent="0.2">
      <c r="A153" s="57" t="s">
        <v>490</v>
      </c>
      <c r="B153">
        <v>1</v>
      </c>
    </row>
    <row r="154" spans="1:2" x14ac:dyDescent="0.2">
      <c r="A154" s="57" t="s">
        <v>491</v>
      </c>
      <c r="B154">
        <v>32</v>
      </c>
    </row>
    <row r="155" spans="1:2" x14ac:dyDescent="0.2">
      <c r="A155" s="57" t="s">
        <v>492</v>
      </c>
      <c r="B155">
        <v>1</v>
      </c>
    </row>
    <row r="156" spans="1:2" x14ac:dyDescent="0.2">
      <c r="A156" s="57" t="s">
        <v>493</v>
      </c>
      <c r="B156">
        <v>12</v>
      </c>
    </row>
    <row r="157" spans="1:2" x14ac:dyDescent="0.2">
      <c r="A157" s="57" t="s">
        <v>494</v>
      </c>
      <c r="B157">
        <v>132</v>
      </c>
    </row>
    <row r="158" spans="1:2" x14ac:dyDescent="0.2">
      <c r="A158" s="57" t="s">
        <v>495</v>
      </c>
      <c r="B158">
        <v>11</v>
      </c>
    </row>
    <row r="159" spans="1:2" x14ac:dyDescent="0.2">
      <c r="A159" s="57" t="s">
        <v>496</v>
      </c>
      <c r="B159">
        <v>1</v>
      </c>
    </row>
    <row r="160" spans="1:2" x14ac:dyDescent="0.2">
      <c r="A160" s="57" t="s">
        <v>497</v>
      </c>
      <c r="B160">
        <v>2</v>
      </c>
    </row>
    <row r="161" spans="1:2" x14ac:dyDescent="0.2">
      <c r="A161" s="57" t="s">
        <v>498</v>
      </c>
      <c r="B161">
        <v>10</v>
      </c>
    </row>
    <row r="162" spans="1:2" x14ac:dyDescent="0.2">
      <c r="A162" s="57" t="s">
        <v>499</v>
      </c>
      <c r="B162">
        <v>74</v>
      </c>
    </row>
    <row r="163" spans="1:2" x14ac:dyDescent="0.2">
      <c r="A163" s="57" t="s">
        <v>500</v>
      </c>
      <c r="B163">
        <v>73</v>
      </c>
    </row>
    <row r="164" spans="1:2" x14ac:dyDescent="0.2">
      <c r="A164" s="57" t="s">
        <v>501</v>
      </c>
      <c r="B164">
        <v>12</v>
      </c>
    </row>
    <row r="165" spans="1:2" x14ac:dyDescent="0.2">
      <c r="A165" s="57" t="s">
        <v>502</v>
      </c>
      <c r="B165">
        <v>6</v>
      </c>
    </row>
    <row r="166" spans="1:2" x14ac:dyDescent="0.2">
      <c r="A166" s="57" t="s">
        <v>503</v>
      </c>
      <c r="B166">
        <v>4</v>
      </c>
    </row>
    <row r="167" spans="1:2" x14ac:dyDescent="0.2">
      <c r="A167" s="57" t="s">
        <v>504</v>
      </c>
      <c r="B167">
        <v>3</v>
      </c>
    </row>
    <row r="168" spans="1:2" x14ac:dyDescent="0.2">
      <c r="A168" s="57" t="s">
        <v>505</v>
      </c>
      <c r="B168">
        <v>8</v>
      </c>
    </row>
    <row r="169" spans="1:2" x14ac:dyDescent="0.2">
      <c r="A169" s="57" t="s">
        <v>506</v>
      </c>
      <c r="B169">
        <v>93</v>
      </c>
    </row>
    <row r="170" spans="1:2" x14ac:dyDescent="0.2">
      <c r="A170" s="57" t="s">
        <v>507</v>
      </c>
      <c r="B170">
        <v>139</v>
      </c>
    </row>
    <row r="171" spans="1:2" x14ac:dyDescent="0.2">
      <c r="A171" s="57" t="s">
        <v>508</v>
      </c>
      <c r="B171">
        <v>175</v>
      </c>
    </row>
    <row r="172" spans="1:2" x14ac:dyDescent="0.2">
      <c r="A172" s="57" t="s">
        <v>509</v>
      </c>
      <c r="B172">
        <v>43</v>
      </c>
    </row>
    <row r="173" spans="1:2" x14ac:dyDescent="0.2">
      <c r="A173" s="57" t="s">
        <v>510</v>
      </c>
      <c r="B173">
        <v>2</v>
      </c>
    </row>
    <row r="174" spans="1:2" x14ac:dyDescent="0.2">
      <c r="A174" s="57" t="s">
        <v>511</v>
      </c>
      <c r="B174">
        <v>11</v>
      </c>
    </row>
    <row r="175" spans="1:2" x14ac:dyDescent="0.2">
      <c r="A175" s="57" t="s">
        <v>512</v>
      </c>
      <c r="B175">
        <v>60</v>
      </c>
    </row>
    <row r="176" spans="1:2" x14ac:dyDescent="0.2">
      <c r="A176" s="57" t="s">
        <v>513</v>
      </c>
      <c r="B176">
        <v>122</v>
      </c>
    </row>
    <row r="177" spans="1:2" x14ac:dyDescent="0.2">
      <c r="A177" s="57" t="s">
        <v>514</v>
      </c>
      <c r="B177">
        <v>98</v>
      </c>
    </row>
    <row r="178" spans="1:2" x14ac:dyDescent="0.2">
      <c r="A178" s="57" t="s">
        <v>515</v>
      </c>
      <c r="B178">
        <v>1</v>
      </c>
    </row>
    <row r="179" spans="1:2" x14ac:dyDescent="0.2">
      <c r="A179" s="57" t="s">
        <v>516</v>
      </c>
      <c r="B179">
        <v>32</v>
      </c>
    </row>
    <row r="180" spans="1:2" x14ac:dyDescent="0.2">
      <c r="A180" s="57" t="s">
        <v>517</v>
      </c>
      <c r="B180">
        <v>97</v>
      </c>
    </row>
    <row r="181" spans="1:2" x14ac:dyDescent="0.2">
      <c r="A181" s="57" t="s">
        <v>518</v>
      </c>
      <c r="B181">
        <v>2</v>
      </c>
    </row>
    <row r="182" spans="1:2" x14ac:dyDescent="0.2">
      <c r="A182" s="57" t="s">
        <v>519</v>
      </c>
      <c r="B182">
        <v>34</v>
      </c>
    </row>
    <row r="183" spans="1:2" x14ac:dyDescent="0.2">
      <c r="A183" s="57" t="s">
        <v>520</v>
      </c>
      <c r="B183">
        <v>84</v>
      </c>
    </row>
    <row r="184" spans="1:2" x14ac:dyDescent="0.2">
      <c r="A184" s="57" t="s">
        <v>521</v>
      </c>
      <c r="B184">
        <v>1</v>
      </c>
    </row>
    <row r="185" spans="1:2" x14ac:dyDescent="0.2">
      <c r="A185" s="57" t="s">
        <v>522</v>
      </c>
      <c r="B185">
        <v>59</v>
      </c>
    </row>
    <row r="186" spans="1:2" x14ac:dyDescent="0.2">
      <c r="A186" s="57" t="s">
        <v>523</v>
      </c>
      <c r="B186">
        <v>13</v>
      </c>
    </row>
    <row r="187" spans="1:2" x14ac:dyDescent="0.2">
      <c r="A187" s="57" t="s">
        <v>524</v>
      </c>
      <c r="B187">
        <v>1</v>
      </c>
    </row>
    <row r="188" spans="1:2" x14ac:dyDescent="0.2">
      <c r="A188" s="57" t="s">
        <v>525</v>
      </c>
      <c r="B188">
        <v>1</v>
      </c>
    </row>
    <row r="189" spans="1:2" x14ac:dyDescent="0.2">
      <c r="A189" s="57" t="s">
        <v>526</v>
      </c>
      <c r="B189">
        <v>1</v>
      </c>
    </row>
    <row r="190" spans="1:2" x14ac:dyDescent="0.2">
      <c r="A190" s="57" t="s">
        <v>527</v>
      </c>
      <c r="B190">
        <v>3</v>
      </c>
    </row>
    <row r="191" spans="1:2" x14ac:dyDescent="0.2">
      <c r="A191" s="57" t="s">
        <v>528</v>
      </c>
      <c r="B191">
        <v>13</v>
      </c>
    </row>
    <row r="192" spans="1:2" x14ac:dyDescent="0.2">
      <c r="A192" s="57" t="s">
        <v>529</v>
      </c>
      <c r="B192">
        <v>525</v>
      </c>
    </row>
    <row r="193" spans="1:2" x14ac:dyDescent="0.2">
      <c r="A193" s="57" t="s">
        <v>530</v>
      </c>
      <c r="B193">
        <v>1591</v>
      </c>
    </row>
    <row r="194" spans="1:2" x14ac:dyDescent="0.2">
      <c r="A194" s="57" t="s">
        <v>531</v>
      </c>
      <c r="B194">
        <v>975</v>
      </c>
    </row>
    <row r="195" spans="1:2" x14ac:dyDescent="0.2">
      <c r="A195" s="57" t="s">
        <v>532</v>
      </c>
      <c r="B195">
        <v>3</v>
      </c>
    </row>
    <row r="196" spans="1:2" x14ac:dyDescent="0.2">
      <c r="A196" s="57" t="s">
        <v>533</v>
      </c>
      <c r="B196">
        <v>234</v>
      </c>
    </row>
    <row r="197" spans="1:2" x14ac:dyDescent="0.2">
      <c r="A197" s="57" t="s">
        <v>534</v>
      </c>
      <c r="B197">
        <v>2</v>
      </c>
    </row>
    <row r="198" spans="1:2" x14ac:dyDescent="0.2">
      <c r="A198" s="57" t="s">
        <v>535</v>
      </c>
      <c r="B198">
        <v>144</v>
      </c>
    </row>
    <row r="199" spans="1:2" x14ac:dyDescent="0.2">
      <c r="A199" s="57" t="s">
        <v>536</v>
      </c>
      <c r="B199">
        <v>549</v>
      </c>
    </row>
    <row r="200" spans="1:2" x14ac:dyDescent="0.2">
      <c r="A200" s="57" t="s">
        <v>537</v>
      </c>
      <c r="B200">
        <v>2</v>
      </c>
    </row>
    <row r="201" spans="1:2" x14ac:dyDescent="0.2">
      <c r="A201" s="57" t="s">
        <v>538</v>
      </c>
      <c r="B201">
        <v>335</v>
      </c>
    </row>
    <row r="202" spans="1:2" x14ac:dyDescent="0.2">
      <c r="A202" s="57" t="s">
        <v>539</v>
      </c>
      <c r="B202">
        <v>585</v>
      </c>
    </row>
    <row r="203" spans="1:2" x14ac:dyDescent="0.2">
      <c r="A203" s="57" t="s">
        <v>540</v>
      </c>
      <c r="B203">
        <v>15</v>
      </c>
    </row>
    <row r="204" spans="1:2" x14ac:dyDescent="0.2">
      <c r="A204" s="57" t="s">
        <v>541</v>
      </c>
      <c r="B204">
        <v>426</v>
      </c>
    </row>
    <row r="205" spans="1:2" x14ac:dyDescent="0.2">
      <c r="A205" s="57" t="s">
        <v>542</v>
      </c>
      <c r="B205">
        <v>215</v>
      </c>
    </row>
    <row r="206" spans="1:2" x14ac:dyDescent="0.2">
      <c r="A206" s="57" t="s">
        <v>543</v>
      </c>
      <c r="B206">
        <v>2</v>
      </c>
    </row>
    <row r="207" spans="1:2" x14ac:dyDescent="0.2">
      <c r="A207" s="57" t="s">
        <v>544</v>
      </c>
      <c r="B207">
        <v>210</v>
      </c>
    </row>
    <row r="208" spans="1:2" x14ac:dyDescent="0.2">
      <c r="A208" s="57" t="s">
        <v>545</v>
      </c>
      <c r="B208">
        <v>1380</v>
      </c>
    </row>
    <row r="209" spans="1:2" x14ac:dyDescent="0.2">
      <c r="A209" s="57" t="s">
        <v>546</v>
      </c>
      <c r="B209">
        <v>720</v>
      </c>
    </row>
    <row r="210" spans="1:2" x14ac:dyDescent="0.2">
      <c r="A210" s="57" t="s">
        <v>547</v>
      </c>
      <c r="B210">
        <v>1140</v>
      </c>
    </row>
    <row r="211" spans="1:2" x14ac:dyDescent="0.2">
      <c r="A211" s="57" t="s">
        <v>548</v>
      </c>
      <c r="B211">
        <v>842</v>
      </c>
    </row>
    <row r="212" spans="1:2" x14ac:dyDescent="0.2">
      <c r="A212" s="57" t="s">
        <v>549</v>
      </c>
      <c r="B212">
        <v>15</v>
      </c>
    </row>
    <row r="213" spans="1:2" x14ac:dyDescent="0.2">
      <c r="A213" s="57" t="s">
        <v>550</v>
      </c>
      <c r="B213">
        <v>1200</v>
      </c>
    </row>
    <row r="214" spans="1:2" x14ac:dyDescent="0.2">
      <c r="A214" s="57" t="s">
        <v>551</v>
      </c>
      <c r="B214">
        <v>840</v>
      </c>
    </row>
    <row r="215" spans="1:2" x14ac:dyDescent="0.2">
      <c r="A215" s="57" t="s">
        <v>552</v>
      </c>
      <c r="B215">
        <v>3</v>
      </c>
    </row>
    <row r="216" spans="1:2" x14ac:dyDescent="0.2">
      <c r="A216" s="57" t="s">
        <v>553</v>
      </c>
      <c r="B216">
        <v>4</v>
      </c>
    </row>
    <row r="217" spans="1:2" x14ac:dyDescent="0.2">
      <c r="A217" s="57" t="s">
        <v>554</v>
      </c>
      <c r="B217">
        <v>4</v>
      </c>
    </row>
    <row r="218" spans="1:2" x14ac:dyDescent="0.2">
      <c r="A218" s="57" t="s">
        <v>555</v>
      </c>
      <c r="B218">
        <v>13</v>
      </c>
    </row>
    <row r="219" spans="1:2" x14ac:dyDescent="0.2">
      <c r="A219" s="57" t="s">
        <v>556</v>
      </c>
      <c r="B219">
        <v>4</v>
      </c>
    </row>
    <row r="220" spans="1:2" x14ac:dyDescent="0.2">
      <c r="A220" s="57" t="s">
        <v>557</v>
      </c>
      <c r="B220">
        <v>1</v>
      </c>
    </row>
    <row r="221" spans="1:2" x14ac:dyDescent="0.2">
      <c r="A221" s="57" t="s">
        <v>558</v>
      </c>
      <c r="B221">
        <v>12</v>
      </c>
    </row>
    <row r="222" spans="1:2" x14ac:dyDescent="0.2">
      <c r="A222" s="57" t="s">
        <v>559</v>
      </c>
      <c r="B222">
        <v>9</v>
      </c>
    </row>
    <row r="223" spans="1:2" x14ac:dyDescent="0.2">
      <c r="A223" s="57" t="s">
        <v>560</v>
      </c>
      <c r="B223">
        <v>1</v>
      </c>
    </row>
    <row r="224" spans="1:2" x14ac:dyDescent="0.2">
      <c r="A224" s="57" t="s">
        <v>561</v>
      </c>
      <c r="B224">
        <v>1081</v>
      </c>
    </row>
    <row r="225" spans="1:2" x14ac:dyDescent="0.2">
      <c r="A225" s="57" t="s">
        <v>562</v>
      </c>
      <c r="B225">
        <v>120</v>
      </c>
    </row>
    <row r="226" spans="1:2" x14ac:dyDescent="0.2">
      <c r="A226" s="57" t="s">
        <v>563</v>
      </c>
      <c r="B226">
        <v>1080</v>
      </c>
    </row>
    <row r="227" spans="1:2" x14ac:dyDescent="0.2">
      <c r="A227" s="57" t="s">
        <v>564</v>
      </c>
      <c r="B227">
        <v>1320</v>
      </c>
    </row>
    <row r="228" spans="1:2" x14ac:dyDescent="0.2">
      <c r="A228" s="57" t="s">
        <v>565</v>
      </c>
      <c r="B228">
        <v>2</v>
      </c>
    </row>
    <row r="229" spans="1:2" x14ac:dyDescent="0.2">
      <c r="A229" s="57" t="s">
        <v>566</v>
      </c>
      <c r="B229">
        <v>1</v>
      </c>
    </row>
    <row r="230" spans="1:2" x14ac:dyDescent="0.2">
      <c r="A230" s="57" t="s">
        <v>567</v>
      </c>
      <c r="B230">
        <v>115</v>
      </c>
    </row>
    <row r="231" spans="1:2" x14ac:dyDescent="0.2">
      <c r="A231" s="57" t="s">
        <v>568</v>
      </c>
      <c r="B231">
        <v>261</v>
      </c>
    </row>
    <row r="232" spans="1:2" x14ac:dyDescent="0.2">
      <c r="A232" s="57" t="s">
        <v>569</v>
      </c>
      <c r="B232">
        <v>323</v>
      </c>
    </row>
    <row r="233" spans="1:2" x14ac:dyDescent="0.2">
      <c r="A233" s="57" t="s">
        <v>570</v>
      </c>
      <c r="B233">
        <v>8</v>
      </c>
    </row>
    <row r="234" spans="1:2" x14ac:dyDescent="0.2">
      <c r="A234" s="57" t="s">
        <v>571</v>
      </c>
      <c r="B234">
        <v>146</v>
      </c>
    </row>
    <row r="235" spans="1:2" x14ac:dyDescent="0.2">
      <c r="A235" s="57" t="s">
        <v>572</v>
      </c>
      <c r="B235">
        <v>15</v>
      </c>
    </row>
    <row r="236" spans="1:2" x14ac:dyDescent="0.2">
      <c r="A236" s="57" t="s">
        <v>573</v>
      </c>
      <c r="B236">
        <v>10</v>
      </c>
    </row>
    <row r="237" spans="1:2" x14ac:dyDescent="0.2">
      <c r="A237" s="57" t="s">
        <v>574</v>
      </c>
      <c r="B237">
        <v>197</v>
      </c>
    </row>
    <row r="238" spans="1:2" x14ac:dyDescent="0.2">
      <c r="A238" s="57" t="s">
        <v>575</v>
      </c>
      <c r="B238">
        <v>12</v>
      </c>
    </row>
    <row r="239" spans="1:2" x14ac:dyDescent="0.2">
      <c r="A239" s="57" t="s">
        <v>576</v>
      </c>
      <c r="B239">
        <v>14</v>
      </c>
    </row>
    <row r="240" spans="1:2" x14ac:dyDescent="0.2">
      <c r="A240" s="57" t="s">
        <v>577</v>
      </c>
      <c r="B240">
        <v>58</v>
      </c>
    </row>
    <row r="241" spans="1:2" x14ac:dyDescent="0.2">
      <c r="A241" s="57" t="s">
        <v>578</v>
      </c>
      <c r="B241">
        <v>6</v>
      </c>
    </row>
    <row r="242" spans="1:2" x14ac:dyDescent="0.2">
      <c r="A242" s="57" t="s">
        <v>579</v>
      </c>
      <c r="B242">
        <v>4</v>
      </c>
    </row>
    <row r="243" spans="1:2" x14ac:dyDescent="0.2">
      <c r="A243" s="57" t="s">
        <v>580</v>
      </c>
      <c r="B243">
        <v>8</v>
      </c>
    </row>
    <row r="244" spans="1:2" x14ac:dyDescent="0.2">
      <c r="A244" s="57" t="s">
        <v>581</v>
      </c>
      <c r="B244">
        <v>143</v>
      </c>
    </row>
    <row r="245" spans="1:2" x14ac:dyDescent="0.2">
      <c r="A245" s="57" t="s">
        <v>582</v>
      </c>
      <c r="B245">
        <v>2</v>
      </c>
    </row>
    <row r="246" spans="1:2" x14ac:dyDescent="0.2">
      <c r="A246" s="57" t="s">
        <v>583</v>
      </c>
      <c r="B246">
        <v>6</v>
      </c>
    </row>
    <row r="247" spans="1:2" x14ac:dyDescent="0.2">
      <c r="A247" s="57" t="s">
        <v>584</v>
      </c>
      <c r="B247">
        <v>4</v>
      </c>
    </row>
    <row r="248" spans="1:2" x14ac:dyDescent="0.2">
      <c r="A248" s="57" t="s">
        <v>585</v>
      </c>
      <c r="B248">
        <v>21</v>
      </c>
    </row>
    <row r="249" spans="1:2" x14ac:dyDescent="0.2">
      <c r="A249" s="57" t="s">
        <v>586</v>
      </c>
      <c r="B249">
        <v>615</v>
      </c>
    </row>
    <row r="250" spans="1:2" x14ac:dyDescent="0.2">
      <c r="A250" s="57" t="s">
        <v>587</v>
      </c>
      <c r="B250">
        <v>308</v>
      </c>
    </row>
    <row r="251" spans="1:2" x14ac:dyDescent="0.2">
      <c r="A251" s="57" t="s">
        <v>588</v>
      </c>
      <c r="B251">
        <v>6</v>
      </c>
    </row>
    <row r="252" spans="1:2" x14ac:dyDescent="0.2">
      <c r="A252" s="57" t="s">
        <v>290</v>
      </c>
      <c r="B252">
        <v>200</v>
      </c>
    </row>
    <row r="253" spans="1:2" x14ac:dyDescent="0.2">
      <c r="A253" s="57" t="s">
        <v>298</v>
      </c>
      <c r="B253">
        <v>840</v>
      </c>
    </row>
    <row r="254" spans="1:2" x14ac:dyDescent="0.2">
      <c r="A254" s="57" t="s">
        <v>221</v>
      </c>
      <c r="B254">
        <v>326</v>
      </c>
    </row>
    <row r="255" spans="1:2" x14ac:dyDescent="0.2">
      <c r="A255" s="57" t="s">
        <v>225</v>
      </c>
      <c r="B255">
        <v>360</v>
      </c>
    </row>
    <row r="256" spans="1:2" x14ac:dyDescent="0.2">
      <c r="A256" s="57" t="s">
        <v>226</v>
      </c>
      <c r="B256">
        <v>625</v>
      </c>
    </row>
    <row r="257" spans="1:2" x14ac:dyDescent="0.2">
      <c r="A257" s="57" t="s">
        <v>227</v>
      </c>
      <c r="B257">
        <v>140</v>
      </c>
    </row>
    <row r="258" spans="1:2" x14ac:dyDescent="0.2">
      <c r="A258" s="57" t="s">
        <v>330</v>
      </c>
      <c r="B258">
        <v>1700</v>
      </c>
    </row>
    <row r="259" spans="1:2" x14ac:dyDescent="0.2">
      <c r="A259" s="57" t="s">
        <v>331</v>
      </c>
      <c r="B259">
        <v>1800</v>
      </c>
    </row>
    <row r="260" spans="1:2" x14ac:dyDescent="0.2">
      <c r="A260" s="57" t="s">
        <v>332</v>
      </c>
      <c r="B260">
        <v>360</v>
      </c>
    </row>
    <row r="261" spans="1:2" x14ac:dyDescent="0.2">
      <c r="A261" s="57" t="s">
        <v>333</v>
      </c>
      <c r="B261">
        <v>420</v>
      </c>
    </row>
    <row r="262" spans="1:2" x14ac:dyDescent="0.2">
      <c r="A262" s="57" t="s">
        <v>334</v>
      </c>
      <c r="B262">
        <v>1200</v>
      </c>
    </row>
    <row r="263" spans="1:2" x14ac:dyDescent="0.2">
      <c r="A263" s="57" t="s">
        <v>335</v>
      </c>
      <c r="B263">
        <v>1620</v>
      </c>
    </row>
    <row r="264" spans="1:2" x14ac:dyDescent="0.2">
      <c r="A264" s="57" t="s">
        <v>336</v>
      </c>
      <c r="B264">
        <v>6120</v>
      </c>
    </row>
    <row r="265" spans="1:2" x14ac:dyDescent="0.2">
      <c r="A265" s="57" t="s">
        <v>589</v>
      </c>
      <c r="B265">
        <v>800</v>
      </c>
    </row>
    <row r="266" spans="1:2" x14ac:dyDescent="0.2">
      <c r="A266" s="57" t="s">
        <v>299</v>
      </c>
      <c r="B266">
        <v>480</v>
      </c>
    </row>
    <row r="267" spans="1:2" x14ac:dyDescent="0.2">
      <c r="A267" s="57" t="s">
        <v>302</v>
      </c>
      <c r="B267">
        <v>880</v>
      </c>
    </row>
    <row r="268" spans="1:2" x14ac:dyDescent="0.2">
      <c r="A268" s="57" t="s">
        <v>303</v>
      </c>
      <c r="B268">
        <v>200</v>
      </c>
    </row>
    <row r="269" spans="1:2" x14ac:dyDescent="0.2">
      <c r="A269" s="57" t="s">
        <v>304</v>
      </c>
      <c r="B269">
        <v>1040</v>
      </c>
    </row>
    <row r="270" spans="1:2" x14ac:dyDescent="0.2">
      <c r="A270" s="57" t="s">
        <v>306</v>
      </c>
      <c r="B270">
        <v>360</v>
      </c>
    </row>
    <row r="271" spans="1:2" x14ac:dyDescent="0.2">
      <c r="A271" s="57" t="s">
        <v>231</v>
      </c>
      <c r="B271">
        <v>221</v>
      </c>
    </row>
    <row r="272" spans="1:2" x14ac:dyDescent="0.2">
      <c r="A272" s="57" t="s">
        <v>235</v>
      </c>
      <c r="B272">
        <v>320</v>
      </c>
    </row>
    <row r="273" spans="1:2" x14ac:dyDescent="0.2">
      <c r="A273" s="57" t="s">
        <v>236</v>
      </c>
      <c r="B273">
        <v>680</v>
      </c>
    </row>
    <row r="274" spans="1:2" x14ac:dyDescent="0.2">
      <c r="A274" s="57" t="s">
        <v>590</v>
      </c>
      <c r="B274">
        <v>220</v>
      </c>
    </row>
    <row r="275" spans="1:2" x14ac:dyDescent="0.2">
      <c r="A275" s="57" t="s">
        <v>591</v>
      </c>
      <c r="B275">
        <v>2</v>
      </c>
    </row>
    <row r="276" spans="1:2" x14ac:dyDescent="0.2">
      <c r="A276" s="57" t="s">
        <v>592</v>
      </c>
      <c r="B276">
        <v>3</v>
      </c>
    </row>
    <row r="277" spans="1:2" x14ac:dyDescent="0.2">
      <c r="A277" s="57" t="s">
        <v>593</v>
      </c>
      <c r="B277">
        <v>4</v>
      </c>
    </row>
    <row r="278" spans="1:2" x14ac:dyDescent="0.2">
      <c r="A278" s="57" t="s">
        <v>308</v>
      </c>
      <c r="B278">
        <v>300</v>
      </c>
    </row>
    <row r="279" spans="1:2" x14ac:dyDescent="0.2">
      <c r="A279" s="57" t="s">
        <v>309</v>
      </c>
      <c r="B279">
        <v>120</v>
      </c>
    </row>
    <row r="280" spans="1:2" x14ac:dyDescent="0.2">
      <c r="A280" s="57" t="s">
        <v>317</v>
      </c>
      <c r="B280">
        <v>1</v>
      </c>
    </row>
    <row r="281" spans="1:2" x14ac:dyDescent="0.2">
      <c r="A281" s="57" t="s">
        <v>240</v>
      </c>
      <c r="B281">
        <v>60</v>
      </c>
    </row>
    <row r="282" spans="1:2" x14ac:dyDescent="0.2">
      <c r="A282" s="57" t="s">
        <v>320</v>
      </c>
      <c r="B282">
        <v>120</v>
      </c>
    </row>
    <row r="283" spans="1:2" x14ac:dyDescent="0.2">
      <c r="A283" s="57" t="s">
        <v>594</v>
      </c>
      <c r="B283">
        <v>30</v>
      </c>
    </row>
    <row r="284" spans="1:2" x14ac:dyDescent="0.2">
      <c r="A284" s="57" t="s">
        <v>595</v>
      </c>
      <c r="B284">
        <v>220</v>
      </c>
    </row>
    <row r="285" spans="1:2" x14ac:dyDescent="0.2">
      <c r="A285" s="57" t="s">
        <v>596</v>
      </c>
      <c r="B285">
        <v>188</v>
      </c>
    </row>
    <row r="286" spans="1:2" x14ac:dyDescent="0.2">
      <c r="A286" s="57" t="s">
        <v>597</v>
      </c>
      <c r="B286">
        <v>24</v>
      </c>
    </row>
    <row r="287" spans="1:2" x14ac:dyDescent="0.2">
      <c r="A287" s="57" t="s">
        <v>598</v>
      </c>
      <c r="B287">
        <v>120</v>
      </c>
    </row>
    <row r="288" spans="1:2" x14ac:dyDescent="0.2">
      <c r="A288" s="57" t="s">
        <v>599</v>
      </c>
      <c r="B288">
        <v>75</v>
      </c>
    </row>
    <row r="289" spans="1:2" x14ac:dyDescent="0.2">
      <c r="A289" s="57" t="s">
        <v>600</v>
      </c>
      <c r="B289">
        <v>1</v>
      </c>
    </row>
    <row r="290" spans="1:2" x14ac:dyDescent="0.2">
      <c r="A290" s="57" t="s">
        <v>601</v>
      </c>
      <c r="B290">
        <v>2</v>
      </c>
    </row>
    <row r="291" spans="1:2" x14ac:dyDescent="0.2">
      <c r="A291" s="57" t="s">
        <v>602</v>
      </c>
      <c r="B291">
        <v>297</v>
      </c>
    </row>
    <row r="292" spans="1:2" x14ac:dyDescent="0.2">
      <c r="A292" s="57" t="s">
        <v>603</v>
      </c>
      <c r="B292">
        <v>440</v>
      </c>
    </row>
    <row r="293" spans="1:2" x14ac:dyDescent="0.2">
      <c r="A293" s="57" t="s">
        <v>604</v>
      </c>
      <c r="B293">
        <v>130</v>
      </c>
    </row>
    <row r="294" spans="1:2" x14ac:dyDescent="0.2">
      <c r="A294" s="57" t="s">
        <v>605</v>
      </c>
      <c r="B294">
        <v>130</v>
      </c>
    </row>
    <row r="295" spans="1:2" x14ac:dyDescent="0.2">
      <c r="A295" s="57" t="s">
        <v>606</v>
      </c>
      <c r="B295">
        <v>110</v>
      </c>
    </row>
    <row r="296" spans="1:2" x14ac:dyDescent="0.2">
      <c r="A296" s="57" t="s">
        <v>607</v>
      </c>
      <c r="B296">
        <v>100</v>
      </c>
    </row>
    <row r="297" spans="1:2" x14ac:dyDescent="0.2">
      <c r="A297" s="57" t="s">
        <v>608</v>
      </c>
      <c r="B297">
        <v>74</v>
      </c>
    </row>
    <row r="298" spans="1:2" x14ac:dyDescent="0.2">
      <c r="A298" s="57" t="s">
        <v>609</v>
      </c>
      <c r="B298">
        <v>74</v>
      </c>
    </row>
    <row r="299" spans="1:2" x14ac:dyDescent="0.2">
      <c r="A299" s="57" t="s">
        <v>610</v>
      </c>
      <c r="B299">
        <v>10</v>
      </c>
    </row>
    <row r="300" spans="1:2" x14ac:dyDescent="0.2">
      <c r="A300" s="57" t="s">
        <v>611</v>
      </c>
      <c r="B300">
        <v>16</v>
      </c>
    </row>
    <row r="301" spans="1:2" x14ac:dyDescent="0.2">
      <c r="A301" s="57" t="s">
        <v>612</v>
      </c>
      <c r="B301">
        <v>1</v>
      </c>
    </row>
    <row r="302" spans="1:2" x14ac:dyDescent="0.2">
      <c r="A302" s="57" t="s">
        <v>613</v>
      </c>
      <c r="B302">
        <v>40</v>
      </c>
    </row>
    <row r="303" spans="1:2" x14ac:dyDescent="0.2">
      <c r="A303" s="57" t="s">
        <v>614</v>
      </c>
      <c r="B303">
        <v>1354</v>
      </c>
    </row>
    <row r="304" spans="1:2" x14ac:dyDescent="0.2">
      <c r="A304" s="57" t="s">
        <v>615</v>
      </c>
      <c r="B304">
        <v>896</v>
      </c>
    </row>
    <row r="305" spans="1:2" x14ac:dyDescent="0.2">
      <c r="A305" s="57" t="s">
        <v>616</v>
      </c>
      <c r="B305">
        <v>18</v>
      </c>
    </row>
    <row r="306" spans="1:2" x14ac:dyDescent="0.2">
      <c r="A306" s="57" t="s">
        <v>617</v>
      </c>
      <c r="B306">
        <v>172</v>
      </c>
    </row>
    <row r="307" spans="1:2" x14ac:dyDescent="0.2">
      <c r="A307" s="57" t="s">
        <v>618</v>
      </c>
      <c r="B307">
        <v>408</v>
      </c>
    </row>
    <row r="308" spans="1:2" x14ac:dyDescent="0.2">
      <c r="A308" s="57" t="s">
        <v>619</v>
      </c>
      <c r="B308">
        <v>2</v>
      </c>
    </row>
    <row r="309" spans="1:2" x14ac:dyDescent="0.2">
      <c r="A309" s="57" t="s">
        <v>620</v>
      </c>
      <c r="B309">
        <v>520</v>
      </c>
    </row>
    <row r="310" spans="1:2" x14ac:dyDescent="0.2">
      <c r="A310" s="57" t="s">
        <v>621</v>
      </c>
      <c r="B310">
        <v>240</v>
      </c>
    </row>
    <row r="311" spans="1:2" x14ac:dyDescent="0.2">
      <c r="A311" s="57" t="s">
        <v>622</v>
      </c>
      <c r="B311">
        <v>1620</v>
      </c>
    </row>
    <row r="312" spans="1:2" x14ac:dyDescent="0.2">
      <c r="A312" s="57" t="s">
        <v>623</v>
      </c>
      <c r="B312">
        <v>100</v>
      </c>
    </row>
    <row r="313" spans="1:2" x14ac:dyDescent="0.2">
      <c r="A313" s="57" t="s">
        <v>624</v>
      </c>
      <c r="B313">
        <v>135</v>
      </c>
    </row>
    <row r="314" spans="1:2" x14ac:dyDescent="0.2">
      <c r="A314" s="57" t="s">
        <v>625</v>
      </c>
      <c r="B314">
        <v>100</v>
      </c>
    </row>
    <row r="315" spans="1:2" x14ac:dyDescent="0.2">
      <c r="A315" s="57" t="s">
        <v>626</v>
      </c>
      <c r="B315">
        <v>170</v>
      </c>
    </row>
    <row r="316" spans="1:2" x14ac:dyDescent="0.2">
      <c r="A316" s="57" t="s">
        <v>627</v>
      </c>
      <c r="B316">
        <v>198</v>
      </c>
    </row>
    <row r="317" spans="1:2" x14ac:dyDescent="0.2">
      <c r="A317" s="57" t="s">
        <v>628</v>
      </c>
      <c r="B317">
        <v>1</v>
      </c>
    </row>
    <row r="318" spans="1:2" x14ac:dyDescent="0.2">
      <c r="A318" s="57" t="s">
        <v>629</v>
      </c>
      <c r="B318">
        <v>1201</v>
      </c>
    </row>
    <row r="319" spans="1:2" x14ac:dyDescent="0.2">
      <c r="A319" s="57" t="s">
        <v>630</v>
      </c>
      <c r="B319">
        <v>50</v>
      </c>
    </row>
    <row r="320" spans="1:2" x14ac:dyDescent="0.2">
      <c r="A320" s="57" t="s">
        <v>631</v>
      </c>
      <c r="B320">
        <v>1</v>
      </c>
    </row>
    <row r="321" spans="1:2" x14ac:dyDescent="0.2">
      <c r="A321" s="57" t="s">
        <v>632</v>
      </c>
      <c r="B321">
        <v>4</v>
      </c>
    </row>
    <row r="322" spans="1:2" x14ac:dyDescent="0.2">
      <c r="A322" s="57" t="s">
        <v>633</v>
      </c>
      <c r="B322">
        <v>1</v>
      </c>
    </row>
    <row r="323" spans="1:2" x14ac:dyDescent="0.2">
      <c r="A323" s="57" t="s">
        <v>634</v>
      </c>
      <c r="B323">
        <v>1</v>
      </c>
    </row>
    <row r="324" spans="1:2" x14ac:dyDescent="0.2">
      <c r="A324" s="57" t="s">
        <v>635</v>
      </c>
      <c r="B324">
        <v>34</v>
      </c>
    </row>
    <row r="325" spans="1:2" x14ac:dyDescent="0.2">
      <c r="A325" s="57" t="s">
        <v>636</v>
      </c>
      <c r="B325">
        <v>1</v>
      </c>
    </row>
    <row r="326" spans="1:2" x14ac:dyDescent="0.2">
      <c r="A326" s="57" t="s">
        <v>637</v>
      </c>
      <c r="B326">
        <v>29</v>
      </c>
    </row>
    <row r="327" spans="1:2" x14ac:dyDescent="0.2">
      <c r="A327" s="57" t="s">
        <v>638</v>
      </c>
      <c r="B327">
        <v>3</v>
      </c>
    </row>
    <row r="328" spans="1:2" x14ac:dyDescent="0.2">
      <c r="A328" s="57" t="s">
        <v>639</v>
      </c>
      <c r="B328">
        <v>46</v>
      </c>
    </row>
    <row r="329" spans="1:2" x14ac:dyDescent="0.2">
      <c r="A329" s="57" t="s">
        <v>640</v>
      </c>
      <c r="B329">
        <v>35</v>
      </c>
    </row>
    <row r="330" spans="1:2" x14ac:dyDescent="0.2">
      <c r="A330" s="57" t="s">
        <v>641</v>
      </c>
      <c r="B330">
        <v>53</v>
      </c>
    </row>
    <row r="331" spans="1:2" x14ac:dyDescent="0.2">
      <c r="A331" s="57" t="s">
        <v>642</v>
      </c>
      <c r="B331">
        <v>107</v>
      </c>
    </row>
    <row r="332" spans="1:2" x14ac:dyDescent="0.2">
      <c r="A332" s="57" t="s">
        <v>643</v>
      </c>
      <c r="B332">
        <v>185</v>
      </c>
    </row>
    <row r="333" spans="1:2" x14ac:dyDescent="0.2">
      <c r="A333" s="57" t="s">
        <v>644</v>
      </c>
      <c r="B333">
        <v>25</v>
      </c>
    </row>
    <row r="334" spans="1:2" x14ac:dyDescent="0.2">
      <c r="A334" s="57" t="s">
        <v>645</v>
      </c>
      <c r="B334">
        <v>12</v>
      </c>
    </row>
    <row r="335" spans="1:2" x14ac:dyDescent="0.2">
      <c r="A335" s="57" t="s">
        <v>646</v>
      </c>
      <c r="B335">
        <v>52</v>
      </c>
    </row>
    <row r="336" spans="1:2" x14ac:dyDescent="0.2">
      <c r="A336" s="57" t="s">
        <v>647</v>
      </c>
      <c r="B336">
        <v>117</v>
      </c>
    </row>
    <row r="337" spans="1:2" x14ac:dyDescent="0.2">
      <c r="A337" s="57" t="s">
        <v>648</v>
      </c>
      <c r="B337">
        <v>1</v>
      </c>
    </row>
    <row r="338" spans="1:2" x14ac:dyDescent="0.2">
      <c r="A338" s="57" t="s">
        <v>649</v>
      </c>
      <c r="B338">
        <v>960</v>
      </c>
    </row>
    <row r="339" spans="1:2" x14ac:dyDescent="0.2">
      <c r="A339" s="57" t="s">
        <v>650</v>
      </c>
      <c r="B339">
        <v>1</v>
      </c>
    </row>
    <row r="340" spans="1:2" x14ac:dyDescent="0.2">
      <c r="A340" s="57" t="s">
        <v>651</v>
      </c>
      <c r="B340">
        <v>195</v>
      </c>
    </row>
    <row r="341" spans="1:2" x14ac:dyDescent="0.2">
      <c r="A341" s="57" t="s">
        <v>652</v>
      </c>
      <c r="B341">
        <v>750</v>
      </c>
    </row>
    <row r="342" spans="1:2" x14ac:dyDescent="0.2">
      <c r="A342" s="57" t="s">
        <v>653</v>
      </c>
      <c r="B342">
        <v>1</v>
      </c>
    </row>
    <row r="343" spans="1:2" x14ac:dyDescent="0.2">
      <c r="A343" s="57" t="s">
        <v>654</v>
      </c>
      <c r="B343">
        <v>2</v>
      </c>
    </row>
    <row r="344" spans="1:2" x14ac:dyDescent="0.2">
      <c r="A344" s="57" t="s">
        <v>655</v>
      </c>
      <c r="B344">
        <v>2960</v>
      </c>
    </row>
    <row r="345" spans="1:2" x14ac:dyDescent="0.2">
      <c r="A345" s="57" t="s">
        <v>656</v>
      </c>
      <c r="B345">
        <v>620</v>
      </c>
    </row>
    <row r="346" spans="1:2" x14ac:dyDescent="0.2">
      <c r="A346" s="57" t="s">
        <v>657</v>
      </c>
      <c r="B346">
        <v>180</v>
      </c>
    </row>
    <row r="347" spans="1:2" x14ac:dyDescent="0.2">
      <c r="A347" s="57" t="s">
        <v>658</v>
      </c>
      <c r="B347">
        <v>11</v>
      </c>
    </row>
    <row r="348" spans="1:2" x14ac:dyDescent="0.2">
      <c r="A348" s="57" t="s">
        <v>659</v>
      </c>
      <c r="B348">
        <v>11</v>
      </c>
    </row>
    <row r="349" spans="1:2" x14ac:dyDescent="0.2">
      <c r="A349" s="57" t="s">
        <v>660</v>
      </c>
      <c r="B349">
        <v>575</v>
      </c>
    </row>
    <row r="350" spans="1:2" x14ac:dyDescent="0.2">
      <c r="A350" s="57" t="s">
        <v>661</v>
      </c>
      <c r="B350">
        <v>175</v>
      </c>
    </row>
    <row r="351" spans="1:2" x14ac:dyDescent="0.2">
      <c r="A351" s="57" t="s">
        <v>662</v>
      </c>
      <c r="B351">
        <v>100</v>
      </c>
    </row>
    <row r="352" spans="1:2" x14ac:dyDescent="0.2">
      <c r="A352" s="57" t="s">
        <v>663</v>
      </c>
      <c r="B352">
        <v>504</v>
      </c>
    </row>
    <row r="353" spans="1:2" x14ac:dyDescent="0.2">
      <c r="A353" s="57" t="s">
        <v>664</v>
      </c>
      <c r="B353">
        <v>161</v>
      </c>
    </row>
    <row r="354" spans="1:2" x14ac:dyDescent="0.2">
      <c r="A354" s="57" t="s">
        <v>665</v>
      </c>
      <c r="B354">
        <v>700</v>
      </c>
    </row>
    <row r="355" spans="1:2" x14ac:dyDescent="0.2">
      <c r="A355" s="57" t="s">
        <v>666</v>
      </c>
      <c r="B355">
        <v>50</v>
      </c>
    </row>
    <row r="356" spans="1:2" x14ac:dyDescent="0.2">
      <c r="A356" s="57" t="s">
        <v>667</v>
      </c>
      <c r="B356">
        <v>1560</v>
      </c>
    </row>
    <row r="357" spans="1:2" x14ac:dyDescent="0.2">
      <c r="A357" s="57" t="s">
        <v>668</v>
      </c>
      <c r="B357">
        <v>2400</v>
      </c>
    </row>
    <row r="358" spans="1:2" x14ac:dyDescent="0.2">
      <c r="A358" s="57" t="s">
        <v>669</v>
      </c>
      <c r="B358">
        <v>1800</v>
      </c>
    </row>
    <row r="359" spans="1:2" x14ac:dyDescent="0.2">
      <c r="A359" s="57" t="s">
        <v>670</v>
      </c>
      <c r="B359">
        <v>10000</v>
      </c>
    </row>
    <row r="360" spans="1:2" x14ac:dyDescent="0.2">
      <c r="A360" s="57" t="s">
        <v>671</v>
      </c>
      <c r="B360">
        <v>1200</v>
      </c>
    </row>
    <row r="361" spans="1:2" x14ac:dyDescent="0.2">
      <c r="A361" s="57" t="s">
        <v>672</v>
      </c>
      <c r="B361">
        <v>6300</v>
      </c>
    </row>
    <row r="362" spans="1:2" x14ac:dyDescent="0.2">
      <c r="A362" s="57" t="s">
        <v>673</v>
      </c>
      <c r="B362">
        <v>3600</v>
      </c>
    </row>
    <row r="363" spans="1:2" x14ac:dyDescent="0.2">
      <c r="A363" s="57" t="s">
        <v>674</v>
      </c>
      <c r="B363">
        <v>2100</v>
      </c>
    </row>
    <row r="364" spans="1:2" x14ac:dyDescent="0.2">
      <c r="A364" s="57" t="s">
        <v>675</v>
      </c>
      <c r="B364">
        <v>2482</v>
      </c>
    </row>
    <row r="365" spans="1:2" x14ac:dyDescent="0.2">
      <c r="A365" s="57" t="s">
        <v>676</v>
      </c>
      <c r="B365">
        <v>2442</v>
      </c>
    </row>
    <row r="366" spans="1:2" x14ac:dyDescent="0.2">
      <c r="A366" s="57" t="s">
        <v>677</v>
      </c>
      <c r="B366">
        <v>600</v>
      </c>
    </row>
    <row r="367" spans="1:2" x14ac:dyDescent="0.2">
      <c r="A367" s="57" t="s">
        <v>678</v>
      </c>
      <c r="B367">
        <v>550</v>
      </c>
    </row>
    <row r="368" spans="1:2" x14ac:dyDescent="0.2">
      <c r="A368" s="57" t="s">
        <v>679</v>
      </c>
      <c r="B368">
        <v>3</v>
      </c>
    </row>
    <row r="369" spans="1:2" x14ac:dyDescent="0.2">
      <c r="A369" s="57" t="s">
        <v>680</v>
      </c>
      <c r="B369">
        <v>4</v>
      </c>
    </row>
    <row r="370" spans="1:2" x14ac:dyDescent="0.2">
      <c r="A370" s="57" t="s">
        <v>681</v>
      </c>
      <c r="B370">
        <v>520</v>
      </c>
    </row>
    <row r="371" spans="1:2" x14ac:dyDescent="0.2">
      <c r="A371" s="57" t="s">
        <v>682</v>
      </c>
      <c r="B371">
        <v>480</v>
      </c>
    </row>
    <row r="372" spans="1:2" x14ac:dyDescent="0.2">
      <c r="A372" s="57" t="s">
        <v>683</v>
      </c>
      <c r="B372">
        <v>3060</v>
      </c>
    </row>
    <row r="373" spans="1:2" x14ac:dyDescent="0.2">
      <c r="A373" s="57" t="s">
        <v>684</v>
      </c>
      <c r="B373">
        <v>2550</v>
      </c>
    </row>
    <row r="374" spans="1:2" x14ac:dyDescent="0.2">
      <c r="A374" s="57" t="s">
        <v>685</v>
      </c>
      <c r="B374">
        <v>180</v>
      </c>
    </row>
    <row r="375" spans="1:2" x14ac:dyDescent="0.2">
      <c r="A375" s="57" t="s">
        <v>686</v>
      </c>
      <c r="B375">
        <v>180</v>
      </c>
    </row>
    <row r="376" spans="1:2" x14ac:dyDescent="0.2">
      <c r="A376" s="57" t="s">
        <v>687</v>
      </c>
      <c r="B376">
        <v>34</v>
      </c>
    </row>
    <row r="377" spans="1:2" x14ac:dyDescent="0.2">
      <c r="A377" s="57" t="s">
        <v>688</v>
      </c>
      <c r="B377">
        <v>11400</v>
      </c>
    </row>
    <row r="378" spans="1:2" x14ac:dyDescent="0.2">
      <c r="A378" s="57" t="s">
        <v>689</v>
      </c>
      <c r="B378">
        <v>11550</v>
      </c>
    </row>
    <row r="379" spans="1:2" x14ac:dyDescent="0.2">
      <c r="A379" s="57" t="s">
        <v>690</v>
      </c>
      <c r="B379">
        <v>6696</v>
      </c>
    </row>
    <row r="380" spans="1:2" x14ac:dyDescent="0.2">
      <c r="A380" s="57" t="s">
        <v>691</v>
      </c>
      <c r="B380">
        <v>816</v>
      </c>
    </row>
    <row r="381" spans="1:2" x14ac:dyDescent="0.2">
      <c r="A381" s="57" t="s">
        <v>692</v>
      </c>
      <c r="B381">
        <v>952</v>
      </c>
    </row>
    <row r="382" spans="1:2" x14ac:dyDescent="0.2">
      <c r="A382" s="57" t="s">
        <v>693</v>
      </c>
      <c r="B382">
        <v>788</v>
      </c>
    </row>
    <row r="383" spans="1:2" x14ac:dyDescent="0.2">
      <c r="A383" s="57" t="s">
        <v>694</v>
      </c>
      <c r="B383">
        <v>636</v>
      </c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7"/>
  <sheetViews>
    <sheetView workbookViewId="0">
      <selection activeCell="D12" sqref="D12"/>
    </sheetView>
  </sheetViews>
  <sheetFormatPr defaultRowHeight="12.75" x14ac:dyDescent="0.2"/>
  <cols>
    <col min="1" max="1" width="13" customWidth="1"/>
    <col min="2" max="3" width="9.140625" customWidth="1"/>
  </cols>
  <sheetData>
    <row r="1" spans="1:4" s="56" customFormat="1" x14ac:dyDescent="0.2">
      <c r="A1" s="56" t="s">
        <v>337</v>
      </c>
      <c r="B1" s="56" t="s">
        <v>695</v>
      </c>
      <c r="C1" s="56" t="s">
        <v>696</v>
      </c>
      <c r="D1" s="56" t="s">
        <v>764</v>
      </c>
    </row>
    <row r="2" spans="1:4" x14ac:dyDescent="0.2">
      <c r="A2" s="57" t="s">
        <v>594</v>
      </c>
      <c r="B2">
        <v>81</v>
      </c>
      <c r="C2">
        <v>0</v>
      </c>
      <c r="D2">
        <v>0</v>
      </c>
    </row>
    <row r="3" spans="1:4" x14ac:dyDescent="0.2">
      <c r="A3" s="57" t="s">
        <v>697</v>
      </c>
      <c r="B3">
        <v>0</v>
      </c>
      <c r="C3">
        <v>0</v>
      </c>
      <c r="D3">
        <v>0</v>
      </c>
    </row>
    <row r="4" spans="1:4" x14ac:dyDescent="0.2">
      <c r="A4" s="57" t="s">
        <v>698</v>
      </c>
      <c r="B4">
        <v>0</v>
      </c>
      <c r="C4">
        <v>0</v>
      </c>
      <c r="D4">
        <v>0</v>
      </c>
    </row>
    <row r="5" spans="1:4" x14ac:dyDescent="0.2">
      <c r="A5" s="57" t="s">
        <v>699</v>
      </c>
      <c r="B5">
        <v>0</v>
      </c>
      <c r="C5">
        <v>0</v>
      </c>
      <c r="D5">
        <v>0</v>
      </c>
    </row>
    <row r="6" spans="1:4" x14ac:dyDescent="0.2">
      <c r="A6" s="57" t="s">
        <v>700</v>
      </c>
      <c r="B6">
        <v>0</v>
      </c>
      <c r="C6">
        <v>75</v>
      </c>
      <c r="D6">
        <v>0</v>
      </c>
    </row>
    <row r="7" spans="1:4" x14ac:dyDescent="0.2">
      <c r="A7" s="57" t="s">
        <v>598</v>
      </c>
      <c r="B7">
        <v>75</v>
      </c>
      <c r="C7">
        <v>78</v>
      </c>
      <c r="D7">
        <v>0</v>
      </c>
    </row>
    <row r="8" spans="1:4" x14ac:dyDescent="0.2">
      <c r="A8" s="57" t="s">
        <v>701</v>
      </c>
      <c r="B8">
        <v>0</v>
      </c>
      <c r="C8">
        <v>0</v>
      </c>
      <c r="D8">
        <v>0</v>
      </c>
    </row>
    <row r="9" spans="1:4" x14ac:dyDescent="0.2">
      <c r="A9" s="57" t="s">
        <v>599</v>
      </c>
      <c r="B9">
        <v>0</v>
      </c>
      <c r="C9">
        <v>0</v>
      </c>
      <c r="D9">
        <v>0</v>
      </c>
    </row>
    <row r="10" spans="1:4" x14ac:dyDescent="0.2">
      <c r="A10" s="57" t="s">
        <v>702</v>
      </c>
      <c r="B10">
        <v>0</v>
      </c>
      <c r="C10">
        <v>0</v>
      </c>
      <c r="D10">
        <v>0</v>
      </c>
    </row>
    <row r="11" spans="1:4" x14ac:dyDescent="0.2">
      <c r="A11" s="57" t="s">
        <v>703</v>
      </c>
      <c r="B11">
        <v>0</v>
      </c>
      <c r="C11">
        <v>0</v>
      </c>
      <c r="D11">
        <v>0</v>
      </c>
    </row>
    <row r="12" spans="1:4" x14ac:dyDescent="0.2">
      <c r="A12" s="57" t="s">
        <v>704</v>
      </c>
      <c r="B12">
        <v>0</v>
      </c>
      <c r="C12">
        <v>0</v>
      </c>
      <c r="D12">
        <v>0</v>
      </c>
    </row>
    <row r="13" spans="1:4" x14ac:dyDescent="0.2">
      <c r="A13" s="57" t="s">
        <v>705</v>
      </c>
      <c r="B13">
        <v>0</v>
      </c>
      <c r="C13">
        <v>0</v>
      </c>
      <c r="D13">
        <v>0</v>
      </c>
    </row>
    <row r="14" spans="1:4" x14ac:dyDescent="0.2">
      <c r="A14" s="57" t="s">
        <v>706</v>
      </c>
      <c r="B14">
        <v>320</v>
      </c>
      <c r="C14">
        <v>0</v>
      </c>
      <c r="D14">
        <v>0</v>
      </c>
    </row>
    <row r="15" spans="1:4" x14ac:dyDescent="0.2">
      <c r="A15" s="57" t="s">
        <v>590</v>
      </c>
      <c r="B15">
        <v>420</v>
      </c>
      <c r="C15">
        <v>140</v>
      </c>
      <c r="D15">
        <v>0</v>
      </c>
    </row>
    <row r="16" spans="1:4" x14ac:dyDescent="0.2">
      <c r="A16" s="57" t="s">
        <v>591</v>
      </c>
      <c r="B16">
        <v>0</v>
      </c>
      <c r="C16">
        <v>0</v>
      </c>
      <c r="D16">
        <v>0</v>
      </c>
    </row>
    <row r="17" spans="1:4" x14ac:dyDescent="0.2">
      <c r="A17" s="57" t="s">
        <v>707</v>
      </c>
      <c r="B17">
        <v>180</v>
      </c>
      <c r="C17">
        <v>520</v>
      </c>
      <c r="D17">
        <v>0</v>
      </c>
    </row>
    <row r="18" spans="1:4" x14ac:dyDescent="0.2">
      <c r="A18" s="57" t="s">
        <v>592</v>
      </c>
      <c r="B18">
        <v>0</v>
      </c>
      <c r="C18">
        <v>0</v>
      </c>
      <c r="D18">
        <v>0</v>
      </c>
    </row>
    <row r="19" spans="1:4" x14ac:dyDescent="0.2">
      <c r="A19" s="57" t="s">
        <v>708</v>
      </c>
      <c r="B19">
        <v>400</v>
      </c>
      <c r="C19">
        <v>1000</v>
      </c>
      <c r="D19">
        <v>0</v>
      </c>
    </row>
    <row r="20" spans="1:4" x14ac:dyDescent="0.2">
      <c r="A20" s="57" t="s">
        <v>593</v>
      </c>
      <c r="B20">
        <v>0</v>
      </c>
      <c r="C20">
        <v>0</v>
      </c>
      <c r="D20">
        <v>0</v>
      </c>
    </row>
    <row r="21" spans="1:4" x14ac:dyDescent="0.2">
      <c r="A21" s="57" t="s">
        <v>709</v>
      </c>
      <c r="B21">
        <v>0</v>
      </c>
      <c r="C21">
        <v>0</v>
      </c>
      <c r="D21">
        <v>0</v>
      </c>
    </row>
    <row r="22" spans="1:4" x14ac:dyDescent="0.2">
      <c r="A22" s="57" t="s">
        <v>710</v>
      </c>
      <c r="B22">
        <v>0</v>
      </c>
      <c r="C22">
        <v>0</v>
      </c>
      <c r="D22">
        <v>0</v>
      </c>
    </row>
    <row r="23" spans="1:4" x14ac:dyDescent="0.2">
      <c r="A23" s="57" t="s">
        <v>600</v>
      </c>
      <c r="B23">
        <v>0</v>
      </c>
      <c r="C23">
        <v>0</v>
      </c>
      <c r="D23">
        <v>0</v>
      </c>
    </row>
    <row r="24" spans="1:4" x14ac:dyDescent="0.2">
      <c r="A24" s="57" t="s">
        <v>711</v>
      </c>
      <c r="B24">
        <v>0</v>
      </c>
      <c r="C24">
        <v>0</v>
      </c>
      <c r="D24">
        <v>0</v>
      </c>
    </row>
    <row r="25" spans="1:4" x14ac:dyDescent="0.2">
      <c r="A25" s="57" t="s">
        <v>712</v>
      </c>
      <c r="B25">
        <v>0</v>
      </c>
      <c r="C25">
        <v>0</v>
      </c>
      <c r="D25">
        <v>0</v>
      </c>
    </row>
    <row r="26" spans="1:4" x14ac:dyDescent="0.2">
      <c r="A26" s="57" t="s">
        <v>713</v>
      </c>
      <c r="B26">
        <v>0</v>
      </c>
      <c r="C26">
        <v>0</v>
      </c>
      <c r="D26">
        <v>0</v>
      </c>
    </row>
    <row r="27" spans="1:4" x14ac:dyDescent="0.2">
      <c r="A27" s="57" t="s">
        <v>714</v>
      </c>
      <c r="B27">
        <v>0</v>
      </c>
      <c r="C27">
        <v>0</v>
      </c>
      <c r="D27">
        <v>0</v>
      </c>
    </row>
    <row r="28" spans="1:4" x14ac:dyDescent="0.2">
      <c r="A28" s="57" t="s">
        <v>715</v>
      </c>
      <c r="B28">
        <v>0</v>
      </c>
      <c r="C28">
        <v>0</v>
      </c>
      <c r="D28">
        <v>0</v>
      </c>
    </row>
    <row r="29" spans="1:4" x14ac:dyDescent="0.2">
      <c r="A29" s="57" t="s">
        <v>716</v>
      </c>
      <c r="B29">
        <v>0</v>
      </c>
      <c r="C29">
        <v>0</v>
      </c>
      <c r="D29">
        <v>0</v>
      </c>
    </row>
    <row r="30" spans="1:4" x14ac:dyDescent="0.2">
      <c r="A30" s="57" t="s">
        <v>717</v>
      </c>
      <c r="B30">
        <v>0</v>
      </c>
      <c r="C30">
        <v>0</v>
      </c>
      <c r="D30">
        <v>0</v>
      </c>
    </row>
    <row r="31" spans="1:4" x14ac:dyDescent="0.2">
      <c r="A31" s="57" t="s">
        <v>718</v>
      </c>
      <c r="B31">
        <v>0</v>
      </c>
      <c r="C31">
        <v>0</v>
      </c>
      <c r="D31">
        <v>0</v>
      </c>
    </row>
    <row r="32" spans="1:4" x14ac:dyDescent="0.2">
      <c r="A32" s="57" t="s">
        <v>719</v>
      </c>
      <c r="B32">
        <v>0</v>
      </c>
      <c r="C32">
        <v>0</v>
      </c>
      <c r="D32">
        <v>0</v>
      </c>
    </row>
    <row r="33" spans="1:4" x14ac:dyDescent="0.2">
      <c r="A33" s="57" t="s">
        <v>595</v>
      </c>
      <c r="B33">
        <v>140</v>
      </c>
      <c r="C33">
        <v>173</v>
      </c>
      <c r="D33">
        <v>0</v>
      </c>
    </row>
    <row r="34" spans="1:4" x14ac:dyDescent="0.2">
      <c r="A34" s="57" t="s">
        <v>596</v>
      </c>
      <c r="B34">
        <v>106</v>
      </c>
      <c r="C34">
        <v>200</v>
      </c>
      <c r="D34">
        <v>0</v>
      </c>
    </row>
    <row r="35" spans="1:4" x14ac:dyDescent="0.2">
      <c r="A35" s="57" t="s">
        <v>597</v>
      </c>
      <c r="B35">
        <v>60</v>
      </c>
      <c r="C35">
        <v>0</v>
      </c>
      <c r="D35">
        <v>0</v>
      </c>
    </row>
    <row r="36" spans="1:4" x14ac:dyDescent="0.2">
      <c r="A36" s="57" t="s">
        <v>720</v>
      </c>
      <c r="B36">
        <v>60</v>
      </c>
      <c r="C36">
        <v>0</v>
      </c>
      <c r="D36">
        <v>0</v>
      </c>
    </row>
    <row r="37" spans="1:4" x14ac:dyDescent="0.2">
      <c r="A37" s="57" t="s">
        <v>330</v>
      </c>
      <c r="B37">
        <v>840</v>
      </c>
      <c r="C37">
        <v>850</v>
      </c>
      <c r="D37">
        <v>900</v>
      </c>
    </row>
    <row r="38" spans="1:4" x14ac:dyDescent="0.2">
      <c r="A38" s="57" t="s">
        <v>331</v>
      </c>
      <c r="B38">
        <v>840</v>
      </c>
      <c r="C38">
        <v>850</v>
      </c>
      <c r="D38">
        <v>900</v>
      </c>
    </row>
    <row r="39" spans="1:4" x14ac:dyDescent="0.2">
      <c r="A39" s="57" t="s">
        <v>332</v>
      </c>
      <c r="B39">
        <v>660</v>
      </c>
      <c r="C39">
        <v>1200</v>
      </c>
      <c r="D39">
        <v>540</v>
      </c>
    </row>
    <row r="40" spans="1:4" x14ac:dyDescent="0.2">
      <c r="A40" s="57" t="s">
        <v>333</v>
      </c>
      <c r="B40">
        <v>660</v>
      </c>
      <c r="C40">
        <v>1200</v>
      </c>
      <c r="D40">
        <v>540</v>
      </c>
    </row>
    <row r="41" spans="1:4" x14ac:dyDescent="0.2">
      <c r="A41" s="57" t="s">
        <v>334</v>
      </c>
      <c r="B41">
        <v>1020</v>
      </c>
      <c r="C41">
        <v>1505</v>
      </c>
      <c r="D41">
        <v>0</v>
      </c>
    </row>
    <row r="42" spans="1:4" x14ac:dyDescent="0.2">
      <c r="A42" s="57" t="s">
        <v>335</v>
      </c>
      <c r="B42">
        <v>1200</v>
      </c>
      <c r="C42">
        <v>1505</v>
      </c>
      <c r="D42">
        <v>0</v>
      </c>
    </row>
    <row r="43" spans="1:4" x14ac:dyDescent="0.2">
      <c r="A43" s="57" t="s">
        <v>336</v>
      </c>
      <c r="B43">
        <v>4440</v>
      </c>
      <c r="C43">
        <v>4440</v>
      </c>
      <c r="D43">
        <v>2220</v>
      </c>
    </row>
    <row r="44" spans="1:4" x14ac:dyDescent="0.2">
      <c r="A44" s="57" t="s">
        <v>290</v>
      </c>
      <c r="B44">
        <v>0</v>
      </c>
      <c r="C44">
        <v>0</v>
      </c>
      <c r="D44">
        <v>0</v>
      </c>
    </row>
    <row r="45" spans="1:4" x14ac:dyDescent="0.2">
      <c r="A45" s="57" t="s">
        <v>291</v>
      </c>
      <c r="B45">
        <v>160</v>
      </c>
      <c r="C45">
        <v>120</v>
      </c>
      <c r="D45">
        <v>0</v>
      </c>
    </row>
    <row r="46" spans="1:4" x14ac:dyDescent="0.2">
      <c r="A46" s="57" t="s">
        <v>292</v>
      </c>
      <c r="B46">
        <v>0</v>
      </c>
      <c r="C46">
        <v>0</v>
      </c>
      <c r="D46">
        <v>0</v>
      </c>
    </row>
    <row r="47" spans="1:4" x14ac:dyDescent="0.2">
      <c r="A47" s="57" t="s">
        <v>293</v>
      </c>
      <c r="B47">
        <v>0</v>
      </c>
      <c r="C47">
        <v>120</v>
      </c>
      <c r="D47">
        <v>0</v>
      </c>
    </row>
    <row r="48" spans="1:4" x14ac:dyDescent="0.2">
      <c r="A48" s="57" t="s">
        <v>296</v>
      </c>
      <c r="B48">
        <v>0</v>
      </c>
      <c r="C48">
        <v>0</v>
      </c>
      <c r="D48">
        <v>0</v>
      </c>
    </row>
    <row r="49" spans="1:4" x14ac:dyDescent="0.2">
      <c r="A49" s="57" t="s">
        <v>298</v>
      </c>
      <c r="B49">
        <v>1360</v>
      </c>
      <c r="C49">
        <v>1200</v>
      </c>
      <c r="D49">
        <v>560</v>
      </c>
    </row>
    <row r="50" spans="1:4" x14ac:dyDescent="0.2">
      <c r="A50" s="57" t="s">
        <v>299</v>
      </c>
      <c r="B50">
        <v>1680</v>
      </c>
      <c r="C50">
        <v>800</v>
      </c>
      <c r="D50">
        <v>600</v>
      </c>
    </row>
    <row r="51" spans="1:4" x14ac:dyDescent="0.2">
      <c r="A51" s="57" t="s">
        <v>300</v>
      </c>
      <c r="B51">
        <v>0</v>
      </c>
      <c r="C51">
        <v>0</v>
      </c>
      <c r="D51">
        <v>400</v>
      </c>
    </row>
    <row r="52" spans="1:4" x14ac:dyDescent="0.2">
      <c r="A52" s="57" t="s">
        <v>301</v>
      </c>
      <c r="B52">
        <v>0</v>
      </c>
      <c r="C52">
        <v>0</v>
      </c>
      <c r="D52">
        <v>0</v>
      </c>
    </row>
    <row r="53" spans="1:4" x14ac:dyDescent="0.2">
      <c r="A53" s="57" t="s">
        <v>302</v>
      </c>
      <c r="B53">
        <v>1340</v>
      </c>
      <c r="C53">
        <v>0</v>
      </c>
      <c r="D53">
        <v>0</v>
      </c>
    </row>
    <row r="54" spans="1:4" x14ac:dyDescent="0.2">
      <c r="A54" s="57" t="s">
        <v>303</v>
      </c>
      <c r="B54">
        <v>0</v>
      </c>
      <c r="C54">
        <v>380</v>
      </c>
      <c r="D54">
        <v>0</v>
      </c>
    </row>
    <row r="55" spans="1:4" x14ac:dyDescent="0.2">
      <c r="A55" s="57" t="s">
        <v>304</v>
      </c>
      <c r="B55">
        <v>0</v>
      </c>
      <c r="C55">
        <v>0</v>
      </c>
      <c r="D55">
        <v>0</v>
      </c>
    </row>
    <row r="56" spans="1:4" x14ac:dyDescent="0.2">
      <c r="A56" s="57" t="s">
        <v>306</v>
      </c>
      <c r="B56">
        <v>560</v>
      </c>
      <c r="C56">
        <v>480</v>
      </c>
      <c r="D56">
        <v>0</v>
      </c>
    </row>
    <row r="57" spans="1:4" x14ac:dyDescent="0.2">
      <c r="A57" s="57" t="s">
        <v>307</v>
      </c>
      <c r="B57">
        <v>0</v>
      </c>
      <c r="C57">
        <v>0</v>
      </c>
      <c r="D57">
        <v>0</v>
      </c>
    </row>
    <row r="58" spans="1:4" x14ac:dyDescent="0.2">
      <c r="A58" s="57" t="s">
        <v>308</v>
      </c>
      <c r="B58">
        <v>280</v>
      </c>
      <c r="C58">
        <v>0</v>
      </c>
      <c r="D58">
        <v>0</v>
      </c>
    </row>
    <row r="59" spans="1:4" x14ac:dyDescent="0.2">
      <c r="A59" s="57" t="s">
        <v>309</v>
      </c>
      <c r="B59">
        <v>0</v>
      </c>
      <c r="C59">
        <v>0</v>
      </c>
      <c r="D59">
        <v>160</v>
      </c>
    </row>
    <row r="60" spans="1:4" x14ac:dyDescent="0.2">
      <c r="A60" s="57" t="s">
        <v>310</v>
      </c>
      <c r="B60">
        <v>0</v>
      </c>
      <c r="C60">
        <v>0</v>
      </c>
      <c r="D60">
        <v>0</v>
      </c>
    </row>
    <row r="61" spans="1:4" x14ac:dyDescent="0.2">
      <c r="A61" s="57" t="s">
        <v>311</v>
      </c>
      <c r="B61">
        <v>0</v>
      </c>
      <c r="C61">
        <v>0</v>
      </c>
      <c r="D61">
        <v>0</v>
      </c>
    </row>
    <row r="62" spans="1:4" x14ac:dyDescent="0.2">
      <c r="A62" s="57" t="s">
        <v>721</v>
      </c>
      <c r="B62">
        <v>0</v>
      </c>
      <c r="C62">
        <v>0</v>
      </c>
      <c r="D62">
        <v>0</v>
      </c>
    </row>
    <row r="63" spans="1:4" x14ac:dyDescent="0.2">
      <c r="A63" s="57" t="s">
        <v>312</v>
      </c>
      <c r="B63">
        <v>0</v>
      </c>
      <c r="C63">
        <v>0</v>
      </c>
      <c r="D63">
        <v>0</v>
      </c>
    </row>
    <row r="64" spans="1:4" x14ac:dyDescent="0.2">
      <c r="A64" s="57" t="s">
        <v>313</v>
      </c>
      <c r="B64">
        <v>0</v>
      </c>
      <c r="C64">
        <v>0</v>
      </c>
      <c r="D64">
        <v>0</v>
      </c>
    </row>
    <row r="65" spans="1:4" x14ac:dyDescent="0.2">
      <c r="A65" s="57" t="s">
        <v>315</v>
      </c>
      <c r="B65">
        <v>0</v>
      </c>
      <c r="C65">
        <v>180</v>
      </c>
      <c r="D65">
        <v>0</v>
      </c>
    </row>
    <row r="66" spans="1:4" x14ac:dyDescent="0.2">
      <c r="A66" s="57" t="s">
        <v>317</v>
      </c>
      <c r="B66">
        <v>0</v>
      </c>
      <c r="C66">
        <v>0</v>
      </c>
      <c r="D66">
        <v>0</v>
      </c>
    </row>
    <row r="67" spans="1:4" x14ac:dyDescent="0.2">
      <c r="A67" s="57" t="s">
        <v>318</v>
      </c>
      <c r="B67">
        <v>0</v>
      </c>
      <c r="C67">
        <v>0</v>
      </c>
      <c r="D67">
        <v>0</v>
      </c>
    </row>
    <row r="68" spans="1:4" x14ac:dyDescent="0.2">
      <c r="A68" s="57" t="s">
        <v>722</v>
      </c>
      <c r="B68">
        <v>0</v>
      </c>
      <c r="C68">
        <v>0</v>
      </c>
      <c r="D68">
        <v>0</v>
      </c>
    </row>
    <row r="69" spans="1:4" x14ac:dyDescent="0.2">
      <c r="A69" s="57" t="s">
        <v>319</v>
      </c>
      <c r="B69">
        <v>0</v>
      </c>
      <c r="C69">
        <v>0</v>
      </c>
      <c r="D69">
        <v>0</v>
      </c>
    </row>
    <row r="70" spans="1:4" x14ac:dyDescent="0.2">
      <c r="A70" s="57" t="s">
        <v>320</v>
      </c>
      <c r="B70">
        <v>300</v>
      </c>
      <c r="C70">
        <v>196</v>
      </c>
      <c r="D70">
        <v>0</v>
      </c>
    </row>
    <row r="71" spans="1:4" x14ac:dyDescent="0.2">
      <c r="A71" s="57" t="s">
        <v>321</v>
      </c>
      <c r="B71">
        <v>0</v>
      </c>
      <c r="C71">
        <v>0</v>
      </c>
      <c r="D71">
        <v>0</v>
      </c>
    </row>
    <row r="72" spans="1:4" x14ac:dyDescent="0.2">
      <c r="A72" s="57" t="s">
        <v>218</v>
      </c>
      <c r="B72">
        <v>0</v>
      </c>
      <c r="C72">
        <v>0</v>
      </c>
      <c r="D72">
        <v>0</v>
      </c>
    </row>
    <row r="73" spans="1:4" x14ac:dyDescent="0.2">
      <c r="A73" s="57" t="s">
        <v>220</v>
      </c>
      <c r="B73">
        <v>0</v>
      </c>
      <c r="C73">
        <v>0</v>
      </c>
      <c r="D73">
        <v>0</v>
      </c>
    </row>
    <row r="74" spans="1:4" x14ac:dyDescent="0.2">
      <c r="A74" s="57" t="s">
        <v>221</v>
      </c>
      <c r="B74">
        <v>0</v>
      </c>
      <c r="C74">
        <v>0</v>
      </c>
      <c r="D74">
        <v>0</v>
      </c>
    </row>
    <row r="75" spans="1:4" x14ac:dyDescent="0.2">
      <c r="A75" s="57" t="s">
        <v>222</v>
      </c>
      <c r="B75">
        <v>0</v>
      </c>
      <c r="C75">
        <v>0</v>
      </c>
      <c r="D75">
        <v>0</v>
      </c>
    </row>
    <row r="76" spans="1:4" x14ac:dyDescent="0.2">
      <c r="A76" s="57" t="s">
        <v>223</v>
      </c>
      <c r="B76">
        <v>0</v>
      </c>
      <c r="C76">
        <v>0</v>
      </c>
      <c r="D76">
        <v>0</v>
      </c>
    </row>
    <row r="77" spans="1:4" x14ac:dyDescent="0.2">
      <c r="A77" s="57" t="s">
        <v>224</v>
      </c>
      <c r="B77">
        <v>0</v>
      </c>
      <c r="C77">
        <v>0</v>
      </c>
      <c r="D77">
        <v>0</v>
      </c>
    </row>
    <row r="78" spans="1:4" x14ac:dyDescent="0.2">
      <c r="A78" s="57" t="s">
        <v>225</v>
      </c>
      <c r="B78">
        <v>0</v>
      </c>
      <c r="C78">
        <v>600</v>
      </c>
      <c r="D78">
        <v>240</v>
      </c>
    </row>
    <row r="79" spans="1:4" x14ac:dyDescent="0.2">
      <c r="A79" s="57" t="s">
        <v>226</v>
      </c>
      <c r="B79">
        <v>346</v>
      </c>
      <c r="C79">
        <v>600</v>
      </c>
      <c r="D79">
        <v>240</v>
      </c>
    </row>
    <row r="80" spans="1:4" x14ac:dyDescent="0.2">
      <c r="A80" s="57" t="s">
        <v>227</v>
      </c>
      <c r="B80">
        <v>0</v>
      </c>
      <c r="C80">
        <v>0</v>
      </c>
      <c r="D80">
        <v>240</v>
      </c>
    </row>
    <row r="81" spans="1:4" x14ac:dyDescent="0.2">
      <c r="A81" s="57" t="s">
        <v>229</v>
      </c>
      <c r="B81">
        <v>800</v>
      </c>
      <c r="C81">
        <v>0</v>
      </c>
      <c r="D81">
        <v>0</v>
      </c>
    </row>
    <row r="82" spans="1:4" x14ac:dyDescent="0.2">
      <c r="A82" s="57" t="s">
        <v>231</v>
      </c>
      <c r="B82">
        <v>200</v>
      </c>
      <c r="C82">
        <v>1100</v>
      </c>
      <c r="D82">
        <v>660</v>
      </c>
    </row>
    <row r="83" spans="1:4" x14ac:dyDescent="0.2">
      <c r="A83" s="57" t="s">
        <v>233</v>
      </c>
      <c r="B83">
        <v>0</v>
      </c>
      <c r="C83">
        <v>204</v>
      </c>
      <c r="D83">
        <v>0</v>
      </c>
    </row>
    <row r="84" spans="1:4" x14ac:dyDescent="0.2">
      <c r="A84" s="57" t="s">
        <v>234</v>
      </c>
      <c r="B84">
        <v>0</v>
      </c>
      <c r="C84">
        <v>0</v>
      </c>
      <c r="D84">
        <v>0</v>
      </c>
    </row>
    <row r="85" spans="1:4" x14ac:dyDescent="0.2">
      <c r="A85" s="57" t="s">
        <v>235</v>
      </c>
      <c r="B85">
        <v>0</v>
      </c>
      <c r="C85">
        <v>0</v>
      </c>
      <c r="D85">
        <v>0</v>
      </c>
    </row>
    <row r="86" spans="1:4" x14ac:dyDescent="0.2">
      <c r="A86" s="57" t="s">
        <v>236</v>
      </c>
      <c r="B86">
        <v>740</v>
      </c>
      <c r="C86">
        <v>1040</v>
      </c>
      <c r="D86">
        <v>570</v>
      </c>
    </row>
    <row r="87" spans="1:4" x14ac:dyDescent="0.2">
      <c r="A87" s="57" t="s">
        <v>237</v>
      </c>
      <c r="B87">
        <v>0</v>
      </c>
      <c r="C87">
        <v>0</v>
      </c>
      <c r="D87">
        <v>0</v>
      </c>
    </row>
    <row r="88" spans="1:4" x14ac:dyDescent="0.2">
      <c r="A88" s="57" t="s">
        <v>238</v>
      </c>
      <c r="B88">
        <v>0</v>
      </c>
      <c r="C88">
        <v>0</v>
      </c>
      <c r="D88">
        <v>0</v>
      </c>
    </row>
    <row r="89" spans="1:4" x14ac:dyDescent="0.2">
      <c r="A89" s="57" t="s">
        <v>239</v>
      </c>
      <c r="B89">
        <v>180</v>
      </c>
      <c r="C89">
        <v>0</v>
      </c>
      <c r="D89">
        <v>0</v>
      </c>
    </row>
    <row r="90" spans="1:4" x14ac:dyDescent="0.2">
      <c r="A90" s="57" t="s">
        <v>240</v>
      </c>
      <c r="B90">
        <v>0</v>
      </c>
      <c r="C90">
        <v>0</v>
      </c>
      <c r="D90">
        <v>0</v>
      </c>
    </row>
    <row r="91" spans="1:4" x14ac:dyDescent="0.2">
      <c r="A91" s="57" t="s">
        <v>241</v>
      </c>
      <c r="B91">
        <v>0</v>
      </c>
      <c r="C91">
        <v>0</v>
      </c>
      <c r="D91">
        <v>0</v>
      </c>
    </row>
    <row r="92" spans="1:4" x14ac:dyDescent="0.2">
      <c r="A92" s="57" t="s">
        <v>242</v>
      </c>
      <c r="B92">
        <v>0</v>
      </c>
      <c r="C92">
        <v>0</v>
      </c>
      <c r="D92">
        <v>0</v>
      </c>
    </row>
    <row r="93" spans="1:4" x14ac:dyDescent="0.2">
      <c r="A93" s="57" t="s">
        <v>243</v>
      </c>
      <c r="B93">
        <v>0</v>
      </c>
      <c r="C93">
        <v>0</v>
      </c>
      <c r="D93">
        <v>0</v>
      </c>
    </row>
    <row r="94" spans="1:4" x14ac:dyDescent="0.2">
      <c r="A94" s="57" t="s">
        <v>244</v>
      </c>
      <c r="B94">
        <v>0</v>
      </c>
      <c r="C94">
        <v>0</v>
      </c>
      <c r="D94">
        <v>0</v>
      </c>
    </row>
    <row r="95" spans="1:4" x14ac:dyDescent="0.2">
      <c r="A95" s="57" t="s">
        <v>245</v>
      </c>
      <c r="B95">
        <v>300</v>
      </c>
      <c r="C95">
        <v>0</v>
      </c>
      <c r="D95">
        <v>0</v>
      </c>
    </row>
    <row r="96" spans="1:4" x14ac:dyDescent="0.2">
      <c r="A96" s="57" t="s">
        <v>246</v>
      </c>
      <c r="B96">
        <v>0</v>
      </c>
      <c r="C96">
        <v>0</v>
      </c>
      <c r="D96">
        <v>0</v>
      </c>
    </row>
    <row r="97" spans="1:4" x14ac:dyDescent="0.2">
      <c r="A97" s="57" t="s">
        <v>250</v>
      </c>
      <c r="B97">
        <v>10</v>
      </c>
      <c r="C97">
        <v>0</v>
      </c>
      <c r="D97">
        <v>0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8"/>
  <sheetViews>
    <sheetView workbookViewId="0">
      <selection activeCell="L28" sqref="L28"/>
    </sheetView>
  </sheetViews>
  <sheetFormatPr defaultRowHeight="12.75" x14ac:dyDescent="0.2"/>
  <cols>
    <col min="1" max="1" width="13" customWidth="1"/>
    <col min="2" max="2" width="11.140625" customWidth="1"/>
  </cols>
  <sheetData>
    <row r="1" spans="1:2" s="56" customFormat="1" x14ac:dyDescent="0.2">
      <c r="A1" s="56" t="s">
        <v>337</v>
      </c>
      <c r="B1" s="56" t="s">
        <v>338</v>
      </c>
    </row>
    <row r="2" spans="1:2" x14ac:dyDescent="0.2">
      <c r="A2" s="57" t="s">
        <v>291</v>
      </c>
      <c r="B2">
        <v>1000</v>
      </c>
    </row>
    <row r="3" spans="1:2" x14ac:dyDescent="0.2">
      <c r="A3" s="57" t="s">
        <v>293</v>
      </c>
      <c r="B3">
        <v>720</v>
      </c>
    </row>
    <row r="4" spans="1:2" x14ac:dyDescent="0.2">
      <c r="A4" s="57" t="s">
        <v>318</v>
      </c>
      <c r="B4">
        <v>0</v>
      </c>
    </row>
    <row r="5" spans="1:2" x14ac:dyDescent="0.2">
      <c r="A5" s="57" t="s">
        <v>309</v>
      </c>
      <c r="B5">
        <v>280</v>
      </c>
    </row>
    <row r="6" spans="1:2" x14ac:dyDescent="0.2">
      <c r="A6" s="57" t="s">
        <v>311</v>
      </c>
      <c r="B6">
        <v>120</v>
      </c>
    </row>
    <row r="7" spans="1:2" x14ac:dyDescent="0.2">
      <c r="A7" s="57" t="s">
        <v>290</v>
      </c>
      <c r="B7">
        <v>925</v>
      </c>
    </row>
    <row r="8" spans="1:2" x14ac:dyDescent="0.2">
      <c r="A8" s="57" t="s">
        <v>292</v>
      </c>
      <c r="B8">
        <v>100</v>
      </c>
    </row>
    <row r="9" spans="1:2" x14ac:dyDescent="0.2">
      <c r="A9" s="57" t="s">
        <v>317</v>
      </c>
      <c r="B9">
        <v>200</v>
      </c>
    </row>
    <row r="10" spans="1:2" x14ac:dyDescent="0.2">
      <c r="A10" s="57" t="s">
        <v>308</v>
      </c>
      <c r="B10">
        <v>725</v>
      </c>
    </row>
    <row r="11" spans="1:2" x14ac:dyDescent="0.2">
      <c r="A11" s="57" t="s">
        <v>296</v>
      </c>
      <c r="B11">
        <v>200</v>
      </c>
    </row>
    <row r="12" spans="1:2" x14ac:dyDescent="0.2">
      <c r="A12" s="57" t="s">
        <v>302</v>
      </c>
      <c r="B12">
        <v>4800</v>
      </c>
    </row>
    <row r="13" spans="1:2" x14ac:dyDescent="0.2">
      <c r="A13" s="57" t="s">
        <v>304</v>
      </c>
      <c r="B13">
        <v>2940</v>
      </c>
    </row>
    <row r="14" spans="1:2" x14ac:dyDescent="0.2">
      <c r="A14" s="57" t="s">
        <v>306</v>
      </c>
      <c r="B14">
        <v>940</v>
      </c>
    </row>
    <row r="15" spans="1:2" x14ac:dyDescent="0.2">
      <c r="A15" s="57" t="s">
        <v>299</v>
      </c>
      <c r="B15">
        <v>4400</v>
      </c>
    </row>
    <row r="16" spans="1:2" x14ac:dyDescent="0.2">
      <c r="A16" s="57" t="s">
        <v>300</v>
      </c>
      <c r="B16">
        <v>400</v>
      </c>
    </row>
    <row r="17" spans="1:2" x14ac:dyDescent="0.2">
      <c r="A17" s="57" t="s">
        <v>301</v>
      </c>
      <c r="B17">
        <v>480</v>
      </c>
    </row>
    <row r="18" spans="1:2" x14ac:dyDescent="0.2">
      <c r="A18" s="57" t="s">
        <v>313</v>
      </c>
      <c r="B18">
        <v>100</v>
      </c>
    </row>
    <row r="19" spans="1:2" x14ac:dyDescent="0.2">
      <c r="A19" s="57" t="s">
        <v>319</v>
      </c>
      <c r="B19">
        <v>90</v>
      </c>
    </row>
    <row r="20" spans="1:2" x14ac:dyDescent="0.2">
      <c r="A20" s="57" t="s">
        <v>320</v>
      </c>
      <c r="B20">
        <v>680</v>
      </c>
    </row>
    <row r="21" spans="1:2" x14ac:dyDescent="0.2">
      <c r="A21" s="57" t="s">
        <v>321</v>
      </c>
      <c r="B21">
        <v>220</v>
      </c>
    </row>
    <row r="22" spans="1:2" x14ac:dyDescent="0.2">
      <c r="A22" s="57" t="s">
        <v>310</v>
      </c>
      <c r="B22">
        <v>0</v>
      </c>
    </row>
    <row r="23" spans="1:2" x14ac:dyDescent="0.2">
      <c r="A23" s="57" t="s">
        <v>294</v>
      </c>
      <c r="B23">
        <v>100</v>
      </c>
    </row>
    <row r="24" spans="1:2" x14ac:dyDescent="0.2">
      <c r="A24" s="57" t="s">
        <v>298</v>
      </c>
      <c r="B24">
        <v>2480</v>
      </c>
    </row>
    <row r="25" spans="1:2" x14ac:dyDescent="0.2">
      <c r="A25" s="57" t="s">
        <v>323</v>
      </c>
      <c r="B25">
        <v>120</v>
      </c>
    </row>
    <row r="26" spans="1:2" x14ac:dyDescent="0.2">
      <c r="A26" s="57" t="s">
        <v>222</v>
      </c>
      <c r="B26">
        <v>0</v>
      </c>
    </row>
    <row r="27" spans="1:2" x14ac:dyDescent="0.2">
      <c r="A27" s="57" t="s">
        <v>303</v>
      </c>
      <c r="B27">
        <v>500</v>
      </c>
    </row>
    <row r="28" spans="1:2" x14ac:dyDescent="0.2">
      <c r="A28" s="57" t="s">
        <v>315</v>
      </c>
      <c r="B28">
        <v>180</v>
      </c>
    </row>
    <row r="29" spans="1:2" x14ac:dyDescent="0.2">
      <c r="A29" s="57" t="s">
        <v>305</v>
      </c>
      <c r="B29">
        <v>20</v>
      </c>
    </row>
    <row r="30" spans="1:2" x14ac:dyDescent="0.2">
      <c r="A30" s="57" t="s">
        <v>312</v>
      </c>
      <c r="B30">
        <v>440</v>
      </c>
    </row>
    <row r="31" spans="1:2" x14ac:dyDescent="0.2">
      <c r="A31" s="57" t="s">
        <v>218</v>
      </c>
      <c r="B31">
        <v>657</v>
      </c>
    </row>
    <row r="32" spans="1:2" x14ac:dyDescent="0.2">
      <c r="A32" s="57" t="s">
        <v>221</v>
      </c>
      <c r="B32">
        <v>400</v>
      </c>
    </row>
    <row r="33" spans="1:2" x14ac:dyDescent="0.2">
      <c r="A33" s="57" t="s">
        <v>224</v>
      </c>
      <c r="B33">
        <v>125</v>
      </c>
    </row>
    <row r="34" spans="1:2" x14ac:dyDescent="0.2">
      <c r="A34" s="57" t="s">
        <v>226</v>
      </c>
      <c r="B34">
        <v>1600</v>
      </c>
    </row>
    <row r="35" spans="1:2" x14ac:dyDescent="0.2">
      <c r="A35" s="57" t="s">
        <v>242</v>
      </c>
      <c r="B35">
        <v>525</v>
      </c>
    </row>
    <row r="36" spans="1:2" x14ac:dyDescent="0.2">
      <c r="A36" s="57" t="s">
        <v>238</v>
      </c>
      <c r="B36">
        <v>350</v>
      </c>
    </row>
    <row r="37" spans="1:2" x14ac:dyDescent="0.2">
      <c r="A37" s="57" t="s">
        <v>223</v>
      </c>
      <c r="B37">
        <v>340</v>
      </c>
    </row>
    <row r="38" spans="1:2" x14ac:dyDescent="0.2">
      <c r="A38" s="57" t="s">
        <v>225</v>
      </c>
      <c r="B38">
        <v>3380</v>
      </c>
    </row>
    <row r="39" spans="1:2" x14ac:dyDescent="0.2">
      <c r="A39" s="57" t="s">
        <v>227</v>
      </c>
      <c r="B39">
        <v>620</v>
      </c>
    </row>
    <row r="40" spans="1:2" x14ac:dyDescent="0.2">
      <c r="A40" s="57" t="s">
        <v>231</v>
      </c>
      <c r="B40">
        <v>3520</v>
      </c>
    </row>
    <row r="41" spans="1:2" x14ac:dyDescent="0.2">
      <c r="A41" s="57" t="s">
        <v>233</v>
      </c>
      <c r="B41">
        <v>680</v>
      </c>
    </row>
    <row r="42" spans="1:2" x14ac:dyDescent="0.2">
      <c r="A42" s="57" t="s">
        <v>235</v>
      </c>
      <c r="B42">
        <v>2380</v>
      </c>
    </row>
    <row r="43" spans="1:2" x14ac:dyDescent="0.2">
      <c r="A43" s="57" t="s">
        <v>236</v>
      </c>
      <c r="B43">
        <v>5980</v>
      </c>
    </row>
    <row r="44" spans="1:2" x14ac:dyDescent="0.2">
      <c r="A44" s="57" t="s">
        <v>237</v>
      </c>
      <c r="B44">
        <v>340</v>
      </c>
    </row>
    <row r="45" spans="1:2" x14ac:dyDescent="0.2">
      <c r="A45" s="57" t="s">
        <v>229</v>
      </c>
      <c r="B45">
        <v>640</v>
      </c>
    </row>
    <row r="46" spans="1:2" x14ac:dyDescent="0.2">
      <c r="A46" s="57" t="s">
        <v>241</v>
      </c>
      <c r="B46">
        <v>120</v>
      </c>
    </row>
    <row r="47" spans="1:2" x14ac:dyDescent="0.2">
      <c r="A47" s="57" t="s">
        <v>244</v>
      </c>
      <c r="B47">
        <v>140</v>
      </c>
    </row>
    <row r="48" spans="1:2" x14ac:dyDescent="0.2">
      <c r="A48" s="57" t="s">
        <v>245</v>
      </c>
      <c r="B48">
        <v>600</v>
      </c>
    </row>
    <row r="49" spans="1:2" x14ac:dyDescent="0.2">
      <c r="A49" s="57" t="s">
        <v>243</v>
      </c>
      <c r="B49">
        <v>0</v>
      </c>
    </row>
    <row r="50" spans="1:2" x14ac:dyDescent="0.2">
      <c r="A50" s="57" t="s">
        <v>220</v>
      </c>
      <c r="B50">
        <v>0</v>
      </c>
    </row>
    <row r="51" spans="1:2" x14ac:dyDescent="0.2">
      <c r="A51" s="57" t="s">
        <v>247</v>
      </c>
      <c r="B51">
        <v>200</v>
      </c>
    </row>
    <row r="52" spans="1:2" x14ac:dyDescent="0.2">
      <c r="A52" s="57" t="s">
        <v>248</v>
      </c>
      <c r="B52">
        <v>620</v>
      </c>
    </row>
    <row r="53" spans="1:2" x14ac:dyDescent="0.2">
      <c r="A53" s="57" t="s">
        <v>219</v>
      </c>
      <c r="B53">
        <v>40</v>
      </c>
    </row>
    <row r="54" spans="1:2" x14ac:dyDescent="0.2">
      <c r="A54" s="57" t="s">
        <v>228</v>
      </c>
      <c r="B54">
        <v>100</v>
      </c>
    </row>
    <row r="55" spans="1:2" x14ac:dyDescent="0.2">
      <c r="A55" s="57" t="s">
        <v>307</v>
      </c>
      <c r="B55">
        <v>0</v>
      </c>
    </row>
    <row r="56" spans="1:2" x14ac:dyDescent="0.2">
      <c r="A56" s="57" t="s">
        <v>232</v>
      </c>
      <c r="B56">
        <v>20</v>
      </c>
    </row>
    <row r="57" spans="1:2" x14ac:dyDescent="0.2">
      <c r="A57" s="57" t="s">
        <v>230</v>
      </c>
      <c r="B57">
        <v>20</v>
      </c>
    </row>
    <row r="58" spans="1:2" x14ac:dyDescent="0.2">
      <c r="A58" s="57" t="s">
        <v>240</v>
      </c>
      <c r="B58">
        <v>660</v>
      </c>
    </row>
    <row r="59" spans="1:2" x14ac:dyDescent="0.2">
      <c r="A59" s="57" t="s">
        <v>234</v>
      </c>
      <c r="B59">
        <v>580</v>
      </c>
    </row>
    <row r="60" spans="1:2" x14ac:dyDescent="0.2">
      <c r="A60" s="57" t="s">
        <v>239</v>
      </c>
      <c r="B60">
        <v>220</v>
      </c>
    </row>
    <row r="61" spans="1:2" x14ac:dyDescent="0.2">
      <c r="A61" s="57" t="s">
        <v>246</v>
      </c>
      <c r="B61">
        <v>160</v>
      </c>
    </row>
    <row r="62" spans="1:2" x14ac:dyDescent="0.2">
      <c r="A62" s="57" t="s">
        <v>330</v>
      </c>
      <c r="B62">
        <v>7150</v>
      </c>
    </row>
    <row r="63" spans="1:2" x14ac:dyDescent="0.2">
      <c r="A63" s="57" t="s">
        <v>331</v>
      </c>
      <c r="B63">
        <v>6900</v>
      </c>
    </row>
    <row r="64" spans="1:2" x14ac:dyDescent="0.2">
      <c r="A64" s="57" t="s">
        <v>332</v>
      </c>
      <c r="B64">
        <v>6960</v>
      </c>
    </row>
    <row r="65" spans="1:2" x14ac:dyDescent="0.2">
      <c r="A65" s="57" t="s">
        <v>333</v>
      </c>
      <c r="B65">
        <v>6900</v>
      </c>
    </row>
    <row r="66" spans="1:2" x14ac:dyDescent="0.2">
      <c r="A66" s="57" t="s">
        <v>334</v>
      </c>
      <c r="B66">
        <v>5580</v>
      </c>
    </row>
    <row r="67" spans="1:2" x14ac:dyDescent="0.2">
      <c r="A67" s="57" t="s">
        <v>335</v>
      </c>
      <c r="B67">
        <v>4860</v>
      </c>
    </row>
    <row r="68" spans="1:2" x14ac:dyDescent="0.2">
      <c r="A68" s="57" t="s">
        <v>336</v>
      </c>
      <c r="B68">
        <v>21240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68"/>
  <sheetViews>
    <sheetView workbookViewId="0"/>
  </sheetViews>
  <sheetFormatPr defaultRowHeight="12.75" x14ac:dyDescent="0.2"/>
  <cols>
    <col min="1" max="1" width="13" customWidth="1"/>
    <col min="2" max="34" width="8.7109375" customWidth="1"/>
  </cols>
  <sheetData>
    <row r="1" spans="1:34" s="56" customFormat="1" x14ac:dyDescent="0.2">
      <c r="A1" s="56" t="s">
        <v>337</v>
      </c>
      <c r="B1" s="56" t="s">
        <v>723</v>
      </c>
      <c r="C1" s="56" t="s">
        <v>724</v>
      </c>
      <c r="D1" s="56" t="s">
        <v>725</v>
      </c>
      <c r="E1" s="56" t="s">
        <v>726</v>
      </c>
      <c r="F1" s="56" t="s">
        <v>727</v>
      </c>
      <c r="G1" s="56" t="s">
        <v>728</v>
      </c>
      <c r="H1" s="56" t="s">
        <v>729</v>
      </c>
      <c r="I1" s="56" t="s">
        <v>730</v>
      </c>
      <c r="J1" s="56" t="s">
        <v>731</v>
      </c>
      <c r="K1" s="56" t="s">
        <v>732</v>
      </c>
      <c r="L1" s="56" t="s">
        <v>733</v>
      </c>
      <c r="M1" s="56" t="s">
        <v>734</v>
      </c>
      <c r="N1" s="56" t="s">
        <v>735</v>
      </c>
      <c r="O1" s="56" t="s">
        <v>736</v>
      </c>
      <c r="P1" s="56" t="s">
        <v>737</v>
      </c>
      <c r="Q1" s="56" t="s">
        <v>738</v>
      </c>
      <c r="R1" s="56" t="s">
        <v>739</v>
      </c>
      <c r="S1" s="56" t="s">
        <v>740</v>
      </c>
      <c r="T1" s="56" t="s">
        <v>741</v>
      </c>
      <c r="U1" s="56" t="s">
        <v>742</v>
      </c>
      <c r="V1" s="56" t="s">
        <v>743</v>
      </c>
      <c r="W1" s="56" t="s">
        <v>744</v>
      </c>
      <c r="X1" s="56" t="s">
        <v>745</v>
      </c>
      <c r="Y1" s="56" t="s">
        <v>746</v>
      </c>
      <c r="Z1" s="56" t="s">
        <v>747</v>
      </c>
      <c r="AA1" s="56" t="s">
        <v>748</v>
      </c>
      <c r="AB1" s="56" t="s">
        <v>749</v>
      </c>
      <c r="AC1" s="56" t="s">
        <v>750</v>
      </c>
      <c r="AD1" s="56" t="s">
        <v>751</v>
      </c>
      <c r="AE1" s="56" t="s">
        <v>752</v>
      </c>
      <c r="AF1" s="56" t="s">
        <v>753</v>
      </c>
      <c r="AG1" s="56" t="s">
        <v>754</v>
      </c>
      <c r="AH1" s="56" t="s">
        <v>755</v>
      </c>
    </row>
    <row r="2" spans="1:34" x14ac:dyDescent="0.2">
      <c r="A2" s="57" t="s">
        <v>291</v>
      </c>
      <c r="B2">
        <v>0</v>
      </c>
      <c r="C2">
        <v>480</v>
      </c>
      <c r="D2">
        <v>0</v>
      </c>
      <c r="E2">
        <v>0</v>
      </c>
      <c r="F2">
        <v>160</v>
      </c>
      <c r="G2">
        <v>320</v>
      </c>
      <c r="H2">
        <v>0</v>
      </c>
      <c r="I2">
        <v>160</v>
      </c>
      <c r="J2">
        <v>160</v>
      </c>
      <c r="K2">
        <v>160</v>
      </c>
      <c r="L2">
        <v>0</v>
      </c>
      <c r="M2">
        <v>0</v>
      </c>
      <c r="N2">
        <v>0</v>
      </c>
      <c r="O2">
        <v>0</v>
      </c>
      <c r="P2">
        <v>160</v>
      </c>
      <c r="Q2">
        <v>0</v>
      </c>
      <c r="R2">
        <v>160</v>
      </c>
      <c r="S2">
        <v>80</v>
      </c>
      <c r="T2">
        <v>80</v>
      </c>
      <c r="U2">
        <v>80</v>
      </c>
      <c r="V2">
        <v>80</v>
      </c>
      <c r="W2">
        <v>80</v>
      </c>
      <c r="X2">
        <v>80</v>
      </c>
      <c r="Y2">
        <v>80</v>
      </c>
      <c r="Z2">
        <v>80</v>
      </c>
      <c r="AA2">
        <v>160</v>
      </c>
      <c r="AB2">
        <v>160</v>
      </c>
      <c r="AC2">
        <v>160</v>
      </c>
      <c r="AD2">
        <v>160</v>
      </c>
      <c r="AE2">
        <v>160</v>
      </c>
      <c r="AF2">
        <v>160</v>
      </c>
      <c r="AG2">
        <v>160</v>
      </c>
      <c r="AH2">
        <v>0</v>
      </c>
    </row>
    <row r="3" spans="1:34" x14ac:dyDescent="0.2">
      <c r="A3" s="57" t="s">
        <v>293</v>
      </c>
      <c r="B3">
        <v>0</v>
      </c>
      <c r="C3">
        <v>160</v>
      </c>
      <c r="D3">
        <v>160</v>
      </c>
      <c r="E3">
        <v>160</v>
      </c>
      <c r="F3">
        <v>0</v>
      </c>
      <c r="G3">
        <v>160</v>
      </c>
      <c r="H3">
        <v>160</v>
      </c>
      <c r="I3">
        <v>0</v>
      </c>
      <c r="J3">
        <v>160</v>
      </c>
      <c r="K3">
        <v>160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160</v>
      </c>
      <c r="S3">
        <v>80</v>
      </c>
      <c r="T3">
        <v>80</v>
      </c>
      <c r="U3">
        <v>80</v>
      </c>
      <c r="V3">
        <v>80</v>
      </c>
      <c r="W3">
        <v>40</v>
      </c>
      <c r="X3">
        <v>40</v>
      </c>
      <c r="Y3">
        <v>40</v>
      </c>
      <c r="Z3">
        <v>40</v>
      </c>
      <c r="AA3">
        <v>70</v>
      </c>
      <c r="AB3">
        <v>70</v>
      </c>
      <c r="AC3">
        <v>70</v>
      </c>
      <c r="AD3">
        <v>70</v>
      </c>
      <c r="AE3">
        <v>40</v>
      </c>
      <c r="AF3">
        <v>80</v>
      </c>
      <c r="AG3">
        <v>80</v>
      </c>
      <c r="AH3">
        <v>0</v>
      </c>
    </row>
    <row r="4" spans="1:34" x14ac:dyDescent="0.2">
      <c r="A4" s="57" t="s">
        <v>318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40</v>
      </c>
      <c r="T4">
        <v>40</v>
      </c>
      <c r="U4">
        <v>40</v>
      </c>
      <c r="V4">
        <v>40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">
      <c r="A5" s="57" t="s">
        <v>309</v>
      </c>
      <c r="B5">
        <v>0</v>
      </c>
      <c r="C5">
        <v>160</v>
      </c>
      <c r="D5">
        <v>0</v>
      </c>
      <c r="E5">
        <v>0</v>
      </c>
      <c r="F5">
        <v>0</v>
      </c>
      <c r="G5">
        <v>160</v>
      </c>
      <c r="H5">
        <v>0</v>
      </c>
      <c r="I5">
        <v>160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160</v>
      </c>
      <c r="Q5">
        <v>0</v>
      </c>
      <c r="R5">
        <v>0</v>
      </c>
      <c r="S5">
        <v>40</v>
      </c>
      <c r="T5">
        <v>40</v>
      </c>
      <c r="U5">
        <v>40</v>
      </c>
      <c r="V5">
        <v>40</v>
      </c>
      <c r="W5">
        <v>40</v>
      </c>
      <c r="X5">
        <v>40</v>
      </c>
      <c r="Y5">
        <v>40</v>
      </c>
      <c r="Z5">
        <v>40</v>
      </c>
      <c r="AA5">
        <v>0</v>
      </c>
      <c r="AB5">
        <v>0</v>
      </c>
      <c r="AC5">
        <v>0</v>
      </c>
      <c r="AD5">
        <v>0</v>
      </c>
      <c r="AE5">
        <v>0</v>
      </c>
      <c r="AF5">
        <v>80</v>
      </c>
      <c r="AG5">
        <v>80</v>
      </c>
      <c r="AH5">
        <v>0</v>
      </c>
    </row>
    <row r="6" spans="1:34" x14ac:dyDescent="0.2">
      <c r="A6" s="57" t="s">
        <v>311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40</v>
      </c>
      <c r="T6">
        <v>40</v>
      </c>
      <c r="U6">
        <v>40</v>
      </c>
      <c r="V6">
        <v>40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">
      <c r="A7" s="57" t="s">
        <v>290</v>
      </c>
      <c r="B7">
        <v>0</v>
      </c>
      <c r="C7">
        <v>200</v>
      </c>
      <c r="D7">
        <v>100</v>
      </c>
      <c r="E7">
        <v>200</v>
      </c>
      <c r="F7">
        <v>200</v>
      </c>
      <c r="G7">
        <v>100</v>
      </c>
      <c r="H7">
        <v>100</v>
      </c>
      <c r="I7">
        <v>100</v>
      </c>
      <c r="J7">
        <v>200</v>
      </c>
      <c r="K7">
        <v>100</v>
      </c>
      <c r="L7">
        <v>0</v>
      </c>
      <c r="M7">
        <v>0</v>
      </c>
      <c r="N7">
        <v>0</v>
      </c>
      <c r="O7">
        <v>0</v>
      </c>
      <c r="P7">
        <v>200</v>
      </c>
      <c r="Q7">
        <v>100</v>
      </c>
      <c r="R7">
        <v>100</v>
      </c>
      <c r="S7">
        <v>130</v>
      </c>
      <c r="T7">
        <v>130</v>
      </c>
      <c r="U7">
        <v>130</v>
      </c>
      <c r="V7">
        <v>110</v>
      </c>
      <c r="W7">
        <v>150</v>
      </c>
      <c r="X7">
        <v>150</v>
      </c>
      <c r="Y7">
        <v>150</v>
      </c>
      <c r="Z7">
        <v>150</v>
      </c>
      <c r="AA7">
        <v>120</v>
      </c>
      <c r="AB7">
        <v>120</v>
      </c>
      <c r="AC7">
        <v>120</v>
      </c>
      <c r="AD7">
        <v>120</v>
      </c>
      <c r="AE7">
        <v>120</v>
      </c>
      <c r="AF7">
        <v>100</v>
      </c>
      <c r="AG7">
        <v>100</v>
      </c>
      <c r="AH7">
        <v>0</v>
      </c>
    </row>
    <row r="8" spans="1:34" x14ac:dyDescent="0.2">
      <c r="A8" s="57" t="s">
        <v>292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30</v>
      </c>
      <c r="X8">
        <v>30</v>
      </c>
      <c r="Y8">
        <v>30</v>
      </c>
      <c r="Z8">
        <v>10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 s="57" t="s">
        <v>317</v>
      </c>
      <c r="B9">
        <v>0</v>
      </c>
      <c r="C9">
        <v>100</v>
      </c>
      <c r="D9">
        <v>0</v>
      </c>
      <c r="E9">
        <v>0</v>
      </c>
      <c r="F9">
        <v>0</v>
      </c>
      <c r="G9">
        <v>100</v>
      </c>
      <c r="H9">
        <v>0</v>
      </c>
      <c r="I9">
        <v>0</v>
      </c>
      <c r="J9">
        <v>0</v>
      </c>
      <c r="K9">
        <v>100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30</v>
      </c>
      <c r="T9">
        <v>30</v>
      </c>
      <c r="U9">
        <v>30</v>
      </c>
      <c r="V9">
        <v>10</v>
      </c>
      <c r="W9">
        <v>0</v>
      </c>
      <c r="X9">
        <v>0</v>
      </c>
      <c r="Y9">
        <v>0</v>
      </c>
      <c r="Z9">
        <v>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0</v>
      </c>
      <c r="AG9">
        <v>0</v>
      </c>
      <c r="AH9">
        <v>0</v>
      </c>
    </row>
    <row r="10" spans="1:34" x14ac:dyDescent="0.2">
      <c r="A10" s="57" t="s">
        <v>308</v>
      </c>
      <c r="B10">
        <v>0</v>
      </c>
      <c r="C10">
        <v>300</v>
      </c>
      <c r="D10">
        <v>200</v>
      </c>
      <c r="E10">
        <v>100</v>
      </c>
      <c r="F10">
        <v>200</v>
      </c>
      <c r="G10">
        <v>200</v>
      </c>
      <c r="H10">
        <v>100</v>
      </c>
      <c r="I10">
        <v>100</v>
      </c>
      <c r="J10">
        <v>200</v>
      </c>
      <c r="K10">
        <v>300</v>
      </c>
      <c r="L10">
        <v>0</v>
      </c>
      <c r="M10">
        <v>0</v>
      </c>
      <c r="N10">
        <v>0</v>
      </c>
      <c r="O10">
        <v>0</v>
      </c>
      <c r="P10">
        <v>100</v>
      </c>
      <c r="Q10">
        <v>100</v>
      </c>
      <c r="R10">
        <v>200</v>
      </c>
      <c r="S10">
        <v>100</v>
      </c>
      <c r="T10">
        <v>100</v>
      </c>
      <c r="U10">
        <v>100</v>
      </c>
      <c r="V10">
        <v>100</v>
      </c>
      <c r="W10">
        <v>50</v>
      </c>
      <c r="X10">
        <v>50</v>
      </c>
      <c r="Y10">
        <v>50</v>
      </c>
      <c r="Z10">
        <v>50</v>
      </c>
      <c r="AA10">
        <v>40</v>
      </c>
      <c r="AB10">
        <v>40</v>
      </c>
      <c r="AC10">
        <v>40</v>
      </c>
      <c r="AD10">
        <v>40</v>
      </c>
      <c r="AE10">
        <v>40</v>
      </c>
      <c r="AF10">
        <v>50</v>
      </c>
      <c r="AG10">
        <v>50</v>
      </c>
      <c r="AH10">
        <v>0</v>
      </c>
    </row>
    <row r="11" spans="1:34" x14ac:dyDescent="0.2">
      <c r="A11" s="57" t="s">
        <v>296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 s="57" t="s">
        <v>302</v>
      </c>
      <c r="B12">
        <v>160</v>
      </c>
      <c r="C12">
        <v>1040</v>
      </c>
      <c r="D12">
        <v>1040</v>
      </c>
      <c r="E12">
        <v>800</v>
      </c>
      <c r="F12">
        <v>720</v>
      </c>
      <c r="G12">
        <v>720</v>
      </c>
      <c r="H12">
        <v>640</v>
      </c>
      <c r="I12">
        <v>640</v>
      </c>
      <c r="J12">
        <v>880</v>
      </c>
      <c r="K12">
        <v>1200</v>
      </c>
      <c r="L12">
        <v>0</v>
      </c>
      <c r="M12">
        <v>0</v>
      </c>
      <c r="N12">
        <v>0</v>
      </c>
      <c r="O12">
        <v>0</v>
      </c>
      <c r="P12">
        <v>640</v>
      </c>
      <c r="Q12">
        <v>640</v>
      </c>
      <c r="R12">
        <v>560</v>
      </c>
      <c r="S12">
        <v>700</v>
      </c>
      <c r="T12">
        <v>700</v>
      </c>
      <c r="U12">
        <v>700</v>
      </c>
      <c r="V12">
        <v>700</v>
      </c>
      <c r="W12">
        <v>540</v>
      </c>
      <c r="X12">
        <v>540</v>
      </c>
      <c r="Y12">
        <v>540</v>
      </c>
      <c r="Z12">
        <v>540</v>
      </c>
      <c r="AA12">
        <v>550</v>
      </c>
      <c r="AB12">
        <v>550</v>
      </c>
      <c r="AC12">
        <v>550</v>
      </c>
      <c r="AD12">
        <v>550</v>
      </c>
      <c r="AE12">
        <v>520</v>
      </c>
      <c r="AF12">
        <v>400</v>
      </c>
      <c r="AG12">
        <v>400</v>
      </c>
      <c r="AH12">
        <v>0</v>
      </c>
    </row>
    <row r="13" spans="1:34" x14ac:dyDescent="0.2">
      <c r="A13" s="57" t="s">
        <v>304</v>
      </c>
      <c r="B13">
        <v>0</v>
      </c>
      <c r="C13">
        <v>800</v>
      </c>
      <c r="D13">
        <v>0</v>
      </c>
      <c r="E13">
        <v>400</v>
      </c>
      <c r="F13">
        <v>480</v>
      </c>
      <c r="G13">
        <v>400</v>
      </c>
      <c r="H13">
        <v>400</v>
      </c>
      <c r="I13">
        <v>480</v>
      </c>
      <c r="J13">
        <v>720</v>
      </c>
      <c r="K13">
        <v>1040</v>
      </c>
      <c r="L13">
        <v>0</v>
      </c>
      <c r="M13">
        <v>0</v>
      </c>
      <c r="N13">
        <v>0</v>
      </c>
      <c r="O13">
        <v>0</v>
      </c>
      <c r="P13">
        <v>640</v>
      </c>
      <c r="Q13">
        <v>560</v>
      </c>
      <c r="R13">
        <v>560</v>
      </c>
      <c r="S13">
        <v>560</v>
      </c>
      <c r="T13">
        <v>560</v>
      </c>
      <c r="U13">
        <v>560</v>
      </c>
      <c r="V13">
        <v>560</v>
      </c>
      <c r="W13">
        <v>320</v>
      </c>
      <c r="X13">
        <v>320</v>
      </c>
      <c r="Y13">
        <v>320</v>
      </c>
      <c r="Z13">
        <v>320</v>
      </c>
      <c r="AA13">
        <v>530</v>
      </c>
      <c r="AB13">
        <v>530</v>
      </c>
      <c r="AC13">
        <v>530</v>
      </c>
      <c r="AD13">
        <v>530</v>
      </c>
      <c r="AE13">
        <v>520</v>
      </c>
      <c r="AF13">
        <v>520</v>
      </c>
      <c r="AG13">
        <v>520</v>
      </c>
      <c r="AH13">
        <v>0</v>
      </c>
    </row>
    <row r="14" spans="1:34" x14ac:dyDescent="0.2">
      <c r="A14" s="57" t="s">
        <v>306</v>
      </c>
      <c r="B14">
        <v>0</v>
      </c>
      <c r="C14">
        <v>480</v>
      </c>
      <c r="D14">
        <v>0</v>
      </c>
      <c r="E14">
        <v>160</v>
      </c>
      <c r="F14">
        <v>240</v>
      </c>
      <c r="G14">
        <v>160</v>
      </c>
      <c r="H14">
        <v>320</v>
      </c>
      <c r="I14">
        <v>320</v>
      </c>
      <c r="J14">
        <v>320</v>
      </c>
      <c r="K14">
        <v>320</v>
      </c>
      <c r="L14">
        <v>0</v>
      </c>
      <c r="M14">
        <v>0</v>
      </c>
      <c r="N14">
        <v>0</v>
      </c>
      <c r="O14">
        <v>0</v>
      </c>
      <c r="P14">
        <v>160</v>
      </c>
      <c r="Q14">
        <v>160</v>
      </c>
      <c r="R14">
        <v>240</v>
      </c>
      <c r="S14">
        <v>200</v>
      </c>
      <c r="T14">
        <v>200</v>
      </c>
      <c r="U14">
        <v>200</v>
      </c>
      <c r="V14">
        <v>200</v>
      </c>
      <c r="W14">
        <v>180</v>
      </c>
      <c r="X14">
        <v>180</v>
      </c>
      <c r="Y14">
        <v>180</v>
      </c>
      <c r="Z14">
        <v>180</v>
      </c>
      <c r="AA14">
        <v>280</v>
      </c>
      <c r="AB14">
        <v>280</v>
      </c>
      <c r="AC14">
        <v>280</v>
      </c>
      <c r="AD14">
        <v>280</v>
      </c>
      <c r="AE14">
        <v>240</v>
      </c>
      <c r="AF14">
        <v>320</v>
      </c>
      <c r="AG14">
        <v>320</v>
      </c>
      <c r="AH14">
        <v>0</v>
      </c>
    </row>
    <row r="15" spans="1:34" x14ac:dyDescent="0.2">
      <c r="A15" s="57" t="s">
        <v>299</v>
      </c>
      <c r="B15">
        <v>0</v>
      </c>
      <c r="C15">
        <v>960</v>
      </c>
      <c r="D15">
        <v>880</v>
      </c>
      <c r="E15">
        <v>960</v>
      </c>
      <c r="F15">
        <v>880</v>
      </c>
      <c r="G15">
        <v>720</v>
      </c>
      <c r="H15">
        <v>720</v>
      </c>
      <c r="I15">
        <v>720</v>
      </c>
      <c r="J15">
        <v>1040</v>
      </c>
      <c r="K15">
        <v>1440</v>
      </c>
      <c r="L15">
        <v>0</v>
      </c>
      <c r="M15">
        <v>0</v>
      </c>
      <c r="N15">
        <v>0</v>
      </c>
      <c r="O15">
        <v>0</v>
      </c>
      <c r="P15">
        <v>800</v>
      </c>
      <c r="Q15">
        <v>720</v>
      </c>
      <c r="R15">
        <v>720</v>
      </c>
      <c r="S15">
        <v>680</v>
      </c>
      <c r="T15">
        <v>680</v>
      </c>
      <c r="U15">
        <v>680</v>
      </c>
      <c r="V15">
        <v>680</v>
      </c>
      <c r="W15">
        <v>380</v>
      </c>
      <c r="X15">
        <v>380</v>
      </c>
      <c r="Y15">
        <v>380</v>
      </c>
      <c r="Z15">
        <v>380</v>
      </c>
      <c r="AA15">
        <v>680</v>
      </c>
      <c r="AB15">
        <v>680</v>
      </c>
      <c r="AC15">
        <v>680</v>
      </c>
      <c r="AD15">
        <v>680</v>
      </c>
      <c r="AE15">
        <v>640</v>
      </c>
      <c r="AF15">
        <v>720</v>
      </c>
      <c r="AG15">
        <v>720</v>
      </c>
      <c r="AH15">
        <v>0</v>
      </c>
    </row>
    <row r="16" spans="1:34" x14ac:dyDescent="0.2">
      <c r="A16" s="57" t="s">
        <v>300</v>
      </c>
      <c r="B16">
        <v>0</v>
      </c>
      <c r="C16">
        <v>80</v>
      </c>
      <c r="D16">
        <v>0</v>
      </c>
      <c r="E16">
        <v>0</v>
      </c>
      <c r="F16">
        <v>80</v>
      </c>
      <c r="G16">
        <v>80</v>
      </c>
      <c r="H16">
        <v>80</v>
      </c>
      <c r="I16">
        <v>0</v>
      </c>
      <c r="J16">
        <v>80</v>
      </c>
      <c r="K16">
        <v>80</v>
      </c>
      <c r="L16">
        <v>0</v>
      </c>
      <c r="M16">
        <v>0</v>
      </c>
      <c r="N16">
        <v>0</v>
      </c>
      <c r="O16">
        <v>0</v>
      </c>
      <c r="P16">
        <v>80</v>
      </c>
      <c r="Q16">
        <v>0</v>
      </c>
      <c r="R16">
        <v>80</v>
      </c>
      <c r="S16">
        <v>40</v>
      </c>
      <c r="T16">
        <v>40</v>
      </c>
      <c r="U16">
        <v>40</v>
      </c>
      <c r="V16">
        <v>40</v>
      </c>
      <c r="W16">
        <v>40</v>
      </c>
      <c r="X16">
        <v>40</v>
      </c>
      <c r="Y16">
        <v>40</v>
      </c>
      <c r="Z16">
        <v>40</v>
      </c>
      <c r="AA16">
        <v>70</v>
      </c>
      <c r="AB16">
        <v>70</v>
      </c>
      <c r="AC16">
        <v>70</v>
      </c>
      <c r="AD16">
        <v>70</v>
      </c>
      <c r="AE16">
        <v>40</v>
      </c>
      <c r="AF16">
        <v>80</v>
      </c>
      <c r="AG16">
        <v>80</v>
      </c>
      <c r="AH16">
        <v>0</v>
      </c>
    </row>
    <row r="17" spans="1:34" x14ac:dyDescent="0.2">
      <c r="A17" s="57" t="s">
        <v>301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20</v>
      </c>
      <c r="X17">
        <v>20</v>
      </c>
      <c r="Y17">
        <v>20</v>
      </c>
      <c r="Z17">
        <v>20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 s="57" t="s">
        <v>313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 s="57" t="s">
        <v>319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">
      <c r="A20" s="57" t="s">
        <v>320</v>
      </c>
      <c r="B20">
        <v>0</v>
      </c>
      <c r="C20">
        <v>160</v>
      </c>
      <c r="D20">
        <v>160</v>
      </c>
      <c r="E20">
        <v>160</v>
      </c>
      <c r="F20">
        <v>160</v>
      </c>
      <c r="G20">
        <v>160</v>
      </c>
      <c r="H20">
        <v>160</v>
      </c>
      <c r="I20">
        <v>80</v>
      </c>
      <c r="J20">
        <v>160</v>
      </c>
      <c r="K20">
        <v>160</v>
      </c>
      <c r="L20">
        <v>0</v>
      </c>
      <c r="M20">
        <v>0</v>
      </c>
      <c r="N20">
        <v>0</v>
      </c>
      <c r="O20">
        <v>0</v>
      </c>
      <c r="P20">
        <v>160</v>
      </c>
      <c r="Q20">
        <v>80</v>
      </c>
      <c r="R20">
        <v>160</v>
      </c>
      <c r="S20">
        <v>140</v>
      </c>
      <c r="T20">
        <v>140</v>
      </c>
      <c r="U20">
        <v>140</v>
      </c>
      <c r="V20">
        <v>140</v>
      </c>
      <c r="W20">
        <v>100</v>
      </c>
      <c r="X20">
        <v>100</v>
      </c>
      <c r="Y20">
        <v>100</v>
      </c>
      <c r="Z20">
        <v>100</v>
      </c>
      <c r="AA20">
        <v>150</v>
      </c>
      <c r="AB20">
        <v>150</v>
      </c>
      <c r="AC20">
        <v>150</v>
      </c>
      <c r="AD20">
        <v>150</v>
      </c>
      <c r="AE20">
        <v>120</v>
      </c>
      <c r="AF20">
        <v>120</v>
      </c>
      <c r="AG20">
        <v>120</v>
      </c>
      <c r="AH20">
        <v>0</v>
      </c>
    </row>
    <row r="21" spans="1:34" x14ac:dyDescent="0.2">
      <c r="A21" s="57" t="s">
        <v>321</v>
      </c>
      <c r="B21">
        <v>0</v>
      </c>
      <c r="C21">
        <v>0</v>
      </c>
      <c r="D21">
        <v>0</v>
      </c>
      <c r="E21">
        <v>0</v>
      </c>
      <c r="F21">
        <v>0</v>
      </c>
      <c r="G21">
        <v>80</v>
      </c>
      <c r="H21">
        <v>0</v>
      </c>
      <c r="I21">
        <v>0</v>
      </c>
      <c r="J21">
        <v>0</v>
      </c>
      <c r="K21">
        <v>80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">
      <c r="A22" s="57" t="s">
        <v>310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">
      <c r="A23" s="57" t="s">
        <v>294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">
      <c r="A24" s="57" t="s">
        <v>298</v>
      </c>
      <c r="B24">
        <v>0</v>
      </c>
      <c r="C24">
        <v>800</v>
      </c>
      <c r="D24">
        <v>800</v>
      </c>
      <c r="E24">
        <v>880</v>
      </c>
      <c r="F24">
        <v>800</v>
      </c>
      <c r="G24">
        <v>720</v>
      </c>
      <c r="H24">
        <v>800</v>
      </c>
      <c r="I24">
        <v>800</v>
      </c>
      <c r="J24">
        <v>1040</v>
      </c>
      <c r="K24">
        <v>880</v>
      </c>
      <c r="L24">
        <v>0</v>
      </c>
      <c r="M24">
        <v>0</v>
      </c>
      <c r="N24">
        <v>0</v>
      </c>
      <c r="O24">
        <v>0</v>
      </c>
      <c r="P24">
        <v>560</v>
      </c>
      <c r="Q24">
        <v>560</v>
      </c>
      <c r="R24">
        <v>640</v>
      </c>
      <c r="S24">
        <v>640</v>
      </c>
      <c r="T24">
        <v>640</v>
      </c>
      <c r="U24">
        <v>640</v>
      </c>
      <c r="V24">
        <v>640</v>
      </c>
      <c r="W24">
        <v>440</v>
      </c>
      <c r="X24">
        <v>440</v>
      </c>
      <c r="Y24">
        <v>440</v>
      </c>
      <c r="Z24">
        <v>440</v>
      </c>
      <c r="AA24">
        <v>580</v>
      </c>
      <c r="AB24">
        <v>580</v>
      </c>
      <c r="AC24">
        <v>580</v>
      </c>
      <c r="AD24">
        <v>580</v>
      </c>
      <c r="AE24">
        <v>560</v>
      </c>
      <c r="AF24">
        <v>920</v>
      </c>
      <c r="AG24">
        <v>920</v>
      </c>
      <c r="AH24">
        <v>0</v>
      </c>
    </row>
    <row r="25" spans="1:34" x14ac:dyDescent="0.2">
      <c r="A25" s="57" t="s">
        <v>323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80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20</v>
      </c>
      <c r="AB25">
        <v>20</v>
      </c>
      <c r="AC25">
        <v>20</v>
      </c>
      <c r="AD25">
        <v>20</v>
      </c>
      <c r="AE25">
        <v>0</v>
      </c>
      <c r="AF25">
        <v>0</v>
      </c>
      <c r="AG25">
        <v>0</v>
      </c>
      <c r="AH25">
        <v>0</v>
      </c>
    </row>
    <row r="26" spans="1:34" x14ac:dyDescent="0.2">
      <c r="A26" s="57" t="s">
        <v>222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30</v>
      </c>
      <c r="X26">
        <v>30</v>
      </c>
      <c r="Y26">
        <v>30</v>
      </c>
      <c r="Z26">
        <v>10</v>
      </c>
      <c r="AA26">
        <v>60</v>
      </c>
      <c r="AB26">
        <v>60</v>
      </c>
      <c r="AC26">
        <v>60</v>
      </c>
      <c r="AD26">
        <v>60</v>
      </c>
      <c r="AE26">
        <v>60</v>
      </c>
      <c r="AF26">
        <v>50</v>
      </c>
      <c r="AG26">
        <v>50</v>
      </c>
      <c r="AH26">
        <v>0</v>
      </c>
    </row>
    <row r="27" spans="1:34" x14ac:dyDescent="0.2">
      <c r="A27" s="57" t="s">
        <v>303</v>
      </c>
      <c r="B27">
        <v>80</v>
      </c>
      <c r="C27">
        <v>80</v>
      </c>
      <c r="D27">
        <v>0</v>
      </c>
      <c r="E27">
        <v>80</v>
      </c>
      <c r="F27">
        <v>80</v>
      </c>
      <c r="G27">
        <v>80</v>
      </c>
      <c r="H27">
        <v>80</v>
      </c>
      <c r="I27">
        <v>80</v>
      </c>
      <c r="J27">
        <v>160</v>
      </c>
      <c r="K27">
        <v>320</v>
      </c>
      <c r="L27">
        <v>0</v>
      </c>
      <c r="M27">
        <v>0</v>
      </c>
      <c r="N27">
        <v>0</v>
      </c>
      <c r="O27">
        <v>0</v>
      </c>
      <c r="P27">
        <v>80</v>
      </c>
      <c r="Q27">
        <v>160</v>
      </c>
      <c r="R27">
        <v>80</v>
      </c>
      <c r="S27">
        <v>120</v>
      </c>
      <c r="T27">
        <v>120</v>
      </c>
      <c r="U27">
        <v>120</v>
      </c>
      <c r="V27">
        <v>120</v>
      </c>
      <c r="W27">
        <v>140</v>
      </c>
      <c r="X27">
        <v>140</v>
      </c>
      <c r="Y27">
        <v>140</v>
      </c>
      <c r="Z27">
        <v>140</v>
      </c>
      <c r="AA27">
        <v>390</v>
      </c>
      <c r="AB27">
        <v>390</v>
      </c>
      <c r="AC27">
        <v>390</v>
      </c>
      <c r="AD27">
        <v>390</v>
      </c>
      <c r="AE27">
        <v>360</v>
      </c>
      <c r="AF27">
        <v>280</v>
      </c>
      <c r="AG27">
        <v>280</v>
      </c>
      <c r="AH27">
        <v>0</v>
      </c>
    </row>
    <row r="28" spans="1:34" x14ac:dyDescent="0.2">
      <c r="A28" s="57" t="s">
        <v>315</v>
      </c>
      <c r="B28">
        <v>0</v>
      </c>
      <c r="C28">
        <v>80</v>
      </c>
      <c r="D28">
        <v>0</v>
      </c>
      <c r="E28">
        <v>0</v>
      </c>
      <c r="F28">
        <v>80</v>
      </c>
      <c r="G28">
        <v>0</v>
      </c>
      <c r="H28">
        <v>0</v>
      </c>
      <c r="I28">
        <v>80</v>
      </c>
      <c r="J28">
        <v>0</v>
      </c>
      <c r="K28">
        <v>80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40</v>
      </c>
      <c r="AB28">
        <v>40</v>
      </c>
      <c r="AC28">
        <v>40</v>
      </c>
      <c r="AD28">
        <v>40</v>
      </c>
      <c r="AE28">
        <v>0</v>
      </c>
      <c r="AF28">
        <v>40</v>
      </c>
      <c r="AG28">
        <v>40</v>
      </c>
      <c r="AH28">
        <v>0</v>
      </c>
    </row>
    <row r="29" spans="1:34" x14ac:dyDescent="0.2">
      <c r="A29" s="57" t="s">
        <v>305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20</v>
      </c>
      <c r="AB29">
        <v>20</v>
      </c>
      <c r="AC29">
        <v>20</v>
      </c>
      <c r="AD29">
        <v>20</v>
      </c>
      <c r="AE29">
        <v>0</v>
      </c>
      <c r="AF29">
        <v>0</v>
      </c>
      <c r="AG29">
        <v>0</v>
      </c>
      <c r="AH29">
        <v>0</v>
      </c>
    </row>
    <row r="30" spans="1:34" x14ac:dyDescent="0.2">
      <c r="A30" s="57" t="s">
        <v>312</v>
      </c>
      <c r="B30">
        <v>0</v>
      </c>
      <c r="C30">
        <v>80</v>
      </c>
      <c r="D30">
        <v>60</v>
      </c>
      <c r="E30">
        <v>0</v>
      </c>
      <c r="F30">
        <v>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">
      <c r="A31" s="57" t="s">
        <v>218</v>
      </c>
      <c r="B31">
        <v>0</v>
      </c>
      <c r="C31">
        <v>100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30</v>
      </c>
      <c r="T31">
        <v>30</v>
      </c>
      <c r="U31">
        <v>30</v>
      </c>
      <c r="V31">
        <v>10</v>
      </c>
      <c r="W31">
        <v>0</v>
      </c>
      <c r="X31">
        <v>0</v>
      </c>
      <c r="Y31">
        <v>0</v>
      </c>
      <c r="Z31">
        <v>0</v>
      </c>
      <c r="AA31">
        <v>60</v>
      </c>
      <c r="AB31">
        <v>60</v>
      </c>
      <c r="AC31">
        <v>60</v>
      </c>
      <c r="AD31">
        <v>60</v>
      </c>
      <c r="AE31">
        <v>60</v>
      </c>
      <c r="AF31">
        <v>150</v>
      </c>
      <c r="AG31">
        <v>150</v>
      </c>
      <c r="AH31">
        <v>0</v>
      </c>
    </row>
    <row r="32" spans="1:34" x14ac:dyDescent="0.2">
      <c r="A32" s="57" t="s">
        <v>221</v>
      </c>
      <c r="B32">
        <v>0</v>
      </c>
      <c r="C32">
        <v>100</v>
      </c>
      <c r="D32">
        <v>0</v>
      </c>
      <c r="E32">
        <v>0</v>
      </c>
      <c r="F32">
        <v>0</v>
      </c>
      <c r="G32">
        <v>0</v>
      </c>
      <c r="H32">
        <v>100</v>
      </c>
      <c r="I32">
        <v>0</v>
      </c>
      <c r="J32">
        <v>100</v>
      </c>
      <c r="K32">
        <v>300</v>
      </c>
      <c r="L32">
        <v>0</v>
      </c>
      <c r="M32">
        <v>0</v>
      </c>
      <c r="N32">
        <v>0</v>
      </c>
      <c r="O32">
        <v>0</v>
      </c>
      <c r="P32">
        <v>100</v>
      </c>
      <c r="Q32">
        <v>0</v>
      </c>
      <c r="R32">
        <v>100</v>
      </c>
      <c r="S32">
        <v>80</v>
      </c>
      <c r="T32">
        <v>80</v>
      </c>
      <c r="U32">
        <v>80</v>
      </c>
      <c r="V32">
        <v>60</v>
      </c>
      <c r="W32">
        <v>80</v>
      </c>
      <c r="X32">
        <v>80</v>
      </c>
      <c r="Y32">
        <v>80</v>
      </c>
      <c r="Z32">
        <v>60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 s="57" t="s">
        <v>224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 s="57" t="s">
        <v>226</v>
      </c>
      <c r="B34">
        <v>0</v>
      </c>
      <c r="C34">
        <v>400</v>
      </c>
      <c r="D34">
        <v>400</v>
      </c>
      <c r="E34">
        <v>300</v>
      </c>
      <c r="F34">
        <v>300</v>
      </c>
      <c r="G34">
        <v>500</v>
      </c>
      <c r="H34">
        <v>200</v>
      </c>
      <c r="I34">
        <v>300</v>
      </c>
      <c r="J34">
        <v>300</v>
      </c>
      <c r="K34">
        <v>400</v>
      </c>
      <c r="L34">
        <v>0</v>
      </c>
      <c r="M34">
        <v>0</v>
      </c>
      <c r="N34">
        <v>0</v>
      </c>
      <c r="O34">
        <v>0</v>
      </c>
      <c r="P34">
        <v>200</v>
      </c>
      <c r="Q34">
        <v>200</v>
      </c>
      <c r="R34">
        <v>200</v>
      </c>
      <c r="S34">
        <v>200</v>
      </c>
      <c r="T34">
        <v>200</v>
      </c>
      <c r="U34">
        <v>200</v>
      </c>
      <c r="V34">
        <v>200</v>
      </c>
      <c r="W34">
        <v>180</v>
      </c>
      <c r="X34">
        <v>180</v>
      </c>
      <c r="Y34">
        <v>180</v>
      </c>
      <c r="Z34">
        <v>160</v>
      </c>
      <c r="AA34">
        <v>280</v>
      </c>
      <c r="AB34">
        <v>280</v>
      </c>
      <c r="AC34">
        <v>280</v>
      </c>
      <c r="AD34">
        <v>280</v>
      </c>
      <c r="AE34">
        <v>280</v>
      </c>
      <c r="AF34">
        <v>200</v>
      </c>
      <c r="AG34">
        <v>200</v>
      </c>
      <c r="AH34">
        <v>0</v>
      </c>
    </row>
    <row r="35" spans="1:34" x14ac:dyDescent="0.2">
      <c r="A35" s="57" t="s">
        <v>242</v>
      </c>
      <c r="B35">
        <v>0</v>
      </c>
      <c r="C35">
        <v>0</v>
      </c>
      <c r="D35">
        <v>0</v>
      </c>
      <c r="E35">
        <v>100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 s="57" t="s">
        <v>238</v>
      </c>
      <c r="B36">
        <v>0</v>
      </c>
      <c r="C36">
        <v>0</v>
      </c>
      <c r="D36">
        <v>0</v>
      </c>
      <c r="E36">
        <v>0</v>
      </c>
      <c r="F36">
        <v>100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30</v>
      </c>
      <c r="T36">
        <v>30</v>
      </c>
      <c r="U36">
        <v>30</v>
      </c>
      <c r="V36">
        <v>10</v>
      </c>
      <c r="W36">
        <v>0</v>
      </c>
      <c r="X36">
        <v>0</v>
      </c>
      <c r="Y36">
        <v>0</v>
      </c>
      <c r="Z36">
        <v>0</v>
      </c>
      <c r="AA36">
        <v>20</v>
      </c>
      <c r="AB36">
        <v>20</v>
      </c>
      <c r="AC36">
        <v>20</v>
      </c>
      <c r="AD36">
        <v>20</v>
      </c>
      <c r="AE36">
        <v>20</v>
      </c>
      <c r="AF36">
        <v>50</v>
      </c>
      <c r="AG36">
        <v>50</v>
      </c>
      <c r="AH36">
        <v>0</v>
      </c>
    </row>
    <row r="37" spans="1:34" x14ac:dyDescent="0.2">
      <c r="A37" s="57" t="s">
        <v>223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80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 s="57" t="s">
        <v>225</v>
      </c>
      <c r="B38">
        <v>80</v>
      </c>
      <c r="C38">
        <v>720</v>
      </c>
      <c r="D38">
        <v>640</v>
      </c>
      <c r="E38">
        <v>560</v>
      </c>
      <c r="F38">
        <v>560</v>
      </c>
      <c r="G38">
        <v>400</v>
      </c>
      <c r="H38">
        <v>320</v>
      </c>
      <c r="I38">
        <v>400</v>
      </c>
      <c r="J38">
        <v>560</v>
      </c>
      <c r="K38">
        <v>720</v>
      </c>
      <c r="L38">
        <v>0</v>
      </c>
      <c r="M38">
        <v>0</v>
      </c>
      <c r="N38">
        <v>0</v>
      </c>
      <c r="O38">
        <v>0</v>
      </c>
      <c r="P38">
        <v>480</v>
      </c>
      <c r="Q38">
        <v>400</v>
      </c>
      <c r="R38">
        <v>400</v>
      </c>
      <c r="S38">
        <v>420</v>
      </c>
      <c r="T38">
        <v>420</v>
      </c>
      <c r="U38">
        <v>420</v>
      </c>
      <c r="V38">
        <v>420</v>
      </c>
      <c r="W38">
        <v>260</v>
      </c>
      <c r="X38">
        <v>260</v>
      </c>
      <c r="Y38">
        <v>260</v>
      </c>
      <c r="Z38">
        <v>260</v>
      </c>
      <c r="AA38">
        <v>360</v>
      </c>
      <c r="AB38">
        <v>360</v>
      </c>
      <c r="AC38">
        <v>360</v>
      </c>
      <c r="AD38">
        <v>360</v>
      </c>
      <c r="AE38">
        <v>320</v>
      </c>
      <c r="AF38">
        <v>320</v>
      </c>
      <c r="AG38">
        <v>320</v>
      </c>
      <c r="AH38">
        <v>0</v>
      </c>
    </row>
    <row r="39" spans="1:34" x14ac:dyDescent="0.2">
      <c r="A39" s="57" t="s">
        <v>227</v>
      </c>
      <c r="B39">
        <v>0</v>
      </c>
      <c r="C39">
        <v>160</v>
      </c>
      <c r="D39">
        <v>0</v>
      </c>
      <c r="E39">
        <v>80</v>
      </c>
      <c r="F39">
        <v>160</v>
      </c>
      <c r="G39">
        <v>160</v>
      </c>
      <c r="H39">
        <v>80</v>
      </c>
      <c r="I39">
        <v>160</v>
      </c>
      <c r="J39">
        <v>80</v>
      </c>
      <c r="K39">
        <v>240</v>
      </c>
      <c r="L39">
        <v>0</v>
      </c>
      <c r="M39">
        <v>0</v>
      </c>
      <c r="N39">
        <v>0</v>
      </c>
      <c r="O39">
        <v>0</v>
      </c>
      <c r="P39">
        <v>160</v>
      </c>
      <c r="Q39">
        <v>80</v>
      </c>
      <c r="R39">
        <v>80</v>
      </c>
      <c r="S39">
        <v>120</v>
      </c>
      <c r="T39">
        <v>120</v>
      </c>
      <c r="U39">
        <v>120</v>
      </c>
      <c r="V39">
        <v>120</v>
      </c>
      <c r="W39">
        <v>60</v>
      </c>
      <c r="X39">
        <v>60</v>
      </c>
      <c r="Y39">
        <v>60</v>
      </c>
      <c r="Z39">
        <v>60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">
      <c r="A40" s="57" t="s">
        <v>231</v>
      </c>
      <c r="B40">
        <v>0</v>
      </c>
      <c r="C40">
        <v>880</v>
      </c>
      <c r="D40">
        <v>880</v>
      </c>
      <c r="E40">
        <v>800</v>
      </c>
      <c r="F40">
        <v>720</v>
      </c>
      <c r="G40">
        <v>720</v>
      </c>
      <c r="H40">
        <v>800</v>
      </c>
      <c r="I40">
        <v>800</v>
      </c>
      <c r="J40">
        <v>960</v>
      </c>
      <c r="K40">
        <v>800</v>
      </c>
      <c r="L40">
        <v>0</v>
      </c>
      <c r="M40">
        <v>0</v>
      </c>
      <c r="N40">
        <v>0</v>
      </c>
      <c r="O40">
        <v>0</v>
      </c>
      <c r="P40">
        <v>560</v>
      </c>
      <c r="Q40">
        <v>560</v>
      </c>
      <c r="R40">
        <v>560</v>
      </c>
      <c r="S40">
        <v>620</v>
      </c>
      <c r="T40">
        <v>620</v>
      </c>
      <c r="U40">
        <v>620</v>
      </c>
      <c r="V40">
        <v>620</v>
      </c>
      <c r="W40">
        <v>360</v>
      </c>
      <c r="X40">
        <v>360</v>
      </c>
      <c r="Y40">
        <v>360</v>
      </c>
      <c r="Z40">
        <v>360</v>
      </c>
      <c r="AA40">
        <v>470</v>
      </c>
      <c r="AB40">
        <v>470</v>
      </c>
      <c r="AC40">
        <v>470</v>
      </c>
      <c r="AD40">
        <v>470</v>
      </c>
      <c r="AE40">
        <v>440</v>
      </c>
      <c r="AF40">
        <v>1000</v>
      </c>
      <c r="AG40">
        <v>1000</v>
      </c>
      <c r="AH40">
        <v>0</v>
      </c>
    </row>
    <row r="41" spans="1:34" x14ac:dyDescent="0.2">
      <c r="A41" s="57" t="s">
        <v>233</v>
      </c>
      <c r="B41">
        <v>80</v>
      </c>
      <c r="C41">
        <v>80</v>
      </c>
      <c r="D41">
        <v>0</v>
      </c>
      <c r="E41">
        <v>160</v>
      </c>
      <c r="F41">
        <v>80</v>
      </c>
      <c r="G41">
        <v>80</v>
      </c>
      <c r="H41">
        <v>160</v>
      </c>
      <c r="I41">
        <v>160</v>
      </c>
      <c r="J41">
        <v>240</v>
      </c>
      <c r="K41">
        <v>240</v>
      </c>
      <c r="L41">
        <v>0</v>
      </c>
      <c r="M41">
        <v>0</v>
      </c>
      <c r="N41">
        <v>0</v>
      </c>
      <c r="O41">
        <v>0</v>
      </c>
      <c r="P41">
        <v>160</v>
      </c>
      <c r="Q41">
        <v>80</v>
      </c>
      <c r="R41">
        <v>80</v>
      </c>
      <c r="S41">
        <v>100</v>
      </c>
      <c r="T41">
        <v>100</v>
      </c>
      <c r="U41">
        <v>100</v>
      </c>
      <c r="V41">
        <v>100</v>
      </c>
      <c r="W41">
        <v>40</v>
      </c>
      <c r="X41">
        <v>40</v>
      </c>
      <c r="Y41">
        <v>40</v>
      </c>
      <c r="Z41">
        <v>40</v>
      </c>
      <c r="AA41">
        <v>70</v>
      </c>
      <c r="AB41">
        <v>70</v>
      </c>
      <c r="AC41">
        <v>70</v>
      </c>
      <c r="AD41">
        <v>70</v>
      </c>
      <c r="AE41">
        <v>40</v>
      </c>
      <c r="AF41">
        <v>120</v>
      </c>
      <c r="AG41">
        <v>120</v>
      </c>
      <c r="AH41">
        <v>0</v>
      </c>
    </row>
    <row r="42" spans="1:34" x14ac:dyDescent="0.2">
      <c r="A42" s="57" t="s">
        <v>235</v>
      </c>
      <c r="B42">
        <v>0</v>
      </c>
      <c r="C42">
        <v>720</v>
      </c>
      <c r="D42">
        <v>0</v>
      </c>
      <c r="E42">
        <v>240</v>
      </c>
      <c r="F42">
        <v>320</v>
      </c>
      <c r="G42">
        <v>240</v>
      </c>
      <c r="H42">
        <v>320</v>
      </c>
      <c r="I42">
        <v>400</v>
      </c>
      <c r="J42">
        <v>560</v>
      </c>
      <c r="K42">
        <v>880</v>
      </c>
      <c r="L42">
        <v>0</v>
      </c>
      <c r="M42">
        <v>0</v>
      </c>
      <c r="N42">
        <v>0</v>
      </c>
      <c r="O42">
        <v>0</v>
      </c>
      <c r="P42">
        <v>480</v>
      </c>
      <c r="Q42">
        <v>400</v>
      </c>
      <c r="R42">
        <v>480</v>
      </c>
      <c r="S42">
        <v>460</v>
      </c>
      <c r="T42">
        <v>460</v>
      </c>
      <c r="U42">
        <v>460</v>
      </c>
      <c r="V42">
        <v>460</v>
      </c>
      <c r="W42">
        <v>280</v>
      </c>
      <c r="X42">
        <v>280</v>
      </c>
      <c r="Y42">
        <v>280</v>
      </c>
      <c r="Z42">
        <v>280</v>
      </c>
      <c r="AA42">
        <v>470</v>
      </c>
      <c r="AB42">
        <v>470</v>
      </c>
      <c r="AC42">
        <v>470</v>
      </c>
      <c r="AD42">
        <v>470</v>
      </c>
      <c r="AE42">
        <v>440</v>
      </c>
      <c r="AF42">
        <v>480</v>
      </c>
      <c r="AG42">
        <v>480</v>
      </c>
      <c r="AH42">
        <v>0</v>
      </c>
    </row>
    <row r="43" spans="1:34" x14ac:dyDescent="0.2">
      <c r="A43" s="57" t="s">
        <v>236</v>
      </c>
      <c r="B43">
        <v>80</v>
      </c>
      <c r="C43">
        <v>1600</v>
      </c>
      <c r="D43">
        <v>1600</v>
      </c>
      <c r="E43">
        <v>1360</v>
      </c>
      <c r="F43">
        <v>1360</v>
      </c>
      <c r="G43">
        <v>1200</v>
      </c>
      <c r="H43">
        <v>1200</v>
      </c>
      <c r="I43">
        <v>1040</v>
      </c>
      <c r="J43">
        <v>1520</v>
      </c>
      <c r="K43">
        <v>2080</v>
      </c>
      <c r="L43">
        <v>0</v>
      </c>
      <c r="M43">
        <v>0</v>
      </c>
      <c r="N43">
        <v>0</v>
      </c>
      <c r="O43">
        <v>0</v>
      </c>
      <c r="P43">
        <v>1120</v>
      </c>
      <c r="Q43">
        <v>1040</v>
      </c>
      <c r="R43">
        <v>1040</v>
      </c>
      <c r="S43">
        <v>1140</v>
      </c>
      <c r="T43">
        <v>1140</v>
      </c>
      <c r="U43">
        <v>1140</v>
      </c>
      <c r="V43">
        <v>1140</v>
      </c>
      <c r="W43">
        <v>800</v>
      </c>
      <c r="X43">
        <v>800</v>
      </c>
      <c r="Y43">
        <v>800</v>
      </c>
      <c r="Z43">
        <v>800</v>
      </c>
      <c r="AA43">
        <v>960</v>
      </c>
      <c r="AB43">
        <v>960</v>
      </c>
      <c r="AC43">
        <v>960</v>
      </c>
      <c r="AD43">
        <v>960</v>
      </c>
      <c r="AE43">
        <v>960</v>
      </c>
      <c r="AF43">
        <v>840</v>
      </c>
      <c r="AG43">
        <v>840</v>
      </c>
      <c r="AH43">
        <v>0</v>
      </c>
    </row>
    <row r="44" spans="1:34" x14ac:dyDescent="0.2">
      <c r="A44" s="57" t="s">
        <v>237</v>
      </c>
      <c r="B44">
        <v>0</v>
      </c>
      <c r="C44">
        <v>0</v>
      </c>
      <c r="D44">
        <v>0</v>
      </c>
      <c r="E44">
        <v>80</v>
      </c>
      <c r="F44">
        <v>0</v>
      </c>
      <c r="G44">
        <v>80</v>
      </c>
      <c r="H44">
        <v>0</v>
      </c>
      <c r="I44">
        <v>0</v>
      </c>
      <c r="J44">
        <v>80</v>
      </c>
      <c r="K44">
        <v>0</v>
      </c>
      <c r="L44">
        <v>0</v>
      </c>
      <c r="M44">
        <v>0</v>
      </c>
      <c r="N44">
        <v>0</v>
      </c>
      <c r="O44">
        <v>0</v>
      </c>
      <c r="P44">
        <v>80</v>
      </c>
      <c r="Q44">
        <v>0</v>
      </c>
      <c r="R44">
        <v>0</v>
      </c>
      <c r="S44">
        <v>20</v>
      </c>
      <c r="T44">
        <v>20</v>
      </c>
      <c r="U44">
        <v>20</v>
      </c>
      <c r="V44">
        <v>20</v>
      </c>
      <c r="W44">
        <v>40</v>
      </c>
      <c r="X44">
        <v>40</v>
      </c>
      <c r="Y44">
        <v>40</v>
      </c>
      <c r="Z44">
        <v>40</v>
      </c>
      <c r="AA44">
        <v>340</v>
      </c>
      <c r="AB44">
        <v>340</v>
      </c>
      <c r="AC44">
        <v>340</v>
      </c>
      <c r="AD44">
        <v>340</v>
      </c>
      <c r="AE44">
        <v>320</v>
      </c>
      <c r="AF44">
        <v>280</v>
      </c>
      <c r="AG44">
        <v>280</v>
      </c>
      <c r="AH44">
        <v>0</v>
      </c>
    </row>
    <row r="45" spans="1:34" x14ac:dyDescent="0.2">
      <c r="A45" s="57" t="s">
        <v>229</v>
      </c>
      <c r="B45">
        <v>0</v>
      </c>
      <c r="C45">
        <v>320</v>
      </c>
      <c r="D45">
        <v>0</v>
      </c>
      <c r="E45">
        <v>160</v>
      </c>
      <c r="F45">
        <v>160</v>
      </c>
      <c r="G45">
        <v>240</v>
      </c>
      <c r="H45">
        <v>240</v>
      </c>
      <c r="I45">
        <v>320</v>
      </c>
      <c r="J45">
        <v>320</v>
      </c>
      <c r="K45">
        <v>400</v>
      </c>
      <c r="L45">
        <v>0</v>
      </c>
      <c r="M45">
        <v>0</v>
      </c>
      <c r="N45">
        <v>0</v>
      </c>
      <c r="O45">
        <v>0</v>
      </c>
      <c r="P45">
        <v>160</v>
      </c>
      <c r="Q45">
        <v>240</v>
      </c>
      <c r="R45">
        <v>160</v>
      </c>
      <c r="S45">
        <v>220</v>
      </c>
      <c r="T45">
        <v>220</v>
      </c>
      <c r="U45">
        <v>220</v>
      </c>
      <c r="V45">
        <v>220</v>
      </c>
      <c r="W45">
        <v>220</v>
      </c>
      <c r="X45">
        <v>220</v>
      </c>
      <c r="Y45">
        <v>220</v>
      </c>
      <c r="Z45">
        <v>220</v>
      </c>
      <c r="AA45">
        <v>320</v>
      </c>
      <c r="AB45">
        <v>320</v>
      </c>
      <c r="AC45">
        <v>320</v>
      </c>
      <c r="AD45">
        <v>320</v>
      </c>
      <c r="AE45">
        <v>320</v>
      </c>
      <c r="AF45">
        <v>40</v>
      </c>
      <c r="AG45">
        <v>40</v>
      </c>
      <c r="AH45">
        <v>0</v>
      </c>
    </row>
    <row r="46" spans="1:34" x14ac:dyDescent="0.2">
      <c r="A46" s="57" t="s">
        <v>241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">
      <c r="A47" s="57" t="s">
        <v>244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">
      <c r="A48" s="57" t="s">
        <v>245</v>
      </c>
      <c r="B48">
        <v>0</v>
      </c>
      <c r="C48">
        <v>160</v>
      </c>
      <c r="D48">
        <v>80</v>
      </c>
      <c r="E48">
        <v>160</v>
      </c>
      <c r="F48">
        <v>80</v>
      </c>
      <c r="G48">
        <v>160</v>
      </c>
      <c r="H48">
        <v>80</v>
      </c>
      <c r="I48">
        <v>80</v>
      </c>
      <c r="J48">
        <v>160</v>
      </c>
      <c r="K48">
        <v>80</v>
      </c>
      <c r="L48">
        <v>0</v>
      </c>
      <c r="M48">
        <v>0</v>
      </c>
      <c r="N48">
        <v>0</v>
      </c>
      <c r="O48">
        <v>0</v>
      </c>
      <c r="P48">
        <v>80</v>
      </c>
      <c r="Q48">
        <v>160</v>
      </c>
      <c r="R48">
        <v>80</v>
      </c>
      <c r="S48">
        <v>100</v>
      </c>
      <c r="T48">
        <v>100</v>
      </c>
      <c r="U48">
        <v>100</v>
      </c>
      <c r="V48">
        <v>100</v>
      </c>
      <c r="W48">
        <v>80</v>
      </c>
      <c r="X48">
        <v>80</v>
      </c>
      <c r="Y48">
        <v>80</v>
      </c>
      <c r="Z48">
        <v>80</v>
      </c>
      <c r="AA48">
        <v>130</v>
      </c>
      <c r="AB48">
        <v>130</v>
      </c>
      <c r="AC48">
        <v>130</v>
      </c>
      <c r="AD48">
        <v>130</v>
      </c>
      <c r="AE48">
        <v>120</v>
      </c>
      <c r="AF48">
        <v>80</v>
      </c>
      <c r="AG48">
        <v>80</v>
      </c>
      <c r="AH48">
        <v>0</v>
      </c>
    </row>
    <row r="49" spans="1:34" x14ac:dyDescent="0.2">
      <c r="A49" s="57" t="s">
        <v>243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 s="57" t="s">
        <v>220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80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 s="57" t="s">
        <v>247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20</v>
      </c>
      <c r="AB51">
        <v>20</v>
      </c>
      <c r="AC51">
        <v>20</v>
      </c>
      <c r="AD51">
        <v>20</v>
      </c>
      <c r="AE51">
        <v>20</v>
      </c>
      <c r="AF51">
        <v>0</v>
      </c>
      <c r="AG51">
        <v>0</v>
      </c>
      <c r="AH51">
        <v>0</v>
      </c>
    </row>
    <row r="52" spans="1:34" x14ac:dyDescent="0.2">
      <c r="A52" s="57" t="s">
        <v>248</v>
      </c>
      <c r="B52">
        <v>0</v>
      </c>
      <c r="C52">
        <v>160</v>
      </c>
      <c r="D52">
        <v>0</v>
      </c>
      <c r="E52">
        <v>80</v>
      </c>
      <c r="F52">
        <v>0</v>
      </c>
      <c r="G52">
        <v>80</v>
      </c>
      <c r="H52">
        <v>0</v>
      </c>
      <c r="I52">
        <v>80</v>
      </c>
      <c r="J52">
        <v>80</v>
      </c>
      <c r="K52">
        <v>80</v>
      </c>
      <c r="L52">
        <v>0</v>
      </c>
      <c r="M52">
        <v>0</v>
      </c>
      <c r="N52">
        <v>0</v>
      </c>
      <c r="O52">
        <v>0</v>
      </c>
      <c r="P52">
        <v>0</v>
      </c>
      <c r="Q52">
        <v>80</v>
      </c>
      <c r="R52">
        <v>0</v>
      </c>
      <c r="S52">
        <v>60</v>
      </c>
      <c r="T52">
        <v>60</v>
      </c>
      <c r="U52">
        <v>60</v>
      </c>
      <c r="V52">
        <v>60</v>
      </c>
      <c r="W52">
        <v>20</v>
      </c>
      <c r="X52">
        <v>20</v>
      </c>
      <c r="Y52">
        <v>20</v>
      </c>
      <c r="Z52">
        <v>20</v>
      </c>
      <c r="AA52">
        <v>50</v>
      </c>
      <c r="AB52">
        <v>50</v>
      </c>
      <c r="AC52">
        <v>50</v>
      </c>
      <c r="AD52">
        <v>50</v>
      </c>
      <c r="AE52">
        <v>40</v>
      </c>
      <c r="AF52">
        <v>0</v>
      </c>
      <c r="AG52">
        <v>0</v>
      </c>
      <c r="AH52">
        <v>0</v>
      </c>
    </row>
    <row r="53" spans="1:34" x14ac:dyDescent="0.2">
      <c r="A53" s="57" t="s">
        <v>219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40</v>
      </c>
      <c r="X53">
        <v>40</v>
      </c>
      <c r="Y53">
        <v>40</v>
      </c>
      <c r="Z53">
        <v>40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">
      <c r="A54" s="57" t="s">
        <v>228</v>
      </c>
      <c r="B54">
        <v>80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50</v>
      </c>
      <c r="AB54">
        <v>50</v>
      </c>
      <c r="AC54">
        <v>50</v>
      </c>
      <c r="AD54">
        <v>50</v>
      </c>
      <c r="AE54">
        <v>40</v>
      </c>
      <c r="AF54">
        <v>40</v>
      </c>
      <c r="AG54">
        <v>40</v>
      </c>
      <c r="AH54">
        <v>0</v>
      </c>
    </row>
    <row r="55" spans="1:34" x14ac:dyDescent="0.2">
      <c r="A55" s="57" t="s">
        <v>307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20</v>
      </c>
      <c r="AB55">
        <v>20</v>
      </c>
      <c r="AC55">
        <v>20</v>
      </c>
      <c r="AD55">
        <v>20</v>
      </c>
      <c r="AE55">
        <v>0</v>
      </c>
      <c r="AF55">
        <v>0</v>
      </c>
      <c r="AG55">
        <v>0</v>
      </c>
      <c r="AH55">
        <v>0</v>
      </c>
    </row>
    <row r="56" spans="1:34" x14ac:dyDescent="0.2">
      <c r="A56" s="57" t="s">
        <v>232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20</v>
      </c>
      <c r="AB56">
        <v>20</v>
      </c>
      <c r="AC56">
        <v>20</v>
      </c>
      <c r="AD56">
        <v>20</v>
      </c>
      <c r="AE56">
        <v>0</v>
      </c>
      <c r="AF56">
        <v>40</v>
      </c>
      <c r="AG56">
        <v>40</v>
      </c>
      <c r="AH56">
        <v>0</v>
      </c>
    </row>
    <row r="57" spans="1:34" x14ac:dyDescent="0.2">
      <c r="A57" s="57" t="s">
        <v>230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10</v>
      </c>
      <c r="AB57">
        <v>10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">
      <c r="A58" s="57" t="s">
        <v>240</v>
      </c>
      <c r="B58">
        <v>0</v>
      </c>
      <c r="C58">
        <v>80</v>
      </c>
      <c r="D58">
        <v>0</v>
      </c>
      <c r="E58">
        <v>0</v>
      </c>
      <c r="F58">
        <v>80</v>
      </c>
      <c r="G58">
        <v>0</v>
      </c>
      <c r="H58">
        <v>0</v>
      </c>
      <c r="I58">
        <v>0</v>
      </c>
      <c r="J58">
        <v>80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80</v>
      </c>
      <c r="R58">
        <v>0</v>
      </c>
      <c r="S58">
        <v>20</v>
      </c>
      <c r="T58">
        <v>20</v>
      </c>
      <c r="U58">
        <v>20</v>
      </c>
      <c r="V58">
        <v>20</v>
      </c>
      <c r="W58">
        <v>0</v>
      </c>
      <c r="X58">
        <v>0</v>
      </c>
      <c r="Y58">
        <v>0</v>
      </c>
      <c r="Z58">
        <v>0</v>
      </c>
      <c r="AA58">
        <v>40</v>
      </c>
      <c r="AB58">
        <v>40</v>
      </c>
      <c r="AC58">
        <v>40</v>
      </c>
      <c r="AD58">
        <v>40</v>
      </c>
      <c r="AE58">
        <v>0</v>
      </c>
      <c r="AF58">
        <v>40</v>
      </c>
      <c r="AG58">
        <v>40</v>
      </c>
      <c r="AH58">
        <v>0</v>
      </c>
    </row>
    <row r="59" spans="1:34" x14ac:dyDescent="0.2">
      <c r="A59" s="57" t="s">
        <v>234</v>
      </c>
      <c r="B59">
        <v>0</v>
      </c>
      <c r="C59">
        <v>160</v>
      </c>
      <c r="D59">
        <v>0</v>
      </c>
      <c r="E59">
        <v>80</v>
      </c>
      <c r="F59">
        <v>0</v>
      </c>
      <c r="G59">
        <v>0</v>
      </c>
      <c r="H59">
        <v>80</v>
      </c>
      <c r="I59">
        <v>80</v>
      </c>
      <c r="J59">
        <v>80</v>
      </c>
      <c r="K59">
        <v>80</v>
      </c>
      <c r="L59">
        <v>0</v>
      </c>
      <c r="M59">
        <v>0</v>
      </c>
      <c r="N59">
        <v>0</v>
      </c>
      <c r="O59">
        <v>0</v>
      </c>
      <c r="P59">
        <v>80</v>
      </c>
      <c r="Q59">
        <v>80</v>
      </c>
      <c r="R59">
        <v>0</v>
      </c>
      <c r="S59">
        <v>60</v>
      </c>
      <c r="T59">
        <v>60</v>
      </c>
      <c r="U59">
        <v>60</v>
      </c>
      <c r="V59">
        <v>60</v>
      </c>
      <c r="W59">
        <v>40</v>
      </c>
      <c r="X59">
        <v>40</v>
      </c>
      <c r="Y59">
        <v>40</v>
      </c>
      <c r="Z59">
        <v>40</v>
      </c>
      <c r="AA59">
        <v>40</v>
      </c>
      <c r="AB59">
        <v>40</v>
      </c>
      <c r="AC59">
        <v>40</v>
      </c>
      <c r="AD59">
        <v>40</v>
      </c>
      <c r="AE59">
        <v>0</v>
      </c>
      <c r="AF59">
        <v>40</v>
      </c>
      <c r="AG59">
        <v>40</v>
      </c>
      <c r="AH59">
        <v>0</v>
      </c>
    </row>
    <row r="60" spans="1:34" x14ac:dyDescent="0.2">
      <c r="A60" s="57" t="s">
        <v>239</v>
      </c>
      <c r="B60">
        <v>0</v>
      </c>
      <c r="C60">
        <v>60</v>
      </c>
      <c r="D60">
        <v>60</v>
      </c>
      <c r="E60">
        <v>0</v>
      </c>
      <c r="F60">
        <v>55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">
      <c r="A61" s="57" t="s">
        <v>246</v>
      </c>
      <c r="B61">
        <v>0</v>
      </c>
      <c r="C61">
        <v>0</v>
      </c>
      <c r="D61">
        <v>0</v>
      </c>
      <c r="E61">
        <v>80</v>
      </c>
      <c r="F61">
        <v>0</v>
      </c>
      <c r="G61">
        <v>0</v>
      </c>
      <c r="H61">
        <v>0</v>
      </c>
      <c r="I61">
        <v>80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20</v>
      </c>
      <c r="AB61">
        <v>20</v>
      </c>
      <c r="AC61">
        <v>20</v>
      </c>
      <c r="AD61">
        <v>20</v>
      </c>
      <c r="AE61">
        <v>0</v>
      </c>
      <c r="AF61">
        <v>40</v>
      </c>
      <c r="AG61">
        <v>40</v>
      </c>
      <c r="AH61">
        <v>0</v>
      </c>
    </row>
    <row r="62" spans="1:34" x14ac:dyDescent="0.2">
      <c r="A62" s="57" t="s">
        <v>330</v>
      </c>
      <c r="B62">
        <v>0</v>
      </c>
      <c r="C62">
        <v>2400</v>
      </c>
      <c r="D62">
        <v>0</v>
      </c>
      <c r="E62">
        <v>1000</v>
      </c>
      <c r="F62">
        <v>1200</v>
      </c>
      <c r="G62">
        <v>1200</v>
      </c>
      <c r="H62">
        <v>1200</v>
      </c>
      <c r="I62">
        <v>1400</v>
      </c>
      <c r="J62">
        <v>1800</v>
      </c>
      <c r="K62">
        <v>2200</v>
      </c>
      <c r="L62">
        <v>0</v>
      </c>
      <c r="M62">
        <v>0</v>
      </c>
      <c r="N62">
        <v>0</v>
      </c>
      <c r="O62">
        <v>0</v>
      </c>
      <c r="P62">
        <v>1200</v>
      </c>
      <c r="Q62">
        <v>1200</v>
      </c>
      <c r="R62">
        <v>1400</v>
      </c>
      <c r="S62">
        <v>1200</v>
      </c>
      <c r="T62">
        <v>1200</v>
      </c>
      <c r="U62">
        <v>1200</v>
      </c>
      <c r="V62">
        <v>1200</v>
      </c>
      <c r="W62">
        <v>800</v>
      </c>
      <c r="X62">
        <v>800</v>
      </c>
      <c r="Y62">
        <v>800</v>
      </c>
      <c r="Z62">
        <v>800</v>
      </c>
      <c r="AA62">
        <v>1200</v>
      </c>
      <c r="AB62">
        <v>1200</v>
      </c>
      <c r="AC62">
        <v>1200</v>
      </c>
      <c r="AD62">
        <v>1200</v>
      </c>
      <c r="AE62">
        <v>1200</v>
      </c>
      <c r="AF62">
        <v>1300</v>
      </c>
      <c r="AG62">
        <v>1300</v>
      </c>
      <c r="AH62">
        <v>0</v>
      </c>
    </row>
    <row r="63" spans="1:34" x14ac:dyDescent="0.2">
      <c r="A63" s="57" t="s">
        <v>331</v>
      </c>
      <c r="B63">
        <v>0</v>
      </c>
      <c r="C63">
        <v>1200</v>
      </c>
      <c r="D63">
        <v>1200</v>
      </c>
      <c r="E63">
        <v>1000</v>
      </c>
      <c r="F63">
        <v>1200</v>
      </c>
      <c r="G63">
        <v>1200</v>
      </c>
      <c r="H63">
        <v>1200</v>
      </c>
      <c r="I63">
        <v>1400</v>
      </c>
      <c r="J63">
        <v>1800</v>
      </c>
      <c r="K63">
        <v>2200</v>
      </c>
      <c r="L63">
        <v>0</v>
      </c>
      <c r="M63">
        <v>0</v>
      </c>
      <c r="N63">
        <v>0</v>
      </c>
      <c r="O63">
        <v>0</v>
      </c>
      <c r="P63">
        <v>1200</v>
      </c>
      <c r="Q63">
        <v>1200</v>
      </c>
      <c r="R63">
        <v>1200</v>
      </c>
      <c r="S63">
        <v>1250</v>
      </c>
      <c r="T63">
        <v>1250</v>
      </c>
      <c r="U63">
        <v>1250</v>
      </c>
      <c r="V63">
        <v>1250</v>
      </c>
      <c r="W63">
        <v>800</v>
      </c>
      <c r="X63">
        <v>800</v>
      </c>
      <c r="Y63">
        <v>800</v>
      </c>
      <c r="Z63">
        <v>800</v>
      </c>
      <c r="AA63">
        <v>1200</v>
      </c>
      <c r="AB63">
        <v>1200</v>
      </c>
      <c r="AC63">
        <v>1200</v>
      </c>
      <c r="AD63">
        <v>1200</v>
      </c>
      <c r="AE63">
        <v>1200</v>
      </c>
      <c r="AF63">
        <v>1200</v>
      </c>
      <c r="AG63">
        <v>1200</v>
      </c>
      <c r="AH63">
        <v>0</v>
      </c>
    </row>
    <row r="64" spans="1:34" x14ac:dyDescent="0.2">
      <c r="A64" s="57" t="s">
        <v>332</v>
      </c>
      <c r="B64">
        <v>240</v>
      </c>
      <c r="C64">
        <v>1200</v>
      </c>
      <c r="D64">
        <v>1200</v>
      </c>
      <c r="E64">
        <v>1200</v>
      </c>
      <c r="F64">
        <v>1200</v>
      </c>
      <c r="G64">
        <v>960</v>
      </c>
      <c r="H64">
        <v>960</v>
      </c>
      <c r="I64">
        <v>720</v>
      </c>
      <c r="J64">
        <v>1200</v>
      </c>
      <c r="K64">
        <v>1920</v>
      </c>
      <c r="L64">
        <v>0</v>
      </c>
      <c r="M64">
        <v>0</v>
      </c>
      <c r="N64">
        <v>0</v>
      </c>
      <c r="O64">
        <v>0</v>
      </c>
      <c r="P64">
        <v>720</v>
      </c>
      <c r="Q64">
        <v>960</v>
      </c>
      <c r="R64">
        <v>960</v>
      </c>
      <c r="S64">
        <v>900</v>
      </c>
      <c r="T64">
        <v>900</v>
      </c>
      <c r="U64">
        <v>900</v>
      </c>
      <c r="V64">
        <v>900</v>
      </c>
      <c r="W64">
        <v>720</v>
      </c>
      <c r="X64">
        <v>720</v>
      </c>
      <c r="Y64">
        <v>720</v>
      </c>
      <c r="Z64">
        <v>720</v>
      </c>
      <c r="AA64">
        <v>1110</v>
      </c>
      <c r="AB64">
        <v>1110</v>
      </c>
      <c r="AC64">
        <v>1110</v>
      </c>
      <c r="AD64">
        <v>1110</v>
      </c>
      <c r="AE64">
        <v>1080</v>
      </c>
      <c r="AF64">
        <v>840</v>
      </c>
      <c r="AG64">
        <v>840</v>
      </c>
      <c r="AH64">
        <v>0</v>
      </c>
    </row>
    <row r="65" spans="1:34" x14ac:dyDescent="0.2">
      <c r="A65" s="57" t="s">
        <v>333</v>
      </c>
      <c r="B65">
        <v>240</v>
      </c>
      <c r="C65">
        <v>1440</v>
      </c>
      <c r="D65">
        <v>1200</v>
      </c>
      <c r="E65">
        <v>960</v>
      </c>
      <c r="F65">
        <v>1200</v>
      </c>
      <c r="G65">
        <v>960</v>
      </c>
      <c r="H65">
        <v>960</v>
      </c>
      <c r="I65">
        <v>720</v>
      </c>
      <c r="J65">
        <v>1200</v>
      </c>
      <c r="K65">
        <v>1920</v>
      </c>
      <c r="L65">
        <v>0</v>
      </c>
      <c r="M65">
        <v>0</v>
      </c>
      <c r="N65">
        <v>0</v>
      </c>
      <c r="O65">
        <v>0</v>
      </c>
      <c r="P65">
        <v>720</v>
      </c>
      <c r="Q65">
        <v>960</v>
      </c>
      <c r="R65">
        <v>960</v>
      </c>
      <c r="S65">
        <v>900</v>
      </c>
      <c r="T65">
        <v>900</v>
      </c>
      <c r="U65">
        <v>900</v>
      </c>
      <c r="V65">
        <v>900</v>
      </c>
      <c r="W65">
        <v>720</v>
      </c>
      <c r="X65">
        <v>720</v>
      </c>
      <c r="Y65">
        <v>720</v>
      </c>
      <c r="Z65">
        <v>720</v>
      </c>
      <c r="AA65">
        <v>1110</v>
      </c>
      <c r="AB65">
        <v>1110</v>
      </c>
      <c r="AC65">
        <v>1110</v>
      </c>
      <c r="AD65">
        <v>1110</v>
      </c>
      <c r="AE65">
        <v>1080</v>
      </c>
      <c r="AF65">
        <v>840</v>
      </c>
      <c r="AG65">
        <v>840</v>
      </c>
      <c r="AH65">
        <v>0</v>
      </c>
    </row>
    <row r="66" spans="1:34" x14ac:dyDescent="0.2">
      <c r="A66" s="57" t="s">
        <v>334</v>
      </c>
      <c r="B66">
        <v>0</v>
      </c>
      <c r="C66">
        <v>2400</v>
      </c>
      <c r="D66">
        <v>0</v>
      </c>
      <c r="E66">
        <v>960</v>
      </c>
      <c r="F66">
        <v>960</v>
      </c>
      <c r="G66">
        <v>960</v>
      </c>
      <c r="H66">
        <v>960</v>
      </c>
      <c r="I66">
        <v>960</v>
      </c>
      <c r="J66">
        <v>1200</v>
      </c>
      <c r="K66">
        <v>1200</v>
      </c>
      <c r="L66">
        <v>0</v>
      </c>
      <c r="M66">
        <v>0</v>
      </c>
      <c r="N66">
        <v>0</v>
      </c>
      <c r="O66">
        <v>0</v>
      </c>
      <c r="P66">
        <v>720</v>
      </c>
      <c r="Q66">
        <v>960</v>
      </c>
      <c r="R66">
        <v>720</v>
      </c>
      <c r="S66">
        <v>840</v>
      </c>
      <c r="T66">
        <v>840</v>
      </c>
      <c r="U66">
        <v>840</v>
      </c>
      <c r="V66">
        <v>840</v>
      </c>
      <c r="W66">
        <v>540</v>
      </c>
      <c r="X66">
        <v>540</v>
      </c>
      <c r="Y66">
        <v>540</v>
      </c>
      <c r="Z66">
        <v>540</v>
      </c>
      <c r="AA66">
        <v>720</v>
      </c>
      <c r="AB66">
        <v>720</v>
      </c>
      <c r="AC66">
        <v>720</v>
      </c>
      <c r="AD66">
        <v>720</v>
      </c>
      <c r="AE66">
        <v>720</v>
      </c>
      <c r="AF66">
        <v>960</v>
      </c>
      <c r="AG66">
        <v>960</v>
      </c>
      <c r="AH66">
        <v>0</v>
      </c>
    </row>
    <row r="67" spans="1:34" x14ac:dyDescent="0.2">
      <c r="A67" s="57" t="s">
        <v>335</v>
      </c>
      <c r="B67">
        <v>0</v>
      </c>
      <c r="C67">
        <v>1200</v>
      </c>
      <c r="D67">
        <v>960</v>
      </c>
      <c r="E67">
        <v>1200</v>
      </c>
      <c r="F67">
        <v>960</v>
      </c>
      <c r="G67">
        <v>720</v>
      </c>
      <c r="H67">
        <v>960</v>
      </c>
      <c r="I67">
        <v>1200</v>
      </c>
      <c r="J67">
        <v>1200</v>
      </c>
      <c r="K67">
        <v>1200</v>
      </c>
      <c r="L67">
        <v>0</v>
      </c>
      <c r="M67">
        <v>0</v>
      </c>
      <c r="N67">
        <v>0</v>
      </c>
      <c r="O67">
        <v>0</v>
      </c>
      <c r="P67">
        <v>720</v>
      </c>
      <c r="Q67">
        <v>720</v>
      </c>
      <c r="R67">
        <v>960</v>
      </c>
      <c r="S67">
        <v>780</v>
      </c>
      <c r="T67">
        <v>780</v>
      </c>
      <c r="U67">
        <v>780</v>
      </c>
      <c r="V67">
        <v>780</v>
      </c>
      <c r="W67">
        <v>600</v>
      </c>
      <c r="X67">
        <v>600</v>
      </c>
      <c r="Y67">
        <v>600</v>
      </c>
      <c r="Z67">
        <v>600</v>
      </c>
      <c r="AA67">
        <v>720</v>
      </c>
      <c r="AB67">
        <v>720</v>
      </c>
      <c r="AC67">
        <v>720</v>
      </c>
      <c r="AD67">
        <v>720</v>
      </c>
      <c r="AE67">
        <v>720</v>
      </c>
      <c r="AF67">
        <v>960</v>
      </c>
      <c r="AG67">
        <v>960</v>
      </c>
      <c r="AH67">
        <v>0</v>
      </c>
    </row>
    <row r="68" spans="1:34" x14ac:dyDescent="0.2">
      <c r="A68" s="57" t="s">
        <v>336</v>
      </c>
      <c r="B68">
        <v>0</v>
      </c>
      <c r="C68">
        <v>4800</v>
      </c>
      <c r="D68">
        <v>4800</v>
      </c>
      <c r="E68">
        <v>3840</v>
      </c>
      <c r="F68">
        <v>3840</v>
      </c>
      <c r="G68">
        <v>4800</v>
      </c>
      <c r="H68">
        <v>3840</v>
      </c>
      <c r="I68">
        <v>4800</v>
      </c>
      <c r="J68">
        <v>5760</v>
      </c>
      <c r="K68">
        <v>7680</v>
      </c>
      <c r="L68">
        <v>0</v>
      </c>
      <c r="M68">
        <v>0</v>
      </c>
      <c r="N68">
        <v>0</v>
      </c>
      <c r="O68">
        <v>0</v>
      </c>
      <c r="P68">
        <v>3840</v>
      </c>
      <c r="Q68">
        <v>3840</v>
      </c>
      <c r="R68">
        <v>3840</v>
      </c>
      <c r="S68">
        <v>4080</v>
      </c>
      <c r="T68">
        <v>4080</v>
      </c>
      <c r="U68">
        <v>4080</v>
      </c>
      <c r="V68">
        <v>4080</v>
      </c>
      <c r="W68">
        <v>2640</v>
      </c>
      <c r="X68">
        <v>2640</v>
      </c>
      <c r="Y68">
        <v>2640</v>
      </c>
      <c r="Z68">
        <v>2640</v>
      </c>
      <c r="AA68">
        <v>3840</v>
      </c>
      <c r="AB68">
        <v>3840</v>
      </c>
      <c r="AC68">
        <v>3840</v>
      </c>
      <c r="AD68">
        <v>3840</v>
      </c>
      <c r="AE68">
        <v>3840</v>
      </c>
      <c r="AF68">
        <v>4800</v>
      </c>
      <c r="AG68">
        <v>4800</v>
      </c>
      <c r="AH68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T-JCI2 RH</vt:lpstr>
      <vt:lpstr>B-JCI2 RH</vt:lpstr>
      <vt:lpstr>T-JCI2 LH</vt:lpstr>
      <vt:lpstr>B-JCI2 LH</vt:lpstr>
      <vt:lpstr>T-ADIENT REAR SEAT</vt:lpstr>
      <vt:lpstr>B-ADIENT REAR SEAT</vt:lpstr>
      <vt:lpstr>T-ADIENT CHUSION</vt:lpstr>
      <vt:lpstr>B-ADIENT CHUSION</vt:lpstr>
      <vt:lpstr>WIP</vt:lpstr>
      <vt:lpstr>Plan</vt:lpstr>
      <vt:lpstr>OS</vt:lpstr>
      <vt:lpstr>Sales</vt:lpstr>
    </vt:vector>
  </TitlesOfParts>
  <Company>mind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ajaykumar</dc:creator>
  <cp:lastModifiedBy>Yahiya, Mohamed (Port Said)</cp:lastModifiedBy>
  <dcterms:created xsi:type="dcterms:W3CDTF">2010-09-27T07:03:10Z</dcterms:created>
  <dcterms:modified xsi:type="dcterms:W3CDTF">2026-05-12T10:02:13Z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r8>21153</vt:r8>
  </property>
  <property fmtid="{D5CDD505-2E9C-101B-9397-08002B2CF9AE}" pid="3" name="NXPowerLiteSettings">
    <vt:lpwstr>F54006B004C800</vt:lpwstr>
  </property>
  <property fmtid="{D5CDD505-2E9C-101B-9397-08002B2CF9AE}" pid="4" name="NXPowerLiteVersion">
    <vt:lpwstr>S6.2.0</vt:lpwstr>
  </property>
</Properties>
</file>