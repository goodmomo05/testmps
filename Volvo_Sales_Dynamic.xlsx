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✏️ Data Input" sheetId="1" state="visible" r:id="rId3"/>
    <sheet name="📊 Dashboard" sheetId="2" state="visible" r:id="rId4"/>
    <sheet name="📈 Weekly Trend" sheetId="3" state="visible" r:id="rId5"/>
    <sheet name="🏭 Facility Analysis" sheetId="4" state="visible" r:id="rId6"/>
    <sheet name="🏆 Part Ranking" sheetId="5" state="visible" r:id="rId7"/>
    <sheet name="📅 Monthly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<sst xmlns="http://schemas.openxmlformats.org/spreadsheetml/2006/main" count="494" uniqueCount="150">
  <si>
    <t xml:space="preserve">✏️  WEEKLY SALES DATA INPUT  –  VOLVO / SEWS PORT SAID MFG</t>
  </si>
  <si>
    <t xml:space="preserve">⚡  Update any quantity cell below — all other sheets recalculate automatically</t>
  </si>
  <si>
    <t xml:space="preserve">Facility</t>
  </si>
  <si>
    <t xml:space="preserve">SEWS Part No.</t>
  </si>
  <si>
    <t xml:space="preserve">WK 20</t>
  </si>
  <si>
    <t xml:space="preserve">WK 21</t>
  </si>
  <si>
    <t xml:space="preserve">WK 22</t>
  </si>
  <si>
    <t xml:space="preserve">WK 23</t>
  </si>
  <si>
    <t xml:space="preserve">WK 24</t>
  </si>
  <si>
    <t xml:space="preserve">WK 25</t>
  </si>
  <si>
    <t xml:space="preserve">WK 26</t>
  </si>
  <si>
    <t xml:space="preserve">WK 27</t>
  </si>
  <si>
    <t xml:space="preserve">WK 28</t>
  </si>
  <si>
    <t xml:space="preserve">WK 29</t>
  </si>
  <si>
    <t xml:space="preserve">WK 30</t>
  </si>
  <si>
    <t xml:space="preserve">WK 31</t>
  </si>
  <si>
    <t xml:space="preserve">WK 32</t>
  </si>
  <si>
    <t xml:space="preserve">WK 33</t>
  </si>
  <si>
    <t xml:space="preserve">WK 34</t>
  </si>
  <si>
    <t xml:space="preserve">WK 35</t>
  </si>
  <si>
    <t xml:space="preserve">WK 36</t>
  </si>
  <si>
    <t xml:space="preserve">WK 37</t>
  </si>
  <si>
    <t xml:space="preserve">WK 38</t>
  </si>
  <si>
    <t xml:space="preserve">WK 39</t>
  </si>
  <si>
    <t xml:space="preserve">WK 40</t>
  </si>
  <si>
    <t xml:space="preserve">WK 41</t>
  </si>
  <si>
    <t xml:space="preserve">WK 42</t>
  </si>
  <si>
    <t xml:space="preserve">WK 43</t>
  </si>
  <si>
    <t xml:space="preserve">WK 44</t>
  </si>
  <si>
    <t xml:space="preserve">WK 45</t>
  </si>
  <si>
    <t xml:space="preserve">WK 46</t>
  </si>
  <si>
    <t xml:space="preserve">WK 47</t>
  </si>
  <si>
    <t xml:space="preserve">WK 48</t>
  </si>
  <si>
    <t xml:space="preserve">WK 49</t>
  </si>
  <si>
    <t xml:space="preserve">WK 50</t>
  </si>
  <si>
    <t xml:space="preserve">WK 51</t>
  </si>
  <si>
    <t xml:space="preserve">WK 52</t>
  </si>
  <si>
    <t xml:space="preserve">Week Start Date</t>
  </si>
  <si>
    <t xml:space="preserve">JCI2 LH</t>
  </si>
  <si>
    <t xml:space="preserve">4172750</t>
  </si>
  <si>
    <t xml:space="preserve">4172755</t>
  </si>
  <si>
    <t xml:space="preserve">5080299</t>
  </si>
  <si>
    <t xml:space="preserve">5073059</t>
  </si>
  <si>
    <t xml:space="preserve">5073061</t>
  </si>
  <si>
    <t xml:space="preserve">4172749</t>
  </si>
  <si>
    <t xml:space="preserve">4172753</t>
  </si>
  <si>
    <t xml:space="preserve">5080294</t>
  </si>
  <si>
    <t xml:space="preserve">5073058</t>
  </si>
  <si>
    <t xml:space="preserve">4172770</t>
  </si>
  <si>
    <t xml:space="preserve">4817100</t>
  </si>
  <si>
    <t xml:space="preserve">4817103</t>
  </si>
  <si>
    <t xml:space="preserve">4817114</t>
  </si>
  <si>
    <t xml:space="preserve">4754918</t>
  </si>
  <si>
    <t xml:space="preserve">4755038</t>
  </si>
  <si>
    <t xml:space="preserve">4755081</t>
  </si>
  <si>
    <t xml:space="preserve">5080268</t>
  </si>
  <si>
    <t xml:space="preserve">5180031</t>
  </si>
  <si>
    <t xml:space="preserve">5180032</t>
  </si>
  <si>
    <t xml:space="preserve">5180033</t>
  </si>
  <si>
    <t xml:space="preserve">5073060</t>
  </si>
  <si>
    <t xml:space="preserve">4172763</t>
  </si>
  <si>
    <t xml:space="preserve">4172773</t>
  </si>
  <si>
    <t xml:space="preserve">7506617</t>
  </si>
  <si>
    <t xml:space="preserve">4172806</t>
  </si>
  <si>
    <t xml:space="preserve">4817101</t>
  </si>
  <si>
    <t xml:space="preserve">5080285</t>
  </si>
  <si>
    <t xml:space="preserve">4817111</t>
  </si>
  <si>
    <t xml:space="preserve">5080263</t>
  </si>
  <si>
    <t xml:space="preserve">JCI2 RH</t>
  </si>
  <si>
    <t xml:space="preserve">4172784</t>
  </si>
  <si>
    <t xml:space="preserve">4172800</t>
  </si>
  <si>
    <t xml:space="preserve">4172821</t>
  </si>
  <si>
    <t xml:space="preserve">4172826</t>
  </si>
  <si>
    <t xml:space="preserve">5080446</t>
  </si>
  <si>
    <t xml:space="preserve">5073064</t>
  </si>
  <si>
    <t xml:space="preserve">4172820</t>
  </si>
  <si>
    <t xml:space="preserve">4172825</t>
  </si>
  <si>
    <t xml:space="preserve">4264989</t>
  </si>
  <si>
    <t xml:space="preserve">4817124</t>
  </si>
  <si>
    <t xml:space="preserve">4817129</t>
  </si>
  <si>
    <t xml:space="preserve">4817131</t>
  </si>
  <si>
    <t xml:space="preserve">4817134</t>
  </si>
  <si>
    <t xml:space="preserve">4817136</t>
  </si>
  <si>
    <t xml:space="preserve">4755146</t>
  </si>
  <si>
    <t xml:space="preserve">5080443</t>
  </si>
  <si>
    <t xml:space="preserve">5180039</t>
  </si>
  <si>
    <t xml:space="preserve">5180040</t>
  </si>
  <si>
    <t xml:space="preserve">5080450</t>
  </si>
  <si>
    <t xml:space="preserve">4172797</t>
  </si>
  <si>
    <t xml:space="preserve">7506626</t>
  </si>
  <si>
    <t xml:space="preserve">7506627</t>
  </si>
  <si>
    <t xml:space="preserve">4172790</t>
  </si>
  <si>
    <t xml:space="preserve">4264994</t>
  </si>
  <si>
    <t xml:space="preserve">4817115</t>
  </si>
  <si>
    <t xml:space="preserve">4817125</t>
  </si>
  <si>
    <t xml:space="preserve">4755147</t>
  </si>
  <si>
    <t xml:space="preserve">5080431</t>
  </si>
  <si>
    <t xml:space="preserve">4817130</t>
  </si>
  <si>
    <t xml:space="preserve">5080417</t>
  </si>
  <si>
    <t xml:space="preserve">5180041</t>
  </si>
  <si>
    <t xml:space="preserve">REAR SEAT</t>
  </si>
  <si>
    <t xml:space="preserve">4429348</t>
  </si>
  <si>
    <t xml:space="preserve">4429349</t>
  </si>
  <si>
    <t xml:space="preserve">4429351</t>
  </si>
  <si>
    <t xml:space="preserve">4429352</t>
  </si>
  <si>
    <t xml:space="preserve">4429355</t>
  </si>
  <si>
    <t xml:space="preserve">4429356</t>
  </si>
  <si>
    <t xml:space="preserve">CUSHION</t>
  </si>
  <si>
    <t xml:space="preserve">4429358</t>
  </si>
  <si>
    <t xml:space="preserve">GRAND TOTAL</t>
  </si>
  <si>
    <t xml:space="preserve">📊  VOLVO SALES DASHBOARD  –  SEWS PORT SAID MFG</t>
  </si>
  <si>
    <t xml:space="preserve">⚡ All values update automatically from the Data Input sheet</t>
  </si>
  <si>
    <t xml:space="preserve">  KEY PERFORMANCE INDICATORS</t>
  </si>
  <si>
    <t xml:space="preserve">TOTAL SALES QTY</t>
  </si>
  <si>
    <t xml:space="preserve">WEEKLY AVERAGE</t>
  </si>
  <si>
    <t xml:space="preserve">TOTAL WEEKS</t>
  </si>
  <si>
    <t xml:space="preserve">TOTAL PARTS</t>
  </si>
  <si>
    <t xml:space="preserve">ACTIVE PARTS</t>
  </si>
  <si>
    <t xml:space="preserve">FACILITIES</t>
  </si>
  <si>
    <t xml:space="preserve">  FACILITY BREAKDOWN</t>
  </si>
  <si>
    <t xml:space="preserve">Total Qty</t>
  </si>
  <si>
    <t xml:space="preserve">Avg / Week</t>
  </si>
  <si>
    <t xml:space="preserve">Max Week</t>
  </si>
  <si>
    <t xml:space="preserve">Active Weeks</t>
  </si>
  <si>
    <t xml:space="preserve">% of Total</t>
  </si>
  <si>
    <t xml:space="preserve">—</t>
  </si>
  <si>
    <t xml:space="preserve">  MONTHLY TOTALS  (auto-calculated from Data Input)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</si>
  <si>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</si>
  <si>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</si>
  <si>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</si>
  <si>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</si>
  <si>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</si>
  <si>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</si>
  <si>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</si>
  <si>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TOTAL</t>
  </si>
  <si>
    <t xml:space="preserve">📈  WEEKLY TREND  –  ALL FACILITIES  (formula-driven)</t>
  </si>
  <si>
    <t xml:space="preserve">Week</t>
  </si>
  <si>
    <t xml:space="preserve">Grand Total</t>
  </si>
  <si>
    <t xml:space="preserve">🏭  FACILITY ANALYSIS  (formula-driven – auto-updates from Data Input)</t>
  </si>
  <si>
    <t xml:space="preserve">  JCI2 LH</t>
  </si>
  <si>
    <t xml:space="preserve">Part No.</t>
  </si>
  <si>
    <t xml:space="preserve">SUBTOTAL</t>
  </si>
  <si>
    <t xml:space="preserve">  JCI2 RH</t>
  </si>
  <si>
    <t xml:space="preserve">  REAR SEAT</t>
  </si>
  <si>
    <t xml:space="preserve">  CUSHION</t>
  </si>
  <si>
    <t xml:space="preserve">🏆  PART RANKING  –  BY TOTAL SALES (formula-driven)</t>
  </si>
  <si>
    <t xml:space="preserve">Rank</t>
  </si>
  <si>
    <t xml:space="preserve">Total Qty (all weeks)</t>
  </si>
  <si>
    <t xml:space="preserve">📅  MONTHLY SUMMARY  (formula-driven)</t>
  </si>
  <si>
    <t xml:space="preserve">Dec 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</si>
</sst>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"/>
    <numFmt numFmtId="166" formatCode="#,##0"/>
    <numFmt numFmtId="167" formatCode="0"/>
    <numFmt numFmtId="168" formatCode="0.0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D6DCE4"/>
      </patternFill>
    </fill>
    <fill>
      <patternFill patternType="solid">
        <fgColor rgb="FF2E75B6"/>
        <bgColor rgb="FF4A7EBB"/>
      </patternFill>
    </fill>
    <fill>
      <patternFill patternType="solid">
        <fgColor rgb="FFF4B942"/>
        <bgColor rgb="FFC9A227"/>
      </patternFill>
    </fill>
    <fill>
      <patternFill patternType="solid">
        <fgColor rgb="FFF2F2F2"/>
        <bgColor rgb="FFF9F9F9"/>
      </patternFill>
    </fill>
    <fill>
      <patternFill patternType="solid">
        <fgColor rgb="FFFFFBE6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5B9BD5"/>
        <bgColor rgb="FF4F81BD"/>
      </patternFill>
    </fill>
    <fill>
      <patternFill patternType="solid">
        <fgColor rgb="FF70AD47"/>
        <bgColor rgb="FF9BBB59"/>
      </patternFill>
    </fill>
    <fill>
      <patternFill patternType="solid">
        <fgColor rgb="FFED7D31"/>
        <bgColor rgb="FFE36C09"/>
      </patternFill>
    </fill>
    <fill>
      <patternFill patternType="solid">
        <fgColor rgb="FF375623"/>
        <bgColor rgb="FF333300"/>
      </patternFill>
    </fill>
    <fill>
      <patternFill patternType="solid">
        <fgColor rgb="FFC9A227"/>
        <bgColor rgb="FFF4B942"/>
      </patternFill>
    </fill>
    <fill>
      <patternFill patternType="solid">
        <fgColor rgb="FFE36C09"/>
        <bgColor rgb="FFED7D31"/>
      </patternFill>
    </fill>
    <fill>
      <patternFill patternType="solid">
        <fgColor rgb="FFBDD7EE"/>
        <bgColor rgb="FFD6DCE4"/>
      </patternFill>
    </fill>
    <fill>
      <patternFill patternType="solid">
        <fgColor rgb="FFD6DCE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D9D9D9"/>
      <rgbColor rgb="FF878787"/>
      <rgbColor rgb="FF5B9BD5"/>
      <rgbColor rgb="FFC0504D"/>
      <rgbColor rgb="FFFFFBE6"/>
      <rgbColor rgb="FFDEEAF1"/>
      <rgbColor rgb="FF660066"/>
      <rgbColor rgb="FFED7D31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DCE4"/>
      <rgbColor rgb="FFF9F9F9"/>
      <rgbColor rgb="FF99CCFF"/>
      <rgbColor rgb="FFFF99CC"/>
      <rgbColor rgb="FFCC99FF"/>
      <rgbColor rgb="FFFFCC99"/>
      <rgbColor rgb="FF2E75B6"/>
      <rgbColor rgb="FF33CCCC"/>
      <rgbColor rgb="FF9BBB59"/>
      <rgbColor rgb="FFF4B942"/>
      <rgbColor rgb="FFC9A227"/>
      <rgbColor rgb="FFE36C09"/>
      <rgbColor rgb="FF8064A2"/>
      <rgbColor rgb="FF70AD47"/>
      <rgbColor rgb="FF1F3864"/>
      <rgbColor rgb="FF4A7EBB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Sales by Facility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'📈 Weekly Trend'!D2</c:f>
              <c:strCache>
                <c:ptCount val="1"/>
                <c:pt idx="0">
                  <c:v>JCI2 LH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Weekly Trend'!$B$3:$B$35</c:f>
              <c:strCache>
                <c:ptCount val="33"/>
                <c:pt idx="0">
                  <c:v>WK 20</c:v>
                </c:pt>
                <c:pt idx="1">
                  <c:v>WK 21</c:v>
                </c:pt>
                <c:pt idx="2">
                  <c:v>WK 22</c:v>
                </c:pt>
                <c:pt idx="3">
                  <c:v>WK 23</c:v>
                </c:pt>
                <c:pt idx="4">
                  <c:v>WK 24</c:v>
                </c:pt>
                <c:pt idx="5">
                  <c:v>WK 25</c:v>
                </c:pt>
                <c:pt idx="6">
                  <c:v>WK 26</c:v>
                </c:pt>
                <c:pt idx="7">
                  <c:v>WK 27</c:v>
                </c:pt>
                <c:pt idx="8">
                  <c:v>WK 28</c:v>
                </c:pt>
                <c:pt idx="9">
                  <c:v>WK 29</c:v>
                </c:pt>
                <c:pt idx="10">
                  <c:v>WK 30</c:v>
                </c:pt>
                <c:pt idx="11">
                  <c:v>WK 31</c:v>
                </c:pt>
                <c:pt idx="12">
                  <c:v>WK 32</c:v>
                </c:pt>
                <c:pt idx="13">
                  <c:v>WK 33</c:v>
                </c:pt>
                <c:pt idx="14">
                  <c:v>WK 34</c:v>
                </c:pt>
                <c:pt idx="15">
                  <c:v>WK 35</c:v>
                </c:pt>
                <c:pt idx="16">
                  <c:v>WK 36</c:v>
                </c:pt>
                <c:pt idx="17">
                  <c:v>WK 37</c:v>
                </c:pt>
                <c:pt idx="18">
                  <c:v>WK 38</c:v>
                </c:pt>
                <c:pt idx="19">
                  <c:v>WK 39</c:v>
                </c:pt>
                <c:pt idx="20">
                  <c:v>WK 40</c:v>
                </c:pt>
                <c:pt idx="21">
                  <c:v>WK 41</c:v>
                </c:pt>
                <c:pt idx="22">
                  <c:v>WK 42</c:v>
                </c:pt>
                <c:pt idx="23">
                  <c:v>WK 43</c:v>
                </c:pt>
                <c:pt idx="24">
                  <c:v>WK 44</c:v>
                </c:pt>
                <c:pt idx="25">
                  <c:v>WK 45</c:v>
                </c:pt>
                <c:pt idx="26">
                  <c:v>WK 46</c:v>
                </c:pt>
                <c:pt idx="27">
                  <c:v>WK 47</c:v>
                </c:pt>
                <c:pt idx="28">
                  <c:v>WK 48</c:v>
                </c:pt>
                <c:pt idx="29">
                  <c:v>WK 49</c:v>
                </c:pt>
                <c:pt idx="30">
                  <c:v>WK 50</c:v>
                </c:pt>
                <c:pt idx="31">
                  <c:v>WK 51</c:v>
                </c:pt>
                <c:pt idx="32">
                  <c:v>WK 52</c:v>
                </c:pt>
              </c:strCache>
            </c:strRef>
          </c:cat>
          <c:val>
            <c:numRef>
              <c:f>'📈 Weekly Trend'!$D$3:$D$35</c:f>
              <c:numCache>
                <c:formatCode>#,##0</c:formatCode>
                <c:ptCount val="33"/>
                <c:pt idx="0">
                  <c:v>240</c:v>
                </c:pt>
                <c:pt idx="1">
                  <c:v>5960</c:v>
                </c:pt>
                <c:pt idx="2">
                  <c:v>3400</c:v>
                </c:pt>
                <c:pt idx="3">
                  <c:v>3900</c:v>
                </c:pt>
                <c:pt idx="4">
                  <c:v>4116</c:v>
                </c:pt>
                <c:pt idx="5">
                  <c:v>4260</c:v>
                </c:pt>
                <c:pt idx="6">
                  <c:v>3560</c:v>
                </c:pt>
                <c:pt idx="7">
                  <c:v>3720</c:v>
                </c:pt>
                <c:pt idx="8">
                  <c:v>5120</c:v>
                </c:pt>
                <c:pt idx="9">
                  <c:v>6500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3840</c:v>
                </c:pt>
                <c:pt idx="15">
                  <c:v>3080</c:v>
                </c:pt>
                <c:pt idx="16">
                  <c:v>3660</c:v>
                </c:pt>
                <c:pt idx="17">
                  <c:v>3640</c:v>
                </c:pt>
                <c:pt idx="18">
                  <c:v>3640</c:v>
                </c:pt>
                <c:pt idx="19">
                  <c:v>3640</c:v>
                </c:pt>
                <c:pt idx="20">
                  <c:v>3600</c:v>
                </c:pt>
                <c:pt idx="21">
                  <c:v>2600</c:v>
                </c:pt>
                <c:pt idx="22">
                  <c:v>2600</c:v>
                </c:pt>
                <c:pt idx="23">
                  <c:v>2600</c:v>
                </c:pt>
                <c:pt idx="24">
                  <c:v>2560</c:v>
                </c:pt>
                <c:pt idx="25">
                  <c:v>3780</c:v>
                </c:pt>
                <c:pt idx="26">
                  <c:v>3780</c:v>
                </c:pt>
                <c:pt idx="27">
                  <c:v>3780</c:v>
                </c:pt>
                <c:pt idx="28">
                  <c:v>3780</c:v>
                </c:pt>
                <c:pt idx="29">
                  <c:v>3440</c:v>
                </c:pt>
                <c:pt idx="30">
                  <c:v>3920</c:v>
                </c:pt>
                <c:pt idx="31">
                  <c:v>3920</c:v>
                </c:pt>
                <c:pt idx="32">
                  <c:v>0</c:v>
                </c:pt>
              </c:numCache>
            </c:numRef>
          </c:val>
        </c:ser>
        <c:ser>
          <c:idx val="1"/>
          <c:order val="1"/>
          <c:tx>
            <c:strRef>
              <c:f>'📈 Weekly Trend'!E2</c:f>
              <c:strCache>
                <c:ptCount val="1"/>
                <c:pt idx="0">
                  <c:v>JCI2 RH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Weekly Trend'!$B$3:$B$35</c:f>
              <c:strCache>
                <c:ptCount val="33"/>
                <c:pt idx="0">
                  <c:v>WK 20</c:v>
                </c:pt>
                <c:pt idx="1">
                  <c:v>WK 21</c:v>
                </c:pt>
                <c:pt idx="2">
                  <c:v>WK 22</c:v>
                </c:pt>
                <c:pt idx="3">
                  <c:v>WK 23</c:v>
                </c:pt>
                <c:pt idx="4">
                  <c:v>WK 24</c:v>
                </c:pt>
                <c:pt idx="5">
                  <c:v>WK 25</c:v>
                </c:pt>
                <c:pt idx="6">
                  <c:v>WK 26</c:v>
                </c:pt>
                <c:pt idx="7">
                  <c:v>WK 27</c:v>
                </c:pt>
                <c:pt idx="8">
                  <c:v>WK 28</c:v>
                </c:pt>
                <c:pt idx="9">
                  <c:v>WK 29</c:v>
                </c:pt>
                <c:pt idx="10">
                  <c:v>WK 30</c:v>
                </c:pt>
                <c:pt idx="11">
                  <c:v>WK 31</c:v>
                </c:pt>
                <c:pt idx="12">
                  <c:v>WK 32</c:v>
                </c:pt>
                <c:pt idx="13">
                  <c:v>WK 33</c:v>
                </c:pt>
                <c:pt idx="14">
                  <c:v>WK 34</c:v>
                </c:pt>
                <c:pt idx="15">
                  <c:v>WK 35</c:v>
                </c:pt>
                <c:pt idx="16">
                  <c:v>WK 36</c:v>
                </c:pt>
                <c:pt idx="17">
                  <c:v>WK 37</c:v>
                </c:pt>
                <c:pt idx="18">
                  <c:v>WK 38</c:v>
                </c:pt>
                <c:pt idx="19">
                  <c:v>WK 39</c:v>
                </c:pt>
                <c:pt idx="20">
                  <c:v>WK 40</c:v>
                </c:pt>
                <c:pt idx="21">
                  <c:v>WK 41</c:v>
                </c:pt>
                <c:pt idx="22">
                  <c:v>WK 42</c:v>
                </c:pt>
                <c:pt idx="23">
                  <c:v>WK 43</c:v>
                </c:pt>
                <c:pt idx="24">
                  <c:v>WK 44</c:v>
                </c:pt>
                <c:pt idx="25">
                  <c:v>WK 45</c:v>
                </c:pt>
                <c:pt idx="26">
                  <c:v>WK 46</c:v>
                </c:pt>
                <c:pt idx="27">
                  <c:v>WK 47</c:v>
                </c:pt>
                <c:pt idx="28">
                  <c:v>WK 48</c:v>
                </c:pt>
                <c:pt idx="29">
                  <c:v>WK 49</c:v>
                </c:pt>
                <c:pt idx="30">
                  <c:v>WK 50</c:v>
                </c:pt>
                <c:pt idx="31">
                  <c:v>WK 51</c:v>
                </c:pt>
                <c:pt idx="32">
                  <c:v>WK 52</c:v>
                </c:pt>
              </c:strCache>
            </c:strRef>
          </c:cat>
          <c:val>
            <c:numRef>
              <c:f>'📈 Weekly Trend'!$E$3:$E$35</c:f>
              <c:numCache>
                <c:formatCode>#,##0</c:formatCode>
                <c:ptCount val="33"/>
                <c:pt idx="0">
                  <c:v>320</c:v>
                </c:pt>
                <c:pt idx="1">
                  <c:v>5700</c:v>
                </c:pt>
                <c:pt idx="2">
                  <c:v>3660</c:v>
                </c:pt>
                <c:pt idx="3">
                  <c:v>4240</c:v>
                </c:pt>
                <c:pt idx="4">
                  <c:v>3975</c:v>
                </c:pt>
                <c:pt idx="5">
                  <c:v>3860</c:v>
                </c:pt>
                <c:pt idx="6">
                  <c:v>3580</c:v>
                </c:pt>
                <c:pt idx="7">
                  <c:v>4000</c:v>
                </c:pt>
                <c:pt idx="8">
                  <c:v>5400</c:v>
                </c:pt>
                <c:pt idx="9">
                  <c:v>6300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3740</c:v>
                </c:pt>
                <c:pt idx="15">
                  <c:v>3400</c:v>
                </c:pt>
                <c:pt idx="16">
                  <c:v>3260</c:v>
                </c:pt>
                <c:pt idx="17">
                  <c:v>3680</c:v>
                </c:pt>
                <c:pt idx="18">
                  <c:v>3680</c:v>
                </c:pt>
                <c:pt idx="19">
                  <c:v>3680</c:v>
                </c:pt>
                <c:pt idx="20">
                  <c:v>3620</c:v>
                </c:pt>
                <c:pt idx="21">
                  <c:v>2500</c:v>
                </c:pt>
                <c:pt idx="22">
                  <c:v>2500</c:v>
                </c:pt>
                <c:pt idx="23">
                  <c:v>2500</c:v>
                </c:pt>
                <c:pt idx="24">
                  <c:v>2460</c:v>
                </c:pt>
                <c:pt idx="25">
                  <c:v>3750</c:v>
                </c:pt>
                <c:pt idx="26">
                  <c:v>3750</c:v>
                </c:pt>
                <c:pt idx="27">
                  <c:v>3740</c:v>
                </c:pt>
                <c:pt idx="28">
                  <c:v>3740</c:v>
                </c:pt>
                <c:pt idx="29">
                  <c:v>3420</c:v>
                </c:pt>
                <c:pt idx="30">
                  <c:v>3760</c:v>
                </c:pt>
                <c:pt idx="31">
                  <c:v>3760</c:v>
                </c:pt>
                <c:pt idx="32">
                  <c:v>0</c:v>
                </c:pt>
              </c:numCache>
            </c:numRef>
          </c:val>
        </c:ser>
        <c:ser>
          <c:idx val="2"/>
          <c:order val="2"/>
          <c:tx>
            <c:strRef>
              <c:f>'📈 Weekly Trend'!F2</c:f>
              <c:strCache>
                <c:ptCount val="1"/>
                <c:pt idx="0">
                  <c:v>REAR SEAT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Weekly Trend'!$B$3:$B$35</c:f>
              <c:strCache>
                <c:ptCount val="33"/>
                <c:pt idx="0">
                  <c:v>WK 20</c:v>
                </c:pt>
                <c:pt idx="1">
                  <c:v>WK 21</c:v>
                </c:pt>
                <c:pt idx="2">
                  <c:v>WK 22</c:v>
                </c:pt>
                <c:pt idx="3">
                  <c:v>WK 23</c:v>
                </c:pt>
                <c:pt idx="4">
                  <c:v>WK 24</c:v>
                </c:pt>
                <c:pt idx="5">
                  <c:v>WK 25</c:v>
                </c:pt>
                <c:pt idx="6">
                  <c:v>WK 26</c:v>
                </c:pt>
                <c:pt idx="7">
                  <c:v>WK 27</c:v>
                </c:pt>
                <c:pt idx="8">
                  <c:v>WK 28</c:v>
                </c:pt>
                <c:pt idx="9">
                  <c:v>WK 29</c:v>
                </c:pt>
                <c:pt idx="10">
                  <c:v>WK 30</c:v>
                </c:pt>
                <c:pt idx="11">
                  <c:v>WK 31</c:v>
                </c:pt>
                <c:pt idx="12">
                  <c:v>WK 32</c:v>
                </c:pt>
                <c:pt idx="13">
                  <c:v>WK 33</c:v>
                </c:pt>
                <c:pt idx="14">
                  <c:v>WK 34</c:v>
                </c:pt>
                <c:pt idx="15">
                  <c:v>WK 35</c:v>
                </c:pt>
                <c:pt idx="16">
                  <c:v>WK 36</c:v>
                </c:pt>
                <c:pt idx="17">
                  <c:v>WK 37</c:v>
                </c:pt>
                <c:pt idx="18">
                  <c:v>WK 38</c:v>
                </c:pt>
                <c:pt idx="19">
                  <c:v>WK 39</c:v>
                </c:pt>
                <c:pt idx="20">
                  <c:v>WK 40</c:v>
                </c:pt>
                <c:pt idx="21">
                  <c:v>WK 41</c:v>
                </c:pt>
                <c:pt idx="22">
                  <c:v>WK 42</c:v>
                </c:pt>
                <c:pt idx="23">
                  <c:v>WK 43</c:v>
                </c:pt>
                <c:pt idx="24">
                  <c:v>WK 44</c:v>
                </c:pt>
                <c:pt idx="25">
                  <c:v>WK 45</c:v>
                </c:pt>
                <c:pt idx="26">
                  <c:v>WK 46</c:v>
                </c:pt>
                <c:pt idx="27">
                  <c:v>WK 47</c:v>
                </c:pt>
                <c:pt idx="28">
                  <c:v>WK 48</c:v>
                </c:pt>
                <c:pt idx="29">
                  <c:v>WK 49</c:v>
                </c:pt>
                <c:pt idx="30">
                  <c:v>WK 50</c:v>
                </c:pt>
                <c:pt idx="31">
                  <c:v>WK 51</c:v>
                </c:pt>
                <c:pt idx="32">
                  <c:v>WK 52</c:v>
                </c:pt>
              </c:strCache>
            </c:strRef>
          </c:cat>
          <c:val>
            <c:numRef>
              <c:f>'📈 Weekly Trend'!$F$3:$F$35</c:f>
              <c:numCache>
                <c:formatCode>#,##0</c:formatCode>
                <c:ptCount val="33"/>
                <c:pt idx="0">
                  <c:v>480</c:v>
                </c:pt>
                <c:pt idx="1">
                  <c:v>9840</c:v>
                </c:pt>
                <c:pt idx="2">
                  <c:v>4560</c:v>
                </c:pt>
                <c:pt idx="3">
                  <c:v>6320</c:v>
                </c:pt>
                <c:pt idx="4">
                  <c:v>6720</c:v>
                </c:pt>
                <c:pt idx="5">
                  <c:v>6000</c:v>
                </c:pt>
                <c:pt idx="6">
                  <c:v>6240</c:v>
                </c:pt>
                <c:pt idx="7">
                  <c:v>6400</c:v>
                </c:pt>
                <c:pt idx="8">
                  <c:v>8400</c:v>
                </c:pt>
                <c:pt idx="9">
                  <c:v>10640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5280</c:v>
                </c:pt>
                <c:pt idx="15">
                  <c:v>6000</c:v>
                </c:pt>
                <c:pt idx="16">
                  <c:v>6200</c:v>
                </c:pt>
                <c:pt idx="17">
                  <c:v>5870</c:v>
                </c:pt>
                <c:pt idx="18">
                  <c:v>5870</c:v>
                </c:pt>
                <c:pt idx="19">
                  <c:v>5870</c:v>
                </c:pt>
                <c:pt idx="20">
                  <c:v>5870</c:v>
                </c:pt>
                <c:pt idx="21">
                  <c:v>4180</c:v>
                </c:pt>
                <c:pt idx="22">
                  <c:v>4180</c:v>
                </c:pt>
                <c:pt idx="23">
                  <c:v>4180</c:v>
                </c:pt>
                <c:pt idx="24">
                  <c:v>4180</c:v>
                </c:pt>
                <c:pt idx="25">
                  <c:v>6060</c:v>
                </c:pt>
                <c:pt idx="26">
                  <c:v>6060</c:v>
                </c:pt>
                <c:pt idx="27">
                  <c:v>6060</c:v>
                </c:pt>
                <c:pt idx="28">
                  <c:v>6060</c:v>
                </c:pt>
                <c:pt idx="29">
                  <c:v>6000</c:v>
                </c:pt>
                <c:pt idx="30">
                  <c:v>6100</c:v>
                </c:pt>
                <c:pt idx="31">
                  <c:v>6100</c:v>
                </c:pt>
                <c:pt idx="32">
                  <c:v>0</c:v>
                </c:pt>
              </c:numCache>
            </c:numRef>
          </c:val>
        </c:ser>
        <c:ser>
          <c:idx val="3"/>
          <c:order val="3"/>
          <c:tx>
            <c:strRef>
              <c:f>'📈 Weekly Trend'!G2</c:f>
              <c:strCache>
                <c:ptCount val="1"/>
                <c:pt idx="0">
                  <c:v>CUSHION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Weekly Trend'!$B$3:$B$35</c:f>
              <c:strCache>
                <c:ptCount val="33"/>
                <c:pt idx="0">
                  <c:v>WK 20</c:v>
                </c:pt>
                <c:pt idx="1">
                  <c:v>WK 21</c:v>
                </c:pt>
                <c:pt idx="2">
                  <c:v>WK 22</c:v>
                </c:pt>
                <c:pt idx="3">
                  <c:v>WK 23</c:v>
                </c:pt>
                <c:pt idx="4">
                  <c:v>WK 24</c:v>
                </c:pt>
                <c:pt idx="5">
                  <c:v>WK 25</c:v>
                </c:pt>
                <c:pt idx="6">
                  <c:v>WK 26</c:v>
                </c:pt>
                <c:pt idx="7">
                  <c:v>WK 27</c:v>
                </c:pt>
                <c:pt idx="8">
                  <c:v>WK 28</c:v>
                </c:pt>
                <c:pt idx="9">
                  <c:v>WK 29</c:v>
                </c:pt>
                <c:pt idx="10">
                  <c:v>WK 30</c:v>
                </c:pt>
                <c:pt idx="11">
                  <c:v>WK 31</c:v>
                </c:pt>
                <c:pt idx="12">
                  <c:v>WK 32</c:v>
                </c:pt>
                <c:pt idx="13">
                  <c:v>WK 33</c:v>
                </c:pt>
                <c:pt idx="14">
                  <c:v>WK 34</c:v>
                </c:pt>
                <c:pt idx="15">
                  <c:v>WK 35</c:v>
                </c:pt>
                <c:pt idx="16">
                  <c:v>WK 36</c:v>
                </c:pt>
                <c:pt idx="17">
                  <c:v>WK 37</c:v>
                </c:pt>
                <c:pt idx="18">
                  <c:v>WK 38</c:v>
                </c:pt>
                <c:pt idx="19">
                  <c:v>WK 39</c:v>
                </c:pt>
                <c:pt idx="20">
                  <c:v>WK 40</c:v>
                </c:pt>
                <c:pt idx="21">
                  <c:v>WK 41</c:v>
                </c:pt>
                <c:pt idx="22">
                  <c:v>WK 42</c:v>
                </c:pt>
                <c:pt idx="23">
                  <c:v>WK 43</c:v>
                </c:pt>
                <c:pt idx="24">
                  <c:v>WK 44</c:v>
                </c:pt>
                <c:pt idx="25">
                  <c:v>WK 45</c:v>
                </c:pt>
                <c:pt idx="26">
                  <c:v>WK 46</c:v>
                </c:pt>
                <c:pt idx="27">
                  <c:v>WK 47</c:v>
                </c:pt>
                <c:pt idx="28">
                  <c:v>WK 48</c:v>
                </c:pt>
                <c:pt idx="29">
                  <c:v>WK 49</c:v>
                </c:pt>
                <c:pt idx="30">
                  <c:v>WK 50</c:v>
                </c:pt>
                <c:pt idx="31">
                  <c:v>WK 51</c:v>
                </c:pt>
                <c:pt idx="32">
                  <c:v>WK 52</c:v>
                </c:pt>
              </c:strCache>
            </c:strRef>
          </c:cat>
          <c:val>
            <c:numRef>
              <c:f>'📈 Weekly Trend'!$G$3:$G$35</c:f>
              <c:numCache>
                <c:formatCode>#,##0</c:formatCode>
                <c:ptCount val="33"/>
                <c:pt idx="0">
                  <c:v>0</c:v>
                </c:pt>
                <c:pt idx="1">
                  <c:v>4800</c:v>
                </c:pt>
                <c:pt idx="2">
                  <c:v>4800</c:v>
                </c:pt>
                <c:pt idx="3">
                  <c:v>3840</c:v>
                </c:pt>
                <c:pt idx="4">
                  <c:v>3840</c:v>
                </c:pt>
                <c:pt idx="5">
                  <c:v>4800</c:v>
                </c:pt>
                <c:pt idx="6">
                  <c:v>3840</c:v>
                </c:pt>
                <c:pt idx="7">
                  <c:v>4800</c:v>
                </c:pt>
                <c:pt idx="8">
                  <c:v>5760</c:v>
                </c:pt>
                <c:pt idx="9">
                  <c:v>7680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3840</c:v>
                </c:pt>
                <c:pt idx="15">
                  <c:v>3840</c:v>
                </c:pt>
                <c:pt idx="16">
                  <c:v>3840</c:v>
                </c:pt>
                <c:pt idx="17">
                  <c:v>4080</c:v>
                </c:pt>
                <c:pt idx="18">
                  <c:v>4080</c:v>
                </c:pt>
                <c:pt idx="19">
                  <c:v>4080</c:v>
                </c:pt>
                <c:pt idx="20">
                  <c:v>4080</c:v>
                </c:pt>
                <c:pt idx="21">
                  <c:v>2640</c:v>
                </c:pt>
                <c:pt idx="22">
                  <c:v>2640</c:v>
                </c:pt>
                <c:pt idx="23">
                  <c:v>2640</c:v>
                </c:pt>
                <c:pt idx="24">
                  <c:v>2640</c:v>
                </c:pt>
                <c:pt idx="25">
                  <c:v>3840</c:v>
                </c:pt>
                <c:pt idx="26">
                  <c:v>3840</c:v>
                </c:pt>
                <c:pt idx="27">
                  <c:v>3840</c:v>
                </c:pt>
                <c:pt idx="28">
                  <c:v>3840</c:v>
                </c:pt>
                <c:pt idx="29">
                  <c:v>3840</c:v>
                </c:pt>
                <c:pt idx="30">
                  <c:v>4800</c:v>
                </c:pt>
                <c:pt idx="31">
                  <c:v>4800</c:v>
                </c:pt>
                <c:pt idx="32">
                  <c:v>0</c:v>
                </c:pt>
              </c:numCache>
            </c:numRef>
          </c:val>
        </c:ser>
        <c:gapWidth val="150"/>
        <c:overlap val="100"/>
        <c:axId val="63906868"/>
        <c:axId val="13263421"/>
      </c:barChart>
      <c:catAx>
        <c:axId val="6390686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63421"/>
        <c:crosses val="autoZero"/>
        <c:auto val="1"/>
        <c:lblAlgn val="ctr"/>
        <c:lblOffset val="100"/>
        <c:noMultiLvlLbl val="0"/>
      </c:catAx>
      <c:valAx>
        <c:axId val="132634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Quantity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068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Weekly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Weekly Trend'!C2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Weekly Trend'!$B$3:$B$35</c:f>
              <c:strCache>
                <c:ptCount val="33"/>
                <c:pt idx="0">
                  <c:v>WK 20</c:v>
                </c:pt>
                <c:pt idx="1">
                  <c:v>WK 21</c:v>
                </c:pt>
                <c:pt idx="2">
                  <c:v>WK 22</c:v>
                </c:pt>
                <c:pt idx="3">
                  <c:v>WK 23</c:v>
                </c:pt>
                <c:pt idx="4">
                  <c:v>WK 24</c:v>
                </c:pt>
                <c:pt idx="5">
                  <c:v>WK 25</c:v>
                </c:pt>
                <c:pt idx="6">
                  <c:v>WK 26</c:v>
                </c:pt>
                <c:pt idx="7">
                  <c:v>WK 27</c:v>
                </c:pt>
                <c:pt idx="8">
                  <c:v>WK 28</c:v>
                </c:pt>
                <c:pt idx="9">
                  <c:v>WK 29</c:v>
                </c:pt>
                <c:pt idx="10">
                  <c:v>WK 30</c:v>
                </c:pt>
                <c:pt idx="11">
                  <c:v>WK 31</c:v>
                </c:pt>
                <c:pt idx="12">
                  <c:v>WK 32</c:v>
                </c:pt>
                <c:pt idx="13">
                  <c:v>WK 33</c:v>
                </c:pt>
                <c:pt idx="14">
                  <c:v>WK 34</c:v>
                </c:pt>
                <c:pt idx="15">
                  <c:v>WK 35</c:v>
                </c:pt>
                <c:pt idx="16">
                  <c:v>WK 36</c:v>
                </c:pt>
                <c:pt idx="17">
                  <c:v>WK 37</c:v>
                </c:pt>
                <c:pt idx="18">
                  <c:v>WK 38</c:v>
                </c:pt>
                <c:pt idx="19">
                  <c:v>WK 39</c:v>
                </c:pt>
                <c:pt idx="20">
                  <c:v>WK 40</c:v>
                </c:pt>
                <c:pt idx="21">
                  <c:v>WK 41</c:v>
                </c:pt>
                <c:pt idx="22">
                  <c:v>WK 42</c:v>
                </c:pt>
                <c:pt idx="23">
                  <c:v>WK 43</c:v>
                </c:pt>
                <c:pt idx="24">
                  <c:v>WK 44</c:v>
                </c:pt>
                <c:pt idx="25">
                  <c:v>WK 45</c:v>
                </c:pt>
                <c:pt idx="26">
                  <c:v>WK 46</c:v>
                </c:pt>
                <c:pt idx="27">
                  <c:v>WK 47</c:v>
                </c:pt>
                <c:pt idx="28">
                  <c:v>WK 48</c:v>
                </c:pt>
                <c:pt idx="29">
                  <c:v>WK 49</c:v>
                </c:pt>
                <c:pt idx="30">
                  <c:v>WK 50</c:v>
                </c:pt>
                <c:pt idx="31">
                  <c:v>WK 51</c:v>
                </c:pt>
                <c:pt idx="32">
                  <c:v>WK 52</c:v>
                </c:pt>
              </c:strCache>
            </c:strRef>
          </c:cat>
          <c:val>
            <c:numRef>
              <c:f>'📈 Weekly Trend'!$C$3:$C$35</c:f>
              <c:numCache>
                <c:formatCode>#,##0</c:formatCode>
                <c:ptCount val="33"/>
                <c:pt idx="0">
                  <c:v>1040</c:v>
                </c:pt>
                <c:pt idx="1">
                  <c:v>26300</c:v>
                </c:pt>
                <c:pt idx="2">
                  <c:v>16420</c:v>
                </c:pt>
                <c:pt idx="3">
                  <c:v>18300</c:v>
                </c:pt>
                <c:pt idx="4">
                  <c:v>18651</c:v>
                </c:pt>
                <c:pt idx="5">
                  <c:v>18920</c:v>
                </c:pt>
                <c:pt idx="6">
                  <c:v>17220</c:v>
                </c:pt>
                <c:pt idx="7">
                  <c:v>18920</c:v>
                </c:pt>
                <c:pt idx="8">
                  <c:v>24680</c:v>
                </c:pt>
                <c:pt idx="9">
                  <c:v>31120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16700</c:v>
                </c:pt>
                <c:pt idx="15">
                  <c:v>16320</c:v>
                </c:pt>
                <c:pt idx="16">
                  <c:v>16960</c:v>
                </c:pt>
                <c:pt idx="17">
                  <c:v>17270</c:v>
                </c:pt>
                <c:pt idx="18">
                  <c:v>17270</c:v>
                </c:pt>
                <c:pt idx="19">
                  <c:v>17270</c:v>
                </c:pt>
                <c:pt idx="20">
                  <c:v>17170</c:v>
                </c:pt>
                <c:pt idx="21">
                  <c:v>11920</c:v>
                </c:pt>
                <c:pt idx="22">
                  <c:v>11920</c:v>
                </c:pt>
                <c:pt idx="23">
                  <c:v>11920</c:v>
                </c:pt>
                <c:pt idx="24">
                  <c:v>11840</c:v>
                </c:pt>
                <c:pt idx="25">
                  <c:v>17430</c:v>
                </c:pt>
                <c:pt idx="26">
                  <c:v>17430</c:v>
                </c:pt>
                <c:pt idx="27">
                  <c:v>17420</c:v>
                </c:pt>
                <c:pt idx="28">
                  <c:v>17420</c:v>
                </c:pt>
                <c:pt idx="29">
                  <c:v>16700</c:v>
                </c:pt>
                <c:pt idx="30">
                  <c:v>18580</c:v>
                </c:pt>
                <c:pt idx="31">
                  <c:v>18580</c:v>
                </c:pt>
                <c:pt idx="32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980545"/>
        <c:axId val="25613914"/>
      </c:lineChart>
      <c:catAx>
        <c:axId val="739805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613914"/>
        <c:crosses val="autoZero"/>
        <c:auto val="1"/>
        <c:lblAlgn val="ctr"/>
        <c:lblOffset val="100"/>
        <c:noMultiLvlLbl val="0"/>
      </c:catAx>
      <c:valAx>
        <c:axId val="256139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Quantity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805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37</xdr:row>
      <xdr:rowOff>0</xdr:rowOff>
    </xdr:from>
    <xdr:to>
      <xdr:col>14</xdr:col>
      <xdr:colOff>19080</xdr:colOff>
      <xdr:row>67</xdr:row>
      <xdr:rowOff>44640</xdr:rowOff>
    </xdr:to>
    <xdr:graphicFrame>
      <xdr:nvGraphicFramePr>
        <xdr:cNvPr id="0" name="Chart 1"/>
        <xdr:cNvGraphicFramePr/>
      </xdr:nvGraphicFramePr>
      <xdr:xfrm>
        <a:off x="211320" y="6543720"/>
        <a:ext cx="100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70</xdr:row>
      <xdr:rowOff>0</xdr:rowOff>
    </xdr:from>
    <xdr:to>
      <xdr:col>14</xdr:col>
      <xdr:colOff>19080</xdr:colOff>
      <xdr:row>96</xdr:row>
      <xdr:rowOff>86400</xdr:rowOff>
    </xdr:to>
    <xdr:graphicFrame>
      <xdr:nvGraphicFramePr>
        <xdr:cNvPr id="1" name="Chart 2"/>
        <xdr:cNvGraphicFramePr/>
      </xdr:nvGraphicFramePr>
      <xdr:xfrm>
        <a:off x="211320" y="1283004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5" min="3" style="0" width="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18" hidden="false" customHeight="true" outlineLevel="0" collapsed="false">
      <c r="A3" s="3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</row>
    <row r="4" customFormat="false" ht="15" hidden="false" customHeight="true" outlineLevel="0" collapsed="false">
      <c r="A4" s="5" t="s">
        <v>37</v>
      </c>
      <c r="B4" s="6"/>
      <c r="C4" s="7" t="n">
        <v>46153</v>
      </c>
      <c r="D4" s="7" t="n">
        <v>46160</v>
      </c>
      <c r="E4" s="7" t="n">
        <v>46167</v>
      </c>
      <c r="F4" s="7" t="n">
        <v>46174</v>
      </c>
      <c r="G4" s="7" t="n">
        <v>46181</v>
      </c>
      <c r="H4" s="7" t="n">
        <v>46188</v>
      </c>
      <c r="I4" s="7" t="n">
        <v>46195</v>
      </c>
      <c r="J4" s="7" t="n">
        <v>46202</v>
      </c>
      <c r="K4" s="7" t="n">
        <v>46209</v>
      </c>
      <c r="L4" s="7" t="n">
        <v>46216</v>
      </c>
      <c r="M4" s="7" t="n">
        <v>46223</v>
      </c>
      <c r="N4" s="7" t="n">
        <v>46230</v>
      </c>
      <c r="O4" s="7" t="n">
        <v>46237</v>
      </c>
      <c r="P4" s="7" t="n">
        <v>46244</v>
      </c>
      <c r="Q4" s="7" t="n">
        <v>46251</v>
      </c>
      <c r="R4" s="7" t="n">
        <v>46258</v>
      </c>
      <c r="S4" s="7" t="n">
        <v>46265</v>
      </c>
      <c r="T4" s="7" t="n">
        <v>46272</v>
      </c>
      <c r="U4" s="7" t="n">
        <v>46279</v>
      </c>
      <c r="V4" s="7" t="n">
        <v>46286</v>
      </c>
      <c r="W4" s="7" t="n">
        <v>46293</v>
      </c>
      <c r="X4" s="7" t="n">
        <v>46300</v>
      </c>
      <c r="Y4" s="7" t="n">
        <v>46307</v>
      </c>
      <c r="Z4" s="7" t="n">
        <v>46314</v>
      </c>
      <c r="AA4" s="7" t="n">
        <v>46321</v>
      </c>
      <c r="AB4" s="7" t="n">
        <v>46328</v>
      </c>
      <c r="AC4" s="7" t="n">
        <v>46335</v>
      </c>
      <c r="AD4" s="7" t="n">
        <v>46342</v>
      </c>
      <c r="AE4" s="7" t="n">
        <v>46349</v>
      </c>
      <c r="AF4" s="7" t="n">
        <v>46356</v>
      </c>
      <c r="AG4" s="7" t="n">
        <v>46363</v>
      </c>
      <c r="AH4" s="7" t="n">
        <v>46370</v>
      </c>
      <c r="AI4" s="7" t="n">
        <v>46371</v>
      </c>
    </row>
    <row r="5" customFormat="false" ht="13.5" hidden="false" customHeight="true" outlineLevel="0" collapsed="false">
      <c r="A5" s="8" t="s">
        <v>38</v>
      </c>
      <c r="B5" s="9" t="s">
        <v>39</v>
      </c>
      <c r="C5" s="10" t="n">
        <v>0</v>
      </c>
      <c r="D5" s="11" t="n">
        <v>480</v>
      </c>
      <c r="E5" s="10" t="n">
        <v>0</v>
      </c>
      <c r="F5" s="10" t="n">
        <v>0</v>
      </c>
      <c r="G5" s="11" t="n">
        <v>160</v>
      </c>
      <c r="H5" s="11" t="n">
        <v>320</v>
      </c>
      <c r="I5" s="10" t="n">
        <v>0</v>
      </c>
      <c r="J5" s="11" t="n">
        <v>160</v>
      </c>
      <c r="K5" s="11" t="n">
        <v>160</v>
      </c>
      <c r="L5" s="11" t="n">
        <v>160</v>
      </c>
      <c r="M5" s="10" t="n">
        <v>0</v>
      </c>
      <c r="N5" s="10" t="n">
        <v>0</v>
      </c>
      <c r="O5" s="10" t="n">
        <v>0</v>
      </c>
      <c r="P5" s="10" t="n">
        <v>0</v>
      </c>
      <c r="Q5" s="11" t="n">
        <v>160</v>
      </c>
      <c r="R5" s="10" t="n">
        <v>0</v>
      </c>
      <c r="S5" s="11" t="n">
        <v>160</v>
      </c>
      <c r="T5" s="11" t="n">
        <v>80</v>
      </c>
      <c r="U5" s="11" t="n">
        <v>80</v>
      </c>
      <c r="V5" s="11" t="n">
        <v>80</v>
      </c>
      <c r="W5" s="11" t="n">
        <v>80</v>
      </c>
      <c r="X5" s="11" t="n">
        <v>80</v>
      </c>
      <c r="Y5" s="11" t="n">
        <v>80</v>
      </c>
      <c r="Z5" s="11" t="n">
        <v>80</v>
      </c>
      <c r="AA5" s="11" t="n">
        <v>80</v>
      </c>
      <c r="AB5" s="11" t="n">
        <v>160</v>
      </c>
      <c r="AC5" s="11" t="n">
        <v>160</v>
      </c>
      <c r="AD5" s="11" t="n">
        <v>160</v>
      </c>
      <c r="AE5" s="11" t="n">
        <v>160</v>
      </c>
      <c r="AF5" s="11" t="n">
        <v>160</v>
      </c>
      <c r="AG5" s="11" t="n">
        <v>160</v>
      </c>
      <c r="AH5" s="11" t="n">
        <v>160</v>
      </c>
      <c r="AI5" s="10" t="n">
        <v>0</v>
      </c>
    </row>
    <row r="6" customFormat="false" ht="13.5" hidden="false" customHeight="true" outlineLevel="0" collapsed="false">
      <c r="A6" s="8" t="s">
        <v>38</v>
      </c>
      <c r="B6" s="12" t="s">
        <v>40</v>
      </c>
      <c r="C6" s="13" t="n">
        <v>0</v>
      </c>
      <c r="D6" s="11" t="n">
        <v>160</v>
      </c>
      <c r="E6" s="11" t="n">
        <v>160</v>
      </c>
      <c r="F6" s="11" t="n">
        <v>160</v>
      </c>
      <c r="G6" s="13" t="n">
        <v>0</v>
      </c>
      <c r="H6" s="11" t="n">
        <v>160</v>
      </c>
      <c r="I6" s="11" t="n">
        <v>160</v>
      </c>
      <c r="J6" s="13" t="n">
        <v>0</v>
      </c>
      <c r="K6" s="11" t="n">
        <v>160</v>
      </c>
      <c r="L6" s="11" t="n">
        <v>160</v>
      </c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1" t="n">
        <v>160</v>
      </c>
      <c r="T6" s="11" t="n">
        <v>80</v>
      </c>
      <c r="U6" s="11" t="n">
        <v>80</v>
      </c>
      <c r="V6" s="11" t="n">
        <v>80</v>
      </c>
      <c r="W6" s="11" t="n">
        <v>80</v>
      </c>
      <c r="X6" s="11" t="n">
        <v>40</v>
      </c>
      <c r="Y6" s="11" t="n">
        <v>40</v>
      </c>
      <c r="Z6" s="11" t="n">
        <v>40</v>
      </c>
      <c r="AA6" s="11" t="n">
        <v>40</v>
      </c>
      <c r="AB6" s="11" t="n">
        <v>70</v>
      </c>
      <c r="AC6" s="11" t="n">
        <v>70</v>
      </c>
      <c r="AD6" s="11" t="n">
        <v>70</v>
      </c>
      <c r="AE6" s="11" t="n">
        <v>70</v>
      </c>
      <c r="AF6" s="11" t="n">
        <v>40</v>
      </c>
      <c r="AG6" s="11" t="n">
        <v>80</v>
      </c>
      <c r="AH6" s="11" t="n">
        <v>80</v>
      </c>
      <c r="AI6" s="13" t="n">
        <v>0</v>
      </c>
    </row>
    <row r="7" customFormat="false" ht="13.5" hidden="false" customHeight="true" outlineLevel="0" collapsed="false">
      <c r="A7" s="8" t="s">
        <v>38</v>
      </c>
      <c r="B7" s="9" t="s">
        <v>41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1" t="n">
        <v>40</v>
      </c>
      <c r="U7" s="11" t="n">
        <v>40</v>
      </c>
      <c r="V7" s="11" t="n">
        <v>40</v>
      </c>
      <c r="W7" s="11" t="n">
        <v>40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0</v>
      </c>
      <c r="AI7" s="10" t="n">
        <v>0</v>
      </c>
    </row>
    <row r="8" customFormat="false" ht="13.5" hidden="false" customHeight="true" outlineLevel="0" collapsed="false">
      <c r="A8" s="8" t="s">
        <v>38</v>
      </c>
      <c r="B8" s="12" t="s">
        <v>42</v>
      </c>
      <c r="C8" s="13" t="n">
        <v>0</v>
      </c>
      <c r="D8" s="11" t="n">
        <v>160</v>
      </c>
      <c r="E8" s="13" t="n">
        <v>0</v>
      </c>
      <c r="F8" s="13" t="n">
        <v>0</v>
      </c>
      <c r="G8" s="13" t="n">
        <v>0</v>
      </c>
      <c r="H8" s="11" t="n">
        <v>160</v>
      </c>
      <c r="I8" s="13" t="n">
        <v>0</v>
      </c>
      <c r="J8" s="11" t="n">
        <v>160</v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1" t="n">
        <v>160</v>
      </c>
      <c r="R8" s="13" t="n">
        <v>0</v>
      </c>
      <c r="S8" s="13" t="n">
        <v>0</v>
      </c>
      <c r="T8" s="11" t="n">
        <v>40</v>
      </c>
      <c r="U8" s="11" t="n">
        <v>40</v>
      </c>
      <c r="V8" s="11" t="n">
        <v>40</v>
      </c>
      <c r="W8" s="11" t="n">
        <v>40</v>
      </c>
      <c r="X8" s="11" t="n">
        <v>40</v>
      </c>
      <c r="Y8" s="11" t="n">
        <v>40</v>
      </c>
      <c r="Z8" s="11" t="n">
        <v>40</v>
      </c>
      <c r="AA8" s="11" t="n">
        <v>40</v>
      </c>
      <c r="AB8" s="13" t="n">
        <v>0</v>
      </c>
      <c r="AC8" s="13" t="n">
        <v>0</v>
      </c>
      <c r="AD8" s="13" t="n">
        <v>0</v>
      </c>
      <c r="AE8" s="13" t="n">
        <v>0</v>
      </c>
      <c r="AF8" s="13" t="n">
        <v>0</v>
      </c>
      <c r="AG8" s="11" t="n">
        <v>80</v>
      </c>
      <c r="AH8" s="11" t="n">
        <v>80</v>
      </c>
      <c r="AI8" s="13" t="n">
        <v>0</v>
      </c>
    </row>
    <row r="9" customFormat="false" ht="13.5" hidden="false" customHeight="true" outlineLevel="0" collapsed="false">
      <c r="A9" s="8" t="s">
        <v>38</v>
      </c>
      <c r="B9" s="9" t="s">
        <v>43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1" t="n">
        <v>40</v>
      </c>
      <c r="U9" s="11" t="n">
        <v>40</v>
      </c>
      <c r="V9" s="11" t="n">
        <v>40</v>
      </c>
      <c r="W9" s="11" t="n">
        <v>40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0</v>
      </c>
      <c r="AI9" s="10" t="n">
        <v>0</v>
      </c>
    </row>
    <row r="10" customFormat="false" ht="13.5" hidden="false" customHeight="true" outlineLevel="0" collapsed="false">
      <c r="A10" s="8" t="s">
        <v>38</v>
      </c>
      <c r="B10" s="12" t="s">
        <v>44</v>
      </c>
      <c r="C10" s="13" t="n">
        <v>0</v>
      </c>
      <c r="D10" s="11" t="n">
        <v>200</v>
      </c>
      <c r="E10" s="11" t="n">
        <v>100</v>
      </c>
      <c r="F10" s="11" t="n">
        <v>200</v>
      </c>
      <c r="G10" s="11" t="n">
        <v>200</v>
      </c>
      <c r="H10" s="11" t="n">
        <v>100</v>
      </c>
      <c r="I10" s="11" t="n">
        <v>100</v>
      </c>
      <c r="J10" s="11" t="n">
        <v>100</v>
      </c>
      <c r="K10" s="11" t="n">
        <v>200</v>
      </c>
      <c r="L10" s="11" t="n">
        <v>100</v>
      </c>
      <c r="M10" s="13" t="n">
        <v>0</v>
      </c>
      <c r="N10" s="13" t="n">
        <v>0</v>
      </c>
      <c r="O10" s="13" t="n">
        <v>0</v>
      </c>
      <c r="P10" s="13" t="n">
        <v>0</v>
      </c>
      <c r="Q10" s="11" t="n">
        <v>200</v>
      </c>
      <c r="R10" s="11" t="n">
        <v>100</v>
      </c>
      <c r="S10" s="11" t="n">
        <v>100</v>
      </c>
      <c r="T10" s="11" t="n">
        <v>130</v>
      </c>
      <c r="U10" s="11" t="n">
        <v>130</v>
      </c>
      <c r="V10" s="11" t="n">
        <v>130</v>
      </c>
      <c r="W10" s="11" t="n">
        <v>110</v>
      </c>
      <c r="X10" s="11" t="n">
        <v>150</v>
      </c>
      <c r="Y10" s="11" t="n">
        <v>150</v>
      </c>
      <c r="Z10" s="11" t="n">
        <v>150</v>
      </c>
      <c r="AA10" s="11" t="n">
        <v>150</v>
      </c>
      <c r="AB10" s="11" t="n">
        <v>120</v>
      </c>
      <c r="AC10" s="11" t="n">
        <v>120</v>
      </c>
      <c r="AD10" s="11" t="n">
        <v>120</v>
      </c>
      <c r="AE10" s="11" t="n">
        <v>120</v>
      </c>
      <c r="AF10" s="11" t="n">
        <v>120</v>
      </c>
      <c r="AG10" s="11" t="n">
        <v>100</v>
      </c>
      <c r="AH10" s="11" t="n">
        <v>100</v>
      </c>
      <c r="AI10" s="13" t="n">
        <v>0</v>
      </c>
    </row>
    <row r="11" customFormat="false" ht="13.5" hidden="false" customHeight="true" outlineLevel="0" collapsed="false">
      <c r="A11" s="8" t="s">
        <v>38</v>
      </c>
      <c r="B11" s="9" t="s">
        <v>45</v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1" t="n">
        <v>100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1" t="n">
        <v>100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1" t="n">
        <v>30</v>
      </c>
      <c r="Y11" s="11" t="n">
        <v>30</v>
      </c>
      <c r="Z11" s="11" t="n">
        <v>30</v>
      </c>
      <c r="AA11" s="11" t="n">
        <v>10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</row>
    <row r="12" customFormat="false" ht="13.5" hidden="false" customHeight="true" outlineLevel="0" collapsed="false">
      <c r="A12" s="8" t="s">
        <v>38</v>
      </c>
      <c r="B12" s="12" t="s">
        <v>46</v>
      </c>
      <c r="C12" s="13" t="n">
        <v>0</v>
      </c>
      <c r="D12" s="11" t="n">
        <v>100</v>
      </c>
      <c r="E12" s="13" t="n">
        <v>0</v>
      </c>
      <c r="F12" s="13" t="n">
        <v>0</v>
      </c>
      <c r="G12" s="13" t="n">
        <v>0</v>
      </c>
      <c r="H12" s="11" t="n">
        <v>100</v>
      </c>
      <c r="I12" s="13" t="n">
        <v>0</v>
      </c>
      <c r="J12" s="13" t="n">
        <v>0</v>
      </c>
      <c r="K12" s="13" t="n">
        <v>0</v>
      </c>
      <c r="L12" s="11" t="n">
        <v>100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1" t="n">
        <v>30</v>
      </c>
      <c r="U12" s="11" t="n">
        <v>30</v>
      </c>
      <c r="V12" s="11" t="n">
        <v>30</v>
      </c>
      <c r="W12" s="11" t="n">
        <v>10</v>
      </c>
      <c r="X12" s="13" t="n">
        <v>0</v>
      </c>
      <c r="Y12" s="13" t="n">
        <v>0</v>
      </c>
      <c r="Z12" s="13" t="n">
        <v>0</v>
      </c>
      <c r="AA12" s="13" t="n">
        <v>0</v>
      </c>
      <c r="AB12" s="11" t="n">
        <v>20</v>
      </c>
      <c r="AC12" s="11" t="n">
        <v>20</v>
      </c>
      <c r="AD12" s="11" t="n">
        <v>20</v>
      </c>
      <c r="AE12" s="11" t="n">
        <v>20</v>
      </c>
      <c r="AF12" s="11" t="n">
        <v>20</v>
      </c>
      <c r="AG12" s="13" t="n">
        <v>0</v>
      </c>
      <c r="AH12" s="13" t="n">
        <v>0</v>
      </c>
      <c r="AI12" s="13" t="n">
        <v>0</v>
      </c>
    </row>
    <row r="13" customFormat="false" ht="13.5" hidden="false" customHeight="true" outlineLevel="0" collapsed="false">
      <c r="A13" s="8" t="s">
        <v>38</v>
      </c>
      <c r="B13" s="9" t="s">
        <v>47</v>
      </c>
      <c r="C13" s="10" t="n">
        <v>0</v>
      </c>
      <c r="D13" s="11" t="n">
        <v>300</v>
      </c>
      <c r="E13" s="11" t="n">
        <v>200</v>
      </c>
      <c r="F13" s="11" t="n">
        <v>100</v>
      </c>
      <c r="G13" s="11" t="n">
        <v>200</v>
      </c>
      <c r="H13" s="11" t="n">
        <v>200</v>
      </c>
      <c r="I13" s="11" t="n">
        <v>100</v>
      </c>
      <c r="J13" s="11" t="n">
        <v>100</v>
      </c>
      <c r="K13" s="11" t="n">
        <v>200</v>
      </c>
      <c r="L13" s="11" t="n">
        <v>300</v>
      </c>
      <c r="M13" s="10" t="n">
        <v>0</v>
      </c>
      <c r="N13" s="10" t="n">
        <v>0</v>
      </c>
      <c r="O13" s="10" t="n">
        <v>0</v>
      </c>
      <c r="P13" s="10" t="n">
        <v>0</v>
      </c>
      <c r="Q13" s="11" t="n">
        <v>100</v>
      </c>
      <c r="R13" s="11" t="n">
        <v>100</v>
      </c>
      <c r="S13" s="11" t="n">
        <v>200</v>
      </c>
      <c r="T13" s="11" t="n">
        <v>100</v>
      </c>
      <c r="U13" s="11" t="n">
        <v>100</v>
      </c>
      <c r="V13" s="11" t="n">
        <v>100</v>
      </c>
      <c r="W13" s="11" t="n">
        <v>100</v>
      </c>
      <c r="X13" s="11" t="n">
        <v>50</v>
      </c>
      <c r="Y13" s="11" t="n">
        <v>50</v>
      </c>
      <c r="Z13" s="11" t="n">
        <v>50</v>
      </c>
      <c r="AA13" s="11" t="n">
        <v>50</v>
      </c>
      <c r="AB13" s="11" t="n">
        <v>40</v>
      </c>
      <c r="AC13" s="11" t="n">
        <v>40</v>
      </c>
      <c r="AD13" s="11" t="n">
        <v>40</v>
      </c>
      <c r="AE13" s="11" t="n">
        <v>40</v>
      </c>
      <c r="AF13" s="11" t="n">
        <v>40</v>
      </c>
      <c r="AG13" s="11" t="n">
        <v>50</v>
      </c>
      <c r="AH13" s="11" t="n">
        <v>50</v>
      </c>
      <c r="AI13" s="10" t="n">
        <v>0</v>
      </c>
    </row>
    <row r="14" customFormat="false" ht="13.5" hidden="false" customHeight="true" outlineLevel="0" collapsed="false">
      <c r="A14" s="8" t="s">
        <v>38</v>
      </c>
      <c r="B14" s="12" t="s">
        <v>48</v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</v>
      </c>
      <c r="Z14" s="13" t="n">
        <v>0</v>
      </c>
      <c r="AA14" s="13" t="n">
        <v>0</v>
      </c>
      <c r="AB14" s="13" t="n">
        <v>0</v>
      </c>
      <c r="AC14" s="13" t="n">
        <v>0</v>
      </c>
      <c r="AD14" s="13" t="n">
        <v>0</v>
      </c>
      <c r="AE14" s="13" t="n">
        <v>0</v>
      </c>
      <c r="AF14" s="13" t="n">
        <v>0</v>
      </c>
      <c r="AG14" s="13" t="n">
        <v>0</v>
      </c>
      <c r="AH14" s="13" t="n">
        <v>0</v>
      </c>
      <c r="AI14" s="13" t="n">
        <v>0</v>
      </c>
    </row>
    <row r="15" customFormat="false" ht="13.5" hidden="false" customHeight="true" outlineLevel="0" collapsed="false">
      <c r="A15" s="8" t="s">
        <v>38</v>
      </c>
      <c r="B15" s="9" t="s">
        <v>49</v>
      </c>
      <c r="C15" s="11" t="n">
        <v>160</v>
      </c>
      <c r="D15" s="11" t="n">
        <v>1040</v>
      </c>
      <c r="E15" s="11" t="n">
        <v>1040</v>
      </c>
      <c r="F15" s="11" t="n">
        <v>800</v>
      </c>
      <c r="G15" s="11" t="n">
        <v>720</v>
      </c>
      <c r="H15" s="11" t="n">
        <v>720</v>
      </c>
      <c r="I15" s="11" t="n">
        <v>640</v>
      </c>
      <c r="J15" s="11" t="n">
        <v>640</v>
      </c>
      <c r="K15" s="11" t="n">
        <v>880</v>
      </c>
      <c r="L15" s="11" t="n">
        <v>1200</v>
      </c>
      <c r="M15" s="10" t="n">
        <v>0</v>
      </c>
      <c r="N15" s="10" t="n">
        <v>0</v>
      </c>
      <c r="O15" s="10" t="n">
        <v>0</v>
      </c>
      <c r="P15" s="10" t="n">
        <v>0</v>
      </c>
      <c r="Q15" s="11" t="n">
        <v>640</v>
      </c>
      <c r="R15" s="11" t="n">
        <v>640</v>
      </c>
      <c r="S15" s="11" t="n">
        <v>560</v>
      </c>
      <c r="T15" s="11" t="n">
        <v>700</v>
      </c>
      <c r="U15" s="11" t="n">
        <v>700</v>
      </c>
      <c r="V15" s="11" t="n">
        <v>700</v>
      </c>
      <c r="W15" s="11" t="n">
        <v>700</v>
      </c>
      <c r="X15" s="11" t="n">
        <v>540</v>
      </c>
      <c r="Y15" s="11" t="n">
        <v>540</v>
      </c>
      <c r="Z15" s="11" t="n">
        <v>540</v>
      </c>
      <c r="AA15" s="11" t="n">
        <v>540</v>
      </c>
      <c r="AB15" s="11" t="n">
        <v>550</v>
      </c>
      <c r="AC15" s="11" t="n">
        <v>550</v>
      </c>
      <c r="AD15" s="11" t="n">
        <v>550</v>
      </c>
      <c r="AE15" s="11" t="n">
        <v>550</v>
      </c>
      <c r="AF15" s="11" t="n">
        <v>520</v>
      </c>
      <c r="AG15" s="11" t="n">
        <v>400</v>
      </c>
      <c r="AH15" s="11" t="n">
        <v>400</v>
      </c>
      <c r="AI15" s="10" t="n">
        <v>0</v>
      </c>
    </row>
    <row r="16" customFormat="false" ht="13.5" hidden="false" customHeight="true" outlineLevel="0" collapsed="false">
      <c r="A16" s="8" t="s">
        <v>38</v>
      </c>
      <c r="B16" s="12" t="s">
        <v>50</v>
      </c>
      <c r="C16" s="13" t="n">
        <v>0</v>
      </c>
      <c r="D16" s="11" t="n">
        <v>800</v>
      </c>
      <c r="E16" s="13" t="n">
        <v>0</v>
      </c>
      <c r="F16" s="11" t="n">
        <v>400</v>
      </c>
      <c r="G16" s="11" t="n">
        <v>480</v>
      </c>
      <c r="H16" s="11" t="n">
        <v>400</v>
      </c>
      <c r="I16" s="11" t="n">
        <v>400</v>
      </c>
      <c r="J16" s="11" t="n">
        <v>480</v>
      </c>
      <c r="K16" s="11" t="n">
        <v>720</v>
      </c>
      <c r="L16" s="11" t="n">
        <v>1040</v>
      </c>
      <c r="M16" s="13" t="n">
        <v>0</v>
      </c>
      <c r="N16" s="13" t="n">
        <v>0</v>
      </c>
      <c r="O16" s="13" t="n">
        <v>0</v>
      </c>
      <c r="P16" s="13" t="n">
        <v>0</v>
      </c>
      <c r="Q16" s="11" t="n">
        <v>640</v>
      </c>
      <c r="R16" s="11" t="n">
        <v>560</v>
      </c>
      <c r="S16" s="11" t="n">
        <v>560</v>
      </c>
      <c r="T16" s="11" t="n">
        <v>560</v>
      </c>
      <c r="U16" s="11" t="n">
        <v>560</v>
      </c>
      <c r="V16" s="11" t="n">
        <v>560</v>
      </c>
      <c r="W16" s="11" t="n">
        <v>560</v>
      </c>
      <c r="X16" s="11" t="n">
        <v>320</v>
      </c>
      <c r="Y16" s="11" t="n">
        <v>320</v>
      </c>
      <c r="Z16" s="11" t="n">
        <v>320</v>
      </c>
      <c r="AA16" s="11" t="n">
        <v>320</v>
      </c>
      <c r="AB16" s="11" t="n">
        <v>530</v>
      </c>
      <c r="AC16" s="11" t="n">
        <v>530</v>
      </c>
      <c r="AD16" s="11" t="n">
        <v>530</v>
      </c>
      <c r="AE16" s="11" t="n">
        <v>530</v>
      </c>
      <c r="AF16" s="11" t="n">
        <v>520</v>
      </c>
      <c r="AG16" s="11" t="n">
        <v>520</v>
      </c>
      <c r="AH16" s="11" t="n">
        <v>520</v>
      </c>
      <c r="AI16" s="13" t="n">
        <v>0</v>
      </c>
    </row>
    <row r="17" customFormat="false" ht="13.5" hidden="false" customHeight="true" outlineLevel="0" collapsed="false">
      <c r="A17" s="8" t="s">
        <v>38</v>
      </c>
      <c r="B17" s="9" t="s">
        <v>51</v>
      </c>
      <c r="C17" s="10" t="n">
        <v>0</v>
      </c>
      <c r="D17" s="11" t="n">
        <v>480</v>
      </c>
      <c r="E17" s="10" t="n">
        <v>0</v>
      </c>
      <c r="F17" s="11" t="n">
        <v>160</v>
      </c>
      <c r="G17" s="11" t="n">
        <v>240</v>
      </c>
      <c r="H17" s="11" t="n">
        <v>160</v>
      </c>
      <c r="I17" s="11" t="n">
        <v>320</v>
      </c>
      <c r="J17" s="11" t="n">
        <v>320</v>
      </c>
      <c r="K17" s="11" t="n">
        <v>320</v>
      </c>
      <c r="L17" s="11" t="n">
        <v>320</v>
      </c>
      <c r="M17" s="10" t="n">
        <v>0</v>
      </c>
      <c r="N17" s="10" t="n">
        <v>0</v>
      </c>
      <c r="O17" s="10" t="n">
        <v>0</v>
      </c>
      <c r="P17" s="10" t="n">
        <v>0</v>
      </c>
      <c r="Q17" s="11" t="n">
        <v>160</v>
      </c>
      <c r="R17" s="11" t="n">
        <v>160</v>
      </c>
      <c r="S17" s="11" t="n">
        <v>240</v>
      </c>
      <c r="T17" s="11" t="n">
        <v>200</v>
      </c>
      <c r="U17" s="11" t="n">
        <v>200</v>
      </c>
      <c r="V17" s="11" t="n">
        <v>200</v>
      </c>
      <c r="W17" s="11" t="n">
        <v>200</v>
      </c>
      <c r="X17" s="11" t="n">
        <v>180</v>
      </c>
      <c r="Y17" s="11" t="n">
        <v>180</v>
      </c>
      <c r="Z17" s="11" t="n">
        <v>180</v>
      </c>
      <c r="AA17" s="11" t="n">
        <v>180</v>
      </c>
      <c r="AB17" s="11" t="n">
        <v>280</v>
      </c>
      <c r="AC17" s="11" t="n">
        <v>280</v>
      </c>
      <c r="AD17" s="11" t="n">
        <v>280</v>
      </c>
      <c r="AE17" s="11" t="n">
        <v>280</v>
      </c>
      <c r="AF17" s="11" t="n">
        <v>240</v>
      </c>
      <c r="AG17" s="11" t="n">
        <v>320</v>
      </c>
      <c r="AH17" s="11" t="n">
        <v>320</v>
      </c>
      <c r="AI17" s="10" t="n">
        <v>0</v>
      </c>
    </row>
    <row r="18" customFormat="false" ht="13.5" hidden="false" customHeight="true" outlineLevel="0" collapsed="false">
      <c r="A18" s="8" t="s">
        <v>38</v>
      </c>
      <c r="B18" s="12" t="s">
        <v>52</v>
      </c>
      <c r="C18" s="13" t="n">
        <v>0</v>
      </c>
      <c r="D18" s="11" t="n">
        <v>960</v>
      </c>
      <c r="E18" s="11" t="n">
        <v>880</v>
      </c>
      <c r="F18" s="11" t="n">
        <v>960</v>
      </c>
      <c r="G18" s="11" t="n">
        <v>880</v>
      </c>
      <c r="H18" s="11" t="n">
        <v>720</v>
      </c>
      <c r="I18" s="11" t="n">
        <v>720</v>
      </c>
      <c r="J18" s="11" t="n">
        <v>720</v>
      </c>
      <c r="K18" s="11" t="n">
        <v>1040</v>
      </c>
      <c r="L18" s="11" t="n">
        <v>1440</v>
      </c>
      <c r="M18" s="13" t="n">
        <v>0</v>
      </c>
      <c r="N18" s="13" t="n">
        <v>0</v>
      </c>
      <c r="O18" s="13" t="n">
        <v>0</v>
      </c>
      <c r="P18" s="13" t="n">
        <v>0</v>
      </c>
      <c r="Q18" s="11" t="n">
        <v>800</v>
      </c>
      <c r="R18" s="11" t="n">
        <v>720</v>
      </c>
      <c r="S18" s="11" t="n">
        <v>720</v>
      </c>
      <c r="T18" s="11" t="n">
        <v>680</v>
      </c>
      <c r="U18" s="11" t="n">
        <v>680</v>
      </c>
      <c r="V18" s="11" t="n">
        <v>680</v>
      </c>
      <c r="W18" s="11" t="n">
        <v>680</v>
      </c>
      <c r="X18" s="11" t="n">
        <v>380</v>
      </c>
      <c r="Y18" s="11" t="n">
        <v>380</v>
      </c>
      <c r="Z18" s="11" t="n">
        <v>380</v>
      </c>
      <c r="AA18" s="11" t="n">
        <v>380</v>
      </c>
      <c r="AB18" s="11" t="n">
        <v>680</v>
      </c>
      <c r="AC18" s="11" t="n">
        <v>680</v>
      </c>
      <c r="AD18" s="11" t="n">
        <v>680</v>
      </c>
      <c r="AE18" s="11" t="n">
        <v>680</v>
      </c>
      <c r="AF18" s="11" t="n">
        <v>640</v>
      </c>
      <c r="AG18" s="11" t="n">
        <v>720</v>
      </c>
      <c r="AH18" s="11" t="n">
        <v>720</v>
      </c>
      <c r="AI18" s="13" t="n">
        <v>0</v>
      </c>
    </row>
    <row r="19" customFormat="false" ht="13.5" hidden="false" customHeight="true" outlineLevel="0" collapsed="false">
      <c r="A19" s="8" t="s">
        <v>38</v>
      </c>
      <c r="B19" s="9" t="s">
        <v>53</v>
      </c>
      <c r="C19" s="10" t="n">
        <v>0</v>
      </c>
      <c r="D19" s="11" t="n">
        <v>80</v>
      </c>
      <c r="E19" s="10" t="n">
        <v>0</v>
      </c>
      <c r="F19" s="10" t="n">
        <v>0</v>
      </c>
      <c r="G19" s="11" t="n">
        <v>80</v>
      </c>
      <c r="H19" s="11" t="n">
        <v>80</v>
      </c>
      <c r="I19" s="11" t="n">
        <v>80</v>
      </c>
      <c r="J19" s="10" t="n">
        <v>0</v>
      </c>
      <c r="K19" s="11" t="n">
        <v>80</v>
      </c>
      <c r="L19" s="11" t="n">
        <v>80</v>
      </c>
      <c r="M19" s="10" t="n">
        <v>0</v>
      </c>
      <c r="N19" s="10" t="n">
        <v>0</v>
      </c>
      <c r="O19" s="10" t="n">
        <v>0</v>
      </c>
      <c r="P19" s="10" t="n">
        <v>0</v>
      </c>
      <c r="Q19" s="11" t="n">
        <v>80</v>
      </c>
      <c r="R19" s="10" t="n">
        <v>0</v>
      </c>
      <c r="S19" s="11" t="n">
        <v>80</v>
      </c>
      <c r="T19" s="11" t="n">
        <v>40</v>
      </c>
      <c r="U19" s="11" t="n">
        <v>40</v>
      </c>
      <c r="V19" s="11" t="n">
        <v>40</v>
      </c>
      <c r="W19" s="11" t="n">
        <v>40</v>
      </c>
      <c r="X19" s="11" t="n">
        <v>40</v>
      </c>
      <c r="Y19" s="11" t="n">
        <v>40</v>
      </c>
      <c r="Z19" s="11" t="n">
        <v>40</v>
      </c>
      <c r="AA19" s="11" t="n">
        <v>40</v>
      </c>
      <c r="AB19" s="11" t="n">
        <v>70</v>
      </c>
      <c r="AC19" s="11" t="n">
        <v>70</v>
      </c>
      <c r="AD19" s="11" t="n">
        <v>70</v>
      </c>
      <c r="AE19" s="11" t="n">
        <v>70</v>
      </c>
      <c r="AF19" s="11" t="n">
        <v>40</v>
      </c>
      <c r="AG19" s="11" t="n">
        <v>80</v>
      </c>
      <c r="AH19" s="11" t="n">
        <v>80</v>
      </c>
      <c r="AI19" s="10" t="n">
        <v>0</v>
      </c>
    </row>
    <row r="20" customFormat="false" ht="13.5" hidden="false" customHeight="true" outlineLevel="0" collapsed="false">
      <c r="A20" s="8" t="s">
        <v>38</v>
      </c>
      <c r="B20" s="12" t="s">
        <v>54</v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1" t="n">
        <v>20</v>
      </c>
      <c r="Y20" s="11" t="n">
        <v>20</v>
      </c>
      <c r="Z20" s="11" t="n">
        <v>20</v>
      </c>
      <c r="AA20" s="11" t="n">
        <v>20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</row>
    <row r="21" customFormat="false" ht="13.5" hidden="false" customHeight="true" outlineLevel="0" collapsed="false">
      <c r="A21" s="8" t="s">
        <v>38</v>
      </c>
      <c r="B21" s="9" t="s">
        <v>55</v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10" t="n">
        <v>0</v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10" t="n">
        <v>0</v>
      </c>
      <c r="AC21" s="10" t="n">
        <v>0</v>
      </c>
      <c r="AD21" s="10" t="n">
        <v>0</v>
      </c>
      <c r="AE21" s="10" t="n">
        <v>0</v>
      </c>
      <c r="AF21" s="10" t="n">
        <v>0</v>
      </c>
      <c r="AG21" s="10" t="n">
        <v>0</v>
      </c>
      <c r="AH21" s="10" t="n">
        <v>0</v>
      </c>
      <c r="AI21" s="10" t="n">
        <v>0</v>
      </c>
    </row>
    <row r="22" customFormat="false" ht="13.5" hidden="false" customHeight="true" outlineLevel="0" collapsed="false">
      <c r="A22" s="8" t="s">
        <v>38</v>
      </c>
      <c r="B22" s="12" t="s">
        <v>56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</row>
    <row r="23" customFormat="false" ht="13.5" hidden="false" customHeight="true" outlineLevel="0" collapsed="false">
      <c r="A23" s="8" t="s">
        <v>38</v>
      </c>
      <c r="B23" s="9" t="s">
        <v>57</v>
      </c>
      <c r="C23" s="10" t="n">
        <v>0</v>
      </c>
      <c r="D23" s="11" t="n">
        <v>160</v>
      </c>
      <c r="E23" s="11" t="n">
        <v>160</v>
      </c>
      <c r="F23" s="11" t="n">
        <v>160</v>
      </c>
      <c r="G23" s="11" t="n">
        <v>160</v>
      </c>
      <c r="H23" s="11" t="n">
        <v>160</v>
      </c>
      <c r="I23" s="11" t="n">
        <v>160</v>
      </c>
      <c r="J23" s="11" t="n">
        <v>80</v>
      </c>
      <c r="K23" s="11" t="n">
        <v>160</v>
      </c>
      <c r="L23" s="11" t="n">
        <v>160</v>
      </c>
      <c r="M23" s="10" t="n">
        <v>0</v>
      </c>
      <c r="N23" s="10" t="n">
        <v>0</v>
      </c>
      <c r="O23" s="10" t="n">
        <v>0</v>
      </c>
      <c r="P23" s="10" t="n">
        <v>0</v>
      </c>
      <c r="Q23" s="11" t="n">
        <v>160</v>
      </c>
      <c r="R23" s="11" t="n">
        <v>80</v>
      </c>
      <c r="S23" s="11" t="n">
        <v>160</v>
      </c>
      <c r="T23" s="11" t="n">
        <v>140</v>
      </c>
      <c r="U23" s="11" t="n">
        <v>140</v>
      </c>
      <c r="V23" s="11" t="n">
        <v>140</v>
      </c>
      <c r="W23" s="11" t="n">
        <v>140</v>
      </c>
      <c r="X23" s="11" t="n">
        <v>100</v>
      </c>
      <c r="Y23" s="11" t="n">
        <v>100</v>
      </c>
      <c r="Z23" s="11" t="n">
        <v>100</v>
      </c>
      <c r="AA23" s="11" t="n">
        <v>100</v>
      </c>
      <c r="AB23" s="11" t="n">
        <v>150</v>
      </c>
      <c r="AC23" s="11" t="n">
        <v>150</v>
      </c>
      <c r="AD23" s="11" t="n">
        <v>150</v>
      </c>
      <c r="AE23" s="11" t="n">
        <v>150</v>
      </c>
      <c r="AF23" s="11" t="n">
        <v>120</v>
      </c>
      <c r="AG23" s="11" t="n">
        <v>120</v>
      </c>
      <c r="AH23" s="11" t="n">
        <v>120</v>
      </c>
      <c r="AI23" s="10" t="n">
        <v>0</v>
      </c>
    </row>
    <row r="24" customFormat="false" ht="13.5" hidden="false" customHeight="true" outlineLevel="0" collapsed="false">
      <c r="A24" s="8" t="s">
        <v>38</v>
      </c>
      <c r="B24" s="12" t="s">
        <v>58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1" t="n">
        <v>80</v>
      </c>
      <c r="I24" s="13" t="n">
        <v>0</v>
      </c>
      <c r="J24" s="13" t="n">
        <v>0</v>
      </c>
      <c r="K24" s="13" t="n">
        <v>0</v>
      </c>
      <c r="L24" s="11" t="n">
        <v>80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3" t="n">
        <v>0</v>
      </c>
      <c r="AH24" s="13" t="n">
        <v>0</v>
      </c>
      <c r="AI24" s="13" t="n">
        <v>0</v>
      </c>
    </row>
    <row r="25" customFormat="false" ht="13.5" hidden="false" customHeight="true" outlineLevel="0" collapsed="false">
      <c r="A25" s="8" t="s">
        <v>38</v>
      </c>
      <c r="B25" s="9" t="s">
        <v>59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  <c r="S25" s="10" t="n">
        <v>0</v>
      </c>
      <c r="T25" s="10" t="n">
        <v>0</v>
      </c>
      <c r="U25" s="10" t="n">
        <v>0</v>
      </c>
      <c r="V25" s="10" t="n">
        <v>0</v>
      </c>
      <c r="W25" s="10" t="n">
        <v>0</v>
      </c>
      <c r="X25" s="10" t="n">
        <v>0</v>
      </c>
      <c r="Y25" s="10" t="n">
        <v>0</v>
      </c>
      <c r="Z25" s="10" t="n">
        <v>0</v>
      </c>
      <c r="AA25" s="10" t="n">
        <v>0</v>
      </c>
      <c r="AB25" s="10" t="n">
        <v>0</v>
      </c>
      <c r="AC25" s="10" t="n">
        <v>0</v>
      </c>
      <c r="AD25" s="10" t="n">
        <v>0</v>
      </c>
      <c r="AE25" s="10" t="n">
        <v>0</v>
      </c>
      <c r="AF25" s="10" t="n">
        <v>0</v>
      </c>
      <c r="AG25" s="10" t="n">
        <v>0</v>
      </c>
      <c r="AH25" s="10" t="n">
        <v>0</v>
      </c>
      <c r="AI25" s="10" t="n">
        <v>0</v>
      </c>
    </row>
    <row r="26" customFormat="false" ht="13.5" hidden="false" customHeight="true" outlineLevel="0" collapsed="false">
      <c r="A26" s="8" t="s">
        <v>38</v>
      </c>
      <c r="B26" s="12" t="s">
        <v>60</v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</v>
      </c>
      <c r="Z26" s="13" t="n">
        <v>0</v>
      </c>
      <c r="AA26" s="13" t="n">
        <v>0</v>
      </c>
      <c r="AB26" s="13" t="n">
        <v>0</v>
      </c>
      <c r="AC26" s="13" t="n">
        <v>0</v>
      </c>
      <c r="AD26" s="13" t="n">
        <v>0</v>
      </c>
      <c r="AE26" s="13" t="n">
        <v>0</v>
      </c>
      <c r="AF26" s="13" t="n">
        <v>0</v>
      </c>
      <c r="AG26" s="13" t="n">
        <v>0</v>
      </c>
      <c r="AH26" s="13" t="n">
        <v>0</v>
      </c>
      <c r="AI26" s="13" t="n">
        <v>0</v>
      </c>
    </row>
    <row r="27" customFormat="false" ht="13.5" hidden="false" customHeight="true" outlineLevel="0" collapsed="false">
      <c r="A27" s="8" t="s">
        <v>38</v>
      </c>
      <c r="B27" s="9" t="s">
        <v>61</v>
      </c>
      <c r="C27" s="10" t="n">
        <v>0</v>
      </c>
      <c r="D27" s="11" t="n">
        <v>800</v>
      </c>
      <c r="E27" s="11" t="n">
        <v>800</v>
      </c>
      <c r="F27" s="11" t="n">
        <v>880</v>
      </c>
      <c r="G27" s="11" t="n">
        <v>800</v>
      </c>
      <c r="H27" s="11" t="n">
        <v>720</v>
      </c>
      <c r="I27" s="11" t="n">
        <v>800</v>
      </c>
      <c r="J27" s="11" t="n">
        <v>800</v>
      </c>
      <c r="K27" s="11" t="n">
        <v>1040</v>
      </c>
      <c r="L27" s="11" t="n">
        <v>880</v>
      </c>
      <c r="M27" s="10" t="n">
        <v>0</v>
      </c>
      <c r="N27" s="10" t="n">
        <v>0</v>
      </c>
      <c r="O27" s="10" t="n">
        <v>0</v>
      </c>
      <c r="P27" s="10" t="n">
        <v>0</v>
      </c>
      <c r="Q27" s="11" t="n">
        <v>560</v>
      </c>
      <c r="R27" s="11" t="n">
        <v>560</v>
      </c>
      <c r="S27" s="11" t="n">
        <v>640</v>
      </c>
      <c r="T27" s="11" t="n">
        <v>640</v>
      </c>
      <c r="U27" s="11" t="n">
        <v>640</v>
      </c>
      <c r="V27" s="11" t="n">
        <v>640</v>
      </c>
      <c r="W27" s="11" t="n">
        <v>640</v>
      </c>
      <c r="X27" s="11" t="n">
        <v>440</v>
      </c>
      <c r="Y27" s="11" t="n">
        <v>440</v>
      </c>
      <c r="Z27" s="11" t="n">
        <v>440</v>
      </c>
      <c r="AA27" s="11" t="n">
        <v>440</v>
      </c>
      <c r="AB27" s="11" t="n">
        <v>580</v>
      </c>
      <c r="AC27" s="11" t="n">
        <v>580</v>
      </c>
      <c r="AD27" s="11" t="n">
        <v>580</v>
      </c>
      <c r="AE27" s="11" t="n">
        <v>580</v>
      </c>
      <c r="AF27" s="11" t="n">
        <v>560</v>
      </c>
      <c r="AG27" s="11" t="n">
        <v>920</v>
      </c>
      <c r="AH27" s="11" t="n">
        <v>920</v>
      </c>
      <c r="AI27" s="10" t="n">
        <v>0</v>
      </c>
    </row>
    <row r="28" customFormat="false" ht="13.5" hidden="false" customHeight="true" outlineLevel="0" collapsed="false">
      <c r="A28" s="8" t="s">
        <v>38</v>
      </c>
      <c r="B28" s="12" t="s">
        <v>62</v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1" t="n">
        <v>80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</v>
      </c>
      <c r="Z28" s="13" t="n">
        <v>0</v>
      </c>
      <c r="AA28" s="13" t="n">
        <v>0</v>
      </c>
      <c r="AB28" s="11" t="n">
        <v>20</v>
      </c>
      <c r="AC28" s="11" t="n">
        <v>20</v>
      </c>
      <c r="AD28" s="11" t="n">
        <v>20</v>
      </c>
      <c r="AE28" s="11" t="n">
        <v>20</v>
      </c>
      <c r="AF28" s="13" t="n">
        <v>0</v>
      </c>
      <c r="AG28" s="13" t="n">
        <v>0</v>
      </c>
      <c r="AH28" s="13" t="n">
        <v>0</v>
      </c>
      <c r="AI28" s="13" t="n">
        <v>0</v>
      </c>
    </row>
    <row r="29" customFormat="false" ht="13.5" hidden="false" customHeight="true" outlineLevel="0" collapsed="false">
      <c r="A29" s="8" t="s">
        <v>38</v>
      </c>
      <c r="B29" s="9" t="s">
        <v>63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1" t="n">
        <v>30</v>
      </c>
      <c r="Y29" s="11" t="n">
        <v>30</v>
      </c>
      <c r="Z29" s="11" t="n">
        <v>30</v>
      </c>
      <c r="AA29" s="11" t="n">
        <v>10</v>
      </c>
      <c r="AB29" s="11" t="n">
        <v>60</v>
      </c>
      <c r="AC29" s="11" t="n">
        <v>60</v>
      </c>
      <c r="AD29" s="11" t="n">
        <v>60</v>
      </c>
      <c r="AE29" s="11" t="n">
        <v>60</v>
      </c>
      <c r="AF29" s="11" t="n">
        <v>60</v>
      </c>
      <c r="AG29" s="11" t="n">
        <v>50</v>
      </c>
      <c r="AH29" s="11" t="n">
        <v>50</v>
      </c>
      <c r="AI29" s="10" t="n">
        <v>0</v>
      </c>
    </row>
    <row r="30" customFormat="false" ht="13.5" hidden="false" customHeight="true" outlineLevel="0" collapsed="false">
      <c r="A30" s="8" t="s">
        <v>38</v>
      </c>
      <c r="B30" s="12" t="s">
        <v>64</v>
      </c>
      <c r="C30" s="11" t="n">
        <v>80</v>
      </c>
      <c r="D30" s="11" t="n">
        <v>80</v>
      </c>
      <c r="E30" s="13" t="n">
        <v>0</v>
      </c>
      <c r="F30" s="11" t="n">
        <v>80</v>
      </c>
      <c r="G30" s="11" t="n">
        <v>80</v>
      </c>
      <c r="H30" s="11" t="n">
        <v>80</v>
      </c>
      <c r="I30" s="11" t="n">
        <v>80</v>
      </c>
      <c r="J30" s="11" t="n">
        <v>80</v>
      </c>
      <c r="K30" s="11" t="n">
        <v>160</v>
      </c>
      <c r="L30" s="11" t="n">
        <v>320</v>
      </c>
      <c r="M30" s="13" t="n">
        <v>0</v>
      </c>
      <c r="N30" s="13" t="n">
        <v>0</v>
      </c>
      <c r="O30" s="13" t="n">
        <v>0</v>
      </c>
      <c r="P30" s="13" t="n">
        <v>0</v>
      </c>
      <c r="Q30" s="11" t="n">
        <v>80</v>
      </c>
      <c r="R30" s="11" t="n">
        <v>160</v>
      </c>
      <c r="S30" s="11" t="n">
        <v>80</v>
      </c>
      <c r="T30" s="11" t="n">
        <v>120</v>
      </c>
      <c r="U30" s="11" t="n">
        <v>120</v>
      </c>
      <c r="V30" s="11" t="n">
        <v>120</v>
      </c>
      <c r="W30" s="11" t="n">
        <v>120</v>
      </c>
      <c r="X30" s="11" t="n">
        <v>140</v>
      </c>
      <c r="Y30" s="11" t="n">
        <v>140</v>
      </c>
      <c r="Z30" s="11" t="n">
        <v>140</v>
      </c>
      <c r="AA30" s="11" t="n">
        <v>140</v>
      </c>
      <c r="AB30" s="11" t="n">
        <v>390</v>
      </c>
      <c r="AC30" s="11" t="n">
        <v>390</v>
      </c>
      <c r="AD30" s="11" t="n">
        <v>390</v>
      </c>
      <c r="AE30" s="11" t="n">
        <v>390</v>
      </c>
      <c r="AF30" s="11" t="n">
        <v>360</v>
      </c>
      <c r="AG30" s="11" t="n">
        <v>280</v>
      </c>
      <c r="AH30" s="11" t="n">
        <v>280</v>
      </c>
      <c r="AI30" s="13" t="n">
        <v>0</v>
      </c>
    </row>
    <row r="31" customFormat="false" ht="13.5" hidden="false" customHeight="true" outlineLevel="0" collapsed="false">
      <c r="A31" s="8" t="s">
        <v>38</v>
      </c>
      <c r="B31" s="9" t="s">
        <v>65</v>
      </c>
      <c r="C31" s="10" t="n">
        <v>0</v>
      </c>
      <c r="D31" s="11" t="n">
        <v>80</v>
      </c>
      <c r="E31" s="10" t="n">
        <v>0</v>
      </c>
      <c r="F31" s="10" t="n">
        <v>0</v>
      </c>
      <c r="G31" s="11" t="n">
        <v>80</v>
      </c>
      <c r="H31" s="10" t="n">
        <v>0</v>
      </c>
      <c r="I31" s="10" t="n">
        <v>0</v>
      </c>
      <c r="J31" s="11" t="n">
        <v>80</v>
      </c>
      <c r="K31" s="10" t="n">
        <v>0</v>
      </c>
      <c r="L31" s="11" t="n">
        <v>80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  <c r="S31" s="10" t="n">
        <v>0</v>
      </c>
      <c r="T31" s="11" t="n">
        <v>20</v>
      </c>
      <c r="U31" s="11" t="n">
        <v>20</v>
      </c>
      <c r="V31" s="11" t="n">
        <v>20</v>
      </c>
      <c r="W31" s="11" t="n">
        <v>20</v>
      </c>
      <c r="X31" s="11" t="n">
        <v>20</v>
      </c>
      <c r="Y31" s="11" t="n">
        <v>20</v>
      </c>
      <c r="Z31" s="11" t="n">
        <v>20</v>
      </c>
      <c r="AA31" s="11" t="n">
        <v>20</v>
      </c>
      <c r="AB31" s="11" t="n">
        <v>40</v>
      </c>
      <c r="AC31" s="11" t="n">
        <v>40</v>
      </c>
      <c r="AD31" s="11" t="n">
        <v>40</v>
      </c>
      <c r="AE31" s="11" t="n">
        <v>40</v>
      </c>
      <c r="AF31" s="10" t="n">
        <v>0</v>
      </c>
      <c r="AG31" s="11" t="n">
        <v>40</v>
      </c>
      <c r="AH31" s="11" t="n">
        <v>40</v>
      </c>
      <c r="AI31" s="10" t="n">
        <v>0</v>
      </c>
    </row>
    <row r="32" customFormat="false" ht="13.5" hidden="false" customHeight="true" outlineLevel="0" collapsed="false">
      <c r="A32" s="8" t="s">
        <v>38</v>
      </c>
      <c r="B32" s="12" t="s">
        <v>66</v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1" t="n">
        <v>20</v>
      </c>
      <c r="AC32" s="11" t="n">
        <v>20</v>
      </c>
      <c r="AD32" s="11" t="n">
        <v>20</v>
      </c>
      <c r="AE32" s="11" t="n">
        <v>20</v>
      </c>
      <c r="AF32" s="13" t="n">
        <v>0</v>
      </c>
      <c r="AG32" s="13" t="n">
        <v>0</v>
      </c>
      <c r="AH32" s="13" t="n">
        <v>0</v>
      </c>
      <c r="AI32" s="13" t="n">
        <v>0</v>
      </c>
    </row>
    <row r="33" customFormat="false" ht="13.5" hidden="false" customHeight="true" outlineLevel="0" collapsed="false">
      <c r="A33" s="8" t="s">
        <v>38</v>
      </c>
      <c r="B33" s="9" t="s">
        <v>67</v>
      </c>
      <c r="C33" s="10" t="n">
        <v>0</v>
      </c>
      <c r="D33" s="11" t="n">
        <v>80</v>
      </c>
      <c r="E33" s="11" t="n">
        <v>60</v>
      </c>
      <c r="F33" s="10" t="n">
        <v>0</v>
      </c>
      <c r="G33" s="11" t="n">
        <v>36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0</v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10" t="n">
        <v>0</v>
      </c>
      <c r="AC33" s="10" t="n">
        <v>0</v>
      </c>
      <c r="AD33" s="10" t="n">
        <v>0</v>
      </c>
      <c r="AE33" s="10" t="n">
        <v>0</v>
      </c>
      <c r="AF33" s="10" t="n">
        <v>0</v>
      </c>
      <c r="AG33" s="10" t="n">
        <v>0</v>
      </c>
      <c r="AH33" s="10" t="n">
        <v>0</v>
      </c>
      <c r="AI33" s="10" t="n">
        <v>0</v>
      </c>
    </row>
    <row r="34" customFormat="false" ht="13.5" hidden="false" customHeight="true" outlineLevel="0" collapsed="false">
      <c r="A34" s="14" t="s">
        <v>68</v>
      </c>
      <c r="B34" s="12" t="s">
        <v>69</v>
      </c>
      <c r="C34" s="13" t="n">
        <v>0</v>
      </c>
      <c r="D34" s="11" t="n">
        <v>100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1" t="n">
        <v>100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1" t="n">
        <v>30</v>
      </c>
      <c r="U34" s="11" t="n">
        <v>30</v>
      </c>
      <c r="V34" s="11" t="n">
        <v>30</v>
      </c>
      <c r="W34" s="11" t="n">
        <v>10</v>
      </c>
      <c r="X34" s="13" t="n">
        <v>0</v>
      </c>
      <c r="Y34" s="13" t="n">
        <v>0</v>
      </c>
      <c r="Z34" s="13" t="n">
        <v>0</v>
      </c>
      <c r="AA34" s="13" t="n">
        <v>0</v>
      </c>
      <c r="AB34" s="11" t="n">
        <v>60</v>
      </c>
      <c r="AC34" s="11" t="n">
        <v>60</v>
      </c>
      <c r="AD34" s="11" t="n">
        <v>60</v>
      </c>
      <c r="AE34" s="11" t="n">
        <v>60</v>
      </c>
      <c r="AF34" s="11" t="n">
        <v>60</v>
      </c>
      <c r="AG34" s="11" t="n">
        <v>150</v>
      </c>
      <c r="AH34" s="11" t="n">
        <v>150</v>
      </c>
      <c r="AI34" s="13" t="n">
        <v>0</v>
      </c>
    </row>
    <row r="35" customFormat="false" ht="13.5" hidden="false" customHeight="true" outlineLevel="0" collapsed="false">
      <c r="A35" s="14" t="s">
        <v>68</v>
      </c>
      <c r="B35" s="9" t="s">
        <v>70</v>
      </c>
      <c r="C35" s="10" t="n">
        <v>0</v>
      </c>
      <c r="D35" s="11" t="n">
        <v>100</v>
      </c>
      <c r="E35" s="10" t="n">
        <v>0</v>
      </c>
      <c r="F35" s="10" t="n">
        <v>0</v>
      </c>
      <c r="G35" s="10" t="n">
        <v>0</v>
      </c>
      <c r="H35" s="10" t="n">
        <v>0</v>
      </c>
      <c r="I35" s="11" t="n">
        <v>100</v>
      </c>
      <c r="J35" s="10" t="n">
        <v>0</v>
      </c>
      <c r="K35" s="11" t="n">
        <v>100</v>
      </c>
      <c r="L35" s="11" t="n">
        <v>300</v>
      </c>
      <c r="M35" s="10" t="n">
        <v>0</v>
      </c>
      <c r="N35" s="10" t="n">
        <v>0</v>
      </c>
      <c r="O35" s="10" t="n">
        <v>0</v>
      </c>
      <c r="P35" s="10" t="n">
        <v>0</v>
      </c>
      <c r="Q35" s="11" t="n">
        <v>100</v>
      </c>
      <c r="R35" s="10" t="n">
        <v>0</v>
      </c>
      <c r="S35" s="11" t="n">
        <v>100</v>
      </c>
      <c r="T35" s="11" t="n">
        <v>80</v>
      </c>
      <c r="U35" s="11" t="n">
        <v>80</v>
      </c>
      <c r="V35" s="11" t="n">
        <v>80</v>
      </c>
      <c r="W35" s="11" t="n">
        <v>60</v>
      </c>
      <c r="X35" s="11" t="n">
        <v>80</v>
      </c>
      <c r="Y35" s="11" t="n">
        <v>80</v>
      </c>
      <c r="Z35" s="11" t="n">
        <v>80</v>
      </c>
      <c r="AA35" s="11" t="n">
        <v>60</v>
      </c>
      <c r="AB35" s="10" t="n">
        <v>0</v>
      </c>
      <c r="AC35" s="10" t="n">
        <v>0</v>
      </c>
      <c r="AD35" s="10" t="n">
        <v>0</v>
      </c>
      <c r="AE35" s="10" t="n">
        <v>0</v>
      </c>
      <c r="AF35" s="10" t="n">
        <v>0</v>
      </c>
      <c r="AG35" s="10" t="n">
        <v>0</v>
      </c>
      <c r="AH35" s="10" t="n">
        <v>0</v>
      </c>
      <c r="AI35" s="10" t="n">
        <v>0</v>
      </c>
    </row>
    <row r="36" customFormat="false" ht="13.5" hidden="false" customHeight="true" outlineLevel="0" collapsed="false">
      <c r="A36" s="14" t="s">
        <v>68</v>
      </c>
      <c r="B36" s="12" t="s">
        <v>71</v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1" t="n">
        <v>100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</v>
      </c>
      <c r="Y36" s="13" t="n">
        <v>0</v>
      </c>
      <c r="Z36" s="13" t="n">
        <v>0</v>
      </c>
      <c r="AA36" s="13" t="n">
        <v>0</v>
      </c>
      <c r="AB36" s="13" t="n">
        <v>0</v>
      </c>
      <c r="AC36" s="13" t="n">
        <v>0</v>
      </c>
      <c r="AD36" s="13" t="n">
        <v>0</v>
      </c>
      <c r="AE36" s="13" t="n">
        <v>0</v>
      </c>
      <c r="AF36" s="13" t="n">
        <v>0</v>
      </c>
      <c r="AG36" s="13" t="n">
        <v>0</v>
      </c>
      <c r="AH36" s="13" t="n">
        <v>0</v>
      </c>
      <c r="AI36" s="13" t="n">
        <v>0</v>
      </c>
    </row>
    <row r="37" customFormat="false" ht="13.5" hidden="false" customHeight="true" outlineLevel="0" collapsed="false">
      <c r="A37" s="14" t="s">
        <v>68</v>
      </c>
      <c r="B37" s="9" t="s">
        <v>72</v>
      </c>
      <c r="C37" s="10" t="n">
        <v>0</v>
      </c>
      <c r="D37" s="11" t="n">
        <v>400</v>
      </c>
      <c r="E37" s="11" t="n">
        <v>400</v>
      </c>
      <c r="F37" s="11" t="n">
        <v>300</v>
      </c>
      <c r="G37" s="11" t="n">
        <v>300</v>
      </c>
      <c r="H37" s="11" t="n">
        <v>500</v>
      </c>
      <c r="I37" s="11" t="n">
        <v>200</v>
      </c>
      <c r="J37" s="11" t="n">
        <v>300</v>
      </c>
      <c r="K37" s="11" t="n">
        <v>300</v>
      </c>
      <c r="L37" s="11" t="n">
        <v>400</v>
      </c>
      <c r="M37" s="10" t="n">
        <v>0</v>
      </c>
      <c r="N37" s="10" t="n">
        <v>0</v>
      </c>
      <c r="O37" s="10" t="n">
        <v>0</v>
      </c>
      <c r="P37" s="10" t="n">
        <v>0</v>
      </c>
      <c r="Q37" s="11" t="n">
        <v>200</v>
      </c>
      <c r="R37" s="11" t="n">
        <v>200</v>
      </c>
      <c r="S37" s="11" t="n">
        <v>200</v>
      </c>
      <c r="T37" s="11" t="n">
        <v>200</v>
      </c>
      <c r="U37" s="11" t="n">
        <v>200</v>
      </c>
      <c r="V37" s="11" t="n">
        <v>200</v>
      </c>
      <c r="W37" s="11" t="n">
        <v>200</v>
      </c>
      <c r="X37" s="11" t="n">
        <v>180</v>
      </c>
      <c r="Y37" s="11" t="n">
        <v>180</v>
      </c>
      <c r="Z37" s="11" t="n">
        <v>180</v>
      </c>
      <c r="AA37" s="11" t="n">
        <v>160</v>
      </c>
      <c r="AB37" s="11" t="n">
        <v>280</v>
      </c>
      <c r="AC37" s="11" t="n">
        <v>280</v>
      </c>
      <c r="AD37" s="11" t="n">
        <v>280</v>
      </c>
      <c r="AE37" s="11" t="n">
        <v>280</v>
      </c>
      <c r="AF37" s="11" t="n">
        <v>280</v>
      </c>
      <c r="AG37" s="11" t="n">
        <v>200</v>
      </c>
      <c r="AH37" s="11" t="n">
        <v>200</v>
      </c>
      <c r="AI37" s="10" t="n">
        <v>0</v>
      </c>
    </row>
    <row r="38" customFormat="false" ht="13.5" hidden="false" customHeight="true" outlineLevel="0" collapsed="false">
      <c r="A38" s="14" t="s">
        <v>68</v>
      </c>
      <c r="B38" s="12" t="s">
        <v>73</v>
      </c>
      <c r="C38" s="13" t="n">
        <v>0</v>
      </c>
      <c r="D38" s="13" t="n">
        <v>0</v>
      </c>
      <c r="E38" s="13" t="n">
        <v>0</v>
      </c>
      <c r="F38" s="11" t="n">
        <v>100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</v>
      </c>
      <c r="AA38" s="13" t="n">
        <v>0</v>
      </c>
      <c r="AB38" s="13" t="n">
        <v>0</v>
      </c>
      <c r="AC38" s="13" t="n">
        <v>0</v>
      </c>
      <c r="AD38" s="13" t="n">
        <v>0</v>
      </c>
      <c r="AE38" s="13" t="n">
        <v>0</v>
      </c>
      <c r="AF38" s="13" t="n">
        <v>0</v>
      </c>
      <c r="AG38" s="13" t="n">
        <v>0</v>
      </c>
      <c r="AH38" s="13" t="n">
        <v>0</v>
      </c>
      <c r="AI38" s="13" t="n">
        <v>0</v>
      </c>
    </row>
    <row r="39" customFormat="false" ht="13.5" hidden="false" customHeight="true" outlineLevel="0" collapsed="false">
      <c r="A39" s="14" t="s">
        <v>68</v>
      </c>
      <c r="B39" s="9" t="s">
        <v>74</v>
      </c>
      <c r="C39" s="10" t="n">
        <v>0</v>
      </c>
      <c r="D39" s="10" t="n">
        <v>0</v>
      </c>
      <c r="E39" s="10" t="n">
        <v>0</v>
      </c>
      <c r="F39" s="10" t="n">
        <v>0</v>
      </c>
      <c r="G39" s="11" t="n">
        <v>100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  <c r="S39" s="10" t="n">
        <v>0</v>
      </c>
      <c r="T39" s="11" t="n">
        <v>30</v>
      </c>
      <c r="U39" s="11" t="n">
        <v>30</v>
      </c>
      <c r="V39" s="11" t="n">
        <v>30</v>
      </c>
      <c r="W39" s="11" t="n">
        <v>10</v>
      </c>
      <c r="X39" s="10" t="n">
        <v>0</v>
      </c>
      <c r="Y39" s="10" t="n">
        <v>0</v>
      </c>
      <c r="Z39" s="10" t="n">
        <v>0</v>
      </c>
      <c r="AA39" s="10" t="n">
        <v>0</v>
      </c>
      <c r="AB39" s="11" t="n">
        <v>20</v>
      </c>
      <c r="AC39" s="11" t="n">
        <v>20</v>
      </c>
      <c r="AD39" s="11" t="n">
        <v>20</v>
      </c>
      <c r="AE39" s="11" t="n">
        <v>20</v>
      </c>
      <c r="AF39" s="11" t="n">
        <v>20</v>
      </c>
      <c r="AG39" s="11" t="n">
        <v>50</v>
      </c>
      <c r="AH39" s="11" t="n">
        <v>50</v>
      </c>
      <c r="AI39" s="10" t="n">
        <v>0</v>
      </c>
    </row>
    <row r="40" customFormat="false" ht="13.5" hidden="false" customHeight="true" outlineLevel="0" collapsed="false">
      <c r="A40" s="14" t="s">
        <v>68</v>
      </c>
      <c r="B40" s="12" t="s">
        <v>75</v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0</v>
      </c>
      <c r="O40" s="13" t="n">
        <v>0</v>
      </c>
      <c r="P40" s="13" t="n">
        <v>0</v>
      </c>
      <c r="Q40" s="13" t="n">
        <v>0</v>
      </c>
      <c r="R40" s="13" t="n">
        <v>0</v>
      </c>
      <c r="S40" s="11" t="n">
        <v>80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</v>
      </c>
      <c r="AA40" s="13" t="n">
        <v>0</v>
      </c>
      <c r="AB40" s="13" t="n">
        <v>0</v>
      </c>
      <c r="AC40" s="13" t="n">
        <v>0</v>
      </c>
      <c r="AD40" s="13" t="n">
        <v>0</v>
      </c>
      <c r="AE40" s="13" t="n">
        <v>0</v>
      </c>
      <c r="AF40" s="13" t="n">
        <v>0</v>
      </c>
      <c r="AG40" s="13" t="n">
        <v>0</v>
      </c>
      <c r="AH40" s="13" t="n">
        <v>0</v>
      </c>
      <c r="AI40" s="13" t="n">
        <v>0</v>
      </c>
    </row>
    <row r="41" customFormat="false" ht="13.5" hidden="false" customHeight="true" outlineLevel="0" collapsed="false">
      <c r="A41" s="14" t="s">
        <v>68</v>
      </c>
      <c r="B41" s="9" t="s">
        <v>76</v>
      </c>
      <c r="C41" s="11" t="n">
        <v>80</v>
      </c>
      <c r="D41" s="11" t="n">
        <v>720</v>
      </c>
      <c r="E41" s="11" t="n">
        <v>640</v>
      </c>
      <c r="F41" s="11" t="n">
        <v>560</v>
      </c>
      <c r="G41" s="11" t="n">
        <v>560</v>
      </c>
      <c r="H41" s="11" t="n">
        <v>400</v>
      </c>
      <c r="I41" s="11" t="n">
        <v>320</v>
      </c>
      <c r="J41" s="11" t="n">
        <v>400</v>
      </c>
      <c r="K41" s="11" t="n">
        <v>560</v>
      </c>
      <c r="L41" s="11" t="n">
        <v>720</v>
      </c>
      <c r="M41" s="10" t="n">
        <v>0</v>
      </c>
      <c r="N41" s="10" t="n">
        <v>0</v>
      </c>
      <c r="O41" s="10" t="n">
        <v>0</v>
      </c>
      <c r="P41" s="10" t="n">
        <v>0</v>
      </c>
      <c r="Q41" s="11" t="n">
        <v>480</v>
      </c>
      <c r="R41" s="11" t="n">
        <v>400</v>
      </c>
      <c r="S41" s="11" t="n">
        <v>400</v>
      </c>
      <c r="T41" s="11" t="n">
        <v>420</v>
      </c>
      <c r="U41" s="11" t="n">
        <v>420</v>
      </c>
      <c r="V41" s="11" t="n">
        <v>420</v>
      </c>
      <c r="W41" s="11" t="n">
        <v>420</v>
      </c>
      <c r="X41" s="11" t="n">
        <v>260</v>
      </c>
      <c r="Y41" s="11" t="n">
        <v>260</v>
      </c>
      <c r="Z41" s="11" t="n">
        <v>260</v>
      </c>
      <c r="AA41" s="11" t="n">
        <v>260</v>
      </c>
      <c r="AB41" s="11" t="n">
        <v>360</v>
      </c>
      <c r="AC41" s="11" t="n">
        <v>360</v>
      </c>
      <c r="AD41" s="11" t="n">
        <v>360</v>
      </c>
      <c r="AE41" s="11" t="n">
        <v>360</v>
      </c>
      <c r="AF41" s="11" t="n">
        <v>320</v>
      </c>
      <c r="AG41" s="11" t="n">
        <v>320</v>
      </c>
      <c r="AH41" s="11" t="n">
        <v>320</v>
      </c>
      <c r="AI41" s="10" t="n">
        <v>0</v>
      </c>
    </row>
    <row r="42" customFormat="false" ht="13.5" hidden="false" customHeight="true" outlineLevel="0" collapsed="false">
      <c r="A42" s="14" t="s">
        <v>68</v>
      </c>
      <c r="B42" s="12" t="s">
        <v>77</v>
      </c>
      <c r="C42" s="13" t="n">
        <v>0</v>
      </c>
      <c r="D42" s="11" t="n">
        <v>160</v>
      </c>
      <c r="E42" s="13" t="n">
        <v>0</v>
      </c>
      <c r="F42" s="11" t="n">
        <v>80</v>
      </c>
      <c r="G42" s="11" t="n">
        <v>160</v>
      </c>
      <c r="H42" s="11" t="n">
        <v>160</v>
      </c>
      <c r="I42" s="11" t="n">
        <v>80</v>
      </c>
      <c r="J42" s="11" t="n">
        <v>160</v>
      </c>
      <c r="K42" s="11" t="n">
        <v>80</v>
      </c>
      <c r="L42" s="11" t="n">
        <v>240</v>
      </c>
      <c r="M42" s="13" t="n">
        <v>0</v>
      </c>
      <c r="N42" s="13" t="n">
        <v>0</v>
      </c>
      <c r="O42" s="13" t="n">
        <v>0</v>
      </c>
      <c r="P42" s="13" t="n">
        <v>0</v>
      </c>
      <c r="Q42" s="11" t="n">
        <v>160</v>
      </c>
      <c r="R42" s="11" t="n">
        <v>80</v>
      </c>
      <c r="S42" s="11" t="n">
        <v>80</v>
      </c>
      <c r="T42" s="11" t="n">
        <v>120</v>
      </c>
      <c r="U42" s="11" t="n">
        <v>120</v>
      </c>
      <c r="V42" s="11" t="n">
        <v>120</v>
      </c>
      <c r="W42" s="11" t="n">
        <v>120</v>
      </c>
      <c r="X42" s="11" t="n">
        <v>60</v>
      </c>
      <c r="Y42" s="11" t="n">
        <v>60</v>
      </c>
      <c r="Z42" s="11" t="n">
        <v>60</v>
      </c>
      <c r="AA42" s="11" t="n">
        <v>60</v>
      </c>
      <c r="AB42" s="13" t="n">
        <v>0</v>
      </c>
      <c r="AC42" s="13" t="n">
        <v>0</v>
      </c>
      <c r="AD42" s="13" t="n">
        <v>0</v>
      </c>
      <c r="AE42" s="13" t="n">
        <v>0</v>
      </c>
      <c r="AF42" s="13" t="n">
        <v>0</v>
      </c>
      <c r="AG42" s="13" t="n">
        <v>0</v>
      </c>
      <c r="AH42" s="13" t="n">
        <v>0</v>
      </c>
      <c r="AI42" s="13" t="n">
        <v>0</v>
      </c>
    </row>
    <row r="43" customFormat="false" ht="13.5" hidden="false" customHeight="true" outlineLevel="0" collapsed="false">
      <c r="A43" s="14" t="s">
        <v>68</v>
      </c>
      <c r="B43" s="9" t="s">
        <v>78</v>
      </c>
      <c r="C43" s="10" t="n">
        <v>0</v>
      </c>
      <c r="D43" s="11" t="n">
        <v>880</v>
      </c>
      <c r="E43" s="11" t="n">
        <v>880</v>
      </c>
      <c r="F43" s="11" t="n">
        <v>800</v>
      </c>
      <c r="G43" s="11" t="n">
        <v>720</v>
      </c>
      <c r="H43" s="11" t="n">
        <v>720</v>
      </c>
      <c r="I43" s="11" t="n">
        <v>800</v>
      </c>
      <c r="J43" s="11" t="n">
        <v>800</v>
      </c>
      <c r="K43" s="11" t="n">
        <v>960</v>
      </c>
      <c r="L43" s="11" t="n">
        <v>800</v>
      </c>
      <c r="M43" s="10" t="n">
        <v>0</v>
      </c>
      <c r="N43" s="10" t="n">
        <v>0</v>
      </c>
      <c r="O43" s="10" t="n">
        <v>0</v>
      </c>
      <c r="P43" s="10" t="n">
        <v>0</v>
      </c>
      <c r="Q43" s="11" t="n">
        <v>560</v>
      </c>
      <c r="R43" s="11" t="n">
        <v>560</v>
      </c>
      <c r="S43" s="11" t="n">
        <v>560</v>
      </c>
      <c r="T43" s="11" t="n">
        <v>620</v>
      </c>
      <c r="U43" s="11" t="n">
        <v>620</v>
      </c>
      <c r="V43" s="11" t="n">
        <v>620</v>
      </c>
      <c r="W43" s="11" t="n">
        <v>620</v>
      </c>
      <c r="X43" s="11" t="n">
        <v>360</v>
      </c>
      <c r="Y43" s="11" t="n">
        <v>360</v>
      </c>
      <c r="Z43" s="11" t="n">
        <v>360</v>
      </c>
      <c r="AA43" s="11" t="n">
        <v>360</v>
      </c>
      <c r="AB43" s="11" t="n">
        <v>470</v>
      </c>
      <c r="AC43" s="11" t="n">
        <v>470</v>
      </c>
      <c r="AD43" s="11" t="n">
        <v>470</v>
      </c>
      <c r="AE43" s="11" t="n">
        <v>470</v>
      </c>
      <c r="AF43" s="11" t="n">
        <v>440</v>
      </c>
      <c r="AG43" s="11" t="n">
        <v>1000</v>
      </c>
      <c r="AH43" s="11" t="n">
        <v>1000</v>
      </c>
      <c r="AI43" s="10" t="n">
        <v>0</v>
      </c>
    </row>
    <row r="44" customFormat="false" ht="13.5" hidden="false" customHeight="true" outlineLevel="0" collapsed="false">
      <c r="A44" s="14" t="s">
        <v>68</v>
      </c>
      <c r="B44" s="12" t="s">
        <v>79</v>
      </c>
      <c r="C44" s="11" t="n">
        <v>80</v>
      </c>
      <c r="D44" s="11" t="n">
        <v>80</v>
      </c>
      <c r="E44" s="13" t="n">
        <v>0</v>
      </c>
      <c r="F44" s="11" t="n">
        <v>160</v>
      </c>
      <c r="G44" s="11" t="n">
        <v>80</v>
      </c>
      <c r="H44" s="11" t="n">
        <v>80</v>
      </c>
      <c r="I44" s="11" t="n">
        <v>160</v>
      </c>
      <c r="J44" s="11" t="n">
        <v>160</v>
      </c>
      <c r="K44" s="11" t="n">
        <v>240</v>
      </c>
      <c r="L44" s="11" t="n">
        <v>240</v>
      </c>
      <c r="M44" s="13" t="n">
        <v>0</v>
      </c>
      <c r="N44" s="13" t="n">
        <v>0</v>
      </c>
      <c r="O44" s="13" t="n">
        <v>0</v>
      </c>
      <c r="P44" s="13" t="n">
        <v>0</v>
      </c>
      <c r="Q44" s="11" t="n">
        <v>160</v>
      </c>
      <c r="R44" s="11" t="n">
        <v>80</v>
      </c>
      <c r="S44" s="11" t="n">
        <v>80</v>
      </c>
      <c r="T44" s="11" t="n">
        <v>100</v>
      </c>
      <c r="U44" s="11" t="n">
        <v>100</v>
      </c>
      <c r="V44" s="11" t="n">
        <v>100</v>
      </c>
      <c r="W44" s="11" t="n">
        <v>100</v>
      </c>
      <c r="X44" s="11" t="n">
        <v>40</v>
      </c>
      <c r="Y44" s="11" t="n">
        <v>40</v>
      </c>
      <c r="Z44" s="11" t="n">
        <v>40</v>
      </c>
      <c r="AA44" s="11" t="n">
        <v>40</v>
      </c>
      <c r="AB44" s="11" t="n">
        <v>70</v>
      </c>
      <c r="AC44" s="11" t="n">
        <v>70</v>
      </c>
      <c r="AD44" s="11" t="n">
        <v>70</v>
      </c>
      <c r="AE44" s="11" t="n">
        <v>70</v>
      </c>
      <c r="AF44" s="11" t="n">
        <v>40</v>
      </c>
      <c r="AG44" s="11" t="n">
        <v>120</v>
      </c>
      <c r="AH44" s="11" t="n">
        <v>120</v>
      </c>
      <c r="AI44" s="13" t="n">
        <v>0</v>
      </c>
    </row>
    <row r="45" customFormat="false" ht="13.5" hidden="false" customHeight="true" outlineLevel="0" collapsed="false">
      <c r="A45" s="14" t="s">
        <v>68</v>
      </c>
      <c r="B45" s="9" t="s">
        <v>80</v>
      </c>
      <c r="C45" s="10" t="n">
        <v>0</v>
      </c>
      <c r="D45" s="11" t="n">
        <v>720</v>
      </c>
      <c r="E45" s="10" t="n">
        <v>0</v>
      </c>
      <c r="F45" s="11" t="n">
        <v>240</v>
      </c>
      <c r="G45" s="11" t="n">
        <v>320</v>
      </c>
      <c r="H45" s="11" t="n">
        <v>240</v>
      </c>
      <c r="I45" s="11" t="n">
        <v>320</v>
      </c>
      <c r="J45" s="11" t="n">
        <v>400</v>
      </c>
      <c r="K45" s="11" t="n">
        <v>560</v>
      </c>
      <c r="L45" s="11" t="n">
        <v>880</v>
      </c>
      <c r="M45" s="10" t="n">
        <v>0</v>
      </c>
      <c r="N45" s="10" t="n">
        <v>0</v>
      </c>
      <c r="O45" s="10" t="n">
        <v>0</v>
      </c>
      <c r="P45" s="10" t="n">
        <v>0</v>
      </c>
      <c r="Q45" s="11" t="n">
        <v>480</v>
      </c>
      <c r="R45" s="11" t="n">
        <v>400</v>
      </c>
      <c r="S45" s="11" t="n">
        <v>480</v>
      </c>
      <c r="T45" s="11" t="n">
        <v>460</v>
      </c>
      <c r="U45" s="11" t="n">
        <v>460</v>
      </c>
      <c r="V45" s="11" t="n">
        <v>460</v>
      </c>
      <c r="W45" s="11" t="n">
        <v>460</v>
      </c>
      <c r="X45" s="11" t="n">
        <v>280</v>
      </c>
      <c r="Y45" s="11" t="n">
        <v>280</v>
      </c>
      <c r="Z45" s="11" t="n">
        <v>280</v>
      </c>
      <c r="AA45" s="11" t="n">
        <v>280</v>
      </c>
      <c r="AB45" s="11" t="n">
        <v>470</v>
      </c>
      <c r="AC45" s="11" t="n">
        <v>470</v>
      </c>
      <c r="AD45" s="11" t="n">
        <v>470</v>
      </c>
      <c r="AE45" s="11" t="n">
        <v>470</v>
      </c>
      <c r="AF45" s="11" t="n">
        <v>440</v>
      </c>
      <c r="AG45" s="11" t="n">
        <v>480</v>
      </c>
      <c r="AH45" s="11" t="n">
        <v>480</v>
      </c>
      <c r="AI45" s="10" t="n">
        <v>0</v>
      </c>
    </row>
    <row r="46" customFormat="false" ht="13.5" hidden="false" customHeight="true" outlineLevel="0" collapsed="false">
      <c r="A46" s="14" t="s">
        <v>68</v>
      </c>
      <c r="B46" s="12" t="s">
        <v>81</v>
      </c>
      <c r="C46" s="11" t="n">
        <v>80</v>
      </c>
      <c r="D46" s="11" t="n">
        <v>1600</v>
      </c>
      <c r="E46" s="11" t="n">
        <v>1600</v>
      </c>
      <c r="F46" s="11" t="n">
        <v>1360</v>
      </c>
      <c r="G46" s="11" t="n">
        <v>1360</v>
      </c>
      <c r="H46" s="11" t="n">
        <v>1200</v>
      </c>
      <c r="I46" s="11" t="n">
        <v>1200</v>
      </c>
      <c r="J46" s="11" t="n">
        <v>1040</v>
      </c>
      <c r="K46" s="11" t="n">
        <v>1520</v>
      </c>
      <c r="L46" s="11" t="n">
        <v>2080</v>
      </c>
      <c r="M46" s="13" t="n">
        <v>0</v>
      </c>
      <c r="N46" s="13" t="n">
        <v>0</v>
      </c>
      <c r="O46" s="13" t="n">
        <v>0</v>
      </c>
      <c r="P46" s="13" t="n">
        <v>0</v>
      </c>
      <c r="Q46" s="11" t="n">
        <v>1120</v>
      </c>
      <c r="R46" s="11" t="n">
        <v>1040</v>
      </c>
      <c r="S46" s="11" t="n">
        <v>1040</v>
      </c>
      <c r="T46" s="11" t="n">
        <v>1140</v>
      </c>
      <c r="U46" s="11" t="n">
        <v>1140</v>
      </c>
      <c r="V46" s="11" t="n">
        <v>1140</v>
      </c>
      <c r="W46" s="11" t="n">
        <v>1140</v>
      </c>
      <c r="X46" s="11" t="n">
        <v>800</v>
      </c>
      <c r="Y46" s="11" t="n">
        <v>800</v>
      </c>
      <c r="Z46" s="11" t="n">
        <v>800</v>
      </c>
      <c r="AA46" s="11" t="n">
        <v>800</v>
      </c>
      <c r="AB46" s="11" t="n">
        <v>960</v>
      </c>
      <c r="AC46" s="11" t="n">
        <v>960</v>
      </c>
      <c r="AD46" s="11" t="n">
        <v>960</v>
      </c>
      <c r="AE46" s="11" t="n">
        <v>960</v>
      </c>
      <c r="AF46" s="11" t="n">
        <v>960</v>
      </c>
      <c r="AG46" s="11" t="n">
        <v>840</v>
      </c>
      <c r="AH46" s="11" t="n">
        <v>840</v>
      </c>
      <c r="AI46" s="13" t="n">
        <v>0</v>
      </c>
    </row>
    <row r="47" customFormat="false" ht="13.5" hidden="false" customHeight="true" outlineLevel="0" collapsed="false">
      <c r="A47" s="14" t="s">
        <v>68</v>
      </c>
      <c r="B47" s="9" t="s">
        <v>82</v>
      </c>
      <c r="C47" s="10" t="n">
        <v>0</v>
      </c>
      <c r="D47" s="10" t="n">
        <v>0</v>
      </c>
      <c r="E47" s="10" t="n">
        <v>0</v>
      </c>
      <c r="F47" s="11" t="n">
        <v>80</v>
      </c>
      <c r="G47" s="10" t="n">
        <v>0</v>
      </c>
      <c r="H47" s="11" t="n">
        <v>80</v>
      </c>
      <c r="I47" s="10" t="n">
        <v>0</v>
      </c>
      <c r="J47" s="10" t="n">
        <v>0</v>
      </c>
      <c r="K47" s="11" t="n">
        <v>80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1" t="n">
        <v>80</v>
      </c>
      <c r="R47" s="10" t="n">
        <v>0</v>
      </c>
      <c r="S47" s="10" t="n">
        <v>0</v>
      </c>
      <c r="T47" s="11" t="n">
        <v>20</v>
      </c>
      <c r="U47" s="11" t="n">
        <v>20</v>
      </c>
      <c r="V47" s="11" t="n">
        <v>20</v>
      </c>
      <c r="W47" s="11" t="n">
        <v>20</v>
      </c>
      <c r="X47" s="11" t="n">
        <v>40</v>
      </c>
      <c r="Y47" s="11" t="n">
        <v>40</v>
      </c>
      <c r="Z47" s="11" t="n">
        <v>40</v>
      </c>
      <c r="AA47" s="11" t="n">
        <v>40</v>
      </c>
      <c r="AB47" s="11" t="n">
        <v>340</v>
      </c>
      <c r="AC47" s="11" t="n">
        <v>340</v>
      </c>
      <c r="AD47" s="11" t="n">
        <v>340</v>
      </c>
      <c r="AE47" s="11" t="n">
        <v>340</v>
      </c>
      <c r="AF47" s="11" t="n">
        <v>320</v>
      </c>
      <c r="AG47" s="11" t="n">
        <v>280</v>
      </c>
      <c r="AH47" s="11" t="n">
        <v>280</v>
      </c>
      <c r="AI47" s="10" t="n">
        <v>0</v>
      </c>
    </row>
    <row r="48" customFormat="false" ht="13.5" hidden="false" customHeight="true" outlineLevel="0" collapsed="false">
      <c r="A48" s="14" t="s">
        <v>68</v>
      </c>
      <c r="B48" s="12" t="s">
        <v>83</v>
      </c>
      <c r="C48" s="13" t="n">
        <v>0</v>
      </c>
      <c r="D48" s="11" t="n">
        <v>320</v>
      </c>
      <c r="E48" s="13" t="n">
        <v>0</v>
      </c>
      <c r="F48" s="11" t="n">
        <v>160</v>
      </c>
      <c r="G48" s="11" t="n">
        <v>160</v>
      </c>
      <c r="H48" s="11" t="n">
        <v>240</v>
      </c>
      <c r="I48" s="11" t="n">
        <v>240</v>
      </c>
      <c r="J48" s="11" t="n">
        <v>320</v>
      </c>
      <c r="K48" s="11" t="n">
        <v>320</v>
      </c>
      <c r="L48" s="11" t="n">
        <v>400</v>
      </c>
      <c r="M48" s="13" t="n">
        <v>0</v>
      </c>
      <c r="N48" s="13" t="n">
        <v>0</v>
      </c>
      <c r="O48" s="13" t="n">
        <v>0</v>
      </c>
      <c r="P48" s="13" t="n">
        <v>0</v>
      </c>
      <c r="Q48" s="11" t="n">
        <v>160</v>
      </c>
      <c r="R48" s="11" t="n">
        <v>240</v>
      </c>
      <c r="S48" s="11" t="n">
        <v>160</v>
      </c>
      <c r="T48" s="11" t="n">
        <v>220</v>
      </c>
      <c r="U48" s="11" t="n">
        <v>220</v>
      </c>
      <c r="V48" s="11" t="n">
        <v>220</v>
      </c>
      <c r="W48" s="11" t="n">
        <v>220</v>
      </c>
      <c r="X48" s="11" t="n">
        <v>220</v>
      </c>
      <c r="Y48" s="11" t="n">
        <v>220</v>
      </c>
      <c r="Z48" s="11" t="n">
        <v>220</v>
      </c>
      <c r="AA48" s="11" t="n">
        <v>220</v>
      </c>
      <c r="AB48" s="11" t="n">
        <v>320</v>
      </c>
      <c r="AC48" s="11" t="n">
        <v>320</v>
      </c>
      <c r="AD48" s="11" t="n">
        <v>320</v>
      </c>
      <c r="AE48" s="11" t="n">
        <v>320</v>
      </c>
      <c r="AF48" s="11" t="n">
        <v>320</v>
      </c>
      <c r="AG48" s="11" t="n">
        <v>40</v>
      </c>
      <c r="AH48" s="11" t="n">
        <v>40</v>
      </c>
      <c r="AI48" s="13" t="n">
        <v>0</v>
      </c>
    </row>
    <row r="49" customFormat="false" ht="13.5" hidden="false" customHeight="true" outlineLevel="0" collapsed="false">
      <c r="A49" s="14" t="s">
        <v>68</v>
      </c>
      <c r="B49" s="9" t="s">
        <v>84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</row>
    <row r="50" customFormat="false" ht="13.5" hidden="false" customHeight="true" outlineLevel="0" collapsed="false">
      <c r="A50" s="14" t="s">
        <v>68</v>
      </c>
      <c r="B50" s="12" t="s">
        <v>85</v>
      </c>
      <c r="C50" s="13" t="n">
        <v>0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0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0</v>
      </c>
      <c r="N50" s="13" t="n">
        <v>0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0</v>
      </c>
      <c r="AH50" s="13" t="n">
        <v>0</v>
      </c>
      <c r="AI50" s="13" t="n">
        <v>0</v>
      </c>
    </row>
    <row r="51" customFormat="false" ht="13.5" hidden="false" customHeight="true" outlineLevel="0" collapsed="false">
      <c r="A51" s="14" t="s">
        <v>68</v>
      </c>
      <c r="B51" s="9" t="s">
        <v>86</v>
      </c>
      <c r="C51" s="10" t="n">
        <v>0</v>
      </c>
      <c r="D51" s="11" t="n">
        <v>160</v>
      </c>
      <c r="E51" s="11" t="n">
        <v>80</v>
      </c>
      <c r="F51" s="11" t="n">
        <v>160</v>
      </c>
      <c r="G51" s="11" t="n">
        <v>80</v>
      </c>
      <c r="H51" s="11" t="n">
        <v>160</v>
      </c>
      <c r="I51" s="11" t="n">
        <v>80</v>
      </c>
      <c r="J51" s="11" t="n">
        <v>80</v>
      </c>
      <c r="K51" s="11" t="n">
        <v>160</v>
      </c>
      <c r="L51" s="11" t="n">
        <v>80</v>
      </c>
      <c r="M51" s="10" t="n">
        <v>0</v>
      </c>
      <c r="N51" s="10" t="n">
        <v>0</v>
      </c>
      <c r="O51" s="10" t="n">
        <v>0</v>
      </c>
      <c r="P51" s="10" t="n">
        <v>0</v>
      </c>
      <c r="Q51" s="11" t="n">
        <v>80</v>
      </c>
      <c r="R51" s="11" t="n">
        <v>160</v>
      </c>
      <c r="S51" s="11" t="n">
        <v>80</v>
      </c>
      <c r="T51" s="11" t="n">
        <v>100</v>
      </c>
      <c r="U51" s="11" t="n">
        <v>100</v>
      </c>
      <c r="V51" s="11" t="n">
        <v>100</v>
      </c>
      <c r="W51" s="11" t="n">
        <v>100</v>
      </c>
      <c r="X51" s="11" t="n">
        <v>80</v>
      </c>
      <c r="Y51" s="11" t="n">
        <v>80</v>
      </c>
      <c r="Z51" s="11" t="n">
        <v>80</v>
      </c>
      <c r="AA51" s="11" t="n">
        <v>80</v>
      </c>
      <c r="AB51" s="11" t="n">
        <v>130</v>
      </c>
      <c r="AC51" s="11" t="n">
        <v>130</v>
      </c>
      <c r="AD51" s="11" t="n">
        <v>130</v>
      </c>
      <c r="AE51" s="11" t="n">
        <v>130</v>
      </c>
      <c r="AF51" s="11" t="n">
        <v>120</v>
      </c>
      <c r="AG51" s="11" t="n">
        <v>80</v>
      </c>
      <c r="AH51" s="11" t="n">
        <v>80</v>
      </c>
      <c r="AI51" s="10" t="n">
        <v>0</v>
      </c>
    </row>
    <row r="52" customFormat="false" ht="13.5" hidden="false" customHeight="true" outlineLevel="0" collapsed="false">
      <c r="A52" s="14" t="s">
        <v>68</v>
      </c>
      <c r="B52" s="12" t="s">
        <v>87</v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</row>
    <row r="53" customFormat="false" ht="13.5" hidden="false" customHeight="true" outlineLevel="0" collapsed="false">
      <c r="A53" s="14" t="s">
        <v>68</v>
      </c>
      <c r="B53" s="9" t="s">
        <v>88</v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  <c r="H53" s="10" t="n">
        <v>0</v>
      </c>
      <c r="I53" s="10" t="n">
        <v>0</v>
      </c>
      <c r="J53" s="10" t="n">
        <v>0</v>
      </c>
      <c r="K53" s="11" t="n">
        <v>80</v>
      </c>
      <c r="L53" s="10" t="n">
        <v>0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  <c r="S53" s="10" t="n">
        <v>0</v>
      </c>
      <c r="T53" s="10" t="n">
        <v>0</v>
      </c>
      <c r="U53" s="10" t="n">
        <v>0</v>
      </c>
      <c r="V53" s="10" t="n">
        <v>0</v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0</v>
      </c>
    </row>
    <row r="54" customFormat="false" ht="13.5" hidden="false" customHeight="true" outlineLevel="0" collapsed="false">
      <c r="A54" s="14" t="s">
        <v>68</v>
      </c>
      <c r="B54" s="12" t="s">
        <v>89</v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1" t="n">
        <v>100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1" t="n">
        <v>20</v>
      </c>
      <c r="AC54" s="11" t="n">
        <v>20</v>
      </c>
      <c r="AD54" s="11" t="n">
        <v>20</v>
      </c>
      <c r="AE54" s="11" t="n">
        <v>20</v>
      </c>
      <c r="AF54" s="11" t="n">
        <v>20</v>
      </c>
      <c r="AG54" s="13" t="n">
        <v>0</v>
      </c>
      <c r="AH54" s="13" t="n">
        <v>0</v>
      </c>
      <c r="AI54" s="13" t="n">
        <v>0</v>
      </c>
    </row>
    <row r="55" customFormat="false" ht="13.5" hidden="false" customHeight="true" outlineLevel="0" collapsed="false">
      <c r="A55" s="14" t="s">
        <v>68</v>
      </c>
      <c r="B55" s="9" t="s">
        <v>90</v>
      </c>
      <c r="C55" s="10" t="n">
        <v>0</v>
      </c>
      <c r="D55" s="11" t="n">
        <v>160</v>
      </c>
      <c r="E55" s="10" t="n">
        <v>0</v>
      </c>
      <c r="F55" s="11" t="n">
        <v>80</v>
      </c>
      <c r="G55" s="10" t="n">
        <v>0</v>
      </c>
      <c r="H55" s="11" t="n">
        <v>80</v>
      </c>
      <c r="I55" s="10" t="n">
        <v>0</v>
      </c>
      <c r="J55" s="11" t="n">
        <v>80</v>
      </c>
      <c r="K55" s="11" t="n">
        <v>80</v>
      </c>
      <c r="L55" s="11" t="n">
        <v>80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1" t="n">
        <v>80</v>
      </c>
      <c r="S55" s="10" t="n">
        <v>0</v>
      </c>
      <c r="T55" s="11" t="n">
        <v>60</v>
      </c>
      <c r="U55" s="11" t="n">
        <v>60</v>
      </c>
      <c r="V55" s="11" t="n">
        <v>60</v>
      </c>
      <c r="W55" s="11" t="n">
        <v>60</v>
      </c>
      <c r="X55" s="11" t="n">
        <v>20</v>
      </c>
      <c r="Y55" s="11" t="n">
        <v>20</v>
      </c>
      <c r="Z55" s="11" t="n">
        <v>20</v>
      </c>
      <c r="AA55" s="11" t="n">
        <v>20</v>
      </c>
      <c r="AB55" s="11" t="n">
        <v>50</v>
      </c>
      <c r="AC55" s="11" t="n">
        <v>50</v>
      </c>
      <c r="AD55" s="11" t="n">
        <v>50</v>
      </c>
      <c r="AE55" s="11" t="n">
        <v>50</v>
      </c>
      <c r="AF55" s="11" t="n">
        <v>40</v>
      </c>
      <c r="AG55" s="10" t="n">
        <v>0</v>
      </c>
      <c r="AH55" s="10" t="n">
        <v>0</v>
      </c>
      <c r="AI55" s="10" t="n">
        <v>0</v>
      </c>
    </row>
    <row r="56" customFormat="false" ht="13.5" hidden="false" customHeight="true" outlineLevel="0" collapsed="false">
      <c r="A56" s="14" t="s">
        <v>68</v>
      </c>
      <c r="B56" s="12" t="s">
        <v>91</v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1" t="n">
        <v>40</v>
      </c>
      <c r="Y56" s="11" t="n">
        <v>40</v>
      </c>
      <c r="Z56" s="11" t="n">
        <v>40</v>
      </c>
      <c r="AA56" s="11" t="n">
        <v>40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</row>
    <row r="57" customFormat="false" ht="13.5" hidden="false" customHeight="true" outlineLevel="0" collapsed="false">
      <c r="A57" s="14" t="s">
        <v>68</v>
      </c>
      <c r="B57" s="9" t="s">
        <v>92</v>
      </c>
      <c r="C57" s="11" t="n">
        <v>80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v>0</v>
      </c>
      <c r="I57" s="10" t="n">
        <v>0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</v>
      </c>
      <c r="AB57" s="11" t="n">
        <v>50</v>
      </c>
      <c r="AC57" s="11" t="n">
        <v>50</v>
      </c>
      <c r="AD57" s="11" t="n">
        <v>50</v>
      </c>
      <c r="AE57" s="11" t="n">
        <v>50</v>
      </c>
      <c r="AF57" s="11" t="n">
        <v>40</v>
      </c>
      <c r="AG57" s="11" t="n">
        <v>40</v>
      </c>
      <c r="AH57" s="11" t="n">
        <v>40</v>
      </c>
      <c r="AI57" s="10" t="n">
        <v>0</v>
      </c>
    </row>
    <row r="58" customFormat="false" ht="13.5" hidden="false" customHeight="true" outlineLevel="0" collapsed="false">
      <c r="A58" s="14" t="s">
        <v>68</v>
      </c>
      <c r="B58" s="12" t="s">
        <v>93</v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1" t="n">
        <v>20</v>
      </c>
      <c r="AC58" s="11" t="n">
        <v>20</v>
      </c>
      <c r="AD58" s="11" t="n">
        <v>20</v>
      </c>
      <c r="AE58" s="11" t="n">
        <v>20</v>
      </c>
      <c r="AF58" s="13" t="n">
        <v>0</v>
      </c>
      <c r="AG58" s="13" t="n">
        <v>0</v>
      </c>
      <c r="AH58" s="13" t="n">
        <v>0</v>
      </c>
      <c r="AI58" s="13" t="n">
        <v>0</v>
      </c>
    </row>
    <row r="59" customFormat="false" ht="13.5" hidden="false" customHeight="true" outlineLevel="0" collapsed="false">
      <c r="A59" s="14" t="s">
        <v>68</v>
      </c>
      <c r="B59" s="9" t="s">
        <v>94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1" t="n">
        <v>20</v>
      </c>
      <c r="AC59" s="11" t="n">
        <v>20</v>
      </c>
      <c r="AD59" s="11" t="n">
        <v>20</v>
      </c>
      <c r="AE59" s="11" t="n">
        <v>20</v>
      </c>
      <c r="AF59" s="10" t="n">
        <v>0</v>
      </c>
      <c r="AG59" s="11" t="n">
        <v>40</v>
      </c>
      <c r="AH59" s="11" t="n">
        <v>40</v>
      </c>
      <c r="AI59" s="10" t="n">
        <v>0</v>
      </c>
    </row>
    <row r="60" customFormat="false" ht="13.5" hidden="false" customHeight="true" outlineLevel="0" collapsed="false">
      <c r="A60" s="14" t="s">
        <v>68</v>
      </c>
      <c r="B60" s="12" t="s">
        <v>95</v>
      </c>
      <c r="C60" s="13" t="n">
        <v>0</v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3" t="n">
        <v>0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0</v>
      </c>
      <c r="V60" s="13" t="n">
        <v>0</v>
      </c>
      <c r="W60" s="13" t="n">
        <v>0</v>
      </c>
      <c r="X60" s="13" t="n">
        <v>0</v>
      </c>
      <c r="Y60" s="13" t="n">
        <v>0</v>
      </c>
      <c r="Z60" s="13" t="n">
        <v>0</v>
      </c>
      <c r="AA60" s="13" t="n">
        <v>0</v>
      </c>
      <c r="AB60" s="11" t="n">
        <v>10</v>
      </c>
      <c r="AC60" s="11" t="n">
        <v>10</v>
      </c>
      <c r="AD60" s="13" t="n">
        <v>0</v>
      </c>
      <c r="AE60" s="13" t="n">
        <v>0</v>
      </c>
      <c r="AF60" s="13" t="n">
        <v>0</v>
      </c>
      <c r="AG60" s="13" t="n">
        <v>0</v>
      </c>
      <c r="AH60" s="13" t="n">
        <v>0</v>
      </c>
      <c r="AI60" s="13" t="n">
        <v>0</v>
      </c>
    </row>
    <row r="61" customFormat="false" ht="13.5" hidden="false" customHeight="true" outlineLevel="0" collapsed="false">
      <c r="A61" s="14" t="s">
        <v>68</v>
      </c>
      <c r="B61" s="9" t="s">
        <v>96</v>
      </c>
      <c r="C61" s="10" t="n">
        <v>0</v>
      </c>
      <c r="D61" s="11" t="n">
        <v>80</v>
      </c>
      <c r="E61" s="10" t="n">
        <v>0</v>
      </c>
      <c r="F61" s="10" t="n">
        <v>0</v>
      </c>
      <c r="G61" s="11" t="n">
        <v>80</v>
      </c>
      <c r="H61" s="10" t="n">
        <v>0</v>
      </c>
      <c r="I61" s="10" t="n">
        <v>0</v>
      </c>
      <c r="J61" s="10" t="n">
        <v>0</v>
      </c>
      <c r="K61" s="11" t="n">
        <v>80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1" t="n">
        <v>80</v>
      </c>
      <c r="S61" s="10" t="n">
        <v>0</v>
      </c>
      <c r="T61" s="11" t="n">
        <v>20</v>
      </c>
      <c r="U61" s="11" t="n">
        <v>20</v>
      </c>
      <c r="V61" s="11" t="n">
        <v>20</v>
      </c>
      <c r="W61" s="11" t="n">
        <v>20</v>
      </c>
      <c r="X61" s="10" t="n">
        <v>0</v>
      </c>
      <c r="Y61" s="10" t="n">
        <v>0</v>
      </c>
      <c r="Z61" s="10" t="n">
        <v>0</v>
      </c>
      <c r="AA61" s="10" t="n">
        <v>0</v>
      </c>
      <c r="AB61" s="11" t="n">
        <v>40</v>
      </c>
      <c r="AC61" s="11" t="n">
        <v>40</v>
      </c>
      <c r="AD61" s="11" t="n">
        <v>40</v>
      </c>
      <c r="AE61" s="11" t="n">
        <v>40</v>
      </c>
      <c r="AF61" s="10" t="n">
        <v>0</v>
      </c>
      <c r="AG61" s="11" t="n">
        <v>40</v>
      </c>
      <c r="AH61" s="11" t="n">
        <v>40</v>
      </c>
      <c r="AI61" s="10" t="n">
        <v>0</v>
      </c>
    </row>
    <row r="62" customFormat="false" ht="13.5" hidden="false" customHeight="true" outlineLevel="0" collapsed="false">
      <c r="A62" s="14" t="s">
        <v>68</v>
      </c>
      <c r="B62" s="12" t="s">
        <v>97</v>
      </c>
      <c r="C62" s="13" t="n">
        <v>0</v>
      </c>
      <c r="D62" s="11" t="n">
        <v>160</v>
      </c>
      <c r="E62" s="13" t="n">
        <v>0</v>
      </c>
      <c r="F62" s="11" t="n">
        <v>80</v>
      </c>
      <c r="G62" s="13" t="n">
        <v>0</v>
      </c>
      <c r="H62" s="13" t="n">
        <v>0</v>
      </c>
      <c r="I62" s="11" t="n">
        <v>80</v>
      </c>
      <c r="J62" s="11" t="n">
        <v>80</v>
      </c>
      <c r="K62" s="11" t="n">
        <v>80</v>
      </c>
      <c r="L62" s="11" t="n">
        <v>80</v>
      </c>
      <c r="M62" s="13" t="n">
        <v>0</v>
      </c>
      <c r="N62" s="13" t="n">
        <v>0</v>
      </c>
      <c r="O62" s="13" t="n">
        <v>0</v>
      </c>
      <c r="P62" s="13" t="n">
        <v>0</v>
      </c>
      <c r="Q62" s="11" t="n">
        <v>80</v>
      </c>
      <c r="R62" s="11" t="n">
        <v>80</v>
      </c>
      <c r="S62" s="13" t="n">
        <v>0</v>
      </c>
      <c r="T62" s="11" t="n">
        <v>60</v>
      </c>
      <c r="U62" s="11" t="n">
        <v>60</v>
      </c>
      <c r="V62" s="11" t="n">
        <v>60</v>
      </c>
      <c r="W62" s="11" t="n">
        <v>60</v>
      </c>
      <c r="X62" s="11" t="n">
        <v>40</v>
      </c>
      <c r="Y62" s="11" t="n">
        <v>40</v>
      </c>
      <c r="Z62" s="11" t="n">
        <v>40</v>
      </c>
      <c r="AA62" s="11" t="n">
        <v>40</v>
      </c>
      <c r="AB62" s="11" t="n">
        <v>40</v>
      </c>
      <c r="AC62" s="11" t="n">
        <v>40</v>
      </c>
      <c r="AD62" s="11" t="n">
        <v>40</v>
      </c>
      <c r="AE62" s="11" t="n">
        <v>40</v>
      </c>
      <c r="AF62" s="13" t="n">
        <v>0</v>
      </c>
      <c r="AG62" s="11" t="n">
        <v>40</v>
      </c>
      <c r="AH62" s="11" t="n">
        <v>40</v>
      </c>
      <c r="AI62" s="13" t="n">
        <v>0</v>
      </c>
    </row>
    <row r="63" customFormat="false" ht="13.5" hidden="false" customHeight="true" outlineLevel="0" collapsed="false">
      <c r="A63" s="14" t="s">
        <v>68</v>
      </c>
      <c r="B63" s="9" t="s">
        <v>98</v>
      </c>
      <c r="C63" s="10" t="n">
        <v>0</v>
      </c>
      <c r="D63" s="11" t="n">
        <v>60</v>
      </c>
      <c r="E63" s="11" t="n">
        <v>60</v>
      </c>
      <c r="F63" s="10" t="n">
        <v>0</v>
      </c>
      <c r="G63" s="11" t="n">
        <v>55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0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10" t="n">
        <v>0</v>
      </c>
      <c r="AG63" s="10" t="n">
        <v>0</v>
      </c>
      <c r="AH63" s="10" t="n">
        <v>0</v>
      </c>
      <c r="AI63" s="10" t="n">
        <v>0</v>
      </c>
    </row>
    <row r="64" customFormat="false" ht="13.5" hidden="false" customHeight="true" outlineLevel="0" collapsed="false">
      <c r="A64" s="14" t="s">
        <v>68</v>
      </c>
      <c r="B64" s="12" t="s">
        <v>99</v>
      </c>
      <c r="C64" s="13" t="n">
        <v>0</v>
      </c>
      <c r="D64" s="13" t="n">
        <v>0</v>
      </c>
      <c r="E64" s="13" t="n">
        <v>0</v>
      </c>
      <c r="F64" s="11" t="n">
        <v>80</v>
      </c>
      <c r="G64" s="13" t="n">
        <v>0</v>
      </c>
      <c r="H64" s="13" t="n">
        <v>0</v>
      </c>
      <c r="I64" s="13" t="n">
        <v>0</v>
      </c>
      <c r="J64" s="11" t="n">
        <v>80</v>
      </c>
      <c r="K64" s="13" t="n">
        <v>0</v>
      </c>
      <c r="L64" s="13" t="n">
        <v>0</v>
      </c>
      <c r="M64" s="13" t="n">
        <v>0</v>
      </c>
      <c r="N64" s="13" t="n">
        <v>0</v>
      </c>
      <c r="O64" s="13" t="n">
        <v>0</v>
      </c>
      <c r="P64" s="13" t="n">
        <v>0</v>
      </c>
      <c r="Q64" s="11" t="n">
        <v>80</v>
      </c>
      <c r="R64" s="13" t="n">
        <v>0</v>
      </c>
      <c r="S64" s="13" t="n">
        <v>0</v>
      </c>
      <c r="T64" s="13" t="n">
        <v>0</v>
      </c>
      <c r="U64" s="13" t="n">
        <v>0</v>
      </c>
      <c r="V64" s="13" t="n">
        <v>0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1" t="n">
        <v>20</v>
      </c>
      <c r="AC64" s="11" t="n">
        <v>20</v>
      </c>
      <c r="AD64" s="11" t="n">
        <v>20</v>
      </c>
      <c r="AE64" s="11" t="n">
        <v>20</v>
      </c>
      <c r="AF64" s="13" t="n">
        <v>0</v>
      </c>
      <c r="AG64" s="11" t="n">
        <v>40</v>
      </c>
      <c r="AH64" s="11" t="n">
        <v>40</v>
      </c>
      <c r="AI64" s="13" t="n">
        <v>0</v>
      </c>
    </row>
    <row r="65" customFormat="false" ht="13.5" hidden="false" customHeight="true" outlineLevel="0" collapsed="false">
      <c r="A65" s="15" t="s">
        <v>100</v>
      </c>
      <c r="B65" s="9" t="s">
        <v>101</v>
      </c>
      <c r="C65" s="10" t="n">
        <v>0</v>
      </c>
      <c r="D65" s="11" t="n">
        <v>2400</v>
      </c>
      <c r="E65" s="10" t="n">
        <v>0</v>
      </c>
      <c r="F65" s="11" t="n">
        <v>1000</v>
      </c>
      <c r="G65" s="11" t="n">
        <v>1200</v>
      </c>
      <c r="H65" s="11" t="n">
        <v>1200</v>
      </c>
      <c r="I65" s="11" t="n">
        <v>1200</v>
      </c>
      <c r="J65" s="11" t="n">
        <v>1400</v>
      </c>
      <c r="K65" s="11" t="n">
        <v>1800</v>
      </c>
      <c r="L65" s="11" t="n">
        <v>2200</v>
      </c>
      <c r="M65" s="10" t="n">
        <v>0</v>
      </c>
      <c r="N65" s="10" t="n">
        <v>0</v>
      </c>
      <c r="O65" s="10" t="n">
        <v>0</v>
      </c>
      <c r="P65" s="10" t="n">
        <v>0</v>
      </c>
      <c r="Q65" s="11" t="n">
        <v>1200</v>
      </c>
      <c r="R65" s="11" t="n">
        <v>1200</v>
      </c>
      <c r="S65" s="11" t="n">
        <v>1400</v>
      </c>
      <c r="T65" s="11" t="n">
        <v>1200</v>
      </c>
      <c r="U65" s="11" t="n">
        <v>1200</v>
      </c>
      <c r="V65" s="11" t="n">
        <v>1200</v>
      </c>
      <c r="W65" s="11" t="n">
        <v>1200</v>
      </c>
      <c r="X65" s="11" t="n">
        <v>800</v>
      </c>
      <c r="Y65" s="11" t="n">
        <v>800</v>
      </c>
      <c r="Z65" s="11" t="n">
        <v>800</v>
      </c>
      <c r="AA65" s="11" t="n">
        <v>800</v>
      </c>
      <c r="AB65" s="11" t="n">
        <v>1200</v>
      </c>
      <c r="AC65" s="11" t="n">
        <v>1200</v>
      </c>
      <c r="AD65" s="11" t="n">
        <v>1200</v>
      </c>
      <c r="AE65" s="11" t="n">
        <v>1200</v>
      </c>
      <c r="AF65" s="11" t="n">
        <v>1200</v>
      </c>
      <c r="AG65" s="11" t="n">
        <v>1300</v>
      </c>
      <c r="AH65" s="11" t="n">
        <v>1300</v>
      </c>
      <c r="AI65" s="10" t="n">
        <v>0</v>
      </c>
    </row>
    <row r="66" customFormat="false" ht="13.5" hidden="false" customHeight="true" outlineLevel="0" collapsed="false">
      <c r="A66" s="15" t="s">
        <v>100</v>
      </c>
      <c r="B66" s="12" t="s">
        <v>102</v>
      </c>
      <c r="C66" s="13" t="n">
        <v>0</v>
      </c>
      <c r="D66" s="11" t="n">
        <v>1200</v>
      </c>
      <c r="E66" s="11" t="n">
        <v>1200</v>
      </c>
      <c r="F66" s="11" t="n">
        <v>1000</v>
      </c>
      <c r="G66" s="11" t="n">
        <v>1200</v>
      </c>
      <c r="H66" s="11" t="n">
        <v>1200</v>
      </c>
      <c r="I66" s="11" t="n">
        <v>1200</v>
      </c>
      <c r="J66" s="11" t="n">
        <v>1400</v>
      </c>
      <c r="K66" s="11" t="n">
        <v>1800</v>
      </c>
      <c r="L66" s="11" t="n">
        <v>2200</v>
      </c>
      <c r="M66" s="13" t="n">
        <v>0</v>
      </c>
      <c r="N66" s="13" t="n">
        <v>0</v>
      </c>
      <c r="O66" s="13" t="n">
        <v>0</v>
      </c>
      <c r="P66" s="13" t="n">
        <v>0</v>
      </c>
      <c r="Q66" s="11" t="n">
        <v>1200</v>
      </c>
      <c r="R66" s="11" t="n">
        <v>1200</v>
      </c>
      <c r="S66" s="11" t="n">
        <v>1200</v>
      </c>
      <c r="T66" s="11" t="n">
        <v>1250</v>
      </c>
      <c r="U66" s="11" t="n">
        <v>1250</v>
      </c>
      <c r="V66" s="11" t="n">
        <v>1250</v>
      </c>
      <c r="W66" s="11" t="n">
        <v>1250</v>
      </c>
      <c r="X66" s="11" t="n">
        <v>800</v>
      </c>
      <c r="Y66" s="11" t="n">
        <v>800</v>
      </c>
      <c r="Z66" s="11" t="n">
        <v>800</v>
      </c>
      <c r="AA66" s="11" t="n">
        <v>800</v>
      </c>
      <c r="AB66" s="11" t="n">
        <v>1200</v>
      </c>
      <c r="AC66" s="11" t="n">
        <v>1200</v>
      </c>
      <c r="AD66" s="11" t="n">
        <v>1200</v>
      </c>
      <c r="AE66" s="11" t="n">
        <v>1200</v>
      </c>
      <c r="AF66" s="11" t="n">
        <v>1200</v>
      </c>
      <c r="AG66" s="11" t="n">
        <v>1200</v>
      </c>
      <c r="AH66" s="11" t="n">
        <v>1200</v>
      </c>
      <c r="AI66" s="13" t="n">
        <v>0</v>
      </c>
    </row>
    <row r="67" customFormat="false" ht="13.5" hidden="false" customHeight="true" outlineLevel="0" collapsed="false">
      <c r="A67" s="15" t="s">
        <v>100</v>
      </c>
      <c r="B67" s="9" t="s">
        <v>103</v>
      </c>
      <c r="C67" s="11" t="n">
        <v>240</v>
      </c>
      <c r="D67" s="11" t="n">
        <v>1200</v>
      </c>
      <c r="E67" s="11" t="n">
        <v>1200</v>
      </c>
      <c r="F67" s="11" t="n">
        <v>1200</v>
      </c>
      <c r="G67" s="11" t="n">
        <v>1200</v>
      </c>
      <c r="H67" s="11" t="n">
        <v>960</v>
      </c>
      <c r="I67" s="11" t="n">
        <v>960</v>
      </c>
      <c r="J67" s="11" t="n">
        <v>720</v>
      </c>
      <c r="K67" s="11" t="n">
        <v>1200</v>
      </c>
      <c r="L67" s="11" t="n">
        <v>1920</v>
      </c>
      <c r="M67" s="10" t="n">
        <v>0</v>
      </c>
      <c r="N67" s="10" t="n">
        <v>0</v>
      </c>
      <c r="O67" s="10" t="n">
        <v>0</v>
      </c>
      <c r="P67" s="10" t="n">
        <v>0</v>
      </c>
      <c r="Q67" s="11" t="n">
        <v>720</v>
      </c>
      <c r="R67" s="11" t="n">
        <v>960</v>
      </c>
      <c r="S67" s="11" t="n">
        <v>960</v>
      </c>
      <c r="T67" s="11" t="n">
        <v>900</v>
      </c>
      <c r="U67" s="11" t="n">
        <v>900</v>
      </c>
      <c r="V67" s="11" t="n">
        <v>900</v>
      </c>
      <c r="W67" s="11" t="n">
        <v>900</v>
      </c>
      <c r="X67" s="11" t="n">
        <v>720</v>
      </c>
      <c r="Y67" s="11" t="n">
        <v>720</v>
      </c>
      <c r="Z67" s="11" t="n">
        <v>720</v>
      </c>
      <c r="AA67" s="11" t="n">
        <v>720</v>
      </c>
      <c r="AB67" s="11" t="n">
        <v>1110</v>
      </c>
      <c r="AC67" s="11" t="n">
        <v>1110</v>
      </c>
      <c r="AD67" s="11" t="n">
        <v>1110</v>
      </c>
      <c r="AE67" s="11" t="n">
        <v>1110</v>
      </c>
      <c r="AF67" s="11" t="n">
        <v>1080</v>
      </c>
      <c r="AG67" s="11" t="n">
        <v>840</v>
      </c>
      <c r="AH67" s="11" t="n">
        <v>840</v>
      </c>
      <c r="AI67" s="10" t="n">
        <v>0</v>
      </c>
    </row>
    <row r="68" customFormat="false" ht="13.5" hidden="false" customHeight="true" outlineLevel="0" collapsed="false">
      <c r="A68" s="15" t="s">
        <v>100</v>
      </c>
      <c r="B68" s="12" t="s">
        <v>104</v>
      </c>
      <c r="C68" s="11" t="n">
        <v>240</v>
      </c>
      <c r="D68" s="11" t="n">
        <v>1440</v>
      </c>
      <c r="E68" s="11" t="n">
        <v>1200</v>
      </c>
      <c r="F68" s="11" t="n">
        <v>960</v>
      </c>
      <c r="G68" s="11" t="n">
        <v>1200</v>
      </c>
      <c r="H68" s="11" t="n">
        <v>960</v>
      </c>
      <c r="I68" s="11" t="n">
        <v>960</v>
      </c>
      <c r="J68" s="11" t="n">
        <v>720</v>
      </c>
      <c r="K68" s="11" t="n">
        <v>1200</v>
      </c>
      <c r="L68" s="11" t="n">
        <v>1920</v>
      </c>
      <c r="M68" s="13" t="n">
        <v>0</v>
      </c>
      <c r="N68" s="13" t="n">
        <v>0</v>
      </c>
      <c r="O68" s="13" t="n">
        <v>0</v>
      </c>
      <c r="P68" s="13" t="n">
        <v>0</v>
      </c>
      <c r="Q68" s="11" t="n">
        <v>720</v>
      </c>
      <c r="R68" s="11" t="n">
        <v>960</v>
      </c>
      <c r="S68" s="11" t="n">
        <v>960</v>
      </c>
      <c r="T68" s="11" t="n">
        <v>900</v>
      </c>
      <c r="U68" s="11" t="n">
        <v>900</v>
      </c>
      <c r="V68" s="11" t="n">
        <v>900</v>
      </c>
      <c r="W68" s="11" t="n">
        <v>900</v>
      </c>
      <c r="X68" s="11" t="n">
        <v>720</v>
      </c>
      <c r="Y68" s="11" t="n">
        <v>720</v>
      </c>
      <c r="Z68" s="11" t="n">
        <v>720</v>
      </c>
      <c r="AA68" s="11" t="n">
        <v>720</v>
      </c>
      <c r="AB68" s="11" t="n">
        <v>1110</v>
      </c>
      <c r="AC68" s="11" t="n">
        <v>1110</v>
      </c>
      <c r="AD68" s="11" t="n">
        <v>1110</v>
      </c>
      <c r="AE68" s="11" t="n">
        <v>1110</v>
      </c>
      <c r="AF68" s="11" t="n">
        <v>1080</v>
      </c>
      <c r="AG68" s="11" t="n">
        <v>840</v>
      </c>
      <c r="AH68" s="11" t="n">
        <v>840</v>
      </c>
      <c r="AI68" s="13" t="n">
        <v>0</v>
      </c>
    </row>
    <row r="69" customFormat="false" ht="13.5" hidden="false" customHeight="true" outlineLevel="0" collapsed="false">
      <c r="A69" s="15" t="s">
        <v>100</v>
      </c>
      <c r="B69" s="9" t="s">
        <v>105</v>
      </c>
      <c r="C69" s="10" t="n">
        <v>0</v>
      </c>
      <c r="D69" s="11" t="n">
        <v>2400</v>
      </c>
      <c r="E69" s="10" t="n">
        <v>0</v>
      </c>
      <c r="F69" s="11" t="n">
        <v>960</v>
      </c>
      <c r="G69" s="11" t="n">
        <v>960</v>
      </c>
      <c r="H69" s="11" t="n">
        <v>960</v>
      </c>
      <c r="I69" s="11" t="n">
        <v>960</v>
      </c>
      <c r="J69" s="11" t="n">
        <v>960</v>
      </c>
      <c r="K69" s="11" t="n">
        <v>1200</v>
      </c>
      <c r="L69" s="11" t="n">
        <v>1200</v>
      </c>
      <c r="M69" s="10" t="n">
        <v>0</v>
      </c>
      <c r="N69" s="10" t="n">
        <v>0</v>
      </c>
      <c r="O69" s="10" t="n">
        <v>0</v>
      </c>
      <c r="P69" s="10" t="n">
        <v>0</v>
      </c>
      <c r="Q69" s="11" t="n">
        <v>720</v>
      </c>
      <c r="R69" s="11" t="n">
        <v>960</v>
      </c>
      <c r="S69" s="11" t="n">
        <v>720</v>
      </c>
      <c r="T69" s="11" t="n">
        <v>840</v>
      </c>
      <c r="U69" s="11" t="n">
        <v>840</v>
      </c>
      <c r="V69" s="11" t="n">
        <v>840</v>
      </c>
      <c r="W69" s="11" t="n">
        <v>840</v>
      </c>
      <c r="X69" s="11" t="n">
        <v>540</v>
      </c>
      <c r="Y69" s="11" t="n">
        <v>540</v>
      </c>
      <c r="Z69" s="11" t="n">
        <v>540</v>
      </c>
      <c r="AA69" s="11" t="n">
        <v>540</v>
      </c>
      <c r="AB69" s="11" t="n">
        <v>720</v>
      </c>
      <c r="AC69" s="11" t="n">
        <v>720</v>
      </c>
      <c r="AD69" s="11" t="n">
        <v>720</v>
      </c>
      <c r="AE69" s="11" t="n">
        <v>720</v>
      </c>
      <c r="AF69" s="11" t="n">
        <v>720</v>
      </c>
      <c r="AG69" s="11" t="n">
        <v>960</v>
      </c>
      <c r="AH69" s="11" t="n">
        <v>960</v>
      </c>
      <c r="AI69" s="10" t="n">
        <v>0</v>
      </c>
    </row>
    <row r="70" customFormat="false" ht="13.5" hidden="false" customHeight="true" outlineLevel="0" collapsed="false">
      <c r="A70" s="15" t="s">
        <v>100</v>
      </c>
      <c r="B70" s="12" t="s">
        <v>106</v>
      </c>
      <c r="C70" s="13" t="n">
        <v>0</v>
      </c>
      <c r="D70" s="11" t="n">
        <v>1200</v>
      </c>
      <c r="E70" s="11" t="n">
        <v>960</v>
      </c>
      <c r="F70" s="11" t="n">
        <v>1200</v>
      </c>
      <c r="G70" s="11" t="n">
        <v>960</v>
      </c>
      <c r="H70" s="11" t="n">
        <v>720</v>
      </c>
      <c r="I70" s="11" t="n">
        <v>960</v>
      </c>
      <c r="J70" s="11" t="n">
        <v>1200</v>
      </c>
      <c r="K70" s="11" t="n">
        <v>1200</v>
      </c>
      <c r="L70" s="11" t="n">
        <v>1200</v>
      </c>
      <c r="M70" s="13" t="n">
        <v>0</v>
      </c>
      <c r="N70" s="13" t="n">
        <v>0</v>
      </c>
      <c r="O70" s="13" t="n">
        <v>0</v>
      </c>
      <c r="P70" s="13" t="n">
        <v>0</v>
      </c>
      <c r="Q70" s="11" t="n">
        <v>720</v>
      </c>
      <c r="R70" s="11" t="n">
        <v>720</v>
      </c>
      <c r="S70" s="11" t="n">
        <v>960</v>
      </c>
      <c r="T70" s="11" t="n">
        <v>780</v>
      </c>
      <c r="U70" s="11" t="n">
        <v>780</v>
      </c>
      <c r="V70" s="11" t="n">
        <v>780</v>
      </c>
      <c r="W70" s="11" t="n">
        <v>780</v>
      </c>
      <c r="X70" s="11" t="n">
        <v>600</v>
      </c>
      <c r="Y70" s="11" t="n">
        <v>600</v>
      </c>
      <c r="Z70" s="11" t="n">
        <v>600</v>
      </c>
      <c r="AA70" s="11" t="n">
        <v>600</v>
      </c>
      <c r="AB70" s="11" t="n">
        <v>720</v>
      </c>
      <c r="AC70" s="11" t="n">
        <v>720</v>
      </c>
      <c r="AD70" s="11" t="n">
        <v>720</v>
      </c>
      <c r="AE70" s="11" t="n">
        <v>720</v>
      </c>
      <c r="AF70" s="11" t="n">
        <v>720</v>
      </c>
      <c r="AG70" s="11" t="n">
        <v>960</v>
      </c>
      <c r="AH70" s="11" t="n">
        <v>960</v>
      </c>
      <c r="AI70" s="13" t="n">
        <v>0</v>
      </c>
    </row>
    <row r="71" customFormat="false" ht="13.5" hidden="false" customHeight="true" outlineLevel="0" collapsed="false">
      <c r="A71" s="16" t="s">
        <v>107</v>
      </c>
      <c r="B71" s="9" t="s">
        <v>108</v>
      </c>
      <c r="C71" s="10" t="n">
        <v>0</v>
      </c>
      <c r="D71" s="11" t="n">
        <v>4800</v>
      </c>
      <c r="E71" s="11" t="n">
        <v>4800</v>
      </c>
      <c r="F71" s="11" t="n">
        <v>3840</v>
      </c>
      <c r="G71" s="11" t="n">
        <v>3840</v>
      </c>
      <c r="H71" s="11" t="n">
        <v>4800</v>
      </c>
      <c r="I71" s="11" t="n">
        <v>3840</v>
      </c>
      <c r="J71" s="11" t="n">
        <v>4800</v>
      </c>
      <c r="K71" s="11" t="n">
        <v>5760</v>
      </c>
      <c r="L71" s="11" t="n">
        <v>7680</v>
      </c>
      <c r="M71" s="10" t="n">
        <v>0</v>
      </c>
      <c r="N71" s="10" t="n">
        <v>0</v>
      </c>
      <c r="O71" s="10" t="n">
        <v>0</v>
      </c>
      <c r="P71" s="10" t="n">
        <v>0</v>
      </c>
      <c r="Q71" s="11" t="n">
        <v>3840</v>
      </c>
      <c r="R71" s="11" t="n">
        <v>3840</v>
      </c>
      <c r="S71" s="11" t="n">
        <v>3840</v>
      </c>
      <c r="T71" s="11" t="n">
        <v>4080</v>
      </c>
      <c r="U71" s="11" t="n">
        <v>4080</v>
      </c>
      <c r="V71" s="11" t="n">
        <v>4080</v>
      </c>
      <c r="W71" s="11" t="n">
        <v>4080</v>
      </c>
      <c r="X71" s="11" t="n">
        <v>2640</v>
      </c>
      <c r="Y71" s="11" t="n">
        <v>2640</v>
      </c>
      <c r="Z71" s="11" t="n">
        <v>2640</v>
      </c>
      <c r="AA71" s="11" t="n">
        <v>2640</v>
      </c>
      <c r="AB71" s="11" t="n">
        <v>3840</v>
      </c>
      <c r="AC71" s="11" t="n">
        <v>3840</v>
      </c>
      <c r="AD71" s="11" t="n">
        <v>3840</v>
      </c>
      <c r="AE71" s="11" t="n">
        <v>3840</v>
      </c>
      <c r="AF71" s="11" t="n">
        <v>3840</v>
      </c>
      <c r="AG71" s="11" t="n">
        <v>4800</v>
      </c>
      <c r="AH71" s="11" t="n">
        <v>4800</v>
      </c>
      <c r="AI71" s="10" t="n">
        <v>0</v>
      </c>
    </row>
    <row r="72" customFormat="false" ht="15.75" hidden="false" customHeight="true" outlineLevel="0" collapsed="false">
      <c r="A72" s="17" t="s">
        <v>109</v>
      </c>
      <c r="B72" s="17"/>
      <c r="C72" s="18" t="n">
        <f aca="false">SUM(C5:C71)</f>
        <v>1040</v>
      </c>
      <c r="D72" s="18" t="n">
        <f aca="false">SUM(D5:D71)</f>
        <v>26300</v>
      </c>
      <c r="E72" s="18" t="n">
        <f aca="false">SUM(E5:E71)</f>
        <v>16420</v>
      </c>
      <c r="F72" s="18" t="n">
        <f aca="false">SUM(F5:F71)</f>
        <v>18300</v>
      </c>
      <c r="G72" s="18" t="n">
        <f aca="false">SUM(G5:G71)</f>
        <v>18651</v>
      </c>
      <c r="H72" s="18" t="n">
        <f aca="false">SUM(H5:H71)</f>
        <v>18920</v>
      </c>
      <c r="I72" s="18" t="n">
        <f aca="false">SUM(I5:I71)</f>
        <v>17220</v>
      </c>
      <c r="J72" s="18" t="n">
        <f aca="false">SUM(J5:J71)</f>
        <v>18920</v>
      </c>
      <c r="K72" s="18" t="n">
        <f aca="false">SUM(K5:K71)</f>
        <v>24680</v>
      </c>
      <c r="L72" s="18" t="n">
        <f aca="false">SUM(L5:L71)</f>
        <v>31120</v>
      </c>
      <c r="M72" s="18" t="n">
        <f aca="false">SUM(M5:M71)</f>
        <v>0</v>
      </c>
      <c r="N72" s="18" t="n">
        <f aca="false">SUM(N5:N71)</f>
        <v>0</v>
      </c>
      <c r="O72" s="18" t="n">
        <f aca="false">SUM(O5:O71)</f>
        <v>0</v>
      </c>
      <c r="P72" s="18" t="n">
        <f aca="false">SUM(P5:P71)</f>
        <v>0</v>
      </c>
      <c r="Q72" s="18" t="n">
        <f aca="false">SUM(Q5:Q71)</f>
        <v>16700</v>
      </c>
      <c r="R72" s="18" t="n">
        <f aca="false">SUM(R5:R71)</f>
        <v>16320</v>
      </c>
      <c r="S72" s="18" t="n">
        <f aca="false">SUM(S5:S71)</f>
        <v>16960</v>
      </c>
      <c r="T72" s="18" t="n">
        <f aca="false">SUM(T5:T71)</f>
        <v>17270</v>
      </c>
      <c r="U72" s="18" t="n">
        <f aca="false">SUM(U5:U71)</f>
        <v>17270</v>
      </c>
      <c r="V72" s="18" t="n">
        <f aca="false">SUM(V5:V71)</f>
        <v>17270</v>
      </c>
      <c r="W72" s="18" t="n">
        <f aca="false">SUM(W5:W71)</f>
        <v>17170</v>
      </c>
      <c r="X72" s="18" t="n">
        <f aca="false">SUM(X5:X71)</f>
        <v>11920</v>
      </c>
      <c r="Y72" s="18" t="n">
        <f aca="false">SUM(Y5:Y71)</f>
        <v>11920</v>
      </c>
      <c r="Z72" s="18" t="n">
        <f aca="false">SUM(Z5:Z71)</f>
        <v>11920</v>
      </c>
      <c r="AA72" s="18" t="n">
        <f aca="false">SUM(AA5:AA71)</f>
        <v>11840</v>
      </c>
      <c r="AB72" s="18" t="n">
        <f aca="false">SUM(AB5:AB71)</f>
        <v>17430</v>
      </c>
      <c r="AC72" s="18" t="n">
        <f aca="false">SUM(AC5:AC71)</f>
        <v>17430</v>
      </c>
      <c r="AD72" s="18" t="n">
        <f aca="false">SUM(AD5:AD71)</f>
        <v>17420</v>
      </c>
      <c r="AE72" s="18" t="n">
        <f aca="false">SUM(AE5:AE71)</f>
        <v>17420</v>
      </c>
      <c r="AF72" s="18" t="n">
        <f aca="false">SUM(AF5:AF71)</f>
        <v>16700</v>
      </c>
      <c r="AG72" s="18" t="n">
        <f aca="false">SUM(AG5:AG71)</f>
        <v>18580</v>
      </c>
      <c r="AH72" s="18" t="n">
        <f aca="false">SUM(AH5:AH71)</f>
        <v>18580</v>
      </c>
      <c r="AI72" s="18" t="n">
        <f aca="false">SUM(AI5:AI71)</f>
        <v>0</v>
      </c>
    </row>
  </sheetData>
  <mergeCells count="3">
    <mergeCell ref="A1:AI1"/>
    <mergeCell ref="A2:AI2"/>
    <mergeCell ref="A72:B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6"/>
  </cols>
  <sheetData>
    <row r="1" customFormat="false" ht="25.5" hidden="false" customHeight="true" outlineLevel="0" collapsed="false">
      <c r="B1" s="19" t="s">
        <v>110</v>
      </c>
      <c r="C1" s="19"/>
      <c r="D1" s="19"/>
      <c r="E1" s="19"/>
      <c r="F1" s="19"/>
      <c r="G1" s="19"/>
      <c r="H1" s="19"/>
      <c r="I1" s="19"/>
    </row>
    <row r="2" customFormat="false" ht="25.5" hidden="false" customHeight="true" outlineLevel="0" collapsed="false">
      <c r="B2" s="19"/>
      <c r="C2" s="19"/>
      <c r="D2" s="19"/>
      <c r="E2" s="19"/>
      <c r="F2" s="19"/>
      <c r="G2" s="19"/>
      <c r="H2" s="19"/>
      <c r="I2" s="19"/>
    </row>
    <row r="3" customFormat="false" ht="15.75" hidden="false" customHeight="true" outlineLevel="0" collapsed="false">
      <c r="B3" s="2" t="s">
        <v>111</v>
      </c>
      <c r="C3" s="2"/>
      <c r="D3" s="2"/>
      <c r="E3" s="2"/>
      <c r="F3" s="2"/>
      <c r="G3" s="2"/>
      <c r="H3" s="2"/>
      <c r="I3" s="2"/>
    </row>
    <row r="4" customFormat="false" ht="7.5" hidden="false" customHeight="true" outlineLevel="0" collapsed="false"/>
    <row r="5" customFormat="false" ht="19.5" hidden="false" customHeight="true" outlineLevel="0" collapsed="false">
      <c r="B5" s="20" t="s">
        <v>112</v>
      </c>
      <c r="C5" s="20"/>
      <c r="D5" s="20"/>
      <c r="E5" s="20"/>
      <c r="F5" s="20"/>
      <c r="G5" s="20"/>
      <c r="H5" s="20"/>
      <c r="I5" s="20"/>
    </row>
    <row r="6" customFormat="false" ht="15.75" hidden="false" customHeight="true" outlineLevel="0" collapsed="false">
      <c r="B6" s="21" t="s">
        <v>113</v>
      </c>
      <c r="C6" s="22" t="s">
        <v>114</v>
      </c>
      <c r="D6" s="23" t="s">
        <v>115</v>
      </c>
      <c r="E6" s="24" t="s">
        <v>116</v>
      </c>
      <c r="F6" s="25" t="s">
        <v>117</v>
      </c>
      <c r="G6" s="22" t="s">
        <v>118</v>
      </c>
    </row>
    <row r="7" customFormat="false" ht="31.5" hidden="false" customHeight="true" outlineLevel="0" collapsed="false">
      <c r="B7" s="26" t="n">
        <f aca="false">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</f>
        <v>481691</v>
      </c>
      <c r="C7" s="27" t="n">
        <f aca="false">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Input'!AI72)/33</f>
        <v>14596.696969697</v>
      </c>
      <c r="D7" s="28" t="n">
        <v>33</v>
      </c>
      <c r="E7" s="29" t="n">
        <v>67</v>
      </c>
      <c r="F7" s="30" t="n">
        <f aca="false">COUNTIF('✏️ Data Input'!C5:AI71,"&gt;"&amp;0)</f>
        <v>982</v>
      </c>
      <c r="G7" s="31" t="n">
        <v>4</v>
      </c>
    </row>
    <row r="8" customFormat="false" ht="13.5" hidden="false" customHeight="true" outlineLevel="0" collapsed="false">
      <c r="B8" s="32"/>
      <c r="C8" s="6"/>
      <c r="D8" s="33"/>
      <c r="E8" s="34"/>
      <c r="F8" s="35"/>
      <c r="G8" s="6"/>
    </row>
    <row r="9" customFormat="false" ht="9.75" hidden="false" customHeight="true" outlineLevel="0" collapsed="false"/>
    <row r="10" customFormat="false" ht="19.5" hidden="false" customHeight="true" outlineLevel="0" collapsed="false">
      <c r="B10" s="20" t="s">
        <v>119</v>
      </c>
      <c r="C10" s="20"/>
      <c r="D10" s="20"/>
      <c r="E10" s="20"/>
      <c r="F10" s="20"/>
      <c r="G10" s="20"/>
      <c r="H10" s="20"/>
      <c r="I10" s="20"/>
    </row>
    <row r="11" customFormat="false" ht="18" hidden="false" customHeight="true" outlineLevel="0" collapsed="false">
      <c r="B11" s="4" t="s">
        <v>2</v>
      </c>
      <c r="C11" s="4" t="s">
        <v>120</v>
      </c>
      <c r="D11" s="4" t="s">
        <v>121</v>
      </c>
      <c r="E11" s="4" t="s">
        <v>122</v>
      </c>
      <c r="F11" s="4" t="s">
        <v>123</v>
      </c>
      <c r="G11" s="4" t="s">
        <v>124</v>
      </c>
    </row>
    <row r="12" customFormat="false" ht="15.75" hidden="false" customHeight="true" outlineLevel="0" collapsed="false">
      <c r="B12" s="36" t="s">
        <v>38</v>
      </c>
      <c r="C12" s="37" t="n">
        <f aca="false">SUMIF('✏️ Data Input'!A5:A71,"JCI2 LH",'✏️ Data Input'!C5:C71)+SUMIF('✏️ Data Input'!A5:A71,"JCI2 LH",'✏️ Data Input'!D5:D71)+SUMIF('✏️ Data Input'!A5:A71,"JCI2 LH",'✏️ Data Input'!E5:E71)+SUMIF('✏️ Data Input'!A5:A71,"JCI2 LH",'✏️ Data Input'!F5:F71)+SUMIF('✏️ Data Input'!A5:A71,"JCI2 LH",'✏️ Data Input'!G5:G71)+SUMIF('✏️ Data Input'!A5:A71,"JCI2 LH",'✏️ Data Input'!H5:H71)+SUMIF('✏️ Data Input'!A5:A71,"JCI2 LH",'✏️ Data Input'!I5:I71)+SUMIF('✏️ Data Input'!A5:A71,"JCI2 LH",'✏️ Data Input'!J5:J71)+SUMIF('✏️ Data Input'!A5:A71,"JCI2 LH",'✏️ Data Input'!K5:K71)+SUMIF('✏️ Data Input'!A5:A71,"JCI2 LH",'✏️ Data Input'!L5:L71)+SUMIF('✏️ Data Input'!A5:A71,"JCI2 LH",'✏️ Data Input'!M5:M71)+SUMIF('✏️ Data Input'!A5:A71,"JCI2 LH",'✏️ Data Input'!N5:N71)+SUMIF('✏️ Data Input'!A5:A71,"JCI2 LH",'✏️ Data Input'!O5:O71)+SUMIF('✏️ Data Input'!A5:A71,"JCI2 LH",'✏️ Data Input'!P5:P71)+SUMIF('✏️ Data Input'!A5:A71,"JCI2 LH",'✏️ Data Input'!Q5:Q71)+SUMIF('✏️ Data Input'!A5:A71,"JCI2 LH",'✏️ Data Input'!R5:R71)+SUMIF('✏️ Data Input'!A5:A71,"JCI2 LH",'✏️ Data Input'!S5:S71)+SUMIF('✏️ Data Input'!A5:A71,"JCI2 LH",'✏️ Data Input'!T5:T71)+SUMIF('✏️ Data Input'!A5:A71,"JCI2 LH",'✏️ Data Input'!U5:U71)+SUMIF('✏️ Data Input'!A5:A71,"JCI2 LH",'✏️ Data Input'!V5:V71)+SUMIF('✏️ Data Input'!A5:A71,"JCI2 LH",'✏️ Data Input'!W5:W71)+SUMIF('✏️ Data Input'!A5:A71,"JCI2 LH",'✏️ Data Input'!X5:X71)+SUMIF('✏️ Data Input'!A5:A71,"JCI2 LH",'✏️ Data Input'!Y5:Y71)+SUMIF('✏️ Data Input'!A5:A71,"JCI2 LH",'✏️ Data Input'!Z5:Z71)+SUMIF('✏️ Data Input'!A5:A71,"JCI2 LH",'✏️ Data Input'!AA5:AA71)+SUMIF('✏️ Data Input'!A5:A71,"JCI2 LH",'✏️ Data Input'!AB5:AB71)+SUMIF('✏️ Data Input'!A5:A71,"JCI2 LH",'✏️ Data Input'!AC5:AC71)+SUMIF('✏️ Data Input'!A5:A71,"JCI2 LH",'✏️ Data Input'!AD5:AD71)+SUMIF('✏️ Data Input'!A5:A71,"JCI2 LH",'✏️ Data Input'!AE5:AE71)+SUMIF('✏️ Data Input'!A5:A71,"JCI2 LH",'✏️ Data Input'!AF5:AF71)+SUMIF('✏️ Data Input'!A5:A71,"JCI2 LH",'✏️ Data Input'!AG5:AG71)+SUMIF('✏️ Data Input'!A5:A71,"JCI2 LH",'✏️ Data Input'!AH5:AH71)+SUMIF('✏️ Data Input'!A5:A71,"JCI2 LH",'✏️ Data Input'!AI5:AI71)</f>
        <v>102636</v>
      </c>
      <c r="D12" s="38" t="n">
        <f aca="false">(SUMIF('✏️ Data Input'!A5:A71,"JCI2 LH",'✏️ Data Input'!C5:C71)+SUMIF('✏️ Data Input'!A5:A71,"JCI2 LH",'✏️ Data Input'!D5:D71)+SUMIF('✏️ Data Input'!A5:A71,"JCI2 LH",'✏️ Data Input'!E5:E71)+SUMIF('✏️ Data Input'!A5:A71,"JCI2 LH",'✏️ Data Input'!F5:F71)+SUMIF('✏️ Data Input'!A5:A71,"JCI2 LH",'✏️ Data Input'!G5:G71)+SUMIF('✏️ Data Input'!A5:A71,"JCI2 LH",'✏️ Data Input'!H5:H71)+SUMIF('✏️ Data Input'!A5:A71,"JCI2 LH",'✏️ Data Input'!I5:I71)+SUMIF('✏️ Data Input'!A5:A71,"JCI2 LH",'✏️ Data Input'!J5:J71)+SUMIF('✏️ Data Input'!A5:A71,"JCI2 LH",'✏️ Data Input'!K5:K71)+SUMIF('✏️ Data Input'!A5:A71,"JCI2 LH",'✏️ Data Input'!L5:L71)+SUMIF('✏️ Data Input'!A5:A71,"JCI2 LH",'✏️ Data Input'!M5:M71)+SUMIF('✏️ Data Input'!A5:A71,"JCI2 LH",'✏️ Data Input'!N5:N71)+SUMIF('✏️ Data Input'!A5:A71,"JCI2 LH",'✏️ Data Input'!O5:O71)+SUMIF('✏️ Data Input'!A5:A71,"JCI2 LH",'✏️ Data Input'!P5:P71)+SUMIF('✏️ Data Input'!A5:A71,"JCI2 LH",'✏️ Data Input'!Q5:Q71)+SUMIF('✏️ Data Input'!A5:A71,"JCI2 LH",'✏️ Data Input'!R5:R71)+SUMIF('✏️ Data Input'!A5:A71,"JCI2 LH",'✏️ Data Input'!S5:S71)+SUMIF('✏️ Data Input'!A5:A71,"JCI2 LH",'✏️ Data Input'!T5:T71)+SUMIF('✏️ Data Input'!A5:A71,"JCI2 LH",'✏️ Data Input'!U5:U71)+SUMIF('✏️ Data Input'!A5:A71,"JCI2 LH",'✏️ Data Input'!V5:V71)+SUMIF('✏️ Data Input'!A5:A71,"JCI2 LH",'✏️ Data Input'!W5:W71)+SUMIF('✏️ Data Input'!A5:A71,"JCI2 LH",'✏️ Data Input'!X5:X71)+SUMIF('✏️ Data Input'!A5:A71,"JCI2 LH",'✏️ Data Input'!Y5:Y71)+SUMIF('✏️ Data Input'!A5:A71,"JCI2 LH",'✏️ Data Input'!Z5:Z71)+SUMIF('✏️ Data Input'!A5:A71,"JCI2 LH",'✏️ Data Input'!AA5:AA71)+SUMIF('✏️ Data Input'!A5:A71,"JCI2 LH",'✏️ Data Input'!AB5:AB71)+SUMIF('✏️ Data Input'!A5:A71,"JCI2 LH",'✏️ Data Input'!AC5:AC71)+SUMIF('✏️ Data Input'!A5:A71,"JCI2 LH",'✏️ Data Input'!AD5:AD71)+SUMIF('✏️ Data Input'!A5:A71,"JCI2 LH",'✏️ Data Input'!AE5:AE71)+SUMIF('✏️ Data Input'!A5:A71,"JCI2 LH",'✏️ Data Input'!AF5:AF71)+SUMIF('✏️ Data Input'!A5:A71,"JCI2 LH",'✏️ Data Input'!AG5:AG71)+SUMIF('✏️ Data Input'!A5:A71,"JCI2 LH",'✏️ Data Input'!AH5:AH71)+SUMIF('✏️ Data Input'!A5:A71,"JCI2 LH",'✏️ Data Input'!AI5:AI71))/33</f>
        <v>3110.18181818182</v>
      </c>
      <c r="E12" s="39" t="s">
        <v>125</v>
      </c>
      <c r="F12" s="40" t="s">
        <v>125</v>
      </c>
      <c r="G12" s="39" t="s">
        <v>125</v>
      </c>
    </row>
    <row r="13" customFormat="false" ht="15.75" hidden="false" customHeight="true" outlineLevel="0" collapsed="false">
      <c r="B13" s="41" t="s">
        <v>68</v>
      </c>
      <c r="C13" s="37" t="n">
        <f aca="false">SUMIF('✏️ Data Input'!A5:A71,"JCI2 RH",'✏️ Data Input'!C5:C71)+SUMIF('✏️ Data Input'!A5:A71,"JCI2 RH",'✏️ Data Input'!D5:D71)+SUMIF('✏️ Data Input'!A5:A71,"JCI2 RH",'✏️ Data Input'!E5:E71)+SUMIF('✏️ Data Input'!A5:A71,"JCI2 RH",'✏️ Data Input'!F5:F71)+SUMIF('✏️ Data Input'!A5:A71,"JCI2 RH",'✏️ Data Input'!G5:G71)+SUMIF('✏️ Data Input'!A5:A71,"JCI2 RH",'✏️ Data Input'!H5:H71)+SUMIF('✏️ Data Input'!A5:A71,"JCI2 RH",'✏️ Data Input'!I5:I71)+SUMIF('✏️ Data Input'!A5:A71,"JCI2 RH",'✏️ Data Input'!J5:J71)+SUMIF('✏️ Data Input'!A5:A71,"JCI2 RH",'✏️ Data Input'!K5:K71)+SUMIF('✏️ Data Input'!A5:A71,"JCI2 RH",'✏️ Data Input'!L5:L71)+SUMIF('✏️ Data Input'!A5:A71,"JCI2 RH",'✏️ Data Input'!M5:M71)+SUMIF('✏️ Data Input'!A5:A71,"JCI2 RH",'✏️ Data Input'!N5:N71)+SUMIF('✏️ Data Input'!A5:A71,"JCI2 RH",'✏️ Data Input'!O5:O71)+SUMIF('✏️ Data Input'!A5:A71,"JCI2 RH",'✏️ Data Input'!P5:P71)+SUMIF('✏️ Data Input'!A5:A71,"JCI2 RH",'✏️ Data Input'!Q5:Q71)+SUMIF('✏️ Data Input'!A5:A71,"JCI2 RH",'✏️ Data Input'!R5:R71)+SUMIF('✏️ Data Input'!A5:A71,"JCI2 RH",'✏️ Data Input'!S5:S71)+SUMIF('✏️ Data Input'!A5:A71,"JCI2 RH",'✏️ Data Input'!T5:T71)+SUMIF('✏️ Data Input'!A5:A71,"JCI2 RH",'✏️ Data Input'!U5:U71)+SUMIF('✏️ Data Input'!A5:A71,"JCI2 RH",'✏️ Data Input'!V5:V71)+SUMIF('✏️ Data Input'!A5:A71,"JCI2 RH",'✏️ Data Input'!W5:W71)+SUMIF('✏️ Data Input'!A5:A71,"JCI2 RH",'✏️ Data Input'!X5:X71)+SUMIF('✏️ Data Input'!A5:A71,"JCI2 RH",'✏️ Data Input'!Y5:Y71)+SUMIF('✏️ Data Input'!A5:A71,"JCI2 RH",'✏️ Data Input'!Z5:Z71)+SUMIF('✏️ Data Input'!A5:A71,"JCI2 RH",'✏️ Data Input'!AA5:AA71)+SUMIF('✏️ Data Input'!A5:A71,"JCI2 RH",'✏️ Data Input'!AB5:AB71)+SUMIF('✏️ Data Input'!A5:A71,"JCI2 RH",'✏️ Data Input'!AC5:AC71)+SUMIF('✏️ Data Input'!A5:A71,"JCI2 RH",'✏️ Data Input'!AD5:AD71)+SUMIF('✏️ Data Input'!A5:A71,"JCI2 RH",'✏️ Data Input'!AE5:AE71)+SUMIF('✏️ Data Input'!A5:A71,"JCI2 RH",'✏️ Data Input'!AF5:AF71)+SUMIF('✏️ Data Input'!A5:A71,"JCI2 RH",'✏️ Data Input'!AG5:AG71)+SUMIF('✏️ Data Input'!A5:A71,"JCI2 RH",'✏️ Data Input'!AH5:AH71)+SUMIF('✏️ Data Input'!A5:A71,"JCI2 RH",'✏️ Data Input'!AI5:AI71)</f>
        <v>101975</v>
      </c>
      <c r="D13" s="38" t="n">
        <f aca="false">(SUMIF('✏️ Data Input'!A5:A71,"JCI2 RH",'✏️ Data Input'!C5:C71)+SUMIF('✏️ Data Input'!A5:A71,"JCI2 RH",'✏️ Data Input'!D5:D71)+SUMIF('✏️ Data Input'!A5:A71,"JCI2 RH",'✏️ Data Input'!E5:E71)+SUMIF('✏️ Data Input'!A5:A71,"JCI2 RH",'✏️ Data Input'!F5:F71)+SUMIF('✏️ Data Input'!A5:A71,"JCI2 RH",'✏️ Data Input'!G5:G71)+SUMIF('✏️ Data Input'!A5:A71,"JCI2 RH",'✏️ Data Input'!H5:H71)+SUMIF('✏️ Data Input'!A5:A71,"JCI2 RH",'✏️ Data Input'!I5:I71)+SUMIF('✏️ Data Input'!A5:A71,"JCI2 RH",'✏️ Data Input'!J5:J71)+SUMIF('✏️ Data Input'!A5:A71,"JCI2 RH",'✏️ Data Input'!K5:K71)+SUMIF('✏️ Data Input'!A5:A71,"JCI2 RH",'✏️ Data Input'!L5:L71)+SUMIF('✏️ Data Input'!A5:A71,"JCI2 RH",'✏️ Data Input'!M5:M71)+SUMIF('✏️ Data Input'!A5:A71,"JCI2 RH",'✏️ Data Input'!N5:N71)+SUMIF('✏️ Data Input'!A5:A71,"JCI2 RH",'✏️ Data Input'!O5:O71)+SUMIF('✏️ Data Input'!A5:A71,"JCI2 RH",'✏️ Data Input'!P5:P71)+SUMIF('✏️ Data Input'!A5:A71,"JCI2 RH",'✏️ Data Input'!Q5:Q71)+SUMIF('✏️ Data Input'!A5:A71,"JCI2 RH",'✏️ Data Input'!R5:R71)+SUMIF('✏️ Data Input'!A5:A71,"JCI2 RH",'✏️ Data Input'!S5:S71)+SUMIF('✏️ Data Input'!A5:A71,"JCI2 RH",'✏️ Data Input'!T5:T71)+SUMIF('✏️ Data Input'!A5:A71,"JCI2 RH",'✏️ Data Input'!U5:U71)+SUMIF('✏️ Data Input'!A5:A71,"JCI2 RH",'✏️ Data Input'!V5:V71)+SUMIF('✏️ Data Input'!A5:A71,"JCI2 RH",'✏️ Data Input'!W5:W71)+SUMIF('✏️ Data Input'!A5:A71,"JCI2 RH",'✏️ Data Input'!X5:X71)+SUMIF('✏️ Data Input'!A5:A71,"JCI2 RH",'✏️ Data Input'!Y5:Y71)+SUMIF('✏️ Data Input'!A5:A71,"JCI2 RH",'✏️ Data Input'!Z5:Z71)+SUMIF('✏️ Data Input'!A5:A71,"JCI2 RH",'✏️ Data Input'!AA5:AA71)+SUMIF('✏️ Data Input'!A5:A71,"JCI2 RH",'✏️ Data Input'!AB5:AB71)+SUMIF('✏️ Data Input'!A5:A71,"JCI2 RH",'✏️ Data Input'!AC5:AC71)+SUMIF('✏️ Data Input'!A5:A71,"JCI2 RH",'✏️ Data Input'!AD5:AD71)+SUMIF('✏️ Data Input'!A5:A71,"JCI2 RH",'✏️ Data Input'!AE5:AE71)+SUMIF('✏️ Data Input'!A5:A71,"JCI2 RH",'✏️ Data Input'!AF5:AF71)+SUMIF('✏️ Data Input'!A5:A71,"JCI2 RH",'✏️ Data Input'!AG5:AG71)+SUMIF('✏️ Data Input'!A5:A71,"JCI2 RH",'✏️ Data Input'!AH5:AH71)+SUMIF('✏️ Data Input'!A5:A71,"JCI2 RH",'✏️ Data Input'!AI5:AI71))/33</f>
        <v>3090.15151515152</v>
      </c>
      <c r="E13" s="39" t="s">
        <v>125</v>
      </c>
      <c r="F13" s="40" t="s">
        <v>125</v>
      </c>
      <c r="G13" s="39" t="s">
        <v>125</v>
      </c>
    </row>
    <row r="14" customFormat="false" ht="15.75" hidden="false" customHeight="true" outlineLevel="0" collapsed="false">
      <c r="B14" s="42" t="s">
        <v>100</v>
      </c>
      <c r="C14" s="37" t="n">
        <f aca="false">SUMIF('✏️ Data Input'!A5:A71,"REAR SEAT",'✏️ Data Input'!C5:C71)+SUMIF('✏️ Data Input'!A5:A71,"REAR SEAT",'✏️ Data Input'!D5:D71)+SUMIF('✏️ Data Input'!A5:A71,"REAR SEAT",'✏️ Data Input'!E5:E71)+SUMIF('✏️ Data Input'!A5:A71,"REAR SEAT",'✏️ Data Input'!F5:F71)+SUMIF('✏️ Data Input'!A5:A71,"REAR SEAT",'✏️ Data Input'!G5:G71)+SUMIF('✏️ Data Input'!A5:A71,"REAR SEAT",'✏️ Data Input'!H5:H71)+SUMIF('✏️ Data Input'!A5:A71,"REAR SEAT",'✏️ Data Input'!I5:I71)+SUMIF('✏️ Data Input'!A5:A71,"REAR SEAT",'✏️ Data Input'!J5:J71)+SUMIF('✏️ Data Input'!A5:A71,"REAR SEAT",'✏️ Data Input'!K5:K71)+SUMIF('✏️ Data Input'!A5:A71,"REAR SEAT",'✏️ Data Input'!L5:L71)+SUMIF('✏️ Data Input'!A5:A71,"REAR SEAT",'✏️ Data Input'!M5:M71)+SUMIF('✏️ Data Input'!A5:A71,"REAR SEAT",'✏️ Data Input'!N5:N71)+SUMIF('✏️ Data Input'!A5:A71,"REAR SEAT",'✏️ Data Input'!O5:O71)+SUMIF('✏️ Data Input'!A5:A71,"REAR SEAT",'✏️ Data Input'!P5:P71)+SUMIF('✏️ Data Input'!A5:A71,"REAR SEAT",'✏️ Data Input'!Q5:Q71)+SUMIF('✏️ Data Input'!A5:A71,"REAR SEAT",'✏️ Data Input'!R5:R71)+SUMIF('✏️ Data Input'!A5:A71,"REAR SEAT",'✏️ Data Input'!S5:S71)+SUMIF('✏️ Data Input'!A5:A71,"REAR SEAT",'✏️ Data Input'!T5:T71)+SUMIF('✏️ Data Input'!A5:A71,"REAR SEAT",'✏️ Data Input'!U5:U71)+SUMIF('✏️ Data Input'!A5:A71,"REAR SEAT",'✏️ Data Input'!V5:V71)+SUMIF('✏️ Data Input'!A5:A71,"REAR SEAT",'✏️ Data Input'!W5:W71)+SUMIF('✏️ Data Input'!A5:A71,"REAR SEAT",'✏️ Data Input'!X5:X71)+SUMIF('✏️ Data Input'!A5:A71,"REAR SEAT",'✏️ Data Input'!Y5:Y71)+SUMIF('✏️ Data Input'!A5:A71,"REAR SEAT",'✏️ Data Input'!Z5:Z71)+SUMIF('✏️ Data Input'!A5:A71,"REAR SEAT",'✏️ Data Input'!AA5:AA71)+SUMIF('✏️ Data Input'!A5:A71,"REAR SEAT",'✏️ Data Input'!AB5:AB71)+SUMIF('✏️ Data Input'!A5:A71,"REAR SEAT",'✏️ Data Input'!AC5:AC71)+SUMIF('✏️ Data Input'!A5:A71,"REAR SEAT",'✏️ Data Input'!AD5:AD71)+SUMIF('✏️ Data Input'!A5:A71,"REAR SEAT",'✏️ Data Input'!AE5:AE71)+SUMIF('✏️ Data Input'!A5:A71,"REAR SEAT",'✏️ Data Input'!AF5:AF71)+SUMIF('✏️ Data Input'!A5:A71,"REAR SEAT",'✏️ Data Input'!AG5:AG71)+SUMIF('✏️ Data Input'!A5:A71,"REAR SEAT",'✏️ Data Input'!AH5:AH71)+SUMIF('✏️ Data Input'!A5:A71,"REAR SEAT",'✏️ Data Input'!AI5:AI71)</f>
        <v>165720</v>
      </c>
      <c r="D14" s="38" t="n">
        <f aca="false">(SUMIF('✏️ Data Input'!A5:A71,"REAR SEAT",'✏️ Data Input'!C5:C71)+SUMIF('✏️ Data Input'!A5:A71,"REAR SEAT",'✏️ Data Input'!D5:D71)+SUMIF('✏️ Data Input'!A5:A71,"REAR SEAT",'✏️ Data Input'!E5:E71)+SUMIF('✏️ Data Input'!A5:A71,"REAR SEAT",'✏️ Data Input'!F5:F71)+SUMIF('✏️ Data Input'!A5:A71,"REAR SEAT",'✏️ Data Input'!G5:G71)+SUMIF('✏️ Data Input'!A5:A71,"REAR SEAT",'✏️ Data Input'!H5:H71)+SUMIF('✏️ Data Input'!A5:A71,"REAR SEAT",'✏️ Data Input'!I5:I71)+SUMIF('✏️ Data Input'!A5:A71,"REAR SEAT",'✏️ Data Input'!J5:J71)+SUMIF('✏️ Data Input'!A5:A71,"REAR SEAT",'✏️ Data Input'!K5:K71)+SUMIF('✏️ Data Input'!A5:A71,"REAR SEAT",'✏️ Data Input'!L5:L71)+SUMIF('✏️ Data Input'!A5:A71,"REAR SEAT",'✏️ Data Input'!M5:M71)+SUMIF('✏️ Data Input'!A5:A71,"REAR SEAT",'✏️ Data Input'!N5:N71)+SUMIF('✏️ Data Input'!A5:A71,"REAR SEAT",'✏️ Data Input'!O5:O71)+SUMIF('✏️ Data Input'!A5:A71,"REAR SEAT",'✏️ Data Input'!P5:P71)+SUMIF('✏️ Data Input'!A5:A71,"REAR SEAT",'✏️ Data Input'!Q5:Q71)+SUMIF('✏️ Data Input'!A5:A71,"REAR SEAT",'✏️ Data Input'!R5:R71)+SUMIF('✏️ Data Input'!A5:A71,"REAR SEAT",'✏️ Data Input'!S5:S71)+SUMIF('✏️ Data Input'!A5:A71,"REAR SEAT",'✏️ Data Input'!T5:T71)+SUMIF('✏️ Data Input'!A5:A71,"REAR SEAT",'✏️ Data Input'!U5:U71)+SUMIF('✏️ Data Input'!A5:A71,"REAR SEAT",'✏️ Data Input'!V5:V71)+SUMIF('✏️ Data Input'!A5:A71,"REAR SEAT",'✏️ Data Input'!W5:W71)+SUMIF('✏️ Data Input'!A5:A71,"REAR SEAT",'✏️ Data Input'!X5:X71)+SUMIF('✏️ Data Input'!A5:A71,"REAR SEAT",'✏️ Data Input'!Y5:Y71)+SUMIF('✏️ Data Input'!A5:A71,"REAR SEAT",'✏️ Data Input'!Z5:Z71)+SUMIF('✏️ Data Input'!A5:A71,"REAR SEAT",'✏️ Data Input'!AA5:AA71)+SUMIF('✏️ Data Input'!A5:A71,"REAR SEAT",'✏️ Data Input'!AB5:AB71)+SUMIF('✏️ Data Input'!A5:A71,"REAR SEAT",'✏️ Data Input'!AC5:AC71)+SUMIF('✏️ Data Input'!A5:A71,"REAR SEAT",'✏️ Data Input'!AD5:AD71)+SUMIF('✏️ Data Input'!A5:A71,"REAR SEAT",'✏️ Data Input'!AE5:AE71)+SUMIF('✏️ Data Input'!A5:A71,"REAR SEAT",'✏️ Data Input'!AF5:AF71)+SUMIF('✏️ Data Input'!A5:A71,"REAR SEAT",'✏️ Data Input'!AG5:AG71)+SUMIF('✏️ Data Input'!A5:A71,"REAR SEAT",'✏️ Data Input'!AH5:AH71)+SUMIF('✏️ Data Input'!A5:A71,"REAR SEAT",'✏️ Data Input'!AI5:AI71))/33</f>
        <v>5021.81818181818</v>
      </c>
      <c r="E14" s="39" t="s">
        <v>125</v>
      </c>
      <c r="F14" s="40" t="s">
        <v>125</v>
      </c>
      <c r="G14" s="39" t="s">
        <v>125</v>
      </c>
    </row>
    <row r="15" customFormat="false" ht="15.75" hidden="false" customHeight="true" outlineLevel="0" collapsed="false">
      <c r="B15" s="43" t="s">
        <v>107</v>
      </c>
      <c r="C15" s="37" t="n">
        <f aca="false">SUMIF('✏️ Data Input'!A5:A71,"CUSHION",'✏️ Data Input'!C5:C71)+SUMIF('✏️ Data Input'!A5:A71,"CUSHION",'✏️ Data Input'!D5:D71)+SUMIF('✏️ Data Input'!A5:A71,"CUSHION",'✏️ Data Input'!E5:E71)+SUMIF('✏️ Data Input'!A5:A71,"CUSHION",'✏️ Data Input'!F5:F71)+SUMIF('✏️ Data Input'!A5:A71,"CUSHION",'✏️ Data Input'!G5:G71)+SUMIF('✏️ Data Input'!A5:A71,"CUSHION",'✏️ Data Input'!H5:H71)+SUMIF('✏️ Data Input'!A5:A71,"CUSHION",'✏️ Data Input'!I5:I71)+SUMIF('✏️ Data Input'!A5:A71,"CUSHION",'✏️ Data Input'!J5:J71)+SUMIF('✏️ Data Input'!A5:A71,"CUSHION",'✏️ Data Input'!K5:K71)+SUMIF('✏️ Data Input'!A5:A71,"CUSHION",'✏️ Data Input'!L5:L71)+SUMIF('✏️ Data Input'!A5:A71,"CUSHION",'✏️ Data Input'!M5:M71)+SUMIF('✏️ Data Input'!A5:A71,"CUSHION",'✏️ Data Input'!N5:N71)+SUMIF('✏️ Data Input'!A5:A71,"CUSHION",'✏️ Data Input'!O5:O71)+SUMIF('✏️ Data Input'!A5:A71,"CUSHION",'✏️ Data Input'!P5:P71)+SUMIF('✏️ Data Input'!A5:A71,"CUSHION",'✏️ Data Input'!Q5:Q71)+SUMIF('✏️ Data Input'!A5:A71,"CUSHION",'✏️ Data Input'!R5:R71)+SUMIF('✏️ Data Input'!A5:A71,"CUSHION",'✏️ Data Input'!S5:S71)+SUMIF('✏️ Data Input'!A5:A71,"CUSHION",'✏️ Data Input'!T5:T71)+SUMIF('✏️ Data Input'!A5:A71,"CUSHION",'✏️ Data Input'!U5:U71)+SUMIF('✏️ Data Input'!A5:A71,"CUSHION",'✏️ Data Input'!V5:V71)+SUMIF('✏️ Data Input'!A5:A71,"CUSHION",'✏️ Data Input'!W5:W71)+SUMIF('✏️ Data Input'!A5:A71,"CUSHION",'✏️ Data Input'!X5:X71)+SUMIF('✏️ Data Input'!A5:A71,"CUSHION",'✏️ Data Input'!Y5:Y71)+SUMIF('✏️ Data Input'!A5:A71,"CUSHION",'✏️ Data Input'!Z5:Z71)+SUMIF('✏️ Data Input'!A5:A71,"CUSHION",'✏️ Data Input'!AA5:AA71)+SUMIF('✏️ Data Input'!A5:A71,"CUSHION",'✏️ Data Input'!AB5:AB71)+SUMIF('✏️ Data Input'!A5:A71,"CUSHION",'✏️ Data Input'!AC5:AC71)+SUMIF('✏️ Data Input'!A5:A71,"CUSHION",'✏️ Data Input'!AD5:AD71)+SUMIF('✏️ Data Input'!A5:A71,"CUSHION",'✏️ Data Input'!AE5:AE71)+SUMIF('✏️ Data Input'!A5:A71,"CUSHION",'✏️ Data Input'!AF5:AF71)+SUMIF('✏️ Data Input'!A5:A71,"CUSHION",'✏️ Data Input'!AG5:AG71)+SUMIF('✏️ Data Input'!A5:A71,"CUSHION",'✏️ Data Input'!AH5:AH71)+SUMIF('✏️ Data Input'!A5:A71,"CUSHION",'✏️ Data Input'!AI5:AI71)</f>
        <v>111360</v>
      </c>
      <c r="D15" s="38" t="n">
        <f aca="false">(SUMIF('✏️ Data Input'!A5:A71,"CUSHION",'✏️ Data Input'!C5:C71)+SUMIF('✏️ Data Input'!A5:A71,"CUSHION",'✏️ Data Input'!D5:D71)+SUMIF('✏️ Data Input'!A5:A71,"CUSHION",'✏️ Data Input'!E5:E71)+SUMIF('✏️ Data Input'!A5:A71,"CUSHION",'✏️ Data Input'!F5:F71)+SUMIF('✏️ Data Input'!A5:A71,"CUSHION",'✏️ Data Input'!G5:G71)+SUMIF('✏️ Data Input'!A5:A71,"CUSHION",'✏️ Data Input'!H5:H71)+SUMIF('✏️ Data Input'!A5:A71,"CUSHION",'✏️ Data Input'!I5:I71)+SUMIF('✏️ Data Input'!A5:A71,"CUSHION",'✏️ Data Input'!J5:J71)+SUMIF('✏️ Data Input'!A5:A71,"CUSHION",'✏️ Data Input'!K5:K71)+SUMIF('✏️ Data Input'!A5:A71,"CUSHION",'✏️ Data Input'!L5:L71)+SUMIF('✏️ Data Input'!A5:A71,"CUSHION",'✏️ Data Input'!M5:M71)+SUMIF('✏️ Data Input'!A5:A71,"CUSHION",'✏️ Data Input'!N5:N71)+SUMIF('✏️ Data Input'!A5:A71,"CUSHION",'✏️ Data Input'!O5:O71)+SUMIF('✏️ Data Input'!A5:A71,"CUSHION",'✏️ Data Input'!P5:P71)+SUMIF('✏️ Data Input'!A5:A71,"CUSHION",'✏️ Data Input'!Q5:Q71)+SUMIF('✏️ Data Input'!A5:A71,"CUSHION",'✏️ Data Input'!R5:R71)+SUMIF('✏️ Data Input'!A5:A71,"CUSHION",'✏️ Data Input'!S5:S71)+SUMIF('✏️ Data Input'!A5:A71,"CUSHION",'✏️ Data Input'!T5:T71)+SUMIF('✏️ Data Input'!A5:A71,"CUSHION",'✏️ Data Input'!U5:U71)+SUMIF('✏️ Data Input'!A5:A71,"CUSHION",'✏️ Data Input'!V5:V71)+SUMIF('✏️ Data Input'!A5:A71,"CUSHION",'✏️ Data Input'!W5:W71)+SUMIF('✏️ Data Input'!A5:A71,"CUSHION",'✏️ Data Input'!X5:X71)+SUMIF('✏️ Data Input'!A5:A71,"CUSHION",'✏️ Data Input'!Y5:Y71)+SUMIF('✏️ Data Input'!A5:A71,"CUSHION",'✏️ Data Input'!Z5:Z71)+SUMIF('✏️ Data Input'!A5:A71,"CUSHION",'✏️ Data Input'!AA5:AA71)+SUMIF('✏️ Data Input'!A5:A71,"CUSHION",'✏️ Data Input'!AB5:AB71)+SUMIF('✏️ Data Input'!A5:A71,"CUSHION",'✏️ Data Input'!AC5:AC71)+SUMIF('✏️ Data Input'!A5:A71,"CUSHION",'✏️ Data Input'!AD5:AD71)+SUMIF('✏️ Data Input'!A5:A71,"CUSHION",'✏️ Data Input'!AE5:AE71)+SUMIF('✏️ Data Input'!A5:A71,"CUSHION",'✏️ Data Input'!AF5:AF71)+SUMIF('✏️ Data Input'!A5:A71,"CUSHION",'✏️ Data Input'!AG5:AG71)+SUMIF('✏️ Data Input'!A5:A71,"CUSHION",'✏️ Data Input'!AH5:AH71)+SUMIF('✏️ Data Input'!A5:A71,"CUSHION",'✏️ Data Input'!AI5:AI71))/33</f>
        <v>3374.54545454545</v>
      </c>
      <c r="E15" s="39" t="s">
        <v>125</v>
      </c>
      <c r="F15" s="40" t="s">
        <v>125</v>
      </c>
      <c r="G15" s="39" t="s">
        <v>125</v>
      </c>
    </row>
    <row r="16" customFormat="false" ht="9.75" hidden="false" customHeight="true" outlineLevel="0" collapsed="false"/>
    <row r="17" customFormat="false" ht="19.5" hidden="false" customHeight="true" outlineLevel="0" collapsed="false">
      <c r="B17" s="20" t="s">
        <v>126</v>
      </c>
      <c r="C17" s="20"/>
      <c r="D17" s="20"/>
      <c r="E17" s="20"/>
      <c r="F17" s="20"/>
      <c r="G17" s="20"/>
      <c r="H17" s="20"/>
      <c r="I17" s="20"/>
    </row>
    <row r="18" customFormat="false" ht="15.75" hidden="false" customHeight="true" outlineLevel="0" collapsed="false">
      <c r="B18" s="44" t="s">
        <v>2</v>
      </c>
      <c r="C18" s="44" t="s">
        <v>127</v>
      </c>
      <c r="D18" s="44" t="s">
        <v>128</v>
      </c>
      <c r="E18" s="44" t="s">
        <v>129</v>
      </c>
      <c r="F18" s="44" t="s">
        <v>130</v>
      </c>
      <c r="G18" s="44" t="s">
        <v>131</v>
      </c>
      <c r="H18" s="44" t="s">
        <v>132</v>
      </c>
      <c r="I18" s="44" t="s">
        <v>133</v>
      </c>
    </row>
    <row r="19" customFormat="false" ht="15" hidden="false" customHeight="true" outlineLevel="0" collapsed="false">
      <c r="B19" s="8" t="s">
        <v>38</v>
      </c>
      <c r="C19" s="45" t="n">
        <f aca="false">SUMIF('✏️ Data Input'!A5:A71,"JCI2 LH",'✏️ Data Input'!C5:C71)+SUMIF('✏️ Data Input'!A5:A71,"JCI2 LH",'✏️ Data Input'!D5:D71)+SUMIF('✏️ Data Input'!A5:A71,"JCI2 LH",'✏️ Data Input'!E5:E71)</f>
        <v>9600</v>
      </c>
      <c r="D19" s="45" t="n">
        <f aca="false">SUMIF('✏️ Data Input'!A5:A71,"JCI2 LH",'✏️ Data Input'!F5:F71)+SUMIF('✏️ Data Input'!A5:A71,"JCI2 LH",'✏️ Data Input'!G5:G71)+SUMIF('✏️ Data Input'!A5:A71,"JCI2 LH",'✏️ Data Input'!H5:H71)+SUMIF('✏️ Data Input'!A5:A71,"JCI2 LH",'✏️ Data Input'!I5:I71)+SUMIF('✏️ Data Input'!A5:A71,"JCI2 LH",'✏️ Data Input'!J5:J71)</f>
        <v>19556</v>
      </c>
      <c r="E19" s="45" t="n">
        <f aca="false">SUMIF('✏️ Data Input'!A5:A71,"JCI2 LH",'✏️ Data Input'!K5:K71)+SUMIF('✏️ Data Input'!A5:A71,"JCI2 LH",'✏️ Data Input'!L5:L71)+SUMIF('✏️ Data Input'!A5:A71,"JCI2 LH",'✏️ Data Input'!M5:M71)+SUMIF('✏️ Data Input'!A5:A71,"JCI2 LH",'✏️ Data Input'!N5:N71)</f>
        <v>11620</v>
      </c>
      <c r="F19" s="45" t="n">
        <f aca="false">SUMIF('✏️ Data Input'!A5:A71,"JCI2 LH",'✏️ Data Input'!O5:O71)+SUMIF('✏️ Data Input'!A5:A71,"JCI2 LH",'✏️ Data Input'!P5:P71)+SUMIF('✏️ Data Input'!A5:A71,"JCI2 LH",'✏️ Data Input'!Q5:Q71)+SUMIF('✏️ Data Input'!A5:A71,"JCI2 LH",'✏️ Data Input'!R5:R71)+SUMIF('✏️ Data Input'!A5:A71,"JCI2 LH",'✏️ Data Input'!S5:S71)</f>
        <v>10580</v>
      </c>
      <c r="G19" s="45" t="n">
        <f aca="false">SUMIF('✏️ Data Input'!A5:A71,"JCI2 LH",'✏️ Data Input'!T5:T71)+SUMIF('✏️ Data Input'!A5:A71,"JCI2 LH",'✏️ Data Input'!U5:U71)+SUMIF('✏️ Data Input'!A5:A71,"JCI2 LH",'✏️ Data Input'!V5:V71)+SUMIF('✏️ Data Input'!A5:A71,"JCI2 LH",'✏️ Data Input'!W5:W71)</f>
        <v>14520</v>
      </c>
      <c r="H19" s="45" t="n">
        <f aca="false">SUMIF('✏️ Data Input'!A5:A71,"JCI2 LH",'✏️ Data Input'!X5:X71)+SUMIF('✏️ Data Input'!A5:A71,"JCI2 LH",'✏️ Data Input'!Y5:Y71)+SUMIF('✏️ Data Input'!A5:A71,"JCI2 LH",'✏️ Data Input'!Z5:Z71)+SUMIF('✏️ Data Input'!A5:A71,"JCI2 LH",'✏️ Data Input'!AA5:AA71)</f>
        <v>10360</v>
      </c>
      <c r="I19" s="45" t="n">
        <f aca="false">SUMIF('✏️ Data Input'!A5:A71,"JCI2 LH",'✏️ Data Input'!AB5:AB71)+SUMIF('✏️ Data Input'!A5:A71,"JCI2 LH",'✏️ Data Input'!AC5:AC71)+SUMIF('✏️ Data Input'!A5:A71,"JCI2 LH",'✏️ Data Input'!AD5:AD71)+SUMIF('✏️ Data Input'!A5:A71,"JCI2 LH",'✏️ Data Input'!AE5:AE71)+SUMIF('✏️ Data Input'!A5:A71,"JCI2 LH",'✏️ Data Input'!AF5:AF71)</f>
        <v>18560</v>
      </c>
    </row>
    <row r="20" customFormat="false" ht="15" hidden="false" customHeight="true" outlineLevel="0" collapsed="false">
      <c r="B20" s="14" t="s">
        <v>68</v>
      </c>
      <c r="C20" s="46" t="n">
        <f aca="false">SUMIF('✏️ Data Input'!A5:A71,"JCI2 RH",'✏️ Data Input'!C5:C71)+SUMIF('✏️ Data Input'!A5:A71,"JCI2 RH",'✏️ Data Input'!D5:D71)+SUMIF('✏️ Data Input'!A5:A71,"JCI2 RH",'✏️ Data Input'!E5:E71)</f>
        <v>9680</v>
      </c>
      <c r="D20" s="46" t="n">
        <f aca="false">SUMIF('✏️ Data Input'!A5:A71,"JCI2 RH",'✏️ Data Input'!F5:F71)+SUMIF('✏️ Data Input'!A5:A71,"JCI2 RH",'✏️ Data Input'!G5:G71)+SUMIF('✏️ Data Input'!A5:A71,"JCI2 RH",'✏️ Data Input'!H5:H71)+SUMIF('✏️ Data Input'!A5:A71,"JCI2 RH",'✏️ Data Input'!I5:I71)+SUMIF('✏️ Data Input'!A5:A71,"JCI2 RH",'✏️ Data Input'!J5:J71)</f>
        <v>19655</v>
      </c>
      <c r="E20" s="46" t="n">
        <f aca="false">SUMIF('✏️ Data Input'!A5:A71,"JCI2 RH",'✏️ Data Input'!K5:K71)+SUMIF('✏️ Data Input'!A5:A71,"JCI2 RH",'✏️ Data Input'!L5:L71)+SUMIF('✏️ Data Input'!A5:A71,"JCI2 RH",'✏️ Data Input'!M5:M71)+SUMIF('✏️ Data Input'!A5:A71,"JCI2 RH",'✏️ Data Input'!N5:N71)</f>
        <v>11700</v>
      </c>
      <c r="F20" s="46" t="n">
        <f aca="false">SUMIF('✏️ Data Input'!A5:A71,"JCI2 RH",'✏️ Data Input'!O5:O71)+SUMIF('✏️ Data Input'!A5:A71,"JCI2 RH",'✏️ Data Input'!P5:P71)+SUMIF('✏️ Data Input'!A5:A71,"JCI2 RH",'✏️ Data Input'!Q5:Q71)+SUMIF('✏️ Data Input'!A5:A71,"JCI2 RH",'✏️ Data Input'!R5:R71)+SUMIF('✏️ Data Input'!A5:A71,"JCI2 RH",'✏️ Data Input'!S5:S71)</f>
        <v>10400</v>
      </c>
      <c r="G20" s="46" t="n">
        <f aca="false">SUMIF('✏️ Data Input'!A5:A71,"JCI2 RH",'✏️ Data Input'!T5:T71)+SUMIF('✏️ Data Input'!A5:A71,"JCI2 RH",'✏️ Data Input'!U5:U71)+SUMIF('✏️ Data Input'!A5:A71,"JCI2 RH",'✏️ Data Input'!V5:V71)+SUMIF('✏️ Data Input'!A5:A71,"JCI2 RH",'✏️ Data Input'!W5:W71)</f>
        <v>14660</v>
      </c>
      <c r="H20" s="46" t="n">
        <f aca="false">SUMIF('✏️ Data Input'!A5:A71,"JCI2 RH",'✏️ Data Input'!X5:X71)+SUMIF('✏️ Data Input'!A5:A71,"JCI2 RH",'✏️ Data Input'!Y5:Y71)+SUMIF('✏️ Data Input'!A5:A71,"JCI2 RH",'✏️ Data Input'!Z5:Z71)+SUMIF('✏️ Data Input'!A5:A71,"JCI2 RH",'✏️ Data Input'!AA5:AA71)</f>
        <v>9960</v>
      </c>
      <c r="I20" s="46" t="n">
        <f aca="false">SUMIF('✏️ Data Input'!A5:A71,"JCI2 RH",'✏️ Data Input'!AB5:AB71)+SUMIF('✏️ Data Input'!A5:A71,"JCI2 RH",'✏️ Data Input'!AC5:AC71)+SUMIF('✏️ Data Input'!A5:A71,"JCI2 RH",'✏️ Data Input'!AD5:AD71)+SUMIF('✏️ Data Input'!A5:A71,"JCI2 RH",'✏️ Data Input'!AE5:AE71)+SUMIF('✏️ Data Input'!A5:A71,"JCI2 RH",'✏️ Data Input'!AF5:AF71)</f>
        <v>18400</v>
      </c>
    </row>
    <row r="21" customFormat="false" ht="15" hidden="false" customHeight="true" outlineLevel="0" collapsed="false">
      <c r="B21" s="15" t="s">
        <v>100</v>
      </c>
      <c r="C21" s="45" t="n">
        <f aca="false">SUMIF('✏️ Data Input'!A5:A71,"REAR SEAT",'✏️ Data Input'!C5:C71)+SUMIF('✏️ Data Input'!A5:A71,"REAR SEAT",'✏️ Data Input'!D5:D71)+SUMIF('✏️ Data Input'!A5:A71,"REAR SEAT",'✏️ Data Input'!E5:E71)</f>
        <v>14880</v>
      </c>
      <c r="D21" s="45" t="n">
        <f aca="false">SUMIF('✏️ Data Input'!A5:A71,"REAR SEAT",'✏️ Data Input'!F5:F71)+SUMIF('✏️ Data Input'!A5:A71,"REAR SEAT",'✏️ Data Input'!G5:G71)+SUMIF('✏️ Data Input'!A5:A71,"REAR SEAT",'✏️ Data Input'!H5:H71)+SUMIF('✏️ Data Input'!A5:A71,"REAR SEAT",'✏️ Data Input'!I5:I71)+SUMIF('✏️ Data Input'!A5:A71,"REAR SEAT",'✏️ Data Input'!J5:J71)</f>
        <v>31680</v>
      </c>
      <c r="E21" s="45" t="n">
        <f aca="false">SUMIF('✏️ Data Input'!A5:A71,"REAR SEAT",'✏️ Data Input'!K5:K71)+SUMIF('✏️ Data Input'!A5:A71,"REAR SEAT",'✏️ Data Input'!L5:L71)+SUMIF('✏️ Data Input'!A5:A71,"REAR SEAT",'✏️ Data Input'!M5:M71)+SUMIF('✏️ Data Input'!A5:A71,"REAR SEAT",'✏️ Data Input'!N5:N71)</f>
        <v>19040</v>
      </c>
      <c r="F21" s="45" t="n">
        <f aca="false">SUMIF('✏️ Data Input'!A5:A71,"REAR SEAT",'✏️ Data Input'!O5:O71)+SUMIF('✏️ Data Input'!A5:A71,"REAR SEAT",'✏️ Data Input'!P5:P71)+SUMIF('✏️ Data Input'!A5:A71,"REAR SEAT",'✏️ Data Input'!Q5:Q71)+SUMIF('✏️ Data Input'!A5:A71,"REAR SEAT",'✏️ Data Input'!R5:R71)+SUMIF('✏️ Data Input'!A5:A71,"REAR SEAT",'✏️ Data Input'!S5:S71)</f>
        <v>17480</v>
      </c>
      <c r="G21" s="45" t="n">
        <f aca="false">SUMIF('✏️ Data Input'!A5:A71,"REAR SEAT",'✏️ Data Input'!T5:T71)+SUMIF('✏️ Data Input'!A5:A71,"REAR SEAT",'✏️ Data Input'!U5:U71)+SUMIF('✏️ Data Input'!A5:A71,"REAR SEAT",'✏️ Data Input'!V5:V71)+SUMIF('✏️ Data Input'!A5:A71,"REAR SEAT",'✏️ Data Input'!W5:W71)</f>
        <v>23480</v>
      </c>
      <c r="H21" s="45" t="n">
        <f aca="false">SUMIF('✏️ Data Input'!A5:A71,"REAR SEAT",'✏️ Data Input'!X5:X71)+SUMIF('✏️ Data Input'!A5:A71,"REAR SEAT",'✏️ Data Input'!Y5:Y71)+SUMIF('✏️ Data Input'!A5:A71,"REAR SEAT",'✏️ Data Input'!Z5:Z71)+SUMIF('✏️ Data Input'!A5:A71,"REAR SEAT",'✏️ Data Input'!AA5:AA71)</f>
        <v>16720</v>
      </c>
      <c r="I21" s="45" t="n">
        <f aca="false">SUMIF('✏️ Data Input'!A5:A71,"REAR SEAT",'✏️ Data Input'!AB5:AB71)+SUMIF('✏️ Data Input'!A5:A71,"REAR SEAT",'✏️ Data Input'!AC5:AC71)+SUMIF('✏️ Data Input'!A5:A71,"REAR SEAT",'✏️ Data Input'!AD5:AD71)+SUMIF('✏️ Data Input'!A5:A71,"REAR SEAT",'✏️ Data Input'!AE5:AE71)+SUMIF('✏️ Data Input'!A5:A71,"REAR SEAT",'✏️ Data Input'!AF5:AF71)</f>
        <v>30240</v>
      </c>
    </row>
    <row r="22" customFormat="false" ht="15" hidden="false" customHeight="true" outlineLevel="0" collapsed="false">
      <c r="B22" s="16" t="s">
        <v>107</v>
      </c>
      <c r="C22" s="46" t="n">
        <f aca="false">SUMIF('✏️ Data Input'!A5:A71,"CUSHION",'✏️ Data Input'!C5:C71)+SUMIF('✏️ Data Input'!A5:A71,"CUSHION",'✏️ Data Input'!D5:D71)+SUMIF('✏️ Data Input'!A5:A71,"CUSHION",'✏️ Data Input'!E5:E71)</f>
        <v>9600</v>
      </c>
      <c r="D22" s="46" t="n">
        <f aca="false">SUMIF('✏️ Data Input'!A5:A71,"CUSHION",'✏️ Data Input'!F5:F71)+SUMIF('✏️ Data Input'!A5:A71,"CUSHION",'✏️ Data Input'!G5:G71)+SUMIF('✏️ Data Input'!A5:A71,"CUSHION",'✏️ Data Input'!H5:H71)+SUMIF('✏️ Data Input'!A5:A71,"CUSHION",'✏️ Data Input'!I5:I71)+SUMIF('✏️ Data Input'!A5:A71,"CUSHION",'✏️ Data Input'!J5:J71)</f>
        <v>21120</v>
      </c>
      <c r="E22" s="46" t="n">
        <f aca="false">SUMIF('✏️ Data Input'!A5:A71,"CUSHION",'✏️ Data Input'!K5:K71)+SUMIF('✏️ Data Input'!A5:A71,"CUSHION",'✏️ Data Input'!L5:L71)+SUMIF('✏️ Data Input'!A5:A71,"CUSHION",'✏️ Data Input'!M5:M71)+SUMIF('✏️ Data Input'!A5:A71,"CUSHION",'✏️ Data Input'!N5:N71)</f>
        <v>13440</v>
      </c>
      <c r="F22" s="46" t="n">
        <f aca="false">SUMIF('✏️ Data Input'!A5:A71,"CUSHION",'✏️ Data Input'!O5:O71)+SUMIF('✏️ Data Input'!A5:A71,"CUSHION",'✏️ Data Input'!P5:P71)+SUMIF('✏️ Data Input'!A5:A71,"CUSHION",'✏️ Data Input'!Q5:Q71)+SUMIF('✏️ Data Input'!A5:A71,"CUSHION",'✏️ Data Input'!R5:R71)+SUMIF('✏️ Data Input'!A5:A71,"CUSHION",'✏️ Data Input'!S5:S71)</f>
        <v>11520</v>
      </c>
      <c r="G22" s="46" t="n">
        <f aca="false">SUMIF('✏️ Data Input'!A5:A71,"CUSHION",'✏️ Data Input'!T5:T71)+SUMIF('✏️ Data Input'!A5:A71,"CUSHION",'✏️ Data Input'!U5:U71)+SUMIF('✏️ Data Input'!A5:A71,"CUSHION",'✏️ Data Input'!V5:V71)+SUMIF('✏️ Data Input'!A5:A71,"CUSHION",'✏️ Data Input'!W5:W71)</f>
        <v>16320</v>
      </c>
      <c r="H22" s="46" t="n">
        <f aca="false">SUMIF('✏️ Data Input'!A5:A71,"CUSHION",'✏️ Data Input'!X5:X71)+SUMIF('✏️ Data Input'!A5:A71,"CUSHION",'✏️ Data Input'!Y5:Y71)+SUMIF('✏️ Data Input'!A5:A71,"CUSHION",'✏️ Data Input'!Z5:Z71)+SUMIF('✏️ Data Input'!A5:A71,"CUSHION",'✏️ Data Input'!AA5:AA71)</f>
        <v>10560</v>
      </c>
      <c r="I22" s="46" t="n">
        <f aca="false">SUMIF('✏️ Data Input'!A5:A71,"CUSHION",'✏️ Data Input'!AB5:AB71)+SUMIF('✏️ Data Input'!A5:A71,"CUSHION",'✏️ Data Input'!AC5:AC71)+SUMIF('✏️ Data Input'!A5:A71,"CUSHION",'✏️ Data Input'!AD5:AD71)+SUMIF('✏️ Data Input'!A5:A71,"CUSHION",'✏️ Data Input'!AE5:AE71)+SUMIF('✏️ Data Input'!A5:A71,"CUSHION",'✏️ Data Input'!AF5:AF71)</f>
        <v>19200</v>
      </c>
    </row>
    <row r="23" customFormat="false" ht="15.75" hidden="false" customHeight="true" outlineLevel="0" collapsed="false">
      <c r="B23" s="47" t="s">
        <v>134</v>
      </c>
      <c r="C23" s="48" t="n">
        <f aca="false">'✏️ Data Input'!C72+'✏️ Data Input'!D72+'✏️ Data Input'!E72</f>
        <v>43760</v>
      </c>
      <c r="D23" s="48" t="n">
        <f aca="false">'✏️ Data Input'!F72+'✏️ Data Input'!G72+'✏️ Data Input'!H72+'✏️ Data Input'!I72+'✏️ Data Input'!J72</f>
        <v>92011</v>
      </c>
      <c r="E23" s="48" t="n">
        <f aca="false">'✏️ Data Input'!K72+'✏️ Data Input'!L72+'✏️ Data Input'!M72+'✏️ Data Input'!N72</f>
        <v>55800</v>
      </c>
      <c r="F23" s="48" t="n">
        <f aca="false">'✏️ Data Input'!O72+'✏️ Data Input'!P72+'✏️ Data Input'!Q72+'✏️ Data Input'!R72+'✏️ Data Input'!S72</f>
        <v>49980</v>
      </c>
      <c r="G23" s="48" t="n">
        <f aca="false">'✏️ Data Input'!T72+'✏️ Data Input'!U72+'✏️ Data Input'!V72+'✏️ Data Input'!W72</f>
        <v>68980</v>
      </c>
      <c r="H23" s="48" t="n">
        <f aca="false">'✏️ Data Input'!X72+'✏️ Data Input'!Y72+'✏️ Data Input'!Z72+'✏️ Data Input'!AA72</f>
        <v>47600</v>
      </c>
      <c r="I23" s="48" t="n">
        <f aca="false">'✏️ Data Input'!AB72+'✏️ Data Input'!AC72+'✏️ Data Input'!AD72+'✏️ Data Input'!AE72+'✏️ Data Input'!AF72</f>
        <v>86400</v>
      </c>
    </row>
  </sheetData>
  <mergeCells count="5">
    <mergeCell ref="B1:I2"/>
    <mergeCell ref="B3:I3"/>
    <mergeCell ref="B5:I5"/>
    <mergeCell ref="B10:I10"/>
    <mergeCell ref="B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7" min="3" style="0" width="14"/>
  </cols>
  <sheetData>
    <row r="1" customFormat="false" ht="21.75" hidden="false" customHeight="true" outlineLevel="0" collapsed="false">
      <c r="B1" s="1" t="s">
        <v>135</v>
      </c>
      <c r="C1" s="1"/>
      <c r="D1" s="1"/>
      <c r="E1" s="1"/>
      <c r="F1" s="1"/>
      <c r="G1" s="1"/>
    </row>
    <row r="2" customFormat="false" ht="18" hidden="false" customHeight="true" outlineLevel="0" collapsed="false">
      <c r="B2" s="4" t="s">
        <v>136</v>
      </c>
      <c r="C2" s="4" t="s">
        <v>137</v>
      </c>
      <c r="D2" s="4" t="s">
        <v>38</v>
      </c>
      <c r="E2" s="4" t="s">
        <v>68</v>
      </c>
      <c r="F2" s="4" t="s">
        <v>100</v>
      </c>
      <c r="G2" s="4" t="s">
        <v>107</v>
      </c>
    </row>
    <row r="3" customFormat="false" ht="13.5" hidden="false" customHeight="true" outlineLevel="0" collapsed="false">
      <c r="B3" s="49" t="s">
        <v>4</v>
      </c>
      <c r="C3" s="50" t="n">
        <f aca="false">'✏️ Data Input'!C72</f>
        <v>1040</v>
      </c>
      <c r="D3" s="46" t="n">
        <f aca="false">SUMIF('✏️ Data Input'!A5:A71,"JCI2 LH",'✏️ Data Input'!C5:C71)</f>
        <v>240</v>
      </c>
      <c r="E3" s="46" t="n">
        <f aca="false">SUMIF('✏️ Data Input'!A5:A71,"JCI2 RH",'✏️ Data Input'!C5:C71)</f>
        <v>320</v>
      </c>
      <c r="F3" s="46" t="n">
        <f aca="false">SUMIF('✏️ Data Input'!A5:A71,"REAR SEAT",'✏️ Data Input'!C5:C71)</f>
        <v>480</v>
      </c>
      <c r="G3" s="46" t="n">
        <f aca="false">SUMIF('✏️ Data Input'!A5:A71,"CUSHION",'✏️ Data Input'!C5:C71)</f>
        <v>0</v>
      </c>
    </row>
    <row r="4" customFormat="false" ht="13.5" hidden="false" customHeight="true" outlineLevel="0" collapsed="false">
      <c r="B4" s="51" t="s">
        <v>5</v>
      </c>
      <c r="C4" s="50" t="n">
        <f aca="false">'✏️ Data Input'!D72</f>
        <v>26300</v>
      </c>
      <c r="D4" s="45" t="n">
        <f aca="false">SUMIF('✏️ Data Input'!A5:A71,"JCI2 LH",'✏️ Data Input'!D5:D71)</f>
        <v>5960</v>
      </c>
      <c r="E4" s="45" t="n">
        <f aca="false">SUMIF('✏️ Data Input'!A5:A71,"JCI2 RH",'✏️ Data Input'!D5:D71)</f>
        <v>5700</v>
      </c>
      <c r="F4" s="45" t="n">
        <f aca="false">SUMIF('✏️ Data Input'!A5:A71,"REAR SEAT",'✏️ Data Input'!D5:D71)</f>
        <v>9840</v>
      </c>
      <c r="G4" s="45" t="n">
        <f aca="false">SUMIF('✏️ Data Input'!A5:A71,"CUSHION",'✏️ Data Input'!D5:D71)</f>
        <v>4800</v>
      </c>
    </row>
    <row r="5" customFormat="false" ht="13.5" hidden="false" customHeight="true" outlineLevel="0" collapsed="false">
      <c r="B5" s="49" t="s">
        <v>6</v>
      </c>
      <c r="C5" s="50" t="n">
        <f aca="false">'✏️ Data Input'!E72</f>
        <v>16420</v>
      </c>
      <c r="D5" s="46" t="n">
        <f aca="false">SUMIF('✏️ Data Input'!A5:A71,"JCI2 LH",'✏️ Data Input'!E5:E71)</f>
        <v>3400</v>
      </c>
      <c r="E5" s="46" t="n">
        <f aca="false">SUMIF('✏️ Data Input'!A5:A71,"JCI2 RH",'✏️ Data Input'!E5:E71)</f>
        <v>3660</v>
      </c>
      <c r="F5" s="46" t="n">
        <f aca="false">SUMIF('✏️ Data Input'!A5:A71,"REAR SEAT",'✏️ Data Input'!E5:E71)</f>
        <v>4560</v>
      </c>
      <c r="G5" s="46" t="n">
        <f aca="false">SUMIF('✏️ Data Input'!A5:A71,"CUSHION",'✏️ Data Input'!E5:E71)</f>
        <v>4800</v>
      </c>
    </row>
    <row r="6" customFormat="false" ht="13.5" hidden="false" customHeight="true" outlineLevel="0" collapsed="false">
      <c r="B6" s="51" t="s">
        <v>7</v>
      </c>
      <c r="C6" s="50" t="n">
        <f aca="false">'✏️ Data Input'!F72</f>
        <v>18300</v>
      </c>
      <c r="D6" s="45" t="n">
        <f aca="false">SUMIF('✏️ Data Input'!A5:A71,"JCI2 LH",'✏️ Data Input'!F5:F71)</f>
        <v>3900</v>
      </c>
      <c r="E6" s="45" t="n">
        <f aca="false">SUMIF('✏️ Data Input'!A5:A71,"JCI2 RH",'✏️ Data Input'!F5:F71)</f>
        <v>4240</v>
      </c>
      <c r="F6" s="45" t="n">
        <f aca="false">SUMIF('✏️ Data Input'!A5:A71,"REAR SEAT",'✏️ Data Input'!F5:F71)</f>
        <v>6320</v>
      </c>
      <c r="G6" s="45" t="n">
        <f aca="false">SUMIF('✏️ Data Input'!A5:A71,"CUSHION",'✏️ Data Input'!F5:F71)</f>
        <v>3840</v>
      </c>
    </row>
    <row r="7" customFormat="false" ht="13.5" hidden="false" customHeight="true" outlineLevel="0" collapsed="false">
      <c r="B7" s="49" t="s">
        <v>8</v>
      </c>
      <c r="C7" s="50" t="n">
        <f aca="false">'✏️ Data Input'!G72</f>
        <v>18651</v>
      </c>
      <c r="D7" s="46" t="n">
        <f aca="false">SUMIF('✏️ Data Input'!A5:A71,"JCI2 LH",'✏️ Data Input'!G5:G71)</f>
        <v>4116</v>
      </c>
      <c r="E7" s="46" t="n">
        <f aca="false">SUMIF('✏️ Data Input'!A5:A71,"JCI2 RH",'✏️ Data Input'!G5:G71)</f>
        <v>3975</v>
      </c>
      <c r="F7" s="46" t="n">
        <f aca="false">SUMIF('✏️ Data Input'!A5:A71,"REAR SEAT",'✏️ Data Input'!G5:G71)</f>
        <v>6720</v>
      </c>
      <c r="G7" s="46" t="n">
        <f aca="false">SUMIF('✏️ Data Input'!A5:A71,"CUSHION",'✏️ Data Input'!G5:G71)</f>
        <v>3840</v>
      </c>
    </row>
    <row r="8" customFormat="false" ht="13.5" hidden="false" customHeight="true" outlineLevel="0" collapsed="false">
      <c r="B8" s="51" t="s">
        <v>9</v>
      </c>
      <c r="C8" s="50" t="n">
        <f aca="false">'✏️ Data Input'!H72</f>
        <v>18920</v>
      </c>
      <c r="D8" s="45" t="n">
        <f aca="false">SUMIF('✏️ Data Input'!A5:A71,"JCI2 LH",'✏️ Data Input'!H5:H71)</f>
        <v>4260</v>
      </c>
      <c r="E8" s="45" t="n">
        <f aca="false">SUMIF('✏️ Data Input'!A5:A71,"JCI2 RH",'✏️ Data Input'!H5:H71)</f>
        <v>3860</v>
      </c>
      <c r="F8" s="45" t="n">
        <f aca="false">SUMIF('✏️ Data Input'!A5:A71,"REAR SEAT",'✏️ Data Input'!H5:H71)</f>
        <v>6000</v>
      </c>
      <c r="G8" s="45" t="n">
        <f aca="false">SUMIF('✏️ Data Input'!A5:A71,"CUSHION",'✏️ Data Input'!H5:H71)</f>
        <v>4800</v>
      </c>
    </row>
    <row r="9" customFormat="false" ht="13.5" hidden="false" customHeight="true" outlineLevel="0" collapsed="false">
      <c r="B9" s="49" t="s">
        <v>10</v>
      </c>
      <c r="C9" s="50" t="n">
        <f aca="false">'✏️ Data Input'!I72</f>
        <v>17220</v>
      </c>
      <c r="D9" s="46" t="n">
        <f aca="false">SUMIF('✏️ Data Input'!A5:A71,"JCI2 LH",'✏️ Data Input'!I5:I71)</f>
        <v>3560</v>
      </c>
      <c r="E9" s="46" t="n">
        <f aca="false">SUMIF('✏️ Data Input'!A5:A71,"JCI2 RH",'✏️ Data Input'!I5:I71)</f>
        <v>3580</v>
      </c>
      <c r="F9" s="46" t="n">
        <f aca="false">SUMIF('✏️ Data Input'!A5:A71,"REAR SEAT",'✏️ Data Input'!I5:I71)</f>
        <v>6240</v>
      </c>
      <c r="G9" s="46" t="n">
        <f aca="false">SUMIF('✏️ Data Input'!A5:A71,"CUSHION",'✏️ Data Input'!I5:I71)</f>
        <v>3840</v>
      </c>
    </row>
    <row r="10" customFormat="false" ht="13.5" hidden="false" customHeight="true" outlineLevel="0" collapsed="false">
      <c r="B10" s="51" t="s">
        <v>11</v>
      </c>
      <c r="C10" s="50" t="n">
        <f aca="false">'✏️ Data Input'!J72</f>
        <v>18920</v>
      </c>
      <c r="D10" s="45" t="n">
        <f aca="false">SUMIF('✏️ Data Input'!A5:A71,"JCI2 LH",'✏️ Data Input'!J5:J71)</f>
        <v>3720</v>
      </c>
      <c r="E10" s="45" t="n">
        <f aca="false">SUMIF('✏️ Data Input'!A5:A71,"JCI2 RH",'✏️ Data Input'!J5:J71)</f>
        <v>4000</v>
      </c>
      <c r="F10" s="45" t="n">
        <f aca="false">SUMIF('✏️ Data Input'!A5:A71,"REAR SEAT",'✏️ Data Input'!J5:J71)</f>
        <v>6400</v>
      </c>
      <c r="G10" s="45" t="n">
        <f aca="false">SUMIF('✏️ Data Input'!A5:A71,"CUSHION",'✏️ Data Input'!J5:J71)</f>
        <v>4800</v>
      </c>
    </row>
    <row r="11" customFormat="false" ht="13.5" hidden="false" customHeight="true" outlineLevel="0" collapsed="false">
      <c r="B11" s="49" t="s">
        <v>12</v>
      </c>
      <c r="C11" s="50" t="n">
        <f aca="false">'✏️ Data Input'!K72</f>
        <v>24680</v>
      </c>
      <c r="D11" s="46" t="n">
        <f aca="false">SUMIF('✏️ Data Input'!A5:A71,"JCI2 LH",'✏️ Data Input'!K5:K71)</f>
        <v>5120</v>
      </c>
      <c r="E11" s="46" t="n">
        <f aca="false">SUMIF('✏️ Data Input'!A5:A71,"JCI2 RH",'✏️ Data Input'!K5:K71)</f>
        <v>5400</v>
      </c>
      <c r="F11" s="46" t="n">
        <f aca="false">SUMIF('✏️ Data Input'!A5:A71,"REAR SEAT",'✏️ Data Input'!K5:K71)</f>
        <v>8400</v>
      </c>
      <c r="G11" s="46" t="n">
        <f aca="false">SUMIF('✏️ Data Input'!A5:A71,"CUSHION",'✏️ Data Input'!K5:K71)</f>
        <v>5760</v>
      </c>
    </row>
    <row r="12" customFormat="false" ht="13.5" hidden="false" customHeight="true" outlineLevel="0" collapsed="false">
      <c r="B12" s="51" t="s">
        <v>13</v>
      </c>
      <c r="C12" s="50" t="n">
        <f aca="false">'✏️ Data Input'!L72</f>
        <v>31120</v>
      </c>
      <c r="D12" s="45" t="n">
        <f aca="false">SUMIF('✏️ Data Input'!A5:A71,"JCI2 LH",'✏️ Data Input'!L5:L71)</f>
        <v>6500</v>
      </c>
      <c r="E12" s="45" t="n">
        <f aca="false">SUMIF('✏️ Data Input'!A5:A71,"JCI2 RH",'✏️ Data Input'!L5:L71)</f>
        <v>6300</v>
      </c>
      <c r="F12" s="45" t="n">
        <f aca="false">SUMIF('✏️ Data Input'!A5:A71,"REAR SEAT",'✏️ Data Input'!L5:L71)</f>
        <v>10640</v>
      </c>
      <c r="G12" s="45" t="n">
        <f aca="false">SUMIF('✏️ Data Input'!A5:A71,"CUSHION",'✏️ Data Input'!L5:L71)</f>
        <v>7680</v>
      </c>
    </row>
    <row r="13" customFormat="false" ht="13.5" hidden="false" customHeight="true" outlineLevel="0" collapsed="false">
      <c r="B13" s="49" t="s">
        <v>14</v>
      </c>
      <c r="C13" s="50" t="n">
        <f aca="false">'✏️ Data Input'!M72</f>
        <v>0</v>
      </c>
      <c r="D13" s="46" t="n">
        <f aca="false">SUMIF('✏️ Data Input'!A5:A71,"JCI2 LH",'✏️ Data Input'!M5:M71)</f>
        <v>0</v>
      </c>
      <c r="E13" s="46" t="n">
        <f aca="false">SUMIF('✏️ Data Input'!A5:A71,"JCI2 RH",'✏️ Data Input'!M5:M71)</f>
        <v>0</v>
      </c>
      <c r="F13" s="46" t="n">
        <f aca="false">SUMIF('✏️ Data Input'!A5:A71,"REAR SEAT",'✏️ Data Input'!M5:M71)</f>
        <v>0</v>
      </c>
      <c r="G13" s="46" t="n">
        <f aca="false">SUMIF('✏️ Data Input'!A5:A71,"CUSHION",'✏️ Data Input'!M5:M71)</f>
        <v>0</v>
      </c>
    </row>
    <row r="14" customFormat="false" ht="13.5" hidden="false" customHeight="true" outlineLevel="0" collapsed="false">
      <c r="B14" s="51" t="s">
        <v>15</v>
      </c>
      <c r="C14" s="50" t="n">
        <f aca="false">'✏️ Data Input'!N72</f>
        <v>0</v>
      </c>
      <c r="D14" s="45" t="n">
        <f aca="false">SUMIF('✏️ Data Input'!A5:A71,"JCI2 LH",'✏️ Data Input'!N5:N71)</f>
        <v>0</v>
      </c>
      <c r="E14" s="45" t="n">
        <f aca="false">SUMIF('✏️ Data Input'!A5:A71,"JCI2 RH",'✏️ Data Input'!N5:N71)</f>
        <v>0</v>
      </c>
      <c r="F14" s="45" t="n">
        <f aca="false">SUMIF('✏️ Data Input'!A5:A71,"REAR SEAT",'✏️ Data Input'!N5:N71)</f>
        <v>0</v>
      </c>
      <c r="G14" s="45" t="n">
        <f aca="false">SUMIF('✏️ Data Input'!A5:A71,"CUSHION",'✏️ Data Input'!N5:N71)</f>
        <v>0</v>
      </c>
    </row>
    <row r="15" customFormat="false" ht="13.5" hidden="false" customHeight="true" outlineLevel="0" collapsed="false">
      <c r="B15" s="49" t="s">
        <v>16</v>
      </c>
      <c r="C15" s="50" t="n">
        <f aca="false">'✏️ Data Input'!O72</f>
        <v>0</v>
      </c>
      <c r="D15" s="46" t="n">
        <f aca="false">SUMIF('✏️ Data Input'!A5:A71,"JCI2 LH",'✏️ Data Input'!O5:O71)</f>
        <v>0</v>
      </c>
      <c r="E15" s="46" t="n">
        <f aca="false">SUMIF('✏️ Data Input'!A5:A71,"JCI2 RH",'✏️ Data Input'!O5:O71)</f>
        <v>0</v>
      </c>
      <c r="F15" s="46" t="n">
        <f aca="false">SUMIF('✏️ Data Input'!A5:A71,"REAR SEAT",'✏️ Data Input'!O5:O71)</f>
        <v>0</v>
      </c>
      <c r="G15" s="46" t="n">
        <f aca="false">SUMIF('✏️ Data Input'!A5:A71,"CUSHION",'✏️ Data Input'!O5:O71)</f>
        <v>0</v>
      </c>
    </row>
    <row r="16" customFormat="false" ht="13.5" hidden="false" customHeight="true" outlineLevel="0" collapsed="false">
      <c r="B16" s="51" t="s">
        <v>17</v>
      </c>
      <c r="C16" s="50" t="n">
        <f aca="false">'✏️ Data Input'!P72</f>
        <v>0</v>
      </c>
      <c r="D16" s="45" t="n">
        <f aca="false">SUMIF('✏️ Data Input'!A5:A71,"JCI2 LH",'✏️ Data Input'!P5:P71)</f>
        <v>0</v>
      </c>
      <c r="E16" s="45" t="n">
        <f aca="false">SUMIF('✏️ Data Input'!A5:A71,"JCI2 RH",'✏️ Data Input'!P5:P71)</f>
        <v>0</v>
      </c>
      <c r="F16" s="45" t="n">
        <f aca="false">SUMIF('✏️ Data Input'!A5:A71,"REAR SEAT",'✏️ Data Input'!P5:P71)</f>
        <v>0</v>
      </c>
      <c r="G16" s="45" t="n">
        <f aca="false">SUMIF('✏️ Data Input'!A5:A71,"CUSHION",'✏️ Data Input'!P5:P71)</f>
        <v>0</v>
      </c>
    </row>
    <row r="17" customFormat="false" ht="13.5" hidden="false" customHeight="true" outlineLevel="0" collapsed="false">
      <c r="B17" s="49" t="s">
        <v>18</v>
      </c>
      <c r="C17" s="50" t="n">
        <f aca="false">'✏️ Data Input'!Q72</f>
        <v>16700</v>
      </c>
      <c r="D17" s="46" t="n">
        <f aca="false">SUMIF('✏️ Data Input'!A5:A71,"JCI2 LH",'✏️ Data Input'!Q5:Q71)</f>
        <v>3840</v>
      </c>
      <c r="E17" s="46" t="n">
        <f aca="false">SUMIF('✏️ Data Input'!A5:A71,"JCI2 RH",'✏️ Data Input'!Q5:Q71)</f>
        <v>3740</v>
      </c>
      <c r="F17" s="46" t="n">
        <f aca="false">SUMIF('✏️ Data Input'!A5:A71,"REAR SEAT",'✏️ Data Input'!Q5:Q71)</f>
        <v>5280</v>
      </c>
      <c r="G17" s="46" t="n">
        <f aca="false">SUMIF('✏️ Data Input'!A5:A71,"CUSHION",'✏️ Data Input'!Q5:Q71)</f>
        <v>3840</v>
      </c>
    </row>
    <row r="18" customFormat="false" ht="13.5" hidden="false" customHeight="true" outlineLevel="0" collapsed="false">
      <c r="B18" s="51" t="s">
        <v>19</v>
      </c>
      <c r="C18" s="50" t="n">
        <f aca="false">'✏️ Data Input'!R72</f>
        <v>16320</v>
      </c>
      <c r="D18" s="45" t="n">
        <f aca="false">SUMIF('✏️ Data Input'!A5:A71,"JCI2 LH",'✏️ Data Input'!R5:R71)</f>
        <v>3080</v>
      </c>
      <c r="E18" s="45" t="n">
        <f aca="false">SUMIF('✏️ Data Input'!A5:A71,"JCI2 RH",'✏️ Data Input'!R5:R71)</f>
        <v>3400</v>
      </c>
      <c r="F18" s="45" t="n">
        <f aca="false">SUMIF('✏️ Data Input'!A5:A71,"REAR SEAT",'✏️ Data Input'!R5:R71)</f>
        <v>6000</v>
      </c>
      <c r="G18" s="45" t="n">
        <f aca="false">SUMIF('✏️ Data Input'!A5:A71,"CUSHION",'✏️ Data Input'!R5:R71)</f>
        <v>3840</v>
      </c>
    </row>
    <row r="19" customFormat="false" ht="13.5" hidden="false" customHeight="true" outlineLevel="0" collapsed="false">
      <c r="B19" s="49" t="s">
        <v>20</v>
      </c>
      <c r="C19" s="50" t="n">
        <f aca="false">'✏️ Data Input'!S72</f>
        <v>16960</v>
      </c>
      <c r="D19" s="46" t="n">
        <f aca="false">SUMIF('✏️ Data Input'!A5:A71,"JCI2 LH",'✏️ Data Input'!S5:S71)</f>
        <v>3660</v>
      </c>
      <c r="E19" s="46" t="n">
        <f aca="false">SUMIF('✏️ Data Input'!A5:A71,"JCI2 RH",'✏️ Data Input'!S5:S71)</f>
        <v>3260</v>
      </c>
      <c r="F19" s="46" t="n">
        <f aca="false">SUMIF('✏️ Data Input'!A5:A71,"REAR SEAT",'✏️ Data Input'!S5:S71)</f>
        <v>6200</v>
      </c>
      <c r="G19" s="46" t="n">
        <f aca="false">SUMIF('✏️ Data Input'!A5:A71,"CUSHION",'✏️ Data Input'!S5:S71)</f>
        <v>3840</v>
      </c>
    </row>
    <row r="20" customFormat="false" ht="13.5" hidden="false" customHeight="true" outlineLevel="0" collapsed="false">
      <c r="B20" s="51" t="s">
        <v>21</v>
      </c>
      <c r="C20" s="50" t="n">
        <f aca="false">'✏️ Data Input'!T72</f>
        <v>17270</v>
      </c>
      <c r="D20" s="45" t="n">
        <f aca="false">SUMIF('✏️ Data Input'!A5:A71,"JCI2 LH",'✏️ Data Input'!T5:T71)</f>
        <v>3640</v>
      </c>
      <c r="E20" s="45" t="n">
        <f aca="false">SUMIF('✏️ Data Input'!A5:A71,"JCI2 RH",'✏️ Data Input'!T5:T71)</f>
        <v>3680</v>
      </c>
      <c r="F20" s="45" t="n">
        <f aca="false">SUMIF('✏️ Data Input'!A5:A71,"REAR SEAT",'✏️ Data Input'!T5:T71)</f>
        <v>5870</v>
      </c>
      <c r="G20" s="45" t="n">
        <f aca="false">SUMIF('✏️ Data Input'!A5:A71,"CUSHION",'✏️ Data Input'!T5:T71)</f>
        <v>4080</v>
      </c>
    </row>
    <row r="21" customFormat="false" ht="13.5" hidden="false" customHeight="true" outlineLevel="0" collapsed="false">
      <c r="B21" s="49" t="s">
        <v>22</v>
      </c>
      <c r="C21" s="50" t="n">
        <f aca="false">'✏️ Data Input'!U72</f>
        <v>17270</v>
      </c>
      <c r="D21" s="46" t="n">
        <f aca="false">SUMIF('✏️ Data Input'!A5:A71,"JCI2 LH",'✏️ Data Input'!U5:U71)</f>
        <v>3640</v>
      </c>
      <c r="E21" s="46" t="n">
        <f aca="false">SUMIF('✏️ Data Input'!A5:A71,"JCI2 RH",'✏️ Data Input'!U5:U71)</f>
        <v>3680</v>
      </c>
      <c r="F21" s="46" t="n">
        <f aca="false">SUMIF('✏️ Data Input'!A5:A71,"REAR SEAT",'✏️ Data Input'!U5:U71)</f>
        <v>5870</v>
      </c>
      <c r="G21" s="46" t="n">
        <f aca="false">SUMIF('✏️ Data Input'!A5:A71,"CUSHION",'✏️ Data Input'!U5:U71)</f>
        <v>4080</v>
      </c>
    </row>
    <row r="22" customFormat="false" ht="13.5" hidden="false" customHeight="true" outlineLevel="0" collapsed="false">
      <c r="B22" s="51" t="s">
        <v>23</v>
      </c>
      <c r="C22" s="50" t="n">
        <f aca="false">'✏️ Data Input'!V72</f>
        <v>17270</v>
      </c>
      <c r="D22" s="45" t="n">
        <f aca="false">SUMIF('✏️ Data Input'!A5:A71,"JCI2 LH",'✏️ Data Input'!V5:V71)</f>
        <v>3640</v>
      </c>
      <c r="E22" s="45" t="n">
        <f aca="false">SUMIF('✏️ Data Input'!A5:A71,"JCI2 RH",'✏️ Data Input'!V5:V71)</f>
        <v>3680</v>
      </c>
      <c r="F22" s="45" t="n">
        <f aca="false">SUMIF('✏️ Data Input'!A5:A71,"REAR SEAT",'✏️ Data Input'!V5:V71)</f>
        <v>5870</v>
      </c>
      <c r="G22" s="45" t="n">
        <f aca="false">SUMIF('✏️ Data Input'!A5:A71,"CUSHION",'✏️ Data Input'!V5:V71)</f>
        <v>4080</v>
      </c>
    </row>
    <row r="23" customFormat="false" ht="13.5" hidden="false" customHeight="true" outlineLevel="0" collapsed="false">
      <c r="B23" s="49" t="s">
        <v>24</v>
      </c>
      <c r="C23" s="50" t="n">
        <f aca="false">'✏️ Data Input'!W72</f>
        <v>17170</v>
      </c>
      <c r="D23" s="46" t="n">
        <f aca="false">SUMIF('✏️ Data Input'!A5:A71,"JCI2 LH",'✏️ Data Input'!W5:W71)</f>
        <v>3600</v>
      </c>
      <c r="E23" s="46" t="n">
        <f aca="false">SUMIF('✏️ Data Input'!A5:A71,"JCI2 RH",'✏️ Data Input'!W5:W71)</f>
        <v>3620</v>
      </c>
      <c r="F23" s="46" t="n">
        <f aca="false">SUMIF('✏️ Data Input'!A5:A71,"REAR SEAT",'✏️ Data Input'!W5:W71)</f>
        <v>5870</v>
      </c>
      <c r="G23" s="46" t="n">
        <f aca="false">SUMIF('✏️ Data Input'!A5:A71,"CUSHION",'✏️ Data Input'!W5:W71)</f>
        <v>4080</v>
      </c>
    </row>
    <row r="24" customFormat="false" ht="13.5" hidden="false" customHeight="true" outlineLevel="0" collapsed="false">
      <c r="B24" s="51" t="s">
        <v>25</v>
      </c>
      <c r="C24" s="50" t="n">
        <f aca="false">'✏️ Data Input'!X72</f>
        <v>11920</v>
      </c>
      <c r="D24" s="45" t="n">
        <f aca="false">SUMIF('✏️ Data Input'!A5:A71,"JCI2 LH",'✏️ Data Input'!X5:X71)</f>
        <v>2600</v>
      </c>
      <c r="E24" s="45" t="n">
        <f aca="false">SUMIF('✏️ Data Input'!A5:A71,"JCI2 RH",'✏️ Data Input'!X5:X71)</f>
        <v>2500</v>
      </c>
      <c r="F24" s="45" t="n">
        <f aca="false">SUMIF('✏️ Data Input'!A5:A71,"REAR SEAT",'✏️ Data Input'!X5:X71)</f>
        <v>4180</v>
      </c>
      <c r="G24" s="45" t="n">
        <f aca="false">SUMIF('✏️ Data Input'!A5:A71,"CUSHION",'✏️ Data Input'!X5:X71)</f>
        <v>2640</v>
      </c>
    </row>
    <row r="25" customFormat="false" ht="13.5" hidden="false" customHeight="true" outlineLevel="0" collapsed="false">
      <c r="B25" s="49" t="s">
        <v>26</v>
      </c>
      <c r="C25" s="50" t="n">
        <f aca="false">'✏️ Data Input'!Y72</f>
        <v>11920</v>
      </c>
      <c r="D25" s="46" t="n">
        <f aca="false">SUMIF('✏️ Data Input'!A5:A71,"JCI2 LH",'✏️ Data Input'!Y5:Y71)</f>
        <v>2600</v>
      </c>
      <c r="E25" s="46" t="n">
        <f aca="false">SUMIF('✏️ Data Input'!A5:A71,"JCI2 RH",'✏️ Data Input'!Y5:Y71)</f>
        <v>2500</v>
      </c>
      <c r="F25" s="46" t="n">
        <f aca="false">SUMIF('✏️ Data Input'!A5:A71,"REAR SEAT",'✏️ Data Input'!Y5:Y71)</f>
        <v>4180</v>
      </c>
      <c r="G25" s="46" t="n">
        <f aca="false">SUMIF('✏️ Data Input'!A5:A71,"CUSHION",'✏️ Data Input'!Y5:Y71)</f>
        <v>2640</v>
      </c>
    </row>
    <row r="26" customFormat="false" ht="13.5" hidden="false" customHeight="true" outlineLevel="0" collapsed="false">
      <c r="B26" s="51" t="s">
        <v>27</v>
      </c>
      <c r="C26" s="50" t="n">
        <f aca="false">'✏️ Data Input'!Z72</f>
        <v>11920</v>
      </c>
      <c r="D26" s="45" t="n">
        <f aca="false">SUMIF('✏️ Data Input'!A5:A71,"JCI2 LH",'✏️ Data Input'!Z5:Z71)</f>
        <v>2600</v>
      </c>
      <c r="E26" s="45" t="n">
        <f aca="false">SUMIF('✏️ Data Input'!A5:A71,"JCI2 RH",'✏️ Data Input'!Z5:Z71)</f>
        <v>2500</v>
      </c>
      <c r="F26" s="45" t="n">
        <f aca="false">SUMIF('✏️ Data Input'!A5:A71,"REAR SEAT",'✏️ Data Input'!Z5:Z71)</f>
        <v>4180</v>
      </c>
      <c r="G26" s="45" t="n">
        <f aca="false">SUMIF('✏️ Data Input'!A5:A71,"CUSHION",'✏️ Data Input'!Z5:Z71)</f>
        <v>2640</v>
      </c>
    </row>
    <row r="27" customFormat="false" ht="13.5" hidden="false" customHeight="true" outlineLevel="0" collapsed="false">
      <c r="B27" s="49" t="s">
        <v>28</v>
      </c>
      <c r="C27" s="50" t="n">
        <f aca="false">'✏️ Data Input'!AA72</f>
        <v>11840</v>
      </c>
      <c r="D27" s="46" t="n">
        <f aca="false">SUMIF('✏️ Data Input'!A5:A71,"JCI2 LH",'✏️ Data Input'!AA5:AA71)</f>
        <v>2560</v>
      </c>
      <c r="E27" s="46" t="n">
        <f aca="false">SUMIF('✏️ Data Input'!A5:A71,"JCI2 RH",'✏️ Data Input'!AA5:AA71)</f>
        <v>2460</v>
      </c>
      <c r="F27" s="46" t="n">
        <f aca="false">SUMIF('✏️ Data Input'!A5:A71,"REAR SEAT",'✏️ Data Input'!AA5:AA71)</f>
        <v>4180</v>
      </c>
      <c r="G27" s="46" t="n">
        <f aca="false">SUMIF('✏️ Data Input'!A5:A71,"CUSHION",'✏️ Data Input'!AA5:AA71)</f>
        <v>2640</v>
      </c>
    </row>
    <row r="28" customFormat="false" ht="13.5" hidden="false" customHeight="true" outlineLevel="0" collapsed="false">
      <c r="B28" s="51" t="s">
        <v>29</v>
      </c>
      <c r="C28" s="50" t="n">
        <f aca="false">'✏️ Data Input'!AB72</f>
        <v>17430</v>
      </c>
      <c r="D28" s="45" t="n">
        <f aca="false">SUMIF('✏️ Data Input'!A5:A71,"JCI2 LH",'✏️ Data Input'!AB5:AB71)</f>
        <v>3780</v>
      </c>
      <c r="E28" s="45" t="n">
        <f aca="false">SUMIF('✏️ Data Input'!A5:A71,"JCI2 RH",'✏️ Data Input'!AB5:AB71)</f>
        <v>3750</v>
      </c>
      <c r="F28" s="45" t="n">
        <f aca="false">SUMIF('✏️ Data Input'!A5:A71,"REAR SEAT",'✏️ Data Input'!AB5:AB71)</f>
        <v>6060</v>
      </c>
      <c r="G28" s="45" t="n">
        <f aca="false">SUMIF('✏️ Data Input'!A5:A71,"CUSHION",'✏️ Data Input'!AB5:AB71)</f>
        <v>3840</v>
      </c>
    </row>
    <row r="29" customFormat="false" ht="13.5" hidden="false" customHeight="true" outlineLevel="0" collapsed="false">
      <c r="B29" s="49" t="s">
        <v>30</v>
      </c>
      <c r="C29" s="50" t="n">
        <f aca="false">'✏️ Data Input'!AC72</f>
        <v>17430</v>
      </c>
      <c r="D29" s="46" t="n">
        <f aca="false">SUMIF('✏️ Data Input'!A5:A71,"JCI2 LH",'✏️ Data Input'!AC5:AC71)</f>
        <v>3780</v>
      </c>
      <c r="E29" s="46" t="n">
        <f aca="false">SUMIF('✏️ Data Input'!A5:A71,"JCI2 RH",'✏️ Data Input'!AC5:AC71)</f>
        <v>3750</v>
      </c>
      <c r="F29" s="46" t="n">
        <f aca="false">SUMIF('✏️ Data Input'!A5:A71,"REAR SEAT",'✏️ Data Input'!AC5:AC71)</f>
        <v>6060</v>
      </c>
      <c r="G29" s="46" t="n">
        <f aca="false">SUMIF('✏️ Data Input'!A5:A71,"CUSHION",'✏️ Data Input'!AC5:AC71)</f>
        <v>3840</v>
      </c>
    </row>
    <row r="30" customFormat="false" ht="13.5" hidden="false" customHeight="true" outlineLevel="0" collapsed="false">
      <c r="B30" s="51" t="s">
        <v>31</v>
      </c>
      <c r="C30" s="50" t="n">
        <f aca="false">'✏️ Data Input'!AD72</f>
        <v>17420</v>
      </c>
      <c r="D30" s="45" t="n">
        <f aca="false">SUMIF('✏️ Data Input'!A5:A71,"JCI2 LH",'✏️ Data Input'!AD5:AD71)</f>
        <v>3780</v>
      </c>
      <c r="E30" s="45" t="n">
        <f aca="false">SUMIF('✏️ Data Input'!A5:A71,"JCI2 RH",'✏️ Data Input'!AD5:AD71)</f>
        <v>3740</v>
      </c>
      <c r="F30" s="45" t="n">
        <f aca="false">SUMIF('✏️ Data Input'!A5:A71,"REAR SEAT",'✏️ Data Input'!AD5:AD71)</f>
        <v>6060</v>
      </c>
      <c r="G30" s="45" t="n">
        <f aca="false">SUMIF('✏️ Data Input'!A5:A71,"CUSHION",'✏️ Data Input'!AD5:AD71)</f>
        <v>3840</v>
      </c>
    </row>
    <row r="31" customFormat="false" ht="13.5" hidden="false" customHeight="true" outlineLevel="0" collapsed="false">
      <c r="B31" s="49" t="s">
        <v>32</v>
      </c>
      <c r="C31" s="50" t="n">
        <f aca="false">'✏️ Data Input'!AE72</f>
        <v>17420</v>
      </c>
      <c r="D31" s="46" t="n">
        <f aca="false">SUMIF('✏️ Data Input'!A5:A71,"JCI2 LH",'✏️ Data Input'!AE5:AE71)</f>
        <v>3780</v>
      </c>
      <c r="E31" s="46" t="n">
        <f aca="false">SUMIF('✏️ Data Input'!A5:A71,"JCI2 RH",'✏️ Data Input'!AE5:AE71)</f>
        <v>3740</v>
      </c>
      <c r="F31" s="46" t="n">
        <f aca="false">SUMIF('✏️ Data Input'!A5:A71,"REAR SEAT",'✏️ Data Input'!AE5:AE71)</f>
        <v>6060</v>
      </c>
      <c r="G31" s="46" t="n">
        <f aca="false">SUMIF('✏️ Data Input'!A5:A71,"CUSHION",'✏️ Data Input'!AE5:AE71)</f>
        <v>3840</v>
      </c>
    </row>
    <row r="32" customFormat="false" ht="13.5" hidden="false" customHeight="true" outlineLevel="0" collapsed="false">
      <c r="B32" s="51" t="s">
        <v>33</v>
      </c>
      <c r="C32" s="50" t="n">
        <f aca="false">'✏️ Data Input'!AF72</f>
        <v>16700</v>
      </c>
      <c r="D32" s="45" t="n">
        <f aca="false">SUMIF('✏️ Data Input'!A5:A71,"JCI2 LH",'✏️ Data Input'!AF5:AF71)</f>
        <v>3440</v>
      </c>
      <c r="E32" s="45" t="n">
        <f aca="false">SUMIF('✏️ Data Input'!A5:A71,"JCI2 RH",'✏️ Data Input'!AF5:AF71)</f>
        <v>3420</v>
      </c>
      <c r="F32" s="45" t="n">
        <f aca="false">SUMIF('✏️ Data Input'!A5:A71,"REAR SEAT",'✏️ Data Input'!AF5:AF71)</f>
        <v>6000</v>
      </c>
      <c r="G32" s="45" t="n">
        <f aca="false">SUMIF('✏️ Data Input'!A5:A71,"CUSHION",'✏️ Data Input'!AF5:AF71)</f>
        <v>3840</v>
      </c>
    </row>
    <row r="33" customFormat="false" ht="13.5" hidden="false" customHeight="true" outlineLevel="0" collapsed="false">
      <c r="B33" s="49" t="s">
        <v>34</v>
      </c>
      <c r="C33" s="50" t="n">
        <f aca="false">'✏️ Data Input'!AG72</f>
        <v>18580</v>
      </c>
      <c r="D33" s="46" t="n">
        <f aca="false">SUMIF('✏️ Data Input'!A5:A71,"JCI2 LH",'✏️ Data Input'!AG5:AG71)</f>
        <v>3920</v>
      </c>
      <c r="E33" s="46" t="n">
        <f aca="false">SUMIF('✏️ Data Input'!A5:A71,"JCI2 RH",'✏️ Data Input'!AG5:AG71)</f>
        <v>3760</v>
      </c>
      <c r="F33" s="46" t="n">
        <f aca="false">SUMIF('✏️ Data Input'!A5:A71,"REAR SEAT",'✏️ Data Input'!AG5:AG71)</f>
        <v>6100</v>
      </c>
      <c r="G33" s="46" t="n">
        <f aca="false">SUMIF('✏️ Data Input'!A5:A71,"CUSHION",'✏️ Data Input'!AG5:AG71)</f>
        <v>4800</v>
      </c>
    </row>
    <row r="34" customFormat="false" ht="13.5" hidden="false" customHeight="true" outlineLevel="0" collapsed="false">
      <c r="B34" s="51" t="s">
        <v>35</v>
      </c>
      <c r="C34" s="50" t="n">
        <f aca="false">'✏️ Data Input'!AH72</f>
        <v>18580</v>
      </c>
      <c r="D34" s="45" t="n">
        <f aca="false">SUMIF('✏️ Data Input'!A5:A71,"JCI2 LH",'✏️ Data Input'!AH5:AH71)</f>
        <v>3920</v>
      </c>
      <c r="E34" s="45" t="n">
        <f aca="false">SUMIF('✏️ Data Input'!A5:A71,"JCI2 RH",'✏️ Data Input'!AH5:AH71)</f>
        <v>3760</v>
      </c>
      <c r="F34" s="45" t="n">
        <f aca="false">SUMIF('✏️ Data Input'!A5:A71,"REAR SEAT",'✏️ Data Input'!AH5:AH71)</f>
        <v>6100</v>
      </c>
      <c r="G34" s="45" t="n">
        <f aca="false">SUMIF('✏️ Data Input'!A5:A71,"CUSHION",'✏️ Data Input'!AH5:AH71)</f>
        <v>4800</v>
      </c>
    </row>
    <row r="35" customFormat="false" ht="13.5" hidden="false" customHeight="true" outlineLevel="0" collapsed="false">
      <c r="B35" s="49" t="s">
        <v>36</v>
      </c>
      <c r="C35" s="50" t="n">
        <f aca="false">'✏️ Data Input'!AI72</f>
        <v>0</v>
      </c>
      <c r="D35" s="46" t="n">
        <f aca="false">SUMIF('✏️ Data Input'!A5:A71,"JCI2 LH",'✏️ Data Input'!AI5:AI71)</f>
        <v>0</v>
      </c>
      <c r="E35" s="46" t="n">
        <f aca="false">SUMIF('✏️ Data Input'!A5:A71,"JCI2 RH",'✏️ Data Input'!AI5:AI71)</f>
        <v>0</v>
      </c>
      <c r="F35" s="46" t="n">
        <f aca="false">SUMIF('✏️ Data Input'!A5:A71,"REAR SEAT",'✏️ Data Input'!AI5:AI71)</f>
        <v>0</v>
      </c>
      <c r="G35" s="46" t="n">
        <f aca="false">SUMIF('✏️ Data Input'!A5:A71,"CUSHION",'✏️ Data Input'!AI5:AI71)</f>
        <v>0</v>
      </c>
    </row>
  </sheetData>
  <mergeCells count="1">
    <mergeCell ref="B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5" min="3" style="0" width="8"/>
  </cols>
  <sheetData>
    <row r="1" customFormat="false" ht="21.75" hidden="false" customHeight="true" outlineLevel="0" collapsed="false">
      <c r="A1" s="52" t="s">
        <v>138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</row>
    <row r="3" customFormat="false" ht="18" hidden="false" customHeight="true" outlineLevel="0" collapsed="false">
      <c r="A3" s="53" t="s">
        <v>139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</row>
    <row r="4" customFormat="false" ht="15" hidden="false" customHeight="true" outlineLevel="0" collapsed="false">
      <c r="A4" s="5" t="s">
        <v>140</v>
      </c>
      <c r="B4" s="54"/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33</v>
      </c>
      <c r="AG4" s="5" t="s">
        <v>34</v>
      </c>
      <c r="AH4" s="5" t="s">
        <v>35</v>
      </c>
      <c r="AI4" s="5" t="s">
        <v>36</v>
      </c>
    </row>
    <row r="5" customFormat="false" ht="12.75" hidden="false" customHeight="true" outlineLevel="0" collapsed="false">
      <c r="A5" s="9" t="str">
        <f aca="false">'✏️ Data Input'!B5</f>
        <v>4172750</v>
      </c>
      <c r="B5" s="54"/>
      <c r="C5" s="46" t="n">
        <f aca="false">'✏️ Data Input'!C5</f>
        <v>0</v>
      </c>
      <c r="D5" s="46" t="n">
        <f aca="false">'✏️ Data Input'!D5</f>
        <v>480</v>
      </c>
      <c r="E5" s="46" t="n">
        <f aca="false">'✏️ Data Input'!E5</f>
        <v>0</v>
      </c>
      <c r="F5" s="46" t="n">
        <f aca="false">'✏️ Data Input'!F5</f>
        <v>0</v>
      </c>
      <c r="G5" s="46" t="n">
        <f aca="false">'✏️ Data Input'!G5</f>
        <v>160</v>
      </c>
      <c r="H5" s="46" t="n">
        <f aca="false">'✏️ Data Input'!H5</f>
        <v>320</v>
      </c>
      <c r="I5" s="46" t="n">
        <f aca="false">'✏️ Data Input'!I5</f>
        <v>0</v>
      </c>
      <c r="J5" s="46" t="n">
        <f aca="false">'✏️ Data Input'!J5</f>
        <v>160</v>
      </c>
      <c r="K5" s="46" t="n">
        <f aca="false">'✏️ Data Input'!K5</f>
        <v>160</v>
      </c>
      <c r="L5" s="46" t="n">
        <f aca="false">'✏️ Data Input'!L5</f>
        <v>160</v>
      </c>
      <c r="M5" s="46" t="n">
        <f aca="false">'✏️ Data Input'!M5</f>
        <v>0</v>
      </c>
      <c r="N5" s="46" t="n">
        <f aca="false">'✏️ Data Input'!N5</f>
        <v>0</v>
      </c>
      <c r="O5" s="46" t="n">
        <f aca="false">'✏️ Data Input'!O5</f>
        <v>0</v>
      </c>
      <c r="P5" s="46" t="n">
        <f aca="false">'✏️ Data Input'!P5</f>
        <v>0</v>
      </c>
      <c r="Q5" s="46" t="n">
        <f aca="false">'✏️ Data Input'!Q5</f>
        <v>160</v>
      </c>
      <c r="R5" s="46" t="n">
        <f aca="false">'✏️ Data Input'!R5</f>
        <v>0</v>
      </c>
      <c r="S5" s="46" t="n">
        <f aca="false">'✏️ Data Input'!S5</f>
        <v>160</v>
      </c>
      <c r="T5" s="46" t="n">
        <f aca="false">'✏️ Data Input'!T5</f>
        <v>80</v>
      </c>
      <c r="U5" s="46" t="n">
        <f aca="false">'✏️ Data Input'!U5</f>
        <v>80</v>
      </c>
      <c r="V5" s="46" t="n">
        <f aca="false">'✏️ Data Input'!V5</f>
        <v>80</v>
      </c>
      <c r="W5" s="46" t="n">
        <f aca="false">'✏️ Data Input'!W5</f>
        <v>80</v>
      </c>
      <c r="X5" s="46" t="n">
        <f aca="false">'✏️ Data Input'!X5</f>
        <v>80</v>
      </c>
      <c r="Y5" s="46" t="n">
        <f aca="false">'✏️ Data Input'!Y5</f>
        <v>80</v>
      </c>
      <c r="Z5" s="46" t="n">
        <f aca="false">'✏️ Data Input'!Z5</f>
        <v>80</v>
      </c>
      <c r="AA5" s="46" t="n">
        <f aca="false">'✏️ Data Input'!AA5</f>
        <v>80</v>
      </c>
      <c r="AB5" s="46" t="n">
        <f aca="false">'✏️ Data Input'!AB5</f>
        <v>160</v>
      </c>
      <c r="AC5" s="46" t="n">
        <f aca="false">'✏️ Data Input'!AC5</f>
        <v>160</v>
      </c>
      <c r="AD5" s="46" t="n">
        <f aca="false">'✏️ Data Input'!AD5</f>
        <v>160</v>
      </c>
      <c r="AE5" s="46" t="n">
        <f aca="false">'✏️ Data Input'!AE5</f>
        <v>160</v>
      </c>
      <c r="AF5" s="46" t="n">
        <f aca="false">'✏️ Data Input'!AF5</f>
        <v>160</v>
      </c>
      <c r="AG5" s="46" t="n">
        <f aca="false">'✏️ Data Input'!AG5</f>
        <v>160</v>
      </c>
      <c r="AH5" s="46" t="n">
        <f aca="false">'✏️ Data Input'!AH5</f>
        <v>160</v>
      </c>
      <c r="AI5" s="46" t="n">
        <f aca="false">'✏️ Data Input'!AI5</f>
        <v>0</v>
      </c>
    </row>
    <row r="6" customFormat="false" ht="12.75" hidden="false" customHeight="true" outlineLevel="0" collapsed="false">
      <c r="A6" s="12" t="str">
        <f aca="false">'✏️ Data Input'!B6</f>
        <v>4172755</v>
      </c>
      <c r="B6" s="54"/>
      <c r="C6" s="45" t="n">
        <f aca="false">'✏️ Data Input'!C6</f>
        <v>0</v>
      </c>
      <c r="D6" s="45" t="n">
        <f aca="false">'✏️ Data Input'!D6</f>
        <v>160</v>
      </c>
      <c r="E6" s="45" t="n">
        <f aca="false">'✏️ Data Input'!E6</f>
        <v>160</v>
      </c>
      <c r="F6" s="45" t="n">
        <f aca="false">'✏️ Data Input'!F6</f>
        <v>160</v>
      </c>
      <c r="G6" s="45" t="n">
        <f aca="false">'✏️ Data Input'!G6</f>
        <v>0</v>
      </c>
      <c r="H6" s="45" t="n">
        <f aca="false">'✏️ Data Input'!H6</f>
        <v>160</v>
      </c>
      <c r="I6" s="45" t="n">
        <f aca="false">'✏️ Data Input'!I6</f>
        <v>160</v>
      </c>
      <c r="J6" s="45" t="n">
        <f aca="false">'✏️ Data Input'!J6</f>
        <v>0</v>
      </c>
      <c r="K6" s="45" t="n">
        <f aca="false">'✏️ Data Input'!K6</f>
        <v>160</v>
      </c>
      <c r="L6" s="45" t="n">
        <f aca="false">'✏️ Data Input'!L6</f>
        <v>160</v>
      </c>
      <c r="M6" s="45" t="n">
        <f aca="false">'✏️ Data Input'!M6</f>
        <v>0</v>
      </c>
      <c r="N6" s="45" t="n">
        <f aca="false">'✏️ Data Input'!N6</f>
        <v>0</v>
      </c>
      <c r="O6" s="45" t="n">
        <f aca="false">'✏️ Data Input'!O6</f>
        <v>0</v>
      </c>
      <c r="P6" s="45" t="n">
        <f aca="false">'✏️ Data Input'!P6</f>
        <v>0</v>
      </c>
      <c r="Q6" s="45" t="n">
        <f aca="false">'✏️ Data Input'!Q6</f>
        <v>0</v>
      </c>
      <c r="R6" s="45" t="n">
        <f aca="false">'✏️ Data Input'!R6</f>
        <v>0</v>
      </c>
      <c r="S6" s="45" t="n">
        <f aca="false">'✏️ Data Input'!S6</f>
        <v>160</v>
      </c>
      <c r="T6" s="45" t="n">
        <f aca="false">'✏️ Data Input'!T6</f>
        <v>80</v>
      </c>
      <c r="U6" s="45" t="n">
        <f aca="false">'✏️ Data Input'!U6</f>
        <v>80</v>
      </c>
      <c r="V6" s="45" t="n">
        <f aca="false">'✏️ Data Input'!V6</f>
        <v>80</v>
      </c>
      <c r="W6" s="45" t="n">
        <f aca="false">'✏️ Data Input'!W6</f>
        <v>80</v>
      </c>
      <c r="X6" s="45" t="n">
        <f aca="false">'✏️ Data Input'!X6</f>
        <v>40</v>
      </c>
      <c r="Y6" s="45" t="n">
        <f aca="false">'✏️ Data Input'!Y6</f>
        <v>40</v>
      </c>
      <c r="Z6" s="45" t="n">
        <f aca="false">'✏️ Data Input'!Z6</f>
        <v>40</v>
      </c>
      <c r="AA6" s="45" t="n">
        <f aca="false">'✏️ Data Input'!AA6</f>
        <v>40</v>
      </c>
      <c r="AB6" s="45" t="n">
        <f aca="false">'✏️ Data Input'!AB6</f>
        <v>70</v>
      </c>
      <c r="AC6" s="45" t="n">
        <f aca="false">'✏️ Data Input'!AC6</f>
        <v>70</v>
      </c>
      <c r="AD6" s="45" t="n">
        <f aca="false">'✏️ Data Input'!AD6</f>
        <v>70</v>
      </c>
      <c r="AE6" s="45" t="n">
        <f aca="false">'✏️ Data Input'!AE6</f>
        <v>70</v>
      </c>
      <c r="AF6" s="45" t="n">
        <f aca="false">'✏️ Data Input'!AF6</f>
        <v>40</v>
      </c>
      <c r="AG6" s="45" t="n">
        <f aca="false">'✏️ Data Input'!AG6</f>
        <v>80</v>
      </c>
      <c r="AH6" s="45" t="n">
        <f aca="false">'✏️ Data Input'!AH6</f>
        <v>80</v>
      </c>
      <c r="AI6" s="45" t="n">
        <f aca="false">'✏️ Data Input'!AI6</f>
        <v>0</v>
      </c>
    </row>
    <row r="7" customFormat="false" ht="12.75" hidden="false" customHeight="true" outlineLevel="0" collapsed="false">
      <c r="A7" s="9" t="str">
        <f aca="false">'✏️ Data Input'!B7</f>
        <v>5080299</v>
      </c>
      <c r="B7" s="54"/>
      <c r="C7" s="46" t="n">
        <f aca="false">'✏️ Data Input'!C7</f>
        <v>0</v>
      </c>
      <c r="D7" s="46" t="n">
        <f aca="false">'✏️ Data Input'!D7</f>
        <v>0</v>
      </c>
      <c r="E7" s="46" t="n">
        <f aca="false">'✏️ Data Input'!E7</f>
        <v>0</v>
      </c>
      <c r="F7" s="46" t="n">
        <f aca="false">'✏️ Data Input'!F7</f>
        <v>0</v>
      </c>
      <c r="G7" s="46" t="n">
        <f aca="false">'✏️ Data Input'!G7</f>
        <v>0</v>
      </c>
      <c r="H7" s="46" t="n">
        <f aca="false">'✏️ Data Input'!H7</f>
        <v>0</v>
      </c>
      <c r="I7" s="46" t="n">
        <f aca="false">'✏️ Data Input'!I7</f>
        <v>0</v>
      </c>
      <c r="J7" s="46" t="n">
        <f aca="false">'✏️ Data Input'!J7</f>
        <v>0</v>
      </c>
      <c r="K7" s="46" t="n">
        <f aca="false">'✏️ Data Input'!K7</f>
        <v>0</v>
      </c>
      <c r="L7" s="46" t="n">
        <f aca="false">'✏️ Data Input'!L7</f>
        <v>0</v>
      </c>
      <c r="M7" s="46" t="n">
        <f aca="false">'✏️ Data Input'!M7</f>
        <v>0</v>
      </c>
      <c r="N7" s="46" t="n">
        <f aca="false">'✏️ Data Input'!N7</f>
        <v>0</v>
      </c>
      <c r="O7" s="46" t="n">
        <f aca="false">'✏️ Data Input'!O7</f>
        <v>0</v>
      </c>
      <c r="P7" s="46" t="n">
        <f aca="false">'✏️ Data Input'!P7</f>
        <v>0</v>
      </c>
      <c r="Q7" s="46" t="n">
        <f aca="false">'✏️ Data Input'!Q7</f>
        <v>0</v>
      </c>
      <c r="R7" s="46" t="n">
        <f aca="false">'✏️ Data Input'!R7</f>
        <v>0</v>
      </c>
      <c r="S7" s="46" t="n">
        <f aca="false">'✏️ Data Input'!S7</f>
        <v>0</v>
      </c>
      <c r="T7" s="46" t="n">
        <f aca="false">'✏️ Data Input'!T7</f>
        <v>40</v>
      </c>
      <c r="U7" s="46" t="n">
        <f aca="false">'✏️ Data Input'!U7</f>
        <v>40</v>
      </c>
      <c r="V7" s="46" t="n">
        <f aca="false">'✏️ Data Input'!V7</f>
        <v>40</v>
      </c>
      <c r="W7" s="46" t="n">
        <f aca="false">'✏️ Data Input'!W7</f>
        <v>40</v>
      </c>
      <c r="X7" s="46" t="n">
        <f aca="false">'✏️ Data Input'!X7</f>
        <v>0</v>
      </c>
      <c r="Y7" s="46" t="n">
        <f aca="false">'✏️ Data Input'!Y7</f>
        <v>0</v>
      </c>
      <c r="Z7" s="46" t="n">
        <f aca="false">'✏️ Data Input'!Z7</f>
        <v>0</v>
      </c>
      <c r="AA7" s="46" t="n">
        <f aca="false">'✏️ Data Input'!AA7</f>
        <v>0</v>
      </c>
      <c r="AB7" s="46" t="n">
        <f aca="false">'✏️ Data Input'!AB7</f>
        <v>0</v>
      </c>
      <c r="AC7" s="46" t="n">
        <f aca="false">'✏️ Data Input'!AC7</f>
        <v>0</v>
      </c>
      <c r="AD7" s="46" t="n">
        <f aca="false">'✏️ Data Input'!AD7</f>
        <v>0</v>
      </c>
      <c r="AE7" s="46" t="n">
        <f aca="false">'✏️ Data Input'!AE7</f>
        <v>0</v>
      </c>
      <c r="AF7" s="46" t="n">
        <f aca="false">'✏️ Data Input'!AF7</f>
        <v>0</v>
      </c>
      <c r="AG7" s="46" t="n">
        <f aca="false">'✏️ Data Input'!AG7</f>
        <v>0</v>
      </c>
      <c r="AH7" s="46" t="n">
        <f aca="false">'✏️ Data Input'!AH7</f>
        <v>0</v>
      </c>
      <c r="AI7" s="46" t="n">
        <f aca="false">'✏️ Data Input'!AI7</f>
        <v>0</v>
      </c>
    </row>
    <row r="8" customFormat="false" ht="12.75" hidden="false" customHeight="true" outlineLevel="0" collapsed="false">
      <c r="A8" s="12" t="str">
        <f aca="false">'✏️ Data Input'!B8</f>
        <v>5073059</v>
      </c>
      <c r="B8" s="54"/>
      <c r="C8" s="45" t="n">
        <f aca="false">'✏️ Data Input'!C8</f>
        <v>0</v>
      </c>
      <c r="D8" s="45" t="n">
        <f aca="false">'✏️ Data Input'!D8</f>
        <v>160</v>
      </c>
      <c r="E8" s="45" t="n">
        <f aca="false">'✏️ Data Input'!E8</f>
        <v>0</v>
      </c>
      <c r="F8" s="45" t="n">
        <f aca="false">'✏️ Data Input'!F8</f>
        <v>0</v>
      </c>
      <c r="G8" s="45" t="n">
        <f aca="false">'✏️ Data Input'!G8</f>
        <v>0</v>
      </c>
      <c r="H8" s="45" t="n">
        <f aca="false">'✏️ Data Input'!H8</f>
        <v>160</v>
      </c>
      <c r="I8" s="45" t="n">
        <f aca="false">'✏️ Data Input'!I8</f>
        <v>0</v>
      </c>
      <c r="J8" s="45" t="n">
        <f aca="false">'✏️ Data Input'!J8</f>
        <v>160</v>
      </c>
      <c r="K8" s="45" t="n">
        <f aca="false">'✏️ Data Input'!K8</f>
        <v>0</v>
      </c>
      <c r="L8" s="45" t="n">
        <f aca="false">'✏️ Data Input'!L8</f>
        <v>0</v>
      </c>
      <c r="M8" s="45" t="n">
        <f aca="false">'✏️ Data Input'!M8</f>
        <v>0</v>
      </c>
      <c r="N8" s="45" t="n">
        <f aca="false">'✏️ Data Input'!N8</f>
        <v>0</v>
      </c>
      <c r="O8" s="45" t="n">
        <f aca="false">'✏️ Data Input'!O8</f>
        <v>0</v>
      </c>
      <c r="P8" s="45" t="n">
        <f aca="false">'✏️ Data Input'!P8</f>
        <v>0</v>
      </c>
      <c r="Q8" s="45" t="n">
        <f aca="false">'✏️ Data Input'!Q8</f>
        <v>160</v>
      </c>
      <c r="R8" s="45" t="n">
        <f aca="false">'✏️ Data Input'!R8</f>
        <v>0</v>
      </c>
      <c r="S8" s="45" t="n">
        <f aca="false">'✏️ Data Input'!S8</f>
        <v>0</v>
      </c>
      <c r="T8" s="45" t="n">
        <f aca="false">'✏️ Data Input'!T8</f>
        <v>40</v>
      </c>
      <c r="U8" s="45" t="n">
        <f aca="false">'✏️ Data Input'!U8</f>
        <v>40</v>
      </c>
      <c r="V8" s="45" t="n">
        <f aca="false">'✏️ Data Input'!V8</f>
        <v>40</v>
      </c>
      <c r="W8" s="45" t="n">
        <f aca="false">'✏️ Data Input'!W8</f>
        <v>40</v>
      </c>
      <c r="X8" s="45" t="n">
        <f aca="false">'✏️ Data Input'!X8</f>
        <v>40</v>
      </c>
      <c r="Y8" s="45" t="n">
        <f aca="false">'✏️ Data Input'!Y8</f>
        <v>40</v>
      </c>
      <c r="Z8" s="45" t="n">
        <f aca="false">'✏️ Data Input'!Z8</f>
        <v>40</v>
      </c>
      <c r="AA8" s="45" t="n">
        <f aca="false">'✏️ Data Input'!AA8</f>
        <v>40</v>
      </c>
      <c r="AB8" s="45" t="n">
        <f aca="false">'✏️ Data Input'!AB8</f>
        <v>0</v>
      </c>
      <c r="AC8" s="45" t="n">
        <f aca="false">'✏️ Data Input'!AC8</f>
        <v>0</v>
      </c>
      <c r="AD8" s="45" t="n">
        <f aca="false">'✏️ Data Input'!AD8</f>
        <v>0</v>
      </c>
      <c r="AE8" s="45" t="n">
        <f aca="false">'✏️ Data Input'!AE8</f>
        <v>0</v>
      </c>
      <c r="AF8" s="45" t="n">
        <f aca="false">'✏️ Data Input'!AF8</f>
        <v>0</v>
      </c>
      <c r="AG8" s="45" t="n">
        <f aca="false">'✏️ Data Input'!AG8</f>
        <v>80</v>
      </c>
      <c r="AH8" s="45" t="n">
        <f aca="false">'✏️ Data Input'!AH8</f>
        <v>80</v>
      </c>
      <c r="AI8" s="45" t="n">
        <f aca="false">'✏️ Data Input'!AI8</f>
        <v>0</v>
      </c>
    </row>
    <row r="9" customFormat="false" ht="12.75" hidden="false" customHeight="true" outlineLevel="0" collapsed="false">
      <c r="A9" s="9" t="str">
        <f aca="false">'✏️ Data Input'!B9</f>
        <v>5073061</v>
      </c>
      <c r="B9" s="54"/>
      <c r="C9" s="46" t="n">
        <f aca="false">'✏️ Data Input'!C9</f>
        <v>0</v>
      </c>
      <c r="D9" s="46" t="n">
        <f aca="false">'✏️ Data Input'!D9</f>
        <v>0</v>
      </c>
      <c r="E9" s="46" t="n">
        <f aca="false">'✏️ Data Input'!E9</f>
        <v>0</v>
      </c>
      <c r="F9" s="46" t="n">
        <f aca="false">'✏️ Data Input'!F9</f>
        <v>0</v>
      </c>
      <c r="G9" s="46" t="n">
        <f aca="false">'✏️ Data Input'!G9</f>
        <v>0</v>
      </c>
      <c r="H9" s="46" t="n">
        <f aca="false">'✏️ Data Input'!H9</f>
        <v>0</v>
      </c>
      <c r="I9" s="46" t="n">
        <f aca="false">'✏️ Data Input'!I9</f>
        <v>0</v>
      </c>
      <c r="J9" s="46" t="n">
        <f aca="false">'✏️ Data Input'!J9</f>
        <v>0</v>
      </c>
      <c r="K9" s="46" t="n">
        <f aca="false">'✏️ Data Input'!K9</f>
        <v>0</v>
      </c>
      <c r="L9" s="46" t="n">
        <f aca="false">'✏️ Data Input'!L9</f>
        <v>0</v>
      </c>
      <c r="M9" s="46" t="n">
        <f aca="false">'✏️ Data Input'!M9</f>
        <v>0</v>
      </c>
      <c r="N9" s="46" t="n">
        <f aca="false">'✏️ Data Input'!N9</f>
        <v>0</v>
      </c>
      <c r="O9" s="46" t="n">
        <f aca="false">'✏️ Data Input'!O9</f>
        <v>0</v>
      </c>
      <c r="P9" s="46" t="n">
        <f aca="false">'✏️ Data Input'!P9</f>
        <v>0</v>
      </c>
      <c r="Q9" s="46" t="n">
        <f aca="false">'✏️ Data Input'!Q9</f>
        <v>0</v>
      </c>
      <c r="R9" s="46" t="n">
        <f aca="false">'✏️ Data Input'!R9</f>
        <v>0</v>
      </c>
      <c r="S9" s="46" t="n">
        <f aca="false">'✏️ Data Input'!S9</f>
        <v>0</v>
      </c>
      <c r="T9" s="46" t="n">
        <f aca="false">'✏️ Data Input'!T9</f>
        <v>40</v>
      </c>
      <c r="U9" s="46" t="n">
        <f aca="false">'✏️ Data Input'!U9</f>
        <v>40</v>
      </c>
      <c r="V9" s="46" t="n">
        <f aca="false">'✏️ Data Input'!V9</f>
        <v>40</v>
      </c>
      <c r="W9" s="46" t="n">
        <f aca="false">'✏️ Data Input'!W9</f>
        <v>40</v>
      </c>
      <c r="X9" s="46" t="n">
        <f aca="false">'✏️ Data Input'!X9</f>
        <v>0</v>
      </c>
      <c r="Y9" s="46" t="n">
        <f aca="false">'✏️ Data Input'!Y9</f>
        <v>0</v>
      </c>
      <c r="Z9" s="46" t="n">
        <f aca="false">'✏️ Data Input'!Z9</f>
        <v>0</v>
      </c>
      <c r="AA9" s="46" t="n">
        <f aca="false">'✏️ Data Input'!AA9</f>
        <v>0</v>
      </c>
      <c r="AB9" s="46" t="n">
        <f aca="false">'✏️ Data Input'!AB9</f>
        <v>0</v>
      </c>
      <c r="AC9" s="46" t="n">
        <f aca="false">'✏️ Data Input'!AC9</f>
        <v>0</v>
      </c>
      <c r="AD9" s="46" t="n">
        <f aca="false">'✏️ Data Input'!AD9</f>
        <v>0</v>
      </c>
      <c r="AE9" s="46" t="n">
        <f aca="false">'✏️ Data Input'!AE9</f>
        <v>0</v>
      </c>
      <c r="AF9" s="46" t="n">
        <f aca="false">'✏️ Data Input'!AF9</f>
        <v>0</v>
      </c>
      <c r="AG9" s="46" t="n">
        <f aca="false">'✏️ Data Input'!AG9</f>
        <v>0</v>
      </c>
      <c r="AH9" s="46" t="n">
        <f aca="false">'✏️ Data Input'!AH9</f>
        <v>0</v>
      </c>
      <c r="AI9" s="46" t="n">
        <f aca="false">'✏️ Data Input'!AI9</f>
        <v>0</v>
      </c>
    </row>
    <row r="10" customFormat="false" ht="12.75" hidden="false" customHeight="true" outlineLevel="0" collapsed="false">
      <c r="A10" s="12" t="str">
        <f aca="false">'✏️ Data Input'!B10</f>
        <v>4172749</v>
      </c>
      <c r="B10" s="54"/>
      <c r="C10" s="45" t="n">
        <f aca="false">'✏️ Data Input'!C10</f>
        <v>0</v>
      </c>
      <c r="D10" s="45" t="n">
        <f aca="false">'✏️ Data Input'!D10</f>
        <v>200</v>
      </c>
      <c r="E10" s="45" t="n">
        <f aca="false">'✏️ Data Input'!E10</f>
        <v>100</v>
      </c>
      <c r="F10" s="45" t="n">
        <f aca="false">'✏️ Data Input'!F10</f>
        <v>200</v>
      </c>
      <c r="G10" s="45" t="n">
        <f aca="false">'✏️ Data Input'!G10</f>
        <v>200</v>
      </c>
      <c r="H10" s="45" t="n">
        <f aca="false">'✏️ Data Input'!H10</f>
        <v>100</v>
      </c>
      <c r="I10" s="45" t="n">
        <f aca="false">'✏️ Data Input'!I10</f>
        <v>100</v>
      </c>
      <c r="J10" s="45" t="n">
        <f aca="false">'✏️ Data Input'!J10</f>
        <v>100</v>
      </c>
      <c r="K10" s="45" t="n">
        <f aca="false">'✏️ Data Input'!K10</f>
        <v>200</v>
      </c>
      <c r="L10" s="45" t="n">
        <f aca="false">'✏️ Data Input'!L10</f>
        <v>100</v>
      </c>
      <c r="M10" s="45" t="n">
        <f aca="false">'✏️ Data Input'!M10</f>
        <v>0</v>
      </c>
      <c r="N10" s="45" t="n">
        <f aca="false">'✏️ Data Input'!N10</f>
        <v>0</v>
      </c>
      <c r="O10" s="45" t="n">
        <f aca="false">'✏️ Data Input'!O10</f>
        <v>0</v>
      </c>
      <c r="P10" s="45" t="n">
        <f aca="false">'✏️ Data Input'!P10</f>
        <v>0</v>
      </c>
      <c r="Q10" s="45" t="n">
        <f aca="false">'✏️ Data Input'!Q10</f>
        <v>200</v>
      </c>
      <c r="R10" s="45" t="n">
        <f aca="false">'✏️ Data Input'!R10</f>
        <v>100</v>
      </c>
      <c r="S10" s="45" t="n">
        <f aca="false">'✏️ Data Input'!S10</f>
        <v>100</v>
      </c>
      <c r="T10" s="45" t="n">
        <f aca="false">'✏️ Data Input'!T10</f>
        <v>130</v>
      </c>
      <c r="U10" s="45" t="n">
        <f aca="false">'✏️ Data Input'!U10</f>
        <v>130</v>
      </c>
      <c r="V10" s="45" t="n">
        <f aca="false">'✏️ Data Input'!V10</f>
        <v>130</v>
      </c>
      <c r="W10" s="45" t="n">
        <f aca="false">'✏️ Data Input'!W10</f>
        <v>110</v>
      </c>
      <c r="X10" s="45" t="n">
        <f aca="false">'✏️ Data Input'!X10</f>
        <v>150</v>
      </c>
      <c r="Y10" s="45" t="n">
        <f aca="false">'✏️ Data Input'!Y10</f>
        <v>150</v>
      </c>
      <c r="Z10" s="45" t="n">
        <f aca="false">'✏️ Data Input'!Z10</f>
        <v>150</v>
      </c>
      <c r="AA10" s="45" t="n">
        <f aca="false">'✏️ Data Input'!AA10</f>
        <v>150</v>
      </c>
      <c r="AB10" s="45" t="n">
        <f aca="false">'✏️ Data Input'!AB10</f>
        <v>120</v>
      </c>
      <c r="AC10" s="45" t="n">
        <f aca="false">'✏️ Data Input'!AC10</f>
        <v>120</v>
      </c>
      <c r="AD10" s="45" t="n">
        <f aca="false">'✏️ Data Input'!AD10</f>
        <v>120</v>
      </c>
      <c r="AE10" s="45" t="n">
        <f aca="false">'✏️ Data Input'!AE10</f>
        <v>120</v>
      </c>
      <c r="AF10" s="45" t="n">
        <f aca="false">'✏️ Data Input'!AF10</f>
        <v>120</v>
      </c>
      <c r="AG10" s="45" t="n">
        <f aca="false">'✏️ Data Input'!AG10</f>
        <v>100</v>
      </c>
      <c r="AH10" s="45" t="n">
        <f aca="false">'✏️ Data Input'!AH10</f>
        <v>100</v>
      </c>
      <c r="AI10" s="45" t="n">
        <f aca="false">'✏️ Data Input'!AI10</f>
        <v>0</v>
      </c>
    </row>
    <row r="11" customFormat="false" ht="12.75" hidden="false" customHeight="true" outlineLevel="0" collapsed="false">
      <c r="A11" s="9" t="str">
        <f aca="false">'✏️ Data Input'!B11</f>
        <v>4172753</v>
      </c>
      <c r="B11" s="54"/>
      <c r="C11" s="46" t="n">
        <f aca="false">'✏️ Data Input'!C11</f>
        <v>0</v>
      </c>
      <c r="D11" s="46" t="n">
        <f aca="false">'✏️ Data Input'!D11</f>
        <v>0</v>
      </c>
      <c r="E11" s="46" t="n">
        <f aca="false">'✏️ Data Input'!E11</f>
        <v>0</v>
      </c>
      <c r="F11" s="46" t="n">
        <f aca="false">'✏️ Data Input'!F11</f>
        <v>0</v>
      </c>
      <c r="G11" s="46" t="n">
        <f aca="false">'✏️ Data Input'!G11</f>
        <v>0</v>
      </c>
      <c r="H11" s="46" t="n">
        <f aca="false">'✏️ Data Input'!H11</f>
        <v>100</v>
      </c>
      <c r="I11" s="46" t="n">
        <f aca="false">'✏️ Data Input'!I11</f>
        <v>0</v>
      </c>
      <c r="J11" s="46" t="n">
        <f aca="false">'✏️ Data Input'!J11</f>
        <v>0</v>
      </c>
      <c r="K11" s="46" t="n">
        <f aca="false">'✏️ Data Input'!K11</f>
        <v>0</v>
      </c>
      <c r="L11" s="46" t="n">
        <f aca="false">'✏️ Data Input'!L11</f>
        <v>0</v>
      </c>
      <c r="M11" s="46" t="n">
        <f aca="false">'✏️ Data Input'!M11</f>
        <v>0</v>
      </c>
      <c r="N11" s="46" t="n">
        <f aca="false">'✏️ Data Input'!N11</f>
        <v>0</v>
      </c>
      <c r="O11" s="46" t="n">
        <f aca="false">'✏️ Data Input'!O11</f>
        <v>0</v>
      </c>
      <c r="P11" s="46" t="n">
        <f aca="false">'✏️ Data Input'!P11</f>
        <v>0</v>
      </c>
      <c r="Q11" s="46" t="n">
        <f aca="false">'✏️ Data Input'!Q11</f>
        <v>100</v>
      </c>
      <c r="R11" s="46" t="n">
        <f aca="false">'✏️ Data Input'!R11</f>
        <v>0</v>
      </c>
      <c r="S11" s="46" t="n">
        <f aca="false">'✏️ Data Input'!S11</f>
        <v>0</v>
      </c>
      <c r="T11" s="46" t="n">
        <f aca="false">'✏️ Data Input'!T11</f>
        <v>0</v>
      </c>
      <c r="U11" s="46" t="n">
        <f aca="false">'✏️ Data Input'!U11</f>
        <v>0</v>
      </c>
      <c r="V11" s="46" t="n">
        <f aca="false">'✏️ Data Input'!V11</f>
        <v>0</v>
      </c>
      <c r="W11" s="46" t="n">
        <f aca="false">'✏️ Data Input'!W11</f>
        <v>0</v>
      </c>
      <c r="X11" s="46" t="n">
        <f aca="false">'✏️ Data Input'!X11</f>
        <v>30</v>
      </c>
      <c r="Y11" s="46" t="n">
        <f aca="false">'✏️ Data Input'!Y11</f>
        <v>30</v>
      </c>
      <c r="Z11" s="46" t="n">
        <f aca="false">'✏️ Data Input'!Z11</f>
        <v>30</v>
      </c>
      <c r="AA11" s="46" t="n">
        <f aca="false">'✏️ Data Input'!AA11</f>
        <v>10</v>
      </c>
      <c r="AB11" s="46" t="n">
        <f aca="false">'✏️ Data Input'!AB11</f>
        <v>0</v>
      </c>
      <c r="AC11" s="46" t="n">
        <f aca="false">'✏️ Data Input'!AC11</f>
        <v>0</v>
      </c>
      <c r="AD11" s="46" t="n">
        <f aca="false">'✏️ Data Input'!AD11</f>
        <v>0</v>
      </c>
      <c r="AE11" s="46" t="n">
        <f aca="false">'✏️ Data Input'!AE11</f>
        <v>0</v>
      </c>
      <c r="AF11" s="46" t="n">
        <f aca="false">'✏️ Data Input'!AF11</f>
        <v>0</v>
      </c>
      <c r="AG11" s="46" t="n">
        <f aca="false">'✏️ Data Input'!AG11</f>
        <v>0</v>
      </c>
      <c r="AH11" s="46" t="n">
        <f aca="false">'✏️ Data Input'!AH11</f>
        <v>0</v>
      </c>
      <c r="AI11" s="46" t="n">
        <f aca="false">'✏️ Data Input'!AI11</f>
        <v>0</v>
      </c>
    </row>
    <row r="12" customFormat="false" ht="12.75" hidden="false" customHeight="true" outlineLevel="0" collapsed="false">
      <c r="A12" s="12" t="str">
        <f aca="false">'✏️ Data Input'!B12</f>
        <v>5080294</v>
      </c>
      <c r="B12" s="54"/>
      <c r="C12" s="45" t="n">
        <f aca="false">'✏️ Data Input'!C12</f>
        <v>0</v>
      </c>
      <c r="D12" s="45" t="n">
        <f aca="false">'✏️ Data Input'!D12</f>
        <v>100</v>
      </c>
      <c r="E12" s="45" t="n">
        <f aca="false">'✏️ Data Input'!E12</f>
        <v>0</v>
      </c>
      <c r="F12" s="45" t="n">
        <f aca="false">'✏️ Data Input'!F12</f>
        <v>0</v>
      </c>
      <c r="G12" s="45" t="n">
        <f aca="false">'✏️ Data Input'!G12</f>
        <v>0</v>
      </c>
      <c r="H12" s="45" t="n">
        <f aca="false">'✏️ Data Input'!H12</f>
        <v>100</v>
      </c>
      <c r="I12" s="45" t="n">
        <f aca="false">'✏️ Data Input'!I12</f>
        <v>0</v>
      </c>
      <c r="J12" s="45" t="n">
        <f aca="false">'✏️ Data Input'!J12</f>
        <v>0</v>
      </c>
      <c r="K12" s="45" t="n">
        <f aca="false">'✏️ Data Input'!K12</f>
        <v>0</v>
      </c>
      <c r="L12" s="45" t="n">
        <f aca="false">'✏️ Data Input'!L12</f>
        <v>100</v>
      </c>
      <c r="M12" s="45" t="n">
        <f aca="false">'✏️ Data Input'!M12</f>
        <v>0</v>
      </c>
      <c r="N12" s="45" t="n">
        <f aca="false">'✏️ Data Input'!N12</f>
        <v>0</v>
      </c>
      <c r="O12" s="45" t="n">
        <f aca="false">'✏️ Data Input'!O12</f>
        <v>0</v>
      </c>
      <c r="P12" s="45" t="n">
        <f aca="false">'✏️ Data Input'!P12</f>
        <v>0</v>
      </c>
      <c r="Q12" s="45" t="n">
        <f aca="false">'✏️ Data Input'!Q12</f>
        <v>0</v>
      </c>
      <c r="R12" s="45" t="n">
        <f aca="false">'✏️ Data Input'!R12</f>
        <v>0</v>
      </c>
      <c r="S12" s="45" t="n">
        <f aca="false">'✏️ Data Input'!S12</f>
        <v>0</v>
      </c>
      <c r="T12" s="45" t="n">
        <f aca="false">'✏️ Data Input'!T12</f>
        <v>30</v>
      </c>
      <c r="U12" s="45" t="n">
        <f aca="false">'✏️ Data Input'!U12</f>
        <v>30</v>
      </c>
      <c r="V12" s="45" t="n">
        <f aca="false">'✏️ Data Input'!V12</f>
        <v>30</v>
      </c>
      <c r="W12" s="45" t="n">
        <f aca="false">'✏️ Data Input'!W12</f>
        <v>10</v>
      </c>
      <c r="X12" s="45" t="n">
        <f aca="false">'✏️ Data Input'!X12</f>
        <v>0</v>
      </c>
      <c r="Y12" s="45" t="n">
        <f aca="false">'✏️ Data Input'!Y12</f>
        <v>0</v>
      </c>
      <c r="Z12" s="45" t="n">
        <f aca="false">'✏️ Data Input'!Z12</f>
        <v>0</v>
      </c>
      <c r="AA12" s="45" t="n">
        <f aca="false">'✏️ Data Input'!AA12</f>
        <v>0</v>
      </c>
      <c r="AB12" s="45" t="n">
        <f aca="false">'✏️ Data Input'!AB12</f>
        <v>20</v>
      </c>
      <c r="AC12" s="45" t="n">
        <f aca="false">'✏️ Data Input'!AC12</f>
        <v>20</v>
      </c>
      <c r="AD12" s="45" t="n">
        <f aca="false">'✏️ Data Input'!AD12</f>
        <v>20</v>
      </c>
      <c r="AE12" s="45" t="n">
        <f aca="false">'✏️ Data Input'!AE12</f>
        <v>20</v>
      </c>
      <c r="AF12" s="45" t="n">
        <f aca="false">'✏️ Data Input'!AF12</f>
        <v>20</v>
      </c>
      <c r="AG12" s="45" t="n">
        <f aca="false">'✏️ Data Input'!AG12</f>
        <v>0</v>
      </c>
      <c r="AH12" s="45" t="n">
        <f aca="false">'✏️ Data Input'!AH12</f>
        <v>0</v>
      </c>
      <c r="AI12" s="45" t="n">
        <f aca="false">'✏️ Data Input'!AI12</f>
        <v>0</v>
      </c>
    </row>
    <row r="13" customFormat="false" ht="12.75" hidden="false" customHeight="true" outlineLevel="0" collapsed="false">
      <c r="A13" s="9" t="str">
        <f aca="false">'✏️ Data Input'!B13</f>
        <v>5073058</v>
      </c>
      <c r="B13" s="54"/>
      <c r="C13" s="46" t="n">
        <f aca="false">'✏️ Data Input'!C13</f>
        <v>0</v>
      </c>
      <c r="D13" s="46" t="n">
        <f aca="false">'✏️ Data Input'!D13</f>
        <v>300</v>
      </c>
      <c r="E13" s="46" t="n">
        <f aca="false">'✏️ Data Input'!E13</f>
        <v>200</v>
      </c>
      <c r="F13" s="46" t="n">
        <f aca="false">'✏️ Data Input'!F13</f>
        <v>100</v>
      </c>
      <c r="G13" s="46" t="n">
        <f aca="false">'✏️ Data Input'!G13</f>
        <v>200</v>
      </c>
      <c r="H13" s="46" t="n">
        <f aca="false">'✏️ Data Input'!H13</f>
        <v>200</v>
      </c>
      <c r="I13" s="46" t="n">
        <f aca="false">'✏️ Data Input'!I13</f>
        <v>100</v>
      </c>
      <c r="J13" s="46" t="n">
        <f aca="false">'✏️ Data Input'!J13</f>
        <v>100</v>
      </c>
      <c r="K13" s="46" t="n">
        <f aca="false">'✏️ Data Input'!K13</f>
        <v>200</v>
      </c>
      <c r="L13" s="46" t="n">
        <f aca="false">'✏️ Data Input'!L13</f>
        <v>300</v>
      </c>
      <c r="M13" s="46" t="n">
        <f aca="false">'✏️ Data Input'!M13</f>
        <v>0</v>
      </c>
      <c r="N13" s="46" t="n">
        <f aca="false">'✏️ Data Input'!N13</f>
        <v>0</v>
      </c>
      <c r="O13" s="46" t="n">
        <f aca="false">'✏️ Data Input'!O13</f>
        <v>0</v>
      </c>
      <c r="P13" s="46" t="n">
        <f aca="false">'✏️ Data Input'!P13</f>
        <v>0</v>
      </c>
      <c r="Q13" s="46" t="n">
        <f aca="false">'✏️ Data Input'!Q13</f>
        <v>100</v>
      </c>
      <c r="R13" s="46" t="n">
        <f aca="false">'✏️ Data Input'!R13</f>
        <v>100</v>
      </c>
      <c r="S13" s="46" t="n">
        <f aca="false">'✏️ Data Input'!S13</f>
        <v>200</v>
      </c>
      <c r="T13" s="46" t="n">
        <f aca="false">'✏️ Data Input'!T13</f>
        <v>100</v>
      </c>
      <c r="U13" s="46" t="n">
        <f aca="false">'✏️ Data Input'!U13</f>
        <v>100</v>
      </c>
      <c r="V13" s="46" t="n">
        <f aca="false">'✏️ Data Input'!V13</f>
        <v>100</v>
      </c>
      <c r="W13" s="46" t="n">
        <f aca="false">'✏️ Data Input'!W13</f>
        <v>100</v>
      </c>
      <c r="X13" s="46" t="n">
        <f aca="false">'✏️ Data Input'!X13</f>
        <v>50</v>
      </c>
      <c r="Y13" s="46" t="n">
        <f aca="false">'✏️ Data Input'!Y13</f>
        <v>50</v>
      </c>
      <c r="Z13" s="46" t="n">
        <f aca="false">'✏️ Data Input'!Z13</f>
        <v>50</v>
      </c>
      <c r="AA13" s="46" t="n">
        <f aca="false">'✏️ Data Input'!AA13</f>
        <v>50</v>
      </c>
      <c r="AB13" s="46" t="n">
        <f aca="false">'✏️ Data Input'!AB13</f>
        <v>40</v>
      </c>
      <c r="AC13" s="46" t="n">
        <f aca="false">'✏️ Data Input'!AC13</f>
        <v>40</v>
      </c>
      <c r="AD13" s="46" t="n">
        <f aca="false">'✏️ Data Input'!AD13</f>
        <v>40</v>
      </c>
      <c r="AE13" s="46" t="n">
        <f aca="false">'✏️ Data Input'!AE13</f>
        <v>40</v>
      </c>
      <c r="AF13" s="46" t="n">
        <f aca="false">'✏️ Data Input'!AF13</f>
        <v>40</v>
      </c>
      <c r="AG13" s="46" t="n">
        <f aca="false">'✏️ Data Input'!AG13</f>
        <v>50</v>
      </c>
      <c r="AH13" s="46" t="n">
        <f aca="false">'✏️ Data Input'!AH13</f>
        <v>50</v>
      </c>
      <c r="AI13" s="46" t="n">
        <f aca="false">'✏️ Data Input'!AI13</f>
        <v>0</v>
      </c>
    </row>
    <row r="14" customFormat="false" ht="12.75" hidden="false" customHeight="true" outlineLevel="0" collapsed="false">
      <c r="A14" s="12" t="str">
        <f aca="false">'✏️ Data Input'!B14</f>
        <v>4172770</v>
      </c>
      <c r="B14" s="54"/>
      <c r="C14" s="45" t="n">
        <f aca="false">'✏️ Data Input'!C14</f>
        <v>0</v>
      </c>
      <c r="D14" s="45" t="n">
        <f aca="false">'✏️ Data Input'!D14</f>
        <v>0</v>
      </c>
      <c r="E14" s="45" t="n">
        <f aca="false">'✏️ Data Input'!E14</f>
        <v>0</v>
      </c>
      <c r="F14" s="45" t="n">
        <f aca="false">'✏️ Data Input'!F14</f>
        <v>0</v>
      </c>
      <c r="G14" s="45" t="n">
        <f aca="false">'✏️ Data Input'!G14</f>
        <v>0</v>
      </c>
      <c r="H14" s="45" t="n">
        <f aca="false">'✏️ Data Input'!H14</f>
        <v>0</v>
      </c>
      <c r="I14" s="45" t="n">
        <f aca="false">'✏️ Data Input'!I14</f>
        <v>0</v>
      </c>
      <c r="J14" s="45" t="n">
        <f aca="false">'✏️ Data Input'!J14</f>
        <v>0</v>
      </c>
      <c r="K14" s="45" t="n">
        <f aca="false">'✏️ Data Input'!K14</f>
        <v>0</v>
      </c>
      <c r="L14" s="45" t="n">
        <f aca="false">'✏️ Data Input'!L14</f>
        <v>0</v>
      </c>
      <c r="M14" s="45" t="n">
        <f aca="false">'✏️ Data Input'!M14</f>
        <v>0</v>
      </c>
      <c r="N14" s="45" t="n">
        <f aca="false">'✏️ Data Input'!N14</f>
        <v>0</v>
      </c>
      <c r="O14" s="45" t="n">
        <f aca="false">'✏️ Data Input'!O14</f>
        <v>0</v>
      </c>
      <c r="P14" s="45" t="n">
        <f aca="false">'✏️ Data Input'!P14</f>
        <v>0</v>
      </c>
      <c r="Q14" s="45" t="n">
        <f aca="false">'✏️ Data Input'!Q14</f>
        <v>0</v>
      </c>
      <c r="R14" s="45" t="n">
        <f aca="false">'✏️ Data Input'!R14</f>
        <v>0</v>
      </c>
      <c r="S14" s="45" t="n">
        <f aca="false">'✏️ Data Input'!S14</f>
        <v>0</v>
      </c>
      <c r="T14" s="45" t="n">
        <f aca="false">'✏️ Data Input'!T14</f>
        <v>0</v>
      </c>
      <c r="U14" s="45" t="n">
        <f aca="false">'✏️ Data Input'!U14</f>
        <v>0</v>
      </c>
      <c r="V14" s="45" t="n">
        <f aca="false">'✏️ Data Input'!V14</f>
        <v>0</v>
      </c>
      <c r="W14" s="45" t="n">
        <f aca="false">'✏️ Data Input'!W14</f>
        <v>0</v>
      </c>
      <c r="X14" s="45" t="n">
        <f aca="false">'✏️ Data Input'!X14</f>
        <v>0</v>
      </c>
      <c r="Y14" s="45" t="n">
        <f aca="false">'✏️ Data Input'!Y14</f>
        <v>0</v>
      </c>
      <c r="Z14" s="45" t="n">
        <f aca="false">'✏️ Data Input'!Z14</f>
        <v>0</v>
      </c>
      <c r="AA14" s="45" t="n">
        <f aca="false">'✏️ Data Input'!AA14</f>
        <v>0</v>
      </c>
      <c r="AB14" s="45" t="n">
        <f aca="false">'✏️ Data Input'!AB14</f>
        <v>0</v>
      </c>
      <c r="AC14" s="45" t="n">
        <f aca="false">'✏️ Data Input'!AC14</f>
        <v>0</v>
      </c>
      <c r="AD14" s="45" t="n">
        <f aca="false">'✏️ Data Input'!AD14</f>
        <v>0</v>
      </c>
      <c r="AE14" s="45" t="n">
        <f aca="false">'✏️ Data Input'!AE14</f>
        <v>0</v>
      </c>
      <c r="AF14" s="45" t="n">
        <f aca="false">'✏️ Data Input'!AF14</f>
        <v>0</v>
      </c>
      <c r="AG14" s="45" t="n">
        <f aca="false">'✏️ Data Input'!AG14</f>
        <v>0</v>
      </c>
      <c r="AH14" s="45" t="n">
        <f aca="false">'✏️ Data Input'!AH14</f>
        <v>0</v>
      </c>
      <c r="AI14" s="45" t="n">
        <f aca="false">'✏️ Data Input'!AI14</f>
        <v>0</v>
      </c>
    </row>
    <row r="15" customFormat="false" ht="12.75" hidden="false" customHeight="true" outlineLevel="0" collapsed="false">
      <c r="A15" s="9" t="str">
        <f aca="false">'✏️ Data Input'!B15</f>
        <v>4817100</v>
      </c>
      <c r="B15" s="54"/>
      <c r="C15" s="46" t="n">
        <f aca="false">'✏️ Data Input'!C15</f>
        <v>160</v>
      </c>
      <c r="D15" s="46" t="n">
        <f aca="false">'✏️ Data Input'!D15</f>
        <v>1040</v>
      </c>
      <c r="E15" s="46" t="n">
        <f aca="false">'✏️ Data Input'!E15</f>
        <v>1040</v>
      </c>
      <c r="F15" s="46" t="n">
        <f aca="false">'✏️ Data Input'!F15</f>
        <v>800</v>
      </c>
      <c r="G15" s="46" t="n">
        <f aca="false">'✏️ Data Input'!G15</f>
        <v>720</v>
      </c>
      <c r="H15" s="46" t="n">
        <f aca="false">'✏️ Data Input'!H15</f>
        <v>720</v>
      </c>
      <c r="I15" s="46" t="n">
        <f aca="false">'✏️ Data Input'!I15</f>
        <v>640</v>
      </c>
      <c r="J15" s="46" t="n">
        <f aca="false">'✏️ Data Input'!J15</f>
        <v>640</v>
      </c>
      <c r="K15" s="46" t="n">
        <f aca="false">'✏️ Data Input'!K15</f>
        <v>880</v>
      </c>
      <c r="L15" s="46" t="n">
        <f aca="false">'✏️ Data Input'!L15</f>
        <v>1200</v>
      </c>
      <c r="M15" s="46" t="n">
        <f aca="false">'✏️ Data Input'!M15</f>
        <v>0</v>
      </c>
      <c r="N15" s="46" t="n">
        <f aca="false">'✏️ Data Input'!N15</f>
        <v>0</v>
      </c>
      <c r="O15" s="46" t="n">
        <f aca="false">'✏️ Data Input'!O15</f>
        <v>0</v>
      </c>
      <c r="P15" s="46" t="n">
        <f aca="false">'✏️ Data Input'!P15</f>
        <v>0</v>
      </c>
      <c r="Q15" s="46" t="n">
        <f aca="false">'✏️ Data Input'!Q15</f>
        <v>640</v>
      </c>
      <c r="R15" s="46" t="n">
        <f aca="false">'✏️ Data Input'!R15</f>
        <v>640</v>
      </c>
      <c r="S15" s="46" t="n">
        <f aca="false">'✏️ Data Input'!S15</f>
        <v>560</v>
      </c>
      <c r="T15" s="46" t="n">
        <f aca="false">'✏️ Data Input'!T15</f>
        <v>700</v>
      </c>
      <c r="U15" s="46" t="n">
        <f aca="false">'✏️ Data Input'!U15</f>
        <v>700</v>
      </c>
      <c r="V15" s="46" t="n">
        <f aca="false">'✏️ Data Input'!V15</f>
        <v>700</v>
      </c>
      <c r="W15" s="46" t="n">
        <f aca="false">'✏️ Data Input'!W15</f>
        <v>700</v>
      </c>
      <c r="X15" s="46" t="n">
        <f aca="false">'✏️ Data Input'!X15</f>
        <v>540</v>
      </c>
      <c r="Y15" s="46" t="n">
        <f aca="false">'✏️ Data Input'!Y15</f>
        <v>540</v>
      </c>
      <c r="Z15" s="46" t="n">
        <f aca="false">'✏️ Data Input'!Z15</f>
        <v>540</v>
      </c>
      <c r="AA15" s="46" t="n">
        <f aca="false">'✏️ Data Input'!AA15</f>
        <v>540</v>
      </c>
      <c r="AB15" s="46" t="n">
        <f aca="false">'✏️ Data Input'!AB15</f>
        <v>550</v>
      </c>
      <c r="AC15" s="46" t="n">
        <f aca="false">'✏️ Data Input'!AC15</f>
        <v>550</v>
      </c>
      <c r="AD15" s="46" t="n">
        <f aca="false">'✏️ Data Input'!AD15</f>
        <v>550</v>
      </c>
      <c r="AE15" s="46" t="n">
        <f aca="false">'✏️ Data Input'!AE15</f>
        <v>550</v>
      </c>
      <c r="AF15" s="46" t="n">
        <f aca="false">'✏️ Data Input'!AF15</f>
        <v>520</v>
      </c>
      <c r="AG15" s="46" t="n">
        <f aca="false">'✏️ Data Input'!AG15</f>
        <v>400</v>
      </c>
      <c r="AH15" s="46" t="n">
        <f aca="false">'✏️ Data Input'!AH15</f>
        <v>400</v>
      </c>
      <c r="AI15" s="46" t="n">
        <f aca="false">'✏️ Data Input'!AI15</f>
        <v>0</v>
      </c>
    </row>
    <row r="16" customFormat="false" ht="12.75" hidden="false" customHeight="true" outlineLevel="0" collapsed="false">
      <c r="A16" s="12" t="str">
        <f aca="false">'✏️ Data Input'!B16</f>
        <v>4817103</v>
      </c>
      <c r="B16" s="54"/>
      <c r="C16" s="45" t="n">
        <f aca="false">'✏️ Data Input'!C16</f>
        <v>0</v>
      </c>
      <c r="D16" s="45" t="n">
        <f aca="false">'✏️ Data Input'!D16</f>
        <v>800</v>
      </c>
      <c r="E16" s="45" t="n">
        <f aca="false">'✏️ Data Input'!E16</f>
        <v>0</v>
      </c>
      <c r="F16" s="45" t="n">
        <f aca="false">'✏️ Data Input'!F16</f>
        <v>400</v>
      </c>
      <c r="G16" s="45" t="n">
        <f aca="false">'✏️ Data Input'!G16</f>
        <v>480</v>
      </c>
      <c r="H16" s="45" t="n">
        <f aca="false">'✏️ Data Input'!H16</f>
        <v>400</v>
      </c>
      <c r="I16" s="45" t="n">
        <f aca="false">'✏️ Data Input'!I16</f>
        <v>400</v>
      </c>
      <c r="J16" s="45" t="n">
        <f aca="false">'✏️ Data Input'!J16</f>
        <v>480</v>
      </c>
      <c r="K16" s="45" t="n">
        <f aca="false">'✏️ Data Input'!K16</f>
        <v>720</v>
      </c>
      <c r="L16" s="45" t="n">
        <f aca="false">'✏️ Data Input'!L16</f>
        <v>1040</v>
      </c>
      <c r="M16" s="45" t="n">
        <f aca="false">'✏️ Data Input'!M16</f>
        <v>0</v>
      </c>
      <c r="N16" s="45" t="n">
        <f aca="false">'✏️ Data Input'!N16</f>
        <v>0</v>
      </c>
      <c r="O16" s="45" t="n">
        <f aca="false">'✏️ Data Input'!O16</f>
        <v>0</v>
      </c>
      <c r="P16" s="45" t="n">
        <f aca="false">'✏️ Data Input'!P16</f>
        <v>0</v>
      </c>
      <c r="Q16" s="45" t="n">
        <f aca="false">'✏️ Data Input'!Q16</f>
        <v>640</v>
      </c>
      <c r="R16" s="45" t="n">
        <f aca="false">'✏️ Data Input'!R16</f>
        <v>560</v>
      </c>
      <c r="S16" s="45" t="n">
        <f aca="false">'✏️ Data Input'!S16</f>
        <v>560</v>
      </c>
      <c r="T16" s="45" t="n">
        <f aca="false">'✏️ Data Input'!T16</f>
        <v>560</v>
      </c>
      <c r="U16" s="45" t="n">
        <f aca="false">'✏️ Data Input'!U16</f>
        <v>560</v>
      </c>
      <c r="V16" s="45" t="n">
        <f aca="false">'✏️ Data Input'!V16</f>
        <v>560</v>
      </c>
      <c r="W16" s="45" t="n">
        <f aca="false">'✏️ Data Input'!W16</f>
        <v>560</v>
      </c>
      <c r="X16" s="45" t="n">
        <f aca="false">'✏️ Data Input'!X16</f>
        <v>320</v>
      </c>
      <c r="Y16" s="45" t="n">
        <f aca="false">'✏️ Data Input'!Y16</f>
        <v>320</v>
      </c>
      <c r="Z16" s="45" t="n">
        <f aca="false">'✏️ Data Input'!Z16</f>
        <v>320</v>
      </c>
      <c r="AA16" s="45" t="n">
        <f aca="false">'✏️ Data Input'!AA16</f>
        <v>320</v>
      </c>
      <c r="AB16" s="45" t="n">
        <f aca="false">'✏️ Data Input'!AB16</f>
        <v>530</v>
      </c>
      <c r="AC16" s="45" t="n">
        <f aca="false">'✏️ Data Input'!AC16</f>
        <v>530</v>
      </c>
      <c r="AD16" s="45" t="n">
        <f aca="false">'✏️ Data Input'!AD16</f>
        <v>530</v>
      </c>
      <c r="AE16" s="45" t="n">
        <f aca="false">'✏️ Data Input'!AE16</f>
        <v>530</v>
      </c>
      <c r="AF16" s="45" t="n">
        <f aca="false">'✏️ Data Input'!AF16</f>
        <v>520</v>
      </c>
      <c r="AG16" s="45" t="n">
        <f aca="false">'✏️ Data Input'!AG16</f>
        <v>520</v>
      </c>
      <c r="AH16" s="45" t="n">
        <f aca="false">'✏️ Data Input'!AH16</f>
        <v>520</v>
      </c>
      <c r="AI16" s="45" t="n">
        <f aca="false">'✏️ Data Input'!AI16</f>
        <v>0</v>
      </c>
    </row>
    <row r="17" customFormat="false" ht="12.75" hidden="false" customHeight="true" outlineLevel="0" collapsed="false">
      <c r="A17" s="9" t="str">
        <f aca="false">'✏️ Data Input'!B17</f>
        <v>4817114</v>
      </c>
      <c r="B17" s="54"/>
      <c r="C17" s="46" t="n">
        <f aca="false">'✏️ Data Input'!C17</f>
        <v>0</v>
      </c>
      <c r="D17" s="46" t="n">
        <f aca="false">'✏️ Data Input'!D17</f>
        <v>480</v>
      </c>
      <c r="E17" s="46" t="n">
        <f aca="false">'✏️ Data Input'!E17</f>
        <v>0</v>
      </c>
      <c r="F17" s="46" t="n">
        <f aca="false">'✏️ Data Input'!F17</f>
        <v>160</v>
      </c>
      <c r="G17" s="46" t="n">
        <f aca="false">'✏️ Data Input'!G17</f>
        <v>240</v>
      </c>
      <c r="H17" s="46" t="n">
        <f aca="false">'✏️ Data Input'!H17</f>
        <v>160</v>
      </c>
      <c r="I17" s="46" t="n">
        <f aca="false">'✏️ Data Input'!I17</f>
        <v>320</v>
      </c>
      <c r="J17" s="46" t="n">
        <f aca="false">'✏️ Data Input'!J17</f>
        <v>320</v>
      </c>
      <c r="K17" s="46" t="n">
        <f aca="false">'✏️ Data Input'!K17</f>
        <v>320</v>
      </c>
      <c r="L17" s="46" t="n">
        <f aca="false">'✏️ Data Input'!L17</f>
        <v>320</v>
      </c>
      <c r="M17" s="46" t="n">
        <f aca="false">'✏️ Data Input'!M17</f>
        <v>0</v>
      </c>
      <c r="N17" s="46" t="n">
        <f aca="false">'✏️ Data Input'!N17</f>
        <v>0</v>
      </c>
      <c r="O17" s="46" t="n">
        <f aca="false">'✏️ Data Input'!O17</f>
        <v>0</v>
      </c>
      <c r="P17" s="46" t="n">
        <f aca="false">'✏️ Data Input'!P17</f>
        <v>0</v>
      </c>
      <c r="Q17" s="46" t="n">
        <f aca="false">'✏️ Data Input'!Q17</f>
        <v>160</v>
      </c>
      <c r="R17" s="46" t="n">
        <f aca="false">'✏️ Data Input'!R17</f>
        <v>160</v>
      </c>
      <c r="S17" s="46" t="n">
        <f aca="false">'✏️ Data Input'!S17</f>
        <v>240</v>
      </c>
      <c r="T17" s="46" t="n">
        <f aca="false">'✏️ Data Input'!T17</f>
        <v>200</v>
      </c>
      <c r="U17" s="46" t="n">
        <f aca="false">'✏️ Data Input'!U17</f>
        <v>200</v>
      </c>
      <c r="V17" s="46" t="n">
        <f aca="false">'✏️ Data Input'!V17</f>
        <v>200</v>
      </c>
      <c r="W17" s="46" t="n">
        <f aca="false">'✏️ Data Input'!W17</f>
        <v>200</v>
      </c>
      <c r="X17" s="46" t="n">
        <f aca="false">'✏️ Data Input'!X17</f>
        <v>180</v>
      </c>
      <c r="Y17" s="46" t="n">
        <f aca="false">'✏️ Data Input'!Y17</f>
        <v>180</v>
      </c>
      <c r="Z17" s="46" t="n">
        <f aca="false">'✏️ Data Input'!Z17</f>
        <v>180</v>
      </c>
      <c r="AA17" s="46" t="n">
        <f aca="false">'✏️ Data Input'!AA17</f>
        <v>180</v>
      </c>
      <c r="AB17" s="46" t="n">
        <f aca="false">'✏️ Data Input'!AB17</f>
        <v>280</v>
      </c>
      <c r="AC17" s="46" t="n">
        <f aca="false">'✏️ Data Input'!AC17</f>
        <v>280</v>
      </c>
      <c r="AD17" s="46" t="n">
        <f aca="false">'✏️ Data Input'!AD17</f>
        <v>280</v>
      </c>
      <c r="AE17" s="46" t="n">
        <f aca="false">'✏️ Data Input'!AE17</f>
        <v>280</v>
      </c>
      <c r="AF17" s="46" t="n">
        <f aca="false">'✏️ Data Input'!AF17</f>
        <v>240</v>
      </c>
      <c r="AG17" s="46" t="n">
        <f aca="false">'✏️ Data Input'!AG17</f>
        <v>320</v>
      </c>
      <c r="AH17" s="46" t="n">
        <f aca="false">'✏️ Data Input'!AH17</f>
        <v>320</v>
      </c>
      <c r="AI17" s="46" t="n">
        <f aca="false">'✏️ Data Input'!AI17</f>
        <v>0</v>
      </c>
    </row>
    <row r="18" customFormat="false" ht="12.75" hidden="false" customHeight="true" outlineLevel="0" collapsed="false">
      <c r="A18" s="12" t="str">
        <f aca="false">'✏️ Data Input'!B18</f>
        <v>4754918</v>
      </c>
      <c r="B18" s="54"/>
      <c r="C18" s="45" t="n">
        <f aca="false">'✏️ Data Input'!C18</f>
        <v>0</v>
      </c>
      <c r="D18" s="45" t="n">
        <f aca="false">'✏️ Data Input'!D18</f>
        <v>960</v>
      </c>
      <c r="E18" s="45" t="n">
        <f aca="false">'✏️ Data Input'!E18</f>
        <v>880</v>
      </c>
      <c r="F18" s="45" t="n">
        <f aca="false">'✏️ Data Input'!F18</f>
        <v>960</v>
      </c>
      <c r="G18" s="45" t="n">
        <f aca="false">'✏️ Data Input'!G18</f>
        <v>880</v>
      </c>
      <c r="H18" s="45" t="n">
        <f aca="false">'✏️ Data Input'!H18</f>
        <v>720</v>
      </c>
      <c r="I18" s="45" t="n">
        <f aca="false">'✏️ Data Input'!I18</f>
        <v>720</v>
      </c>
      <c r="J18" s="45" t="n">
        <f aca="false">'✏️ Data Input'!J18</f>
        <v>720</v>
      </c>
      <c r="K18" s="45" t="n">
        <f aca="false">'✏️ Data Input'!K18</f>
        <v>1040</v>
      </c>
      <c r="L18" s="45" t="n">
        <f aca="false">'✏️ Data Input'!L18</f>
        <v>1440</v>
      </c>
      <c r="M18" s="45" t="n">
        <f aca="false">'✏️ Data Input'!M18</f>
        <v>0</v>
      </c>
      <c r="N18" s="45" t="n">
        <f aca="false">'✏️ Data Input'!N18</f>
        <v>0</v>
      </c>
      <c r="O18" s="45" t="n">
        <f aca="false">'✏️ Data Input'!O18</f>
        <v>0</v>
      </c>
      <c r="P18" s="45" t="n">
        <f aca="false">'✏️ Data Input'!P18</f>
        <v>0</v>
      </c>
      <c r="Q18" s="45" t="n">
        <f aca="false">'✏️ Data Input'!Q18</f>
        <v>800</v>
      </c>
      <c r="R18" s="45" t="n">
        <f aca="false">'✏️ Data Input'!R18</f>
        <v>720</v>
      </c>
      <c r="S18" s="45" t="n">
        <f aca="false">'✏️ Data Input'!S18</f>
        <v>720</v>
      </c>
      <c r="T18" s="45" t="n">
        <f aca="false">'✏️ Data Input'!T18</f>
        <v>680</v>
      </c>
      <c r="U18" s="45" t="n">
        <f aca="false">'✏️ Data Input'!U18</f>
        <v>680</v>
      </c>
      <c r="V18" s="45" t="n">
        <f aca="false">'✏️ Data Input'!V18</f>
        <v>680</v>
      </c>
      <c r="W18" s="45" t="n">
        <f aca="false">'✏️ Data Input'!W18</f>
        <v>680</v>
      </c>
      <c r="X18" s="45" t="n">
        <f aca="false">'✏️ Data Input'!X18</f>
        <v>380</v>
      </c>
      <c r="Y18" s="45" t="n">
        <f aca="false">'✏️ Data Input'!Y18</f>
        <v>380</v>
      </c>
      <c r="Z18" s="45" t="n">
        <f aca="false">'✏️ Data Input'!Z18</f>
        <v>380</v>
      </c>
      <c r="AA18" s="45" t="n">
        <f aca="false">'✏️ Data Input'!AA18</f>
        <v>380</v>
      </c>
      <c r="AB18" s="45" t="n">
        <f aca="false">'✏️ Data Input'!AB18</f>
        <v>680</v>
      </c>
      <c r="AC18" s="45" t="n">
        <f aca="false">'✏️ Data Input'!AC18</f>
        <v>680</v>
      </c>
      <c r="AD18" s="45" t="n">
        <f aca="false">'✏️ Data Input'!AD18</f>
        <v>680</v>
      </c>
      <c r="AE18" s="45" t="n">
        <f aca="false">'✏️ Data Input'!AE18</f>
        <v>680</v>
      </c>
      <c r="AF18" s="45" t="n">
        <f aca="false">'✏️ Data Input'!AF18</f>
        <v>640</v>
      </c>
      <c r="AG18" s="45" t="n">
        <f aca="false">'✏️ Data Input'!AG18</f>
        <v>720</v>
      </c>
      <c r="AH18" s="45" t="n">
        <f aca="false">'✏️ Data Input'!AH18</f>
        <v>720</v>
      </c>
      <c r="AI18" s="45" t="n">
        <f aca="false">'✏️ Data Input'!AI18</f>
        <v>0</v>
      </c>
    </row>
    <row r="19" customFormat="false" ht="12.75" hidden="false" customHeight="true" outlineLevel="0" collapsed="false">
      <c r="A19" s="9" t="str">
        <f aca="false">'✏️ Data Input'!B19</f>
        <v>4755038</v>
      </c>
      <c r="B19" s="54"/>
      <c r="C19" s="46" t="n">
        <f aca="false">'✏️ Data Input'!C19</f>
        <v>0</v>
      </c>
      <c r="D19" s="46" t="n">
        <f aca="false">'✏️ Data Input'!D19</f>
        <v>80</v>
      </c>
      <c r="E19" s="46" t="n">
        <f aca="false">'✏️ Data Input'!E19</f>
        <v>0</v>
      </c>
      <c r="F19" s="46" t="n">
        <f aca="false">'✏️ Data Input'!F19</f>
        <v>0</v>
      </c>
      <c r="G19" s="46" t="n">
        <f aca="false">'✏️ Data Input'!G19</f>
        <v>80</v>
      </c>
      <c r="H19" s="46" t="n">
        <f aca="false">'✏️ Data Input'!H19</f>
        <v>80</v>
      </c>
      <c r="I19" s="46" t="n">
        <f aca="false">'✏️ Data Input'!I19</f>
        <v>80</v>
      </c>
      <c r="J19" s="46" t="n">
        <f aca="false">'✏️ Data Input'!J19</f>
        <v>0</v>
      </c>
      <c r="K19" s="46" t="n">
        <f aca="false">'✏️ Data Input'!K19</f>
        <v>80</v>
      </c>
      <c r="L19" s="46" t="n">
        <f aca="false">'✏️ Data Input'!L19</f>
        <v>80</v>
      </c>
      <c r="M19" s="46" t="n">
        <f aca="false">'✏️ Data Input'!M19</f>
        <v>0</v>
      </c>
      <c r="N19" s="46" t="n">
        <f aca="false">'✏️ Data Input'!N19</f>
        <v>0</v>
      </c>
      <c r="O19" s="46" t="n">
        <f aca="false">'✏️ Data Input'!O19</f>
        <v>0</v>
      </c>
      <c r="P19" s="46" t="n">
        <f aca="false">'✏️ Data Input'!P19</f>
        <v>0</v>
      </c>
      <c r="Q19" s="46" t="n">
        <f aca="false">'✏️ Data Input'!Q19</f>
        <v>80</v>
      </c>
      <c r="R19" s="46" t="n">
        <f aca="false">'✏️ Data Input'!R19</f>
        <v>0</v>
      </c>
      <c r="S19" s="46" t="n">
        <f aca="false">'✏️ Data Input'!S19</f>
        <v>80</v>
      </c>
      <c r="T19" s="46" t="n">
        <f aca="false">'✏️ Data Input'!T19</f>
        <v>40</v>
      </c>
      <c r="U19" s="46" t="n">
        <f aca="false">'✏️ Data Input'!U19</f>
        <v>40</v>
      </c>
      <c r="V19" s="46" t="n">
        <f aca="false">'✏️ Data Input'!V19</f>
        <v>40</v>
      </c>
      <c r="W19" s="46" t="n">
        <f aca="false">'✏️ Data Input'!W19</f>
        <v>40</v>
      </c>
      <c r="X19" s="46" t="n">
        <f aca="false">'✏️ Data Input'!X19</f>
        <v>40</v>
      </c>
      <c r="Y19" s="46" t="n">
        <f aca="false">'✏️ Data Input'!Y19</f>
        <v>40</v>
      </c>
      <c r="Z19" s="46" t="n">
        <f aca="false">'✏️ Data Input'!Z19</f>
        <v>40</v>
      </c>
      <c r="AA19" s="46" t="n">
        <f aca="false">'✏️ Data Input'!AA19</f>
        <v>40</v>
      </c>
      <c r="AB19" s="46" t="n">
        <f aca="false">'✏️ Data Input'!AB19</f>
        <v>70</v>
      </c>
      <c r="AC19" s="46" t="n">
        <f aca="false">'✏️ Data Input'!AC19</f>
        <v>70</v>
      </c>
      <c r="AD19" s="46" t="n">
        <f aca="false">'✏️ Data Input'!AD19</f>
        <v>70</v>
      </c>
      <c r="AE19" s="46" t="n">
        <f aca="false">'✏️ Data Input'!AE19</f>
        <v>70</v>
      </c>
      <c r="AF19" s="46" t="n">
        <f aca="false">'✏️ Data Input'!AF19</f>
        <v>40</v>
      </c>
      <c r="AG19" s="46" t="n">
        <f aca="false">'✏️ Data Input'!AG19</f>
        <v>80</v>
      </c>
      <c r="AH19" s="46" t="n">
        <f aca="false">'✏️ Data Input'!AH19</f>
        <v>80</v>
      </c>
      <c r="AI19" s="46" t="n">
        <f aca="false">'✏️ Data Input'!AI19</f>
        <v>0</v>
      </c>
    </row>
    <row r="20" customFormat="false" ht="12.75" hidden="false" customHeight="true" outlineLevel="0" collapsed="false">
      <c r="A20" s="12" t="str">
        <f aca="false">'✏️ Data Input'!B20</f>
        <v>4755081</v>
      </c>
      <c r="B20" s="54"/>
      <c r="C20" s="45" t="n">
        <f aca="false">'✏️ Data Input'!C20</f>
        <v>0</v>
      </c>
      <c r="D20" s="45" t="n">
        <f aca="false">'✏️ Data Input'!D20</f>
        <v>0</v>
      </c>
      <c r="E20" s="45" t="n">
        <f aca="false">'✏️ Data Input'!E20</f>
        <v>0</v>
      </c>
      <c r="F20" s="45" t="n">
        <f aca="false">'✏️ Data Input'!F20</f>
        <v>0</v>
      </c>
      <c r="G20" s="45" t="n">
        <f aca="false">'✏️ Data Input'!G20</f>
        <v>0</v>
      </c>
      <c r="H20" s="45" t="n">
        <f aca="false">'✏️ Data Input'!H20</f>
        <v>0</v>
      </c>
      <c r="I20" s="45" t="n">
        <f aca="false">'✏️ Data Input'!I20</f>
        <v>0</v>
      </c>
      <c r="J20" s="45" t="n">
        <f aca="false">'✏️ Data Input'!J20</f>
        <v>0</v>
      </c>
      <c r="K20" s="45" t="n">
        <f aca="false">'✏️ Data Input'!K20</f>
        <v>0</v>
      </c>
      <c r="L20" s="45" t="n">
        <f aca="false">'✏️ Data Input'!L20</f>
        <v>0</v>
      </c>
      <c r="M20" s="45" t="n">
        <f aca="false">'✏️ Data Input'!M20</f>
        <v>0</v>
      </c>
      <c r="N20" s="45" t="n">
        <f aca="false">'✏️ Data Input'!N20</f>
        <v>0</v>
      </c>
      <c r="O20" s="45" t="n">
        <f aca="false">'✏️ Data Input'!O20</f>
        <v>0</v>
      </c>
      <c r="P20" s="45" t="n">
        <f aca="false">'✏️ Data Input'!P20</f>
        <v>0</v>
      </c>
      <c r="Q20" s="45" t="n">
        <f aca="false">'✏️ Data Input'!Q20</f>
        <v>0</v>
      </c>
      <c r="R20" s="45" t="n">
        <f aca="false">'✏️ Data Input'!R20</f>
        <v>0</v>
      </c>
      <c r="S20" s="45" t="n">
        <f aca="false">'✏️ Data Input'!S20</f>
        <v>0</v>
      </c>
      <c r="T20" s="45" t="n">
        <f aca="false">'✏️ Data Input'!T20</f>
        <v>0</v>
      </c>
      <c r="U20" s="45" t="n">
        <f aca="false">'✏️ Data Input'!U20</f>
        <v>0</v>
      </c>
      <c r="V20" s="45" t="n">
        <f aca="false">'✏️ Data Input'!V20</f>
        <v>0</v>
      </c>
      <c r="W20" s="45" t="n">
        <f aca="false">'✏️ Data Input'!W20</f>
        <v>0</v>
      </c>
      <c r="X20" s="45" t="n">
        <f aca="false">'✏️ Data Input'!X20</f>
        <v>20</v>
      </c>
      <c r="Y20" s="45" t="n">
        <f aca="false">'✏️ Data Input'!Y20</f>
        <v>20</v>
      </c>
      <c r="Z20" s="45" t="n">
        <f aca="false">'✏️ Data Input'!Z20</f>
        <v>20</v>
      </c>
      <c r="AA20" s="45" t="n">
        <f aca="false">'✏️ Data Input'!AA20</f>
        <v>20</v>
      </c>
      <c r="AB20" s="45" t="n">
        <f aca="false">'✏️ Data Input'!AB20</f>
        <v>0</v>
      </c>
      <c r="AC20" s="45" t="n">
        <f aca="false">'✏️ Data Input'!AC20</f>
        <v>0</v>
      </c>
      <c r="AD20" s="45" t="n">
        <f aca="false">'✏️ Data Input'!AD20</f>
        <v>0</v>
      </c>
      <c r="AE20" s="45" t="n">
        <f aca="false">'✏️ Data Input'!AE20</f>
        <v>0</v>
      </c>
      <c r="AF20" s="45" t="n">
        <f aca="false">'✏️ Data Input'!AF20</f>
        <v>0</v>
      </c>
      <c r="AG20" s="45" t="n">
        <f aca="false">'✏️ Data Input'!AG20</f>
        <v>0</v>
      </c>
      <c r="AH20" s="45" t="n">
        <f aca="false">'✏️ Data Input'!AH20</f>
        <v>0</v>
      </c>
      <c r="AI20" s="45" t="n">
        <f aca="false">'✏️ Data Input'!AI20</f>
        <v>0</v>
      </c>
    </row>
    <row r="21" customFormat="false" ht="12.75" hidden="false" customHeight="true" outlineLevel="0" collapsed="false">
      <c r="A21" s="9" t="str">
        <f aca="false">'✏️ Data Input'!B21</f>
        <v>5080268</v>
      </c>
      <c r="B21" s="54"/>
      <c r="C21" s="46" t="n">
        <f aca="false">'✏️ Data Input'!C21</f>
        <v>0</v>
      </c>
      <c r="D21" s="46" t="n">
        <f aca="false">'✏️ Data Input'!D21</f>
        <v>0</v>
      </c>
      <c r="E21" s="46" t="n">
        <f aca="false">'✏️ Data Input'!E21</f>
        <v>0</v>
      </c>
      <c r="F21" s="46" t="n">
        <f aca="false">'✏️ Data Input'!F21</f>
        <v>0</v>
      </c>
      <c r="G21" s="46" t="n">
        <f aca="false">'✏️ Data Input'!G21</f>
        <v>0</v>
      </c>
      <c r="H21" s="46" t="n">
        <f aca="false">'✏️ Data Input'!H21</f>
        <v>0</v>
      </c>
      <c r="I21" s="46" t="n">
        <f aca="false">'✏️ Data Input'!I21</f>
        <v>0</v>
      </c>
      <c r="J21" s="46" t="n">
        <f aca="false">'✏️ Data Input'!J21</f>
        <v>0</v>
      </c>
      <c r="K21" s="46" t="n">
        <f aca="false">'✏️ Data Input'!K21</f>
        <v>0</v>
      </c>
      <c r="L21" s="46" t="n">
        <f aca="false">'✏️ Data Input'!L21</f>
        <v>0</v>
      </c>
      <c r="M21" s="46" t="n">
        <f aca="false">'✏️ Data Input'!M21</f>
        <v>0</v>
      </c>
      <c r="N21" s="46" t="n">
        <f aca="false">'✏️ Data Input'!N21</f>
        <v>0</v>
      </c>
      <c r="O21" s="46" t="n">
        <f aca="false">'✏️ Data Input'!O21</f>
        <v>0</v>
      </c>
      <c r="P21" s="46" t="n">
        <f aca="false">'✏️ Data Input'!P21</f>
        <v>0</v>
      </c>
      <c r="Q21" s="46" t="n">
        <f aca="false">'✏️ Data Input'!Q21</f>
        <v>0</v>
      </c>
      <c r="R21" s="46" t="n">
        <f aca="false">'✏️ Data Input'!R21</f>
        <v>0</v>
      </c>
      <c r="S21" s="46" t="n">
        <f aca="false">'✏️ Data Input'!S21</f>
        <v>0</v>
      </c>
      <c r="T21" s="46" t="n">
        <f aca="false">'✏️ Data Input'!T21</f>
        <v>0</v>
      </c>
      <c r="U21" s="46" t="n">
        <f aca="false">'✏️ Data Input'!U21</f>
        <v>0</v>
      </c>
      <c r="V21" s="46" t="n">
        <f aca="false">'✏️ Data Input'!V21</f>
        <v>0</v>
      </c>
      <c r="W21" s="46" t="n">
        <f aca="false">'✏️ Data Input'!W21</f>
        <v>0</v>
      </c>
      <c r="X21" s="46" t="n">
        <f aca="false">'✏️ Data Input'!X21</f>
        <v>0</v>
      </c>
      <c r="Y21" s="46" t="n">
        <f aca="false">'✏️ Data Input'!Y21</f>
        <v>0</v>
      </c>
      <c r="Z21" s="46" t="n">
        <f aca="false">'✏️ Data Input'!Z21</f>
        <v>0</v>
      </c>
      <c r="AA21" s="46" t="n">
        <f aca="false">'✏️ Data Input'!AA21</f>
        <v>0</v>
      </c>
      <c r="AB21" s="46" t="n">
        <f aca="false">'✏️ Data Input'!AB21</f>
        <v>0</v>
      </c>
      <c r="AC21" s="46" t="n">
        <f aca="false">'✏️ Data Input'!AC21</f>
        <v>0</v>
      </c>
      <c r="AD21" s="46" t="n">
        <f aca="false">'✏️ Data Input'!AD21</f>
        <v>0</v>
      </c>
      <c r="AE21" s="46" t="n">
        <f aca="false">'✏️ Data Input'!AE21</f>
        <v>0</v>
      </c>
      <c r="AF21" s="46" t="n">
        <f aca="false">'✏️ Data Input'!AF21</f>
        <v>0</v>
      </c>
      <c r="AG21" s="46" t="n">
        <f aca="false">'✏️ Data Input'!AG21</f>
        <v>0</v>
      </c>
      <c r="AH21" s="46" t="n">
        <f aca="false">'✏️ Data Input'!AH21</f>
        <v>0</v>
      </c>
      <c r="AI21" s="46" t="n">
        <f aca="false">'✏️ Data Input'!AI21</f>
        <v>0</v>
      </c>
    </row>
    <row r="22" customFormat="false" ht="12.75" hidden="false" customHeight="true" outlineLevel="0" collapsed="false">
      <c r="A22" s="12" t="str">
        <f aca="false">'✏️ Data Input'!B22</f>
        <v>5180031</v>
      </c>
      <c r="B22" s="54"/>
      <c r="C22" s="45" t="n">
        <f aca="false">'✏️ Data Input'!C22</f>
        <v>0</v>
      </c>
      <c r="D22" s="45" t="n">
        <f aca="false">'✏️ Data Input'!D22</f>
        <v>0</v>
      </c>
      <c r="E22" s="45" t="n">
        <f aca="false">'✏️ Data Input'!E22</f>
        <v>0</v>
      </c>
      <c r="F22" s="45" t="n">
        <f aca="false">'✏️ Data Input'!F22</f>
        <v>0</v>
      </c>
      <c r="G22" s="45" t="n">
        <f aca="false">'✏️ Data Input'!G22</f>
        <v>0</v>
      </c>
      <c r="H22" s="45" t="n">
        <f aca="false">'✏️ Data Input'!H22</f>
        <v>0</v>
      </c>
      <c r="I22" s="45" t="n">
        <f aca="false">'✏️ Data Input'!I22</f>
        <v>0</v>
      </c>
      <c r="J22" s="45" t="n">
        <f aca="false">'✏️ Data Input'!J22</f>
        <v>0</v>
      </c>
      <c r="K22" s="45" t="n">
        <f aca="false">'✏️ Data Input'!K22</f>
        <v>0</v>
      </c>
      <c r="L22" s="45" t="n">
        <f aca="false">'✏️ Data Input'!L22</f>
        <v>0</v>
      </c>
      <c r="M22" s="45" t="n">
        <f aca="false">'✏️ Data Input'!M22</f>
        <v>0</v>
      </c>
      <c r="N22" s="45" t="n">
        <f aca="false">'✏️ Data Input'!N22</f>
        <v>0</v>
      </c>
      <c r="O22" s="45" t="n">
        <f aca="false">'✏️ Data Input'!O22</f>
        <v>0</v>
      </c>
      <c r="P22" s="45" t="n">
        <f aca="false">'✏️ Data Input'!P22</f>
        <v>0</v>
      </c>
      <c r="Q22" s="45" t="n">
        <f aca="false">'✏️ Data Input'!Q22</f>
        <v>0</v>
      </c>
      <c r="R22" s="45" t="n">
        <f aca="false">'✏️ Data Input'!R22</f>
        <v>0</v>
      </c>
      <c r="S22" s="45" t="n">
        <f aca="false">'✏️ Data Input'!S22</f>
        <v>0</v>
      </c>
      <c r="T22" s="45" t="n">
        <f aca="false">'✏️ Data Input'!T22</f>
        <v>0</v>
      </c>
      <c r="U22" s="45" t="n">
        <f aca="false">'✏️ Data Input'!U22</f>
        <v>0</v>
      </c>
      <c r="V22" s="45" t="n">
        <f aca="false">'✏️ Data Input'!V22</f>
        <v>0</v>
      </c>
      <c r="W22" s="45" t="n">
        <f aca="false">'✏️ Data Input'!W22</f>
        <v>0</v>
      </c>
      <c r="X22" s="45" t="n">
        <f aca="false">'✏️ Data Input'!X22</f>
        <v>0</v>
      </c>
      <c r="Y22" s="45" t="n">
        <f aca="false">'✏️ Data Input'!Y22</f>
        <v>0</v>
      </c>
      <c r="Z22" s="45" t="n">
        <f aca="false">'✏️ Data Input'!Z22</f>
        <v>0</v>
      </c>
      <c r="AA22" s="45" t="n">
        <f aca="false">'✏️ Data Input'!AA22</f>
        <v>0</v>
      </c>
      <c r="AB22" s="45" t="n">
        <f aca="false">'✏️ Data Input'!AB22</f>
        <v>0</v>
      </c>
      <c r="AC22" s="45" t="n">
        <f aca="false">'✏️ Data Input'!AC22</f>
        <v>0</v>
      </c>
      <c r="AD22" s="45" t="n">
        <f aca="false">'✏️ Data Input'!AD22</f>
        <v>0</v>
      </c>
      <c r="AE22" s="45" t="n">
        <f aca="false">'✏️ Data Input'!AE22</f>
        <v>0</v>
      </c>
      <c r="AF22" s="45" t="n">
        <f aca="false">'✏️ Data Input'!AF22</f>
        <v>0</v>
      </c>
      <c r="AG22" s="45" t="n">
        <f aca="false">'✏️ Data Input'!AG22</f>
        <v>0</v>
      </c>
      <c r="AH22" s="45" t="n">
        <f aca="false">'✏️ Data Input'!AH22</f>
        <v>0</v>
      </c>
      <c r="AI22" s="45" t="n">
        <f aca="false">'✏️ Data Input'!AI22</f>
        <v>0</v>
      </c>
    </row>
    <row r="23" customFormat="false" ht="12.75" hidden="false" customHeight="true" outlineLevel="0" collapsed="false">
      <c r="A23" s="9" t="str">
        <f aca="false">'✏️ Data Input'!B23</f>
        <v>5180032</v>
      </c>
      <c r="B23" s="54"/>
      <c r="C23" s="46" t="n">
        <f aca="false">'✏️ Data Input'!C23</f>
        <v>0</v>
      </c>
      <c r="D23" s="46" t="n">
        <f aca="false">'✏️ Data Input'!D23</f>
        <v>160</v>
      </c>
      <c r="E23" s="46" t="n">
        <f aca="false">'✏️ Data Input'!E23</f>
        <v>160</v>
      </c>
      <c r="F23" s="46" t="n">
        <f aca="false">'✏️ Data Input'!F23</f>
        <v>160</v>
      </c>
      <c r="G23" s="46" t="n">
        <f aca="false">'✏️ Data Input'!G23</f>
        <v>160</v>
      </c>
      <c r="H23" s="46" t="n">
        <f aca="false">'✏️ Data Input'!H23</f>
        <v>160</v>
      </c>
      <c r="I23" s="46" t="n">
        <f aca="false">'✏️ Data Input'!I23</f>
        <v>160</v>
      </c>
      <c r="J23" s="46" t="n">
        <f aca="false">'✏️ Data Input'!J23</f>
        <v>80</v>
      </c>
      <c r="K23" s="46" t="n">
        <f aca="false">'✏️ Data Input'!K23</f>
        <v>160</v>
      </c>
      <c r="L23" s="46" t="n">
        <f aca="false">'✏️ Data Input'!L23</f>
        <v>160</v>
      </c>
      <c r="M23" s="46" t="n">
        <f aca="false">'✏️ Data Input'!M23</f>
        <v>0</v>
      </c>
      <c r="N23" s="46" t="n">
        <f aca="false">'✏️ Data Input'!N23</f>
        <v>0</v>
      </c>
      <c r="O23" s="46" t="n">
        <f aca="false">'✏️ Data Input'!O23</f>
        <v>0</v>
      </c>
      <c r="P23" s="46" t="n">
        <f aca="false">'✏️ Data Input'!P23</f>
        <v>0</v>
      </c>
      <c r="Q23" s="46" t="n">
        <f aca="false">'✏️ Data Input'!Q23</f>
        <v>160</v>
      </c>
      <c r="R23" s="46" t="n">
        <f aca="false">'✏️ Data Input'!R23</f>
        <v>80</v>
      </c>
      <c r="S23" s="46" t="n">
        <f aca="false">'✏️ Data Input'!S23</f>
        <v>160</v>
      </c>
      <c r="T23" s="46" t="n">
        <f aca="false">'✏️ Data Input'!T23</f>
        <v>140</v>
      </c>
      <c r="U23" s="46" t="n">
        <f aca="false">'✏️ Data Input'!U23</f>
        <v>140</v>
      </c>
      <c r="V23" s="46" t="n">
        <f aca="false">'✏️ Data Input'!V23</f>
        <v>140</v>
      </c>
      <c r="W23" s="46" t="n">
        <f aca="false">'✏️ Data Input'!W23</f>
        <v>140</v>
      </c>
      <c r="X23" s="46" t="n">
        <f aca="false">'✏️ Data Input'!X23</f>
        <v>100</v>
      </c>
      <c r="Y23" s="46" t="n">
        <f aca="false">'✏️ Data Input'!Y23</f>
        <v>100</v>
      </c>
      <c r="Z23" s="46" t="n">
        <f aca="false">'✏️ Data Input'!Z23</f>
        <v>100</v>
      </c>
      <c r="AA23" s="46" t="n">
        <f aca="false">'✏️ Data Input'!AA23</f>
        <v>100</v>
      </c>
      <c r="AB23" s="46" t="n">
        <f aca="false">'✏️ Data Input'!AB23</f>
        <v>150</v>
      </c>
      <c r="AC23" s="46" t="n">
        <f aca="false">'✏️ Data Input'!AC23</f>
        <v>150</v>
      </c>
      <c r="AD23" s="46" t="n">
        <f aca="false">'✏️ Data Input'!AD23</f>
        <v>150</v>
      </c>
      <c r="AE23" s="46" t="n">
        <f aca="false">'✏️ Data Input'!AE23</f>
        <v>150</v>
      </c>
      <c r="AF23" s="46" t="n">
        <f aca="false">'✏️ Data Input'!AF23</f>
        <v>120</v>
      </c>
      <c r="AG23" s="46" t="n">
        <f aca="false">'✏️ Data Input'!AG23</f>
        <v>120</v>
      </c>
      <c r="AH23" s="46" t="n">
        <f aca="false">'✏️ Data Input'!AH23</f>
        <v>120</v>
      </c>
      <c r="AI23" s="46" t="n">
        <f aca="false">'✏️ Data Input'!AI23</f>
        <v>0</v>
      </c>
    </row>
    <row r="24" customFormat="false" ht="12.75" hidden="false" customHeight="true" outlineLevel="0" collapsed="false">
      <c r="A24" s="12" t="str">
        <f aca="false">'✏️ Data Input'!B24</f>
        <v>5180033</v>
      </c>
      <c r="B24" s="54"/>
      <c r="C24" s="45" t="n">
        <f aca="false">'✏️ Data Input'!C24</f>
        <v>0</v>
      </c>
      <c r="D24" s="45" t="n">
        <f aca="false">'✏️ Data Input'!D24</f>
        <v>0</v>
      </c>
      <c r="E24" s="45" t="n">
        <f aca="false">'✏️ Data Input'!E24</f>
        <v>0</v>
      </c>
      <c r="F24" s="45" t="n">
        <f aca="false">'✏️ Data Input'!F24</f>
        <v>0</v>
      </c>
      <c r="G24" s="45" t="n">
        <f aca="false">'✏️ Data Input'!G24</f>
        <v>0</v>
      </c>
      <c r="H24" s="45" t="n">
        <f aca="false">'✏️ Data Input'!H24</f>
        <v>80</v>
      </c>
      <c r="I24" s="45" t="n">
        <f aca="false">'✏️ Data Input'!I24</f>
        <v>0</v>
      </c>
      <c r="J24" s="45" t="n">
        <f aca="false">'✏️ Data Input'!J24</f>
        <v>0</v>
      </c>
      <c r="K24" s="45" t="n">
        <f aca="false">'✏️ Data Input'!K24</f>
        <v>0</v>
      </c>
      <c r="L24" s="45" t="n">
        <f aca="false">'✏️ Data Input'!L24</f>
        <v>80</v>
      </c>
      <c r="M24" s="45" t="n">
        <f aca="false">'✏️ Data Input'!M24</f>
        <v>0</v>
      </c>
      <c r="N24" s="45" t="n">
        <f aca="false">'✏️ Data Input'!N24</f>
        <v>0</v>
      </c>
      <c r="O24" s="45" t="n">
        <f aca="false">'✏️ Data Input'!O24</f>
        <v>0</v>
      </c>
      <c r="P24" s="45" t="n">
        <f aca="false">'✏️ Data Input'!P24</f>
        <v>0</v>
      </c>
      <c r="Q24" s="45" t="n">
        <f aca="false">'✏️ Data Input'!Q24</f>
        <v>0</v>
      </c>
      <c r="R24" s="45" t="n">
        <f aca="false">'✏️ Data Input'!R24</f>
        <v>0</v>
      </c>
      <c r="S24" s="45" t="n">
        <f aca="false">'✏️ Data Input'!S24</f>
        <v>0</v>
      </c>
      <c r="T24" s="45" t="n">
        <f aca="false">'✏️ Data Input'!T24</f>
        <v>0</v>
      </c>
      <c r="U24" s="45" t="n">
        <f aca="false">'✏️ Data Input'!U24</f>
        <v>0</v>
      </c>
      <c r="V24" s="45" t="n">
        <f aca="false">'✏️ Data Input'!V24</f>
        <v>0</v>
      </c>
      <c r="W24" s="45" t="n">
        <f aca="false">'✏️ Data Input'!W24</f>
        <v>0</v>
      </c>
      <c r="X24" s="45" t="n">
        <f aca="false">'✏️ Data Input'!X24</f>
        <v>0</v>
      </c>
      <c r="Y24" s="45" t="n">
        <f aca="false">'✏️ Data Input'!Y24</f>
        <v>0</v>
      </c>
      <c r="Z24" s="45" t="n">
        <f aca="false">'✏️ Data Input'!Z24</f>
        <v>0</v>
      </c>
      <c r="AA24" s="45" t="n">
        <f aca="false">'✏️ Data Input'!AA24</f>
        <v>0</v>
      </c>
      <c r="AB24" s="45" t="n">
        <f aca="false">'✏️ Data Input'!AB24</f>
        <v>0</v>
      </c>
      <c r="AC24" s="45" t="n">
        <f aca="false">'✏️ Data Input'!AC24</f>
        <v>0</v>
      </c>
      <c r="AD24" s="45" t="n">
        <f aca="false">'✏️ Data Input'!AD24</f>
        <v>0</v>
      </c>
      <c r="AE24" s="45" t="n">
        <f aca="false">'✏️ Data Input'!AE24</f>
        <v>0</v>
      </c>
      <c r="AF24" s="45" t="n">
        <f aca="false">'✏️ Data Input'!AF24</f>
        <v>0</v>
      </c>
      <c r="AG24" s="45" t="n">
        <f aca="false">'✏️ Data Input'!AG24</f>
        <v>0</v>
      </c>
      <c r="AH24" s="45" t="n">
        <f aca="false">'✏️ Data Input'!AH24</f>
        <v>0</v>
      </c>
      <c r="AI24" s="45" t="n">
        <f aca="false">'✏️ Data Input'!AI24</f>
        <v>0</v>
      </c>
    </row>
    <row r="25" customFormat="false" ht="12.75" hidden="false" customHeight="true" outlineLevel="0" collapsed="false">
      <c r="A25" s="9" t="str">
        <f aca="false">'✏️ Data Input'!B25</f>
        <v>5073060</v>
      </c>
      <c r="B25" s="54"/>
      <c r="C25" s="46" t="n">
        <f aca="false">'✏️ Data Input'!C25</f>
        <v>0</v>
      </c>
      <c r="D25" s="46" t="n">
        <f aca="false">'✏️ Data Input'!D25</f>
        <v>0</v>
      </c>
      <c r="E25" s="46" t="n">
        <f aca="false">'✏️ Data Input'!E25</f>
        <v>0</v>
      </c>
      <c r="F25" s="46" t="n">
        <f aca="false">'✏️ Data Input'!F25</f>
        <v>0</v>
      </c>
      <c r="G25" s="46" t="n">
        <f aca="false">'✏️ Data Input'!G25</f>
        <v>0</v>
      </c>
      <c r="H25" s="46" t="n">
        <f aca="false">'✏️ Data Input'!H25</f>
        <v>0</v>
      </c>
      <c r="I25" s="46" t="n">
        <f aca="false">'✏️ Data Input'!I25</f>
        <v>0</v>
      </c>
      <c r="J25" s="46" t="n">
        <f aca="false">'✏️ Data Input'!J25</f>
        <v>0</v>
      </c>
      <c r="K25" s="46" t="n">
        <f aca="false">'✏️ Data Input'!K25</f>
        <v>0</v>
      </c>
      <c r="L25" s="46" t="n">
        <f aca="false">'✏️ Data Input'!L25</f>
        <v>0</v>
      </c>
      <c r="M25" s="46" t="n">
        <f aca="false">'✏️ Data Input'!M25</f>
        <v>0</v>
      </c>
      <c r="N25" s="46" t="n">
        <f aca="false">'✏️ Data Input'!N25</f>
        <v>0</v>
      </c>
      <c r="O25" s="46" t="n">
        <f aca="false">'✏️ Data Input'!O25</f>
        <v>0</v>
      </c>
      <c r="P25" s="46" t="n">
        <f aca="false">'✏️ Data Input'!P25</f>
        <v>0</v>
      </c>
      <c r="Q25" s="46" t="n">
        <f aca="false">'✏️ Data Input'!Q25</f>
        <v>0</v>
      </c>
      <c r="R25" s="46" t="n">
        <f aca="false">'✏️ Data Input'!R25</f>
        <v>0</v>
      </c>
      <c r="S25" s="46" t="n">
        <f aca="false">'✏️ Data Input'!S25</f>
        <v>0</v>
      </c>
      <c r="T25" s="46" t="n">
        <f aca="false">'✏️ Data Input'!T25</f>
        <v>0</v>
      </c>
      <c r="U25" s="46" t="n">
        <f aca="false">'✏️ Data Input'!U25</f>
        <v>0</v>
      </c>
      <c r="V25" s="46" t="n">
        <f aca="false">'✏️ Data Input'!V25</f>
        <v>0</v>
      </c>
      <c r="W25" s="46" t="n">
        <f aca="false">'✏️ Data Input'!W25</f>
        <v>0</v>
      </c>
      <c r="X25" s="46" t="n">
        <f aca="false">'✏️ Data Input'!X25</f>
        <v>0</v>
      </c>
      <c r="Y25" s="46" t="n">
        <f aca="false">'✏️ Data Input'!Y25</f>
        <v>0</v>
      </c>
      <c r="Z25" s="46" t="n">
        <f aca="false">'✏️ Data Input'!Z25</f>
        <v>0</v>
      </c>
      <c r="AA25" s="46" t="n">
        <f aca="false">'✏️ Data Input'!AA25</f>
        <v>0</v>
      </c>
      <c r="AB25" s="46" t="n">
        <f aca="false">'✏️ Data Input'!AB25</f>
        <v>0</v>
      </c>
      <c r="AC25" s="46" t="n">
        <f aca="false">'✏️ Data Input'!AC25</f>
        <v>0</v>
      </c>
      <c r="AD25" s="46" t="n">
        <f aca="false">'✏️ Data Input'!AD25</f>
        <v>0</v>
      </c>
      <c r="AE25" s="46" t="n">
        <f aca="false">'✏️ Data Input'!AE25</f>
        <v>0</v>
      </c>
      <c r="AF25" s="46" t="n">
        <f aca="false">'✏️ Data Input'!AF25</f>
        <v>0</v>
      </c>
      <c r="AG25" s="46" t="n">
        <f aca="false">'✏️ Data Input'!AG25</f>
        <v>0</v>
      </c>
      <c r="AH25" s="46" t="n">
        <f aca="false">'✏️ Data Input'!AH25</f>
        <v>0</v>
      </c>
      <c r="AI25" s="46" t="n">
        <f aca="false">'✏️ Data Input'!AI25</f>
        <v>0</v>
      </c>
    </row>
    <row r="26" customFormat="false" ht="12.75" hidden="false" customHeight="true" outlineLevel="0" collapsed="false">
      <c r="A26" s="12" t="str">
        <f aca="false">'✏️ Data Input'!B26</f>
        <v>4172763</v>
      </c>
      <c r="B26" s="54"/>
      <c r="C26" s="45" t="n">
        <f aca="false">'✏️ Data Input'!C26</f>
        <v>0</v>
      </c>
      <c r="D26" s="45" t="n">
        <f aca="false">'✏️ Data Input'!D26</f>
        <v>0</v>
      </c>
      <c r="E26" s="45" t="n">
        <f aca="false">'✏️ Data Input'!E26</f>
        <v>0</v>
      </c>
      <c r="F26" s="45" t="n">
        <f aca="false">'✏️ Data Input'!F26</f>
        <v>0</v>
      </c>
      <c r="G26" s="45" t="n">
        <f aca="false">'✏️ Data Input'!G26</f>
        <v>0</v>
      </c>
      <c r="H26" s="45" t="n">
        <f aca="false">'✏️ Data Input'!H26</f>
        <v>0</v>
      </c>
      <c r="I26" s="45" t="n">
        <f aca="false">'✏️ Data Input'!I26</f>
        <v>0</v>
      </c>
      <c r="J26" s="45" t="n">
        <f aca="false">'✏️ Data Input'!J26</f>
        <v>0</v>
      </c>
      <c r="K26" s="45" t="n">
        <f aca="false">'✏️ Data Input'!K26</f>
        <v>0</v>
      </c>
      <c r="L26" s="45" t="n">
        <f aca="false">'✏️ Data Input'!L26</f>
        <v>0</v>
      </c>
      <c r="M26" s="45" t="n">
        <f aca="false">'✏️ Data Input'!M26</f>
        <v>0</v>
      </c>
      <c r="N26" s="45" t="n">
        <f aca="false">'✏️ Data Input'!N26</f>
        <v>0</v>
      </c>
      <c r="O26" s="45" t="n">
        <f aca="false">'✏️ Data Input'!O26</f>
        <v>0</v>
      </c>
      <c r="P26" s="45" t="n">
        <f aca="false">'✏️ Data Input'!P26</f>
        <v>0</v>
      </c>
      <c r="Q26" s="45" t="n">
        <f aca="false">'✏️ Data Input'!Q26</f>
        <v>0</v>
      </c>
      <c r="R26" s="45" t="n">
        <f aca="false">'✏️ Data Input'!R26</f>
        <v>0</v>
      </c>
      <c r="S26" s="45" t="n">
        <f aca="false">'✏️ Data Input'!S26</f>
        <v>0</v>
      </c>
      <c r="T26" s="45" t="n">
        <f aca="false">'✏️ Data Input'!T26</f>
        <v>0</v>
      </c>
      <c r="U26" s="45" t="n">
        <f aca="false">'✏️ Data Input'!U26</f>
        <v>0</v>
      </c>
      <c r="V26" s="45" t="n">
        <f aca="false">'✏️ Data Input'!V26</f>
        <v>0</v>
      </c>
      <c r="W26" s="45" t="n">
        <f aca="false">'✏️ Data Input'!W26</f>
        <v>0</v>
      </c>
      <c r="X26" s="45" t="n">
        <f aca="false">'✏️ Data Input'!X26</f>
        <v>0</v>
      </c>
      <c r="Y26" s="45" t="n">
        <f aca="false">'✏️ Data Input'!Y26</f>
        <v>0</v>
      </c>
      <c r="Z26" s="45" t="n">
        <f aca="false">'✏️ Data Input'!Z26</f>
        <v>0</v>
      </c>
      <c r="AA26" s="45" t="n">
        <f aca="false">'✏️ Data Input'!AA26</f>
        <v>0</v>
      </c>
      <c r="AB26" s="45" t="n">
        <f aca="false">'✏️ Data Input'!AB26</f>
        <v>0</v>
      </c>
      <c r="AC26" s="45" t="n">
        <f aca="false">'✏️ Data Input'!AC26</f>
        <v>0</v>
      </c>
      <c r="AD26" s="45" t="n">
        <f aca="false">'✏️ Data Input'!AD26</f>
        <v>0</v>
      </c>
      <c r="AE26" s="45" t="n">
        <f aca="false">'✏️ Data Input'!AE26</f>
        <v>0</v>
      </c>
      <c r="AF26" s="45" t="n">
        <f aca="false">'✏️ Data Input'!AF26</f>
        <v>0</v>
      </c>
      <c r="AG26" s="45" t="n">
        <f aca="false">'✏️ Data Input'!AG26</f>
        <v>0</v>
      </c>
      <c r="AH26" s="45" t="n">
        <f aca="false">'✏️ Data Input'!AH26</f>
        <v>0</v>
      </c>
      <c r="AI26" s="45" t="n">
        <f aca="false">'✏️ Data Input'!AI26</f>
        <v>0</v>
      </c>
    </row>
    <row r="27" customFormat="false" ht="12.75" hidden="false" customHeight="true" outlineLevel="0" collapsed="false">
      <c r="A27" s="9" t="str">
        <f aca="false">'✏️ Data Input'!B27</f>
        <v>4172773</v>
      </c>
      <c r="B27" s="54"/>
      <c r="C27" s="46" t="n">
        <f aca="false">'✏️ Data Input'!C27</f>
        <v>0</v>
      </c>
      <c r="D27" s="46" t="n">
        <f aca="false">'✏️ Data Input'!D27</f>
        <v>800</v>
      </c>
      <c r="E27" s="46" t="n">
        <f aca="false">'✏️ Data Input'!E27</f>
        <v>800</v>
      </c>
      <c r="F27" s="46" t="n">
        <f aca="false">'✏️ Data Input'!F27</f>
        <v>880</v>
      </c>
      <c r="G27" s="46" t="n">
        <f aca="false">'✏️ Data Input'!G27</f>
        <v>800</v>
      </c>
      <c r="H27" s="46" t="n">
        <f aca="false">'✏️ Data Input'!H27</f>
        <v>720</v>
      </c>
      <c r="I27" s="46" t="n">
        <f aca="false">'✏️ Data Input'!I27</f>
        <v>800</v>
      </c>
      <c r="J27" s="46" t="n">
        <f aca="false">'✏️ Data Input'!J27</f>
        <v>800</v>
      </c>
      <c r="K27" s="46" t="n">
        <f aca="false">'✏️ Data Input'!K27</f>
        <v>1040</v>
      </c>
      <c r="L27" s="46" t="n">
        <f aca="false">'✏️ Data Input'!L27</f>
        <v>880</v>
      </c>
      <c r="M27" s="46" t="n">
        <f aca="false">'✏️ Data Input'!M27</f>
        <v>0</v>
      </c>
      <c r="N27" s="46" t="n">
        <f aca="false">'✏️ Data Input'!N27</f>
        <v>0</v>
      </c>
      <c r="O27" s="46" t="n">
        <f aca="false">'✏️ Data Input'!O27</f>
        <v>0</v>
      </c>
      <c r="P27" s="46" t="n">
        <f aca="false">'✏️ Data Input'!P27</f>
        <v>0</v>
      </c>
      <c r="Q27" s="46" t="n">
        <f aca="false">'✏️ Data Input'!Q27</f>
        <v>560</v>
      </c>
      <c r="R27" s="46" t="n">
        <f aca="false">'✏️ Data Input'!R27</f>
        <v>560</v>
      </c>
      <c r="S27" s="46" t="n">
        <f aca="false">'✏️ Data Input'!S27</f>
        <v>640</v>
      </c>
      <c r="T27" s="46" t="n">
        <f aca="false">'✏️ Data Input'!T27</f>
        <v>640</v>
      </c>
      <c r="U27" s="46" t="n">
        <f aca="false">'✏️ Data Input'!U27</f>
        <v>640</v>
      </c>
      <c r="V27" s="46" t="n">
        <f aca="false">'✏️ Data Input'!V27</f>
        <v>640</v>
      </c>
      <c r="W27" s="46" t="n">
        <f aca="false">'✏️ Data Input'!W27</f>
        <v>640</v>
      </c>
      <c r="X27" s="46" t="n">
        <f aca="false">'✏️ Data Input'!X27</f>
        <v>440</v>
      </c>
      <c r="Y27" s="46" t="n">
        <f aca="false">'✏️ Data Input'!Y27</f>
        <v>440</v>
      </c>
      <c r="Z27" s="46" t="n">
        <f aca="false">'✏️ Data Input'!Z27</f>
        <v>440</v>
      </c>
      <c r="AA27" s="46" t="n">
        <f aca="false">'✏️ Data Input'!AA27</f>
        <v>440</v>
      </c>
      <c r="AB27" s="46" t="n">
        <f aca="false">'✏️ Data Input'!AB27</f>
        <v>580</v>
      </c>
      <c r="AC27" s="46" t="n">
        <f aca="false">'✏️ Data Input'!AC27</f>
        <v>580</v>
      </c>
      <c r="AD27" s="46" t="n">
        <f aca="false">'✏️ Data Input'!AD27</f>
        <v>580</v>
      </c>
      <c r="AE27" s="46" t="n">
        <f aca="false">'✏️ Data Input'!AE27</f>
        <v>580</v>
      </c>
      <c r="AF27" s="46" t="n">
        <f aca="false">'✏️ Data Input'!AF27</f>
        <v>560</v>
      </c>
      <c r="AG27" s="46" t="n">
        <f aca="false">'✏️ Data Input'!AG27</f>
        <v>920</v>
      </c>
      <c r="AH27" s="46" t="n">
        <f aca="false">'✏️ Data Input'!AH27</f>
        <v>920</v>
      </c>
      <c r="AI27" s="46" t="n">
        <f aca="false">'✏️ Data Input'!AI27</f>
        <v>0</v>
      </c>
    </row>
    <row r="28" customFormat="false" ht="12.75" hidden="false" customHeight="true" outlineLevel="0" collapsed="false">
      <c r="A28" s="12" t="str">
        <f aca="false">'✏️ Data Input'!B28</f>
        <v>7506617</v>
      </c>
      <c r="B28" s="54"/>
      <c r="C28" s="45" t="n">
        <f aca="false">'✏️ Data Input'!C28</f>
        <v>0</v>
      </c>
      <c r="D28" s="45" t="n">
        <f aca="false">'✏️ Data Input'!D28</f>
        <v>0</v>
      </c>
      <c r="E28" s="45" t="n">
        <f aca="false">'✏️ Data Input'!E28</f>
        <v>0</v>
      </c>
      <c r="F28" s="45" t="n">
        <f aca="false">'✏️ Data Input'!F28</f>
        <v>0</v>
      </c>
      <c r="G28" s="45" t="n">
        <f aca="false">'✏️ Data Input'!G28</f>
        <v>0</v>
      </c>
      <c r="H28" s="45" t="n">
        <f aca="false">'✏️ Data Input'!H28</f>
        <v>0</v>
      </c>
      <c r="I28" s="45" t="n">
        <f aca="false">'✏️ Data Input'!I28</f>
        <v>0</v>
      </c>
      <c r="J28" s="45" t="n">
        <f aca="false">'✏️ Data Input'!J28</f>
        <v>0</v>
      </c>
      <c r="K28" s="45" t="n">
        <f aca="false">'✏️ Data Input'!K28</f>
        <v>0</v>
      </c>
      <c r="L28" s="45" t="n">
        <f aca="false">'✏️ Data Input'!L28</f>
        <v>80</v>
      </c>
      <c r="M28" s="45" t="n">
        <f aca="false">'✏️ Data Input'!M28</f>
        <v>0</v>
      </c>
      <c r="N28" s="45" t="n">
        <f aca="false">'✏️ Data Input'!N28</f>
        <v>0</v>
      </c>
      <c r="O28" s="45" t="n">
        <f aca="false">'✏️ Data Input'!O28</f>
        <v>0</v>
      </c>
      <c r="P28" s="45" t="n">
        <f aca="false">'✏️ Data Input'!P28</f>
        <v>0</v>
      </c>
      <c r="Q28" s="45" t="n">
        <f aca="false">'✏️ Data Input'!Q28</f>
        <v>0</v>
      </c>
      <c r="R28" s="45" t="n">
        <f aca="false">'✏️ Data Input'!R28</f>
        <v>0</v>
      </c>
      <c r="S28" s="45" t="n">
        <f aca="false">'✏️ Data Input'!S28</f>
        <v>0</v>
      </c>
      <c r="T28" s="45" t="n">
        <f aca="false">'✏️ Data Input'!T28</f>
        <v>0</v>
      </c>
      <c r="U28" s="45" t="n">
        <f aca="false">'✏️ Data Input'!U28</f>
        <v>0</v>
      </c>
      <c r="V28" s="45" t="n">
        <f aca="false">'✏️ Data Input'!V28</f>
        <v>0</v>
      </c>
      <c r="W28" s="45" t="n">
        <f aca="false">'✏️ Data Input'!W28</f>
        <v>0</v>
      </c>
      <c r="X28" s="45" t="n">
        <f aca="false">'✏️ Data Input'!X28</f>
        <v>0</v>
      </c>
      <c r="Y28" s="45" t="n">
        <f aca="false">'✏️ Data Input'!Y28</f>
        <v>0</v>
      </c>
      <c r="Z28" s="45" t="n">
        <f aca="false">'✏️ Data Input'!Z28</f>
        <v>0</v>
      </c>
      <c r="AA28" s="45" t="n">
        <f aca="false">'✏️ Data Input'!AA28</f>
        <v>0</v>
      </c>
      <c r="AB28" s="45" t="n">
        <f aca="false">'✏️ Data Input'!AB28</f>
        <v>20</v>
      </c>
      <c r="AC28" s="45" t="n">
        <f aca="false">'✏️ Data Input'!AC28</f>
        <v>20</v>
      </c>
      <c r="AD28" s="45" t="n">
        <f aca="false">'✏️ Data Input'!AD28</f>
        <v>20</v>
      </c>
      <c r="AE28" s="45" t="n">
        <f aca="false">'✏️ Data Input'!AE28</f>
        <v>20</v>
      </c>
      <c r="AF28" s="45" t="n">
        <f aca="false">'✏️ Data Input'!AF28</f>
        <v>0</v>
      </c>
      <c r="AG28" s="45" t="n">
        <f aca="false">'✏️ Data Input'!AG28</f>
        <v>0</v>
      </c>
      <c r="AH28" s="45" t="n">
        <f aca="false">'✏️ Data Input'!AH28</f>
        <v>0</v>
      </c>
      <c r="AI28" s="45" t="n">
        <f aca="false">'✏️ Data Input'!AI28</f>
        <v>0</v>
      </c>
    </row>
    <row r="29" customFormat="false" ht="12.75" hidden="false" customHeight="true" outlineLevel="0" collapsed="false">
      <c r="A29" s="9" t="str">
        <f aca="false">'✏️ Data Input'!B29</f>
        <v>4172806</v>
      </c>
      <c r="B29" s="54"/>
      <c r="C29" s="46" t="n">
        <f aca="false">'✏️ Data Input'!C29</f>
        <v>0</v>
      </c>
      <c r="D29" s="46" t="n">
        <f aca="false">'✏️ Data Input'!D29</f>
        <v>0</v>
      </c>
      <c r="E29" s="46" t="n">
        <f aca="false">'✏️ Data Input'!E29</f>
        <v>0</v>
      </c>
      <c r="F29" s="46" t="n">
        <f aca="false">'✏️ Data Input'!F29</f>
        <v>0</v>
      </c>
      <c r="G29" s="46" t="n">
        <f aca="false">'✏️ Data Input'!G29</f>
        <v>0</v>
      </c>
      <c r="H29" s="46" t="n">
        <f aca="false">'✏️ Data Input'!H29</f>
        <v>0</v>
      </c>
      <c r="I29" s="46" t="n">
        <f aca="false">'✏️ Data Input'!I29</f>
        <v>0</v>
      </c>
      <c r="J29" s="46" t="n">
        <f aca="false">'✏️ Data Input'!J29</f>
        <v>0</v>
      </c>
      <c r="K29" s="46" t="n">
        <f aca="false">'✏️ Data Input'!K29</f>
        <v>0</v>
      </c>
      <c r="L29" s="46" t="n">
        <f aca="false">'✏️ Data Input'!L29</f>
        <v>0</v>
      </c>
      <c r="M29" s="46" t="n">
        <f aca="false">'✏️ Data Input'!M29</f>
        <v>0</v>
      </c>
      <c r="N29" s="46" t="n">
        <f aca="false">'✏️ Data Input'!N29</f>
        <v>0</v>
      </c>
      <c r="O29" s="46" t="n">
        <f aca="false">'✏️ Data Input'!O29</f>
        <v>0</v>
      </c>
      <c r="P29" s="46" t="n">
        <f aca="false">'✏️ Data Input'!P29</f>
        <v>0</v>
      </c>
      <c r="Q29" s="46" t="n">
        <f aca="false">'✏️ Data Input'!Q29</f>
        <v>0</v>
      </c>
      <c r="R29" s="46" t="n">
        <f aca="false">'✏️ Data Input'!R29</f>
        <v>0</v>
      </c>
      <c r="S29" s="46" t="n">
        <f aca="false">'✏️ Data Input'!S29</f>
        <v>0</v>
      </c>
      <c r="T29" s="46" t="n">
        <f aca="false">'✏️ Data Input'!T29</f>
        <v>0</v>
      </c>
      <c r="U29" s="46" t="n">
        <f aca="false">'✏️ Data Input'!U29</f>
        <v>0</v>
      </c>
      <c r="V29" s="46" t="n">
        <f aca="false">'✏️ Data Input'!V29</f>
        <v>0</v>
      </c>
      <c r="W29" s="46" t="n">
        <f aca="false">'✏️ Data Input'!W29</f>
        <v>0</v>
      </c>
      <c r="X29" s="46" t="n">
        <f aca="false">'✏️ Data Input'!X29</f>
        <v>30</v>
      </c>
      <c r="Y29" s="46" t="n">
        <f aca="false">'✏️ Data Input'!Y29</f>
        <v>30</v>
      </c>
      <c r="Z29" s="46" t="n">
        <f aca="false">'✏️ Data Input'!Z29</f>
        <v>30</v>
      </c>
      <c r="AA29" s="46" t="n">
        <f aca="false">'✏️ Data Input'!AA29</f>
        <v>10</v>
      </c>
      <c r="AB29" s="46" t="n">
        <f aca="false">'✏️ Data Input'!AB29</f>
        <v>60</v>
      </c>
      <c r="AC29" s="46" t="n">
        <f aca="false">'✏️ Data Input'!AC29</f>
        <v>60</v>
      </c>
      <c r="AD29" s="46" t="n">
        <f aca="false">'✏️ Data Input'!AD29</f>
        <v>60</v>
      </c>
      <c r="AE29" s="46" t="n">
        <f aca="false">'✏️ Data Input'!AE29</f>
        <v>60</v>
      </c>
      <c r="AF29" s="46" t="n">
        <f aca="false">'✏️ Data Input'!AF29</f>
        <v>60</v>
      </c>
      <c r="AG29" s="46" t="n">
        <f aca="false">'✏️ Data Input'!AG29</f>
        <v>50</v>
      </c>
      <c r="AH29" s="46" t="n">
        <f aca="false">'✏️ Data Input'!AH29</f>
        <v>50</v>
      </c>
      <c r="AI29" s="46" t="n">
        <f aca="false">'✏️ Data Input'!AI29</f>
        <v>0</v>
      </c>
    </row>
    <row r="30" customFormat="false" ht="12.75" hidden="false" customHeight="true" outlineLevel="0" collapsed="false">
      <c r="A30" s="12" t="str">
        <f aca="false">'✏️ Data Input'!B30</f>
        <v>4817101</v>
      </c>
      <c r="B30" s="54"/>
      <c r="C30" s="45" t="n">
        <f aca="false">'✏️ Data Input'!C30</f>
        <v>80</v>
      </c>
      <c r="D30" s="45" t="n">
        <f aca="false">'✏️ Data Input'!D30</f>
        <v>80</v>
      </c>
      <c r="E30" s="45" t="n">
        <f aca="false">'✏️ Data Input'!E30</f>
        <v>0</v>
      </c>
      <c r="F30" s="45" t="n">
        <f aca="false">'✏️ Data Input'!F30</f>
        <v>80</v>
      </c>
      <c r="G30" s="45" t="n">
        <f aca="false">'✏️ Data Input'!G30</f>
        <v>80</v>
      </c>
      <c r="H30" s="45" t="n">
        <f aca="false">'✏️ Data Input'!H30</f>
        <v>80</v>
      </c>
      <c r="I30" s="45" t="n">
        <f aca="false">'✏️ Data Input'!I30</f>
        <v>80</v>
      </c>
      <c r="J30" s="45" t="n">
        <f aca="false">'✏️ Data Input'!J30</f>
        <v>80</v>
      </c>
      <c r="K30" s="45" t="n">
        <f aca="false">'✏️ Data Input'!K30</f>
        <v>160</v>
      </c>
      <c r="L30" s="45" t="n">
        <f aca="false">'✏️ Data Input'!L30</f>
        <v>320</v>
      </c>
      <c r="M30" s="45" t="n">
        <f aca="false">'✏️ Data Input'!M30</f>
        <v>0</v>
      </c>
      <c r="N30" s="45" t="n">
        <f aca="false">'✏️ Data Input'!N30</f>
        <v>0</v>
      </c>
      <c r="O30" s="45" t="n">
        <f aca="false">'✏️ Data Input'!O30</f>
        <v>0</v>
      </c>
      <c r="P30" s="45" t="n">
        <f aca="false">'✏️ Data Input'!P30</f>
        <v>0</v>
      </c>
      <c r="Q30" s="45" t="n">
        <f aca="false">'✏️ Data Input'!Q30</f>
        <v>80</v>
      </c>
      <c r="R30" s="45" t="n">
        <f aca="false">'✏️ Data Input'!R30</f>
        <v>160</v>
      </c>
      <c r="S30" s="45" t="n">
        <f aca="false">'✏️ Data Input'!S30</f>
        <v>80</v>
      </c>
      <c r="T30" s="45" t="n">
        <f aca="false">'✏️ Data Input'!T30</f>
        <v>120</v>
      </c>
      <c r="U30" s="45" t="n">
        <f aca="false">'✏️ Data Input'!U30</f>
        <v>120</v>
      </c>
      <c r="V30" s="45" t="n">
        <f aca="false">'✏️ Data Input'!V30</f>
        <v>120</v>
      </c>
      <c r="W30" s="45" t="n">
        <f aca="false">'✏️ Data Input'!W30</f>
        <v>120</v>
      </c>
      <c r="X30" s="45" t="n">
        <f aca="false">'✏️ Data Input'!X30</f>
        <v>140</v>
      </c>
      <c r="Y30" s="45" t="n">
        <f aca="false">'✏️ Data Input'!Y30</f>
        <v>140</v>
      </c>
      <c r="Z30" s="45" t="n">
        <f aca="false">'✏️ Data Input'!Z30</f>
        <v>140</v>
      </c>
      <c r="AA30" s="45" t="n">
        <f aca="false">'✏️ Data Input'!AA30</f>
        <v>140</v>
      </c>
      <c r="AB30" s="45" t="n">
        <f aca="false">'✏️ Data Input'!AB30</f>
        <v>390</v>
      </c>
      <c r="AC30" s="45" t="n">
        <f aca="false">'✏️ Data Input'!AC30</f>
        <v>390</v>
      </c>
      <c r="AD30" s="45" t="n">
        <f aca="false">'✏️ Data Input'!AD30</f>
        <v>390</v>
      </c>
      <c r="AE30" s="45" t="n">
        <f aca="false">'✏️ Data Input'!AE30</f>
        <v>390</v>
      </c>
      <c r="AF30" s="45" t="n">
        <f aca="false">'✏️ Data Input'!AF30</f>
        <v>360</v>
      </c>
      <c r="AG30" s="45" t="n">
        <f aca="false">'✏️ Data Input'!AG30</f>
        <v>280</v>
      </c>
      <c r="AH30" s="45" t="n">
        <f aca="false">'✏️ Data Input'!AH30</f>
        <v>280</v>
      </c>
      <c r="AI30" s="45" t="n">
        <f aca="false">'✏️ Data Input'!AI30</f>
        <v>0</v>
      </c>
    </row>
    <row r="31" customFormat="false" ht="12.75" hidden="false" customHeight="true" outlineLevel="0" collapsed="false">
      <c r="A31" s="9" t="str">
        <f aca="false">'✏️ Data Input'!B31</f>
        <v>5080285</v>
      </c>
      <c r="B31" s="54"/>
      <c r="C31" s="46" t="n">
        <f aca="false">'✏️ Data Input'!C31</f>
        <v>0</v>
      </c>
      <c r="D31" s="46" t="n">
        <f aca="false">'✏️ Data Input'!D31</f>
        <v>80</v>
      </c>
      <c r="E31" s="46" t="n">
        <f aca="false">'✏️ Data Input'!E31</f>
        <v>0</v>
      </c>
      <c r="F31" s="46" t="n">
        <f aca="false">'✏️ Data Input'!F31</f>
        <v>0</v>
      </c>
      <c r="G31" s="46" t="n">
        <f aca="false">'✏️ Data Input'!G31</f>
        <v>80</v>
      </c>
      <c r="H31" s="46" t="n">
        <f aca="false">'✏️ Data Input'!H31</f>
        <v>0</v>
      </c>
      <c r="I31" s="46" t="n">
        <f aca="false">'✏️ Data Input'!I31</f>
        <v>0</v>
      </c>
      <c r="J31" s="46" t="n">
        <f aca="false">'✏️ Data Input'!J31</f>
        <v>80</v>
      </c>
      <c r="K31" s="46" t="n">
        <f aca="false">'✏️ Data Input'!K31</f>
        <v>0</v>
      </c>
      <c r="L31" s="46" t="n">
        <f aca="false">'✏️ Data Input'!L31</f>
        <v>80</v>
      </c>
      <c r="M31" s="46" t="n">
        <f aca="false">'✏️ Data Input'!M31</f>
        <v>0</v>
      </c>
      <c r="N31" s="46" t="n">
        <f aca="false">'✏️ Data Input'!N31</f>
        <v>0</v>
      </c>
      <c r="O31" s="46" t="n">
        <f aca="false">'✏️ Data Input'!O31</f>
        <v>0</v>
      </c>
      <c r="P31" s="46" t="n">
        <f aca="false">'✏️ Data Input'!P31</f>
        <v>0</v>
      </c>
      <c r="Q31" s="46" t="n">
        <f aca="false">'✏️ Data Input'!Q31</f>
        <v>0</v>
      </c>
      <c r="R31" s="46" t="n">
        <f aca="false">'✏️ Data Input'!R31</f>
        <v>0</v>
      </c>
      <c r="S31" s="46" t="n">
        <f aca="false">'✏️ Data Input'!S31</f>
        <v>0</v>
      </c>
      <c r="T31" s="46" t="n">
        <f aca="false">'✏️ Data Input'!T31</f>
        <v>20</v>
      </c>
      <c r="U31" s="46" t="n">
        <f aca="false">'✏️ Data Input'!U31</f>
        <v>20</v>
      </c>
      <c r="V31" s="46" t="n">
        <f aca="false">'✏️ Data Input'!V31</f>
        <v>20</v>
      </c>
      <c r="W31" s="46" t="n">
        <f aca="false">'✏️ Data Input'!W31</f>
        <v>20</v>
      </c>
      <c r="X31" s="46" t="n">
        <f aca="false">'✏️ Data Input'!X31</f>
        <v>20</v>
      </c>
      <c r="Y31" s="46" t="n">
        <f aca="false">'✏️ Data Input'!Y31</f>
        <v>20</v>
      </c>
      <c r="Z31" s="46" t="n">
        <f aca="false">'✏️ Data Input'!Z31</f>
        <v>20</v>
      </c>
      <c r="AA31" s="46" t="n">
        <f aca="false">'✏️ Data Input'!AA31</f>
        <v>20</v>
      </c>
      <c r="AB31" s="46" t="n">
        <f aca="false">'✏️ Data Input'!AB31</f>
        <v>40</v>
      </c>
      <c r="AC31" s="46" t="n">
        <f aca="false">'✏️ Data Input'!AC31</f>
        <v>40</v>
      </c>
      <c r="AD31" s="46" t="n">
        <f aca="false">'✏️ Data Input'!AD31</f>
        <v>40</v>
      </c>
      <c r="AE31" s="46" t="n">
        <f aca="false">'✏️ Data Input'!AE31</f>
        <v>40</v>
      </c>
      <c r="AF31" s="46" t="n">
        <f aca="false">'✏️ Data Input'!AF31</f>
        <v>0</v>
      </c>
      <c r="AG31" s="46" t="n">
        <f aca="false">'✏️ Data Input'!AG31</f>
        <v>40</v>
      </c>
      <c r="AH31" s="46" t="n">
        <f aca="false">'✏️ Data Input'!AH31</f>
        <v>40</v>
      </c>
      <c r="AI31" s="46" t="n">
        <f aca="false">'✏️ Data Input'!AI31</f>
        <v>0</v>
      </c>
    </row>
    <row r="32" customFormat="false" ht="12.75" hidden="false" customHeight="true" outlineLevel="0" collapsed="false">
      <c r="A32" s="12" t="str">
        <f aca="false">'✏️ Data Input'!B32</f>
        <v>4817111</v>
      </c>
      <c r="B32" s="54"/>
      <c r="C32" s="45" t="n">
        <f aca="false">'✏️ Data Input'!C32</f>
        <v>0</v>
      </c>
      <c r="D32" s="45" t="n">
        <f aca="false">'✏️ Data Input'!D32</f>
        <v>0</v>
      </c>
      <c r="E32" s="45" t="n">
        <f aca="false">'✏️ Data Input'!E32</f>
        <v>0</v>
      </c>
      <c r="F32" s="45" t="n">
        <f aca="false">'✏️ Data Input'!F32</f>
        <v>0</v>
      </c>
      <c r="G32" s="45" t="n">
        <f aca="false">'✏️ Data Input'!G32</f>
        <v>0</v>
      </c>
      <c r="H32" s="45" t="n">
        <f aca="false">'✏️ Data Input'!H32</f>
        <v>0</v>
      </c>
      <c r="I32" s="45" t="n">
        <f aca="false">'✏️ Data Input'!I32</f>
        <v>0</v>
      </c>
      <c r="J32" s="45" t="n">
        <f aca="false">'✏️ Data Input'!J32</f>
        <v>0</v>
      </c>
      <c r="K32" s="45" t="n">
        <f aca="false">'✏️ Data Input'!K32</f>
        <v>0</v>
      </c>
      <c r="L32" s="45" t="n">
        <f aca="false">'✏️ Data Input'!L32</f>
        <v>0</v>
      </c>
      <c r="M32" s="45" t="n">
        <f aca="false">'✏️ Data Input'!M32</f>
        <v>0</v>
      </c>
      <c r="N32" s="45" t="n">
        <f aca="false">'✏️ Data Input'!N32</f>
        <v>0</v>
      </c>
      <c r="O32" s="45" t="n">
        <f aca="false">'✏️ Data Input'!O32</f>
        <v>0</v>
      </c>
      <c r="P32" s="45" t="n">
        <f aca="false">'✏️ Data Input'!P32</f>
        <v>0</v>
      </c>
      <c r="Q32" s="45" t="n">
        <f aca="false">'✏️ Data Input'!Q32</f>
        <v>0</v>
      </c>
      <c r="R32" s="45" t="n">
        <f aca="false">'✏️ Data Input'!R32</f>
        <v>0</v>
      </c>
      <c r="S32" s="45" t="n">
        <f aca="false">'✏️ Data Input'!S32</f>
        <v>0</v>
      </c>
      <c r="T32" s="45" t="n">
        <f aca="false">'✏️ Data Input'!T32</f>
        <v>0</v>
      </c>
      <c r="U32" s="45" t="n">
        <f aca="false">'✏️ Data Input'!U32</f>
        <v>0</v>
      </c>
      <c r="V32" s="45" t="n">
        <f aca="false">'✏️ Data Input'!V32</f>
        <v>0</v>
      </c>
      <c r="W32" s="45" t="n">
        <f aca="false">'✏️ Data Input'!W32</f>
        <v>0</v>
      </c>
      <c r="X32" s="45" t="n">
        <f aca="false">'✏️ Data Input'!X32</f>
        <v>0</v>
      </c>
      <c r="Y32" s="45" t="n">
        <f aca="false">'✏️ Data Input'!Y32</f>
        <v>0</v>
      </c>
      <c r="Z32" s="45" t="n">
        <f aca="false">'✏️ Data Input'!Z32</f>
        <v>0</v>
      </c>
      <c r="AA32" s="45" t="n">
        <f aca="false">'✏️ Data Input'!AA32</f>
        <v>0</v>
      </c>
      <c r="AB32" s="45" t="n">
        <f aca="false">'✏️ Data Input'!AB32</f>
        <v>20</v>
      </c>
      <c r="AC32" s="45" t="n">
        <f aca="false">'✏️ Data Input'!AC32</f>
        <v>20</v>
      </c>
      <c r="AD32" s="45" t="n">
        <f aca="false">'✏️ Data Input'!AD32</f>
        <v>20</v>
      </c>
      <c r="AE32" s="45" t="n">
        <f aca="false">'✏️ Data Input'!AE32</f>
        <v>20</v>
      </c>
      <c r="AF32" s="45" t="n">
        <f aca="false">'✏️ Data Input'!AF32</f>
        <v>0</v>
      </c>
      <c r="AG32" s="45" t="n">
        <f aca="false">'✏️ Data Input'!AG32</f>
        <v>0</v>
      </c>
      <c r="AH32" s="45" t="n">
        <f aca="false">'✏️ Data Input'!AH32</f>
        <v>0</v>
      </c>
      <c r="AI32" s="45" t="n">
        <f aca="false">'✏️ Data Input'!AI32</f>
        <v>0</v>
      </c>
    </row>
    <row r="33" customFormat="false" ht="12.75" hidden="false" customHeight="true" outlineLevel="0" collapsed="false">
      <c r="A33" s="9" t="str">
        <f aca="false">'✏️ Data Input'!B33</f>
        <v>5080263</v>
      </c>
      <c r="B33" s="54"/>
      <c r="C33" s="46" t="n">
        <f aca="false">'✏️ Data Input'!C33</f>
        <v>0</v>
      </c>
      <c r="D33" s="46" t="n">
        <f aca="false">'✏️ Data Input'!D33</f>
        <v>80</v>
      </c>
      <c r="E33" s="46" t="n">
        <f aca="false">'✏️ Data Input'!E33</f>
        <v>60</v>
      </c>
      <c r="F33" s="46" t="n">
        <f aca="false">'✏️ Data Input'!F33</f>
        <v>0</v>
      </c>
      <c r="G33" s="46" t="n">
        <f aca="false">'✏️ Data Input'!G33</f>
        <v>36</v>
      </c>
      <c r="H33" s="46" t="n">
        <f aca="false">'✏️ Data Input'!H33</f>
        <v>0</v>
      </c>
      <c r="I33" s="46" t="n">
        <f aca="false">'✏️ Data Input'!I33</f>
        <v>0</v>
      </c>
      <c r="J33" s="46" t="n">
        <f aca="false">'✏️ Data Input'!J33</f>
        <v>0</v>
      </c>
      <c r="K33" s="46" t="n">
        <f aca="false">'✏️ Data Input'!K33</f>
        <v>0</v>
      </c>
      <c r="L33" s="46" t="n">
        <f aca="false">'✏️ Data Input'!L33</f>
        <v>0</v>
      </c>
      <c r="M33" s="46" t="n">
        <f aca="false">'✏️ Data Input'!M33</f>
        <v>0</v>
      </c>
      <c r="N33" s="46" t="n">
        <f aca="false">'✏️ Data Input'!N33</f>
        <v>0</v>
      </c>
      <c r="O33" s="46" t="n">
        <f aca="false">'✏️ Data Input'!O33</f>
        <v>0</v>
      </c>
      <c r="P33" s="46" t="n">
        <f aca="false">'✏️ Data Input'!P33</f>
        <v>0</v>
      </c>
      <c r="Q33" s="46" t="n">
        <f aca="false">'✏️ Data Input'!Q33</f>
        <v>0</v>
      </c>
      <c r="R33" s="46" t="n">
        <f aca="false">'✏️ Data Input'!R33</f>
        <v>0</v>
      </c>
      <c r="S33" s="46" t="n">
        <f aca="false">'✏️ Data Input'!S33</f>
        <v>0</v>
      </c>
      <c r="T33" s="46" t="n">
        <f aca="false">'✏️ Data Input'!T33</f>
        <v>0</v>
      </c>
      <c r="U33" s="46" t="n">
        <f aca="false">'✏️ Data Input'!U33</f>
        <v>0</v>
      </c>
      <c r="V33" s="46" t="n">
        <f aca="false">'✏️ Data Input'!V33</f>
        <v>0</v>
      </c>
      <c r="W33" s="46" t="n">
        <f aca="false">'✏️ Data Input'!W33</f>
        <v>0</v>
      </c>
      <c r="X33" s="46" t="n">
        <f aca="false">'✏️ Data Input'!X33</f>
        <v>0</v>
      </c>
      <c r="Y33" s="46" t="n">
        <f aca="false">'✏️ Data Input'!Y33</f>
        <v>0</v>
      </c>
      <c r="Z33" s="46" t="n">
        <f aca="false">'✏️ Data Input'!Z33</f>
        <v>0</v>
      </c>
      <c r="AA33" s="46" t="n">
        <f aca="false">'✏️ Data Input'!AA33</f>
        <v>0</v>
      </c>
      <c r="AB33" s="46" t="n">
        <f aca="false">'✏️ Data Input'!AB33</f>
        <v>0</v>
      </c>
      <c r="AC33" s="46" t="n">
        <f aca="false">'✏️ Data Input'!AC33</f>
        <v>0</v>
      </c>
      <c r="AD33" s="46" t="n">
        <f aca="false">'✏️ Data Input'!AD33</f>
        <v>0</v>
      </c>
      <c r="AE33" s="46" t="n">
        <f aca="false">'✏️ Data Input'!AE33</f>
        <v>0</v>
      </c>
      <c r="AF33" s="46" t="n">
        <f aca="false">'✏️ Data Input'!AF33</f>
        <v>0</v>
      </c>
      <c r="AG33" s="46" t="n">
        <f aca="false">'✏️ Data Input'!AG33</f>
        <v>0</v>
      </c>
      <c r="AH33" s="46" t="n">
        <f aca="false">'✏️ Data Input'!AH33</f>
        <v>0</v>
      </c>
      <c r="AI33" s="46" t="n">
        <f aca="false">'✏️ Data Input'!AI33</f>
        <v>0</v>
      </c>
    </row>
    <row r="34" customFormat="false" ht="15" hidden="false" customHeight="true" outlineLevel="0" collapsed="false">
      <c r="A34" s="8" t="s">
        <v>141</v>
      </c>
      <c r="B34" s="54"/>
      <c r="C34" s="50" t="n">
        <f aca="false">SUMIF('✏️ Data Input'!A5:A71,"JCI2 LH",'✏️ Data Input'!C5:C71)</f>
        <v>240</v>
      </c>
      <c r="D34" s="50" t="n">
        <f aca="false">SUMIF('✏️ Data Input'!A5:A71,"JCI2 LH",'✏️ Data Input'!D5:D71)</f>
        <v>5960</v>
      </c>
      <c r="E34" s="50" t="n">
        <f aca="false">SUMIF('✏️ Data Input'!A5:A71,"JCI2 LH",'✏️ Data Input'!E5:E71)</f>
        <v>3400</v>
      </c>
      <c r="F34" s="50" t="n">
        <f aca="false">SUMIF('✏️ Data Input'!A5:A71,"JCI2 LH",'✏️ Data Input'!F5:F71)</f>
        <v>3900</v>
      </c>
      <c r="G34" s="50" t="n">
        <f aca="false">SUMIF('✏️ Data Input'!A5:A71,"JCI2 LH",'✏️ Data Input'!G5:G71)</f>
        <v>4116</v>
      </c>
      <c r="H34" s="50" t="n">
        <f aca="false">SUMIF('✏️ Data Input'!A5:A71,"JCI2 LH",'✏️ Data Input'!H5:H71)</f>
        <v>4260</v>
      </c>
      <c r="I34" s="50" t="n">
        <f aca="false">SUMIF('✏️ Data Input'!A5:A71,"JCI2 LH",'✏️ Data Input'!I5:I71)</f>
        <v>3560</v>
      </c>
      <c r="J34" s="50" t="n">
        <f aca="false">SUMIF('✏️ Data Input'!A5:A71,"JCI2 LH",'✏️ Data Input'!J5:J71)</f>
        <v>3720</v>
      </c>
      <c r="K34" s="50" t="n">
        <f aca="false">SUMIF('✏️ Data Input'!A5:A71,"JCI2 LH",'✏️ Data Input'!K5:K71)</f>
        <v>5120</v>
      </c>
      <c r="L34" s="50" t="n">
        <f aca="false">SUMIF('✏️ Data Input'!A5:A71,"JCI2 LH",'✏️ Data Input'!L5:L71)</f>
        <v>6500</v>
      </c>
      <c r="M34" s="50" t="n">
        <f aca="false">SUMIF('✏️ Data Input'!A5:A71,"JCI2 LH",'✏️ Data Input'!M5:M71)</f>
        <v>0</v>
      </c>
      <c r="N34" s="50" t="n">
        <f aca="false">SUMIF('✏️ Data Input'!A5:A71,"JCI2 LH",'✏️ Data Input'!N5:N71)</f>
        <v>0</v>
      </c>
      <c r="O34" s="50" t="n">
        <f aca="false">SUMIF('✏️ Data Input'!A5:A71,"JCI2 LH",'✏️ Data Input'!O5:O71)</f>
        <v>0</v>
      </c>
      <c r="P34" s="50" t="n">
        <f aca="false">SUMIF('✏️ Data Input'!A5:A71,"JCI2 LH",'✏️ Data Input'!P5:P71)</f>
        <v>0</v>
      </c>
      <c r="Q34" s="50" t="n">
        <f aca="false">SUMIF('✏️ Data Input'!A5:A71,"JCI2 LH",'✏️ Data Input'!Q5:Q71)</f>
        <v>3840</v>
      </c>
      <c r="R34" s="50" t="n">
        <f aca="false">SUMIF('✏️ Data Input'!A5:A71,"JCI2 LH",'✏️ Data Input'!R5:R71)</f>
        <v>3080</v>
      </c>
      <c r="S34" s="50" t="n">
        <f aca="false">SUMIF('✏️ Data Input'!A5:A71,"JCI2 LH",'✏️ Data Input'!S5:S71)</f>
        <v>3660</v>
      </c>
      <c r="T34" s="50" t="n">
        <f aca="false">SUMIF('✏️ Data Input'!A5:A71,"JCI2 LH",'✏️ Data Input'!T5:T71)</f>
        <v>3640</v>
      </c>
      <c r="U34" s="50" t="n">
        <f aca="false">SUMIF('✏️ Data Input'!A5:A71,"JCI2 LH",'✏️ Data Input'!U5:U71)</f>
        <v>3640</v>
      </c>
      <c r="V34" s="50" t="n">
        <f aca="false">SUMIF('✏️ Data Input'!A5:A71,"JCI2 LH",'✏️ Data Input'!V5:V71)</f>
        <v>3640</v>
      </c>
      <c r="W34" s="50" t="n">
        <f aca="false">SUMIF('✏️ Data Input'!A5:A71,"JCI2 LH",'✏️ Data Input'!W5:W71)</f>
        <v>3600</v>
      </c>
      <c r="X34" s="50" t="n">
        <f aca="false">SUMIF('✏️ Data Input'!A5:A71,"JCI2 LH",'✏️ Data Input'!X5:X71)</f>
        <v>2600</v>
      </c>
      <c r="Y34" s="50" t="n">
        <f aca="false">SUMIF('✏️ Data Input'!A5:A71,"JCI2 LH",'✏️ Data Input'!Y5:Y71)</f>
        <v>2600</v>
      </c>
      <c r="Z34" s="50" t="n">
        <f aca="false">SUMIF('✏️ Data Input'!A5:A71,"JCI2 LH",'✏️ Data Input'!Z5:Z71)</f>
        <v>2600</v>
      </c>
      <c r="AA34" s="50" t="n">
        <f aca="false">SUMIF('✏️ Data Input'!A5:A71,"JCI2 LH",'✏️ Data Input'!AA5:AA71)</f>
        <v>2560</v>
      </c>
      <c r="AB34" s="50" t="n">
        <f aca="false">SUMIF('✏️ Data Input'!A5:A71,"JCI2 LH",'✏️ Data Input'!AB5:AB71)</f>
        <v>3780</v>
      </c>
      <c r="AC34" s="50" t="n">
        <f aca="false">SUMIF('✏️ Data Input'!A5:A71,"JCI2 LH",'✏️ Data Input'!AC5:AC71)</f>
        <v>3780</v>
      </c>
      <c r="AD34" s="50" t="n">
        <f aca="false">SUMIF('✏️ Data Input'!A5:A71,"JCI2 LH",'✏️ Data Input'!AD5:AD71)</f>
        <v>3780</v>
      </c>
      <c r="AE34" s="50" t="n">
        <f aca="false">SUMIF('✏️ Data Input'!A5:A71,"JCI2 LH",'✏️ Data Input'!AE5:AE71)</f>
        <v>3780</v>
      </c>
      <c r="AF34" s="50" t="n">
        <f aca="false">SUMIF('✏️ Data Input'!A5:A71,"JCI2 LH",'✏️ Data Input'!AF5:AF71)</f>
        <v>3440</v>
      </c>
      <c r="AG34" s="50" t="n">
        <f aca="false">SUMIF('✏️ Data Input'!A5:A71,"JCI2 LH",'✏️ Data Input'!AG5:AG71)</f>
        <v>3920</v>
      </c>
      <c r="AH34" s="50" t="n">
        <f aca="false">SUMIF('✏️ Data Input'!A5:A71,"JCI2 LH",'✏️ Data Input'!AH5:AH71)</f>
        <v>3920</v>
      </c>
      <c r="AI34" s="50" t="n">
        <f aca="false">SUMIF('✏️ Data Input'!A5:A71,"JCI2 LH",'✏️ Data Input'!AI5:AI71)</f>
        <v>0</v>
      </c>
    </row>
    <row r="36" customFormat="false" ht="18" hidden="false" customHeight="true" outlineLevel="0" collapsed="false">
      <c r="A36" s="55" t="s">
        <v>142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</row>
    <row r="37" customFormat="false" ht="15" hidden="false" customHeight="true" outlineLevel="0" collapsed="false">
      <c r="A37" s="5" t="s">
        <v>140</v>
      </c>
      <c r="B37" s="54"/>
      <c r="C37" s="5" t="s">
        <v>4</v>
      </c>
      <c r="D37" s="5" t="s">
        <v>5</v>
      </c>
      <c r="E37" s="5" t="s">
        <v>6</v>
      </c>
      <c r="F37" s="5" t="s">
        <v>7</v>
      </c>
      <c r="G37" s="5" t="s">
        <v>8</v>
      </c>
      <c r="H37" s="5" t="s">
        <v>9</v>
      </c>
      <c r="I37" s="5" t="s">
        <v>10</v>
      </c>
      <c r="J37" s="5" t="s">
        <v>11</v>
      </c>
      <c r="K37" s="5" t="s">
        <v>12</v>
      </c>
      <c r="L37" s="5" t="s">
        <v>13</v>
      </c>
      <c r="M37" s="5" t="s">
        <v>14</v>
      </c>
      <c r="N37" s="5" t="s">
        <v>15</v>
      </c>
      <c r="O37" s="5" t="s">
        <v>16</v>
      </c>
      <c r="P37" s="5" t="s">
        <v>17</v>
      </c>
      <c r="Q37" s="5" t="s">
        <v>18</v>
      </c>
      <c r="R37" s="5" t="s">
        <v>19</v>
      </c>
      <c r="S37" s="5" t="s">
        <v>20</v>
      </c>
      <c r="T37" s="5" t="s">
        <v>21</v>
      </c>
      <c r="U37" s="5" t="s">
        <v>22</v>
      </c>
      <c r="V37" s="5" t="s">
        <v>23</v>
      </c>
      <c r="W37" s="5" t="s">
        <v>24</v>
      </c>
      <c r="X37" s="5" t="s">
        <v>25</v>
      </c>
      <c r="Y37" s="5" t="s">
        <v>26</v>
      </c>
      <c r="Z37" s="5" t="s">
        <v>27</v>
      </c>
      <c r="AA37" s="5" t="s">
        <v>28</v>
      </c>
      <c r="AB37" s="5" t="s">
        <v>29</v>
      </c>
      <c r="AC37" s="5" t="s">
        <v>30</v>
      </c>
      <c r="AD37" s="5" t="s">
        <v>31</v>
      </c>
      <c r="AE37" s="5" t="s">
        <v>32</v>
      </c>
      <c r="AF37" s="5" t="s">
        <v>33</v>
      </c>
      <c r="AG37" s="5" t="s">
        <v>34</v>
      </c>
      <c r="AH37" s="5" t="s">
        <v>35</v>
      </c>
      <c r="AI37" s="5" t="s">
        <v>36</v>
      </c>
    </row>
    <row r="38" customFormat="false" ht="12.75" hidden="false" customHeight="true" outlineLevel="0" collapsed="false">
      <c r="A38" s="9" t="str">
        <f aca="false">'✏️ Data Input'!B34</f>
        <v>4172784</v>
      </c>
      <c r="B38" s="54"/>
      <c r="C38" s="46" t="n">
        <f aca="false">'✏️ Data Input'!C34</f>
        <v>0</v>
      </c>
      <c r="D38" s="46" t="n">
        <f aca="false">'✏️ Data Input'!D34</f>
        <v>100</v>
      </c>
      <c r="E38" s="46" t="n">
        <f aca="false">'✏️ Data Input'!E34</f>
        <v>0</v>
      </c>
      <c r="F38" s="46" t="n">
        <f aca="false">'✏️ Data Input'!F34</f>
        <v>0</v>
      </c>
      <c r="G38" s="46" t="n">
        <f aca="false">'✏️ Data Input'!G34</f>
        <v>0</v>
      </c>
      <c r="H38" s="46" t="n">
        <f aca="false">'✏️ Data Input'!H34</f>
        <v>0</v>
      </c>
      <c r="I38" s="46" t="n">
        <f aca="false">'✏️ Data Input'!I34</f>
        <v>0</v>
      </c>
      <c r="J38" s="46" t="n">
        <f aca="false">'✏️ Data Input'!J34</f>
        <v>100</v>
      </c>
      <c r="K38" s="46" t="n">
        <f aca="false">'✏️ Data Input'!K34</f>
        <v>0</v>
      </c>
      <c r="L38" s="46" t="n">
        <f aca="false">'✏️ Data Input'!L34</f>
        <v>0</v>
      </c>
      <c r="M38" s="46" t="n">
        <f aca="false">'✏️ Data Input'!M34</f>
        <v>0</v>
      </c>
      <c r="N38" s="46" t="n">
        <f aca="false">'✏️ Data Input'!N34</f>
        <v>0</v>
      </c>
      <c r="O38" s="46" t="n">
        <f aca="false">'✏️ Data Input'!O34</f>
        <v>0</v>
      </c>
      <c r="P38" s="46" t="n">
        <f aca="false">'✏️ Data Input'!P34</f>
        <v>0</v>
      </c>
      <c r="Q38" s="46" t="n">
        <f aca="false">'✏️ Data Input'!Q34</f>
        <v>0</v>
      </c>
      <c r="R38" s="46" t="n">
        <f aca="false">'✏️ Data Input'!R34</f>
        <v>0</v>
      </c>
      <c r="S38" s="46" t="n">
        <f aca="false">'✏️ Data Input'!S34</f>
        <v>0</v>
      </c>
      <c r="T38" s="46" t="n">
        <f aca="false">'✏️ Data Input'!T34</f>
        <v>30</v>
      </c>
      <c r="U38" s="46" t="n">
        <f aca="false">'✏️ Data Input'!U34</f>
        <v>30</v>
      </c>
      <c r="V38" s="46" t="n">
        <f aca="false">'✏️ Data Input'!V34</f>
        <v>30</v>
      </c>
      <c r="W38" s="46" t="n">
        <f aca="false">'✏️ Data Input'!W34</f>
        <v>10</v>
      </c>
      <c r="X38" s="46" t="n">
        <f aca="false">'✏️ Data Input'!X34</f>
        <v>0</v>
      </c>
      <c r="Y38" s="46" t="n">
        <f aca="false">'✏️ Data Input'!Y34</f>
        <v>0</v>
      </c>
      <c r="Z38" s="46" t="n">
        <f aca="false">'✏️ Data Input'!Z34</f>
        <v>0</v>
      </c>
      <c r="AA38" s="46" t="n">
        <f aca="false">'✏️ Data Input'!AA34</f>
        <v>0</v>
      </c>
      <c r="AB38" s="46" t="n">
        <f aca="false">'✏️ Data Input'!AB34</f>
        <v>60</v>
      </c>
      <c r="AC38" s="46" t="n">
        <f aca="false">'✏️ Data Input'!AC34</f>
        <v>60</v>
      </c>
      <c r="AD38" s="46" t="n">
        <f aca="false">'✏️ Data Input'!AD34</f>
        <v>60</v>
      </c>
      <c r="AE38" s="46" t="n">
        <f aca="false">'✏️ Data Input'!AE34</f>
        <v>60</v>
      </c>
      <c r="AF38" s="46" t="n">
        <f aca="false">'✏️ Data Input'!AF34</f>
        <v>60</v>
      </c>
      <c r="AG38" s="46" t="n">
        <f aca="false">'✏️ Data Input'!AG34</f>
        <v>150</v>
      </c>
      <c r="AH38" s="46" t="n">
        <f aca="false">'✏️ Data Input'!AH34</f>
        <v>150</v>
      </c>
      <c r="AI38" s="46" t="n">
        <f aca="false">'✏️ Data Input'!AI34</f>
        <v>0</v>
      </c>
    </row>
    <row r="39" customFormat="false" ht="12.75" hidden="false" customHeight="true" outlineLevel="0" collapsed="false">
      <c r="A39" s="12" t="str">
        <f aca="false">'✏️ Data Input'!B35</f>
        <v>4172800</v>
      </c>
      <c r="B39" s="54"/>
      <c r="C39" s="45" t="n">
        <f aca="false">'✏️ Data Input'!C35</f>
        <v>0</v>
      </c>
      <c r="D39" s="45" t="n">
        <f aca="false">'✏️ Data Input'!D35</f>
        <v>100</v>
      </c>
      <c r="E39" s="45" t="n">
        <f aca="false">'✏️ Data Input'!E35</f>
        <v>0</v>
      </c>
      <c r="F39" s="45" t="n">
        <f aca="false">'✏️ Data Input'!F35</f>
        <v>0</v>
      </c>
      <c r="G39" s="45" t="n">
        <f aca="false">'✏️ Data Input'!G35</f>
        <v>0</v>
      </c>
      <c r="H39" s="45" t="n">
        <f aca="false">'✏️ Data Input'!H35</f>
        <v>0</v>
      </c>
      <c r="I39" s="45" t="n">
        <f aca="false">'✏️ Data Input'!I35</f>
        <v>100</v>
      </c>
      <c r="J39" s="45" t="n">
        <f aca="false">'✏️ Data Input'!J35</f>
        <v>0</v>
      </c>
      <c r="K39" s="45" t="n">
        <f aca="false">'✏️ Data Input'!K35</f>
        <v>100</v>
      </c>
      <c r="L39" s="45" t="n">
        <f aca="false">'✏️ Data Input'!L35</f>
        <v>300</v>
      </c>
      <c r="M39" s="45" t="n">
        <f aca="false">'✏️ Data Input'!M35</f>
        <v>0</v>
      </c>
      <c r="N39" s="45" t="n">
        <f aca="false">'✏️ Data Input'!N35</f>
        <v>0</v>
      </c>
      <c r="O39" s="45" t="n">
        <f aca="false">'✏️ Data Input'!O35</f>
        <v>0</v>
      </c>
      <c r="P39" s="45" t="n">
        <f aca="false">'✏️ Data Input'!P35</f>
        <v>0</v>
      </c>
      <c r="Q39" s="45" t="n">
        <f aca="false">'✏️ Data Input'!Q35</f>
        <v>100</v>
      </c>
      <c r="R39" s="45" t="n">
        <f aca="false">'✏️ Data Input'!R35</f>
        <v>0</v>
      </c>
      <c r="S39" s="45" t="n">
        <f aca="false">'✏️ Data Input'!S35</f>
        <v>100</v>
      </c>
      <c r="T39" s="45" t="n">
        <f aca="false">'✏️ Data Input'!T35</f>
        <v>80</v>
      </c>
      <c r="U39" s="45" t="n">
        <f aca="false">'✏️ Data Input'!U35</f>
        <v>80</v>
      </c>
      <c r="V39" s="45" t="n">
        <f aca="false">'✏️ Data Input'!V35</f>
        <v>80</v>
      </c>
      <c r="W39" s="45" t="n">
        <f aca="false">'✏️ Data Input'!W35</f>
        <v>60</v>
      </c>
      <c r="X39" s="45" t="n">
        <f aca="false">'✏️ Data Input'!X35</f>
        <v>80</v>
      </c>
      <c r="Y39" s="45" t="n">
        <f aca="false">'✏️ Data Input'!Y35</f>
        <v>80</v>
      </c>
      <c r="Z39" s="45" t="n">
        <f aca="false">'✏️ Data Input'!Z35</f>
        <v>80</v>
      </c>
      <c r="AA39" s="45" t="n">
        <f aca="false">'✏️ Data Input'!AA35</f>
        <v>60</v>
      </c>
      <c r="AB39" s="45" t="n">
        <f aca="false">'✏️ Data Input'!AB35</f>
        <v>0</v>
      </c>
      <c r="AC39" s="45" t="n">
        <f aca="false">'✏️ Data Input'!AC35</f>
        <v>0</v>
      </c>
      <c r="AD39" s="45" t="n">
        <f aca="false">'✏️ Data Input'!AD35</f>
        <v>0</v>
      </c>
      <c r="AE39" s="45" t="n">
        <f aca="false">'✏️ Data Input'!AE35</f>
        <v>0</v>
      </c>
      <c r="AF39" s="45" t="n">
        <f aca="false">'✏️ Data Input'!AF35</f>
        <v>0</v>
      </c>
      <c r="AG39" s="45" t="n">
        <f aca="false">'✏️ Data Input'!AG35</f>
        <v>0</v>
      </c>
      <c r="AH39" s="45" t="n">
        <f aca="false">'✏️ Data Input'!AH35</f>
        <v>0</v>
      </c>
      <c r="AI39" s="45" t="n">
        <f aca="false">'✏️ Data Input'!AI35</f>
        <v>0</v>
      </c>
    </row>
    <row r="40" customFormat="false" ht="12.75" hidden="false" customHeight="true" outlineLevel="0" collapsed="false">
      <c r="A40" s="9" t="str">
        <f aca="false">'✏️ Data Input'!B36</f>
        <v>4172821</v>
      </c>
      <c r="B40" s="54"/>
      <c r="C40" s="46" t="n">
        <f aca="false">'✏️ Data Input'!C36</f>
        <v>0</v>
      </c>
      <c r="D40" s="46" t="n">
        <f aca="false">'✏️ Data Input'!D36</f>
        <v>0</v>
      </c>
      <c r="E40" s="46" t="n">
        <f aca="false">'✏️ Data Input'!E36</f>
        <v>0</v>
      </c>
      <c r="F40" s="46" t="n">
        <f aca="false">'✏️ Data Input'!F36</f>
        <v>0</v>
      </c>
      <c r="G40" s="46" t="n">
        <f aca="false">'✏️ Data Input'!G36</f>
        <v>0</v>
      </c>
      <c r="H40" s="46" t="n">
        <f aca="false">'✏️ Data Input'!H36</f>
        <v>0</v>
      </c>
      <c r="I40" s="46" t="n">
        <f aca="false">'✏️ Data Input'!I36</f>
        <v>0</v>
      </c>
      <c r="J40" s="46" t="n">
        <f aca="false">'✏️ Data Input'!J36</f>
        <v>0</v>
      </c>
      <c r="K40" s="46" t="n">
        <f aca="false">'✏️ Data Input'!K36</f>
        <v>100</v>
      </c>
      <c r="L40" s="46" t="n">
        <f aca="false">'✏️ Data Input'!L36</f>
        <v>0</v>
      </c>
      <c r="M40" s="46" t="n">
        <f aca="false">'✏️ Data Input'!M36</f>
        <v>0</v>
      </c>
      <c r="N40" s="46" t="n">
        <f aca="false">'✏️ Data Input'!N36</f>
        <v>0</v>
      </c>
      <c r="O40" s="46" t="n">
        <f aca="false">'✏️ Data Input'!O36</f>
        <v>0</v>
      </c>
      <c r="P40" s="46" t="n">
        <f aca="false">'✏️ Data Input'!P36</f>
        <v>0</v>
      </c>
      <c r="Q40" s="46" t="n">
        <f aca="false">'✏️ Data Input'!Q36</f>
        <v>0</v>
      </c>
      <c r="R40" s="46" t="n">
        <f aca="false">'✏️ Data Input'!R36</f>
        <v>0</v>
      </c>
      <c r="S40" s="46" t="n">
        <f aca="false">'✏️ Data Input'!S36</f>
        <v>0</v>
      </c>
      <c r="T40" s="46" t="n">
        <f aca="false">'✏️ Data Input'!T36</f>
        <v>0</v>
      </c>
      <c r="U40" s="46" t="n">
        <f aca="false">'✏️ Data Input'!U36</f>
        <v>0</v>
      </c>
      <c r="V40" s="46" t="n">
        <f aca="false">'✏️ Data Input'!V36</f>
        <v>0</v>
      </c>
      <c r="W40" s="46" t="n">
        <f aca="false">'✏️ Data Input'!W36</f>
        <v>0</v>
      </c>
      <c r="X40" s="46" t="n">
        <f aca="false">'✏️ Data Input'!X36</f>
        <v>0</v>
      </c>
      <c r="Y40" s="46" t="n">
        <f aca="false">'✏️ Data Input'!Y36</f>
        <v>0</v>
      </c>
      <c r="Z40" s="46" t="n">
        <f aca="false">'✏️ Data Input'!Z36</f>
        <v>0</v>
      </c>
      <c r="AA40" s="46" t="n">
        <f aca="false">'✏️ Data Input'!AA36</f>
        <v>0</v>
      </c>
      <c r="AB40" s="46" t="n">
        <f aca="false">'✏️ Data Input'!AB36</f>
        <v>0</v>
      </c>
      <c r="AC40" s="46" t="n">
        <f aca="false">'✏️ Data Input'!AC36</f>
        <v>0</v>
      </c>
      <c r="AD40" s="46" t="n">
        <f aca="false">'✏️ Data Input'!AD36</f>
        <v>0</v>
      </c>
      <c r="AE40" s="46" t="n">
        <f aca="false">'✏️ Data Input'!AE36</f>
        <v>0</v>
      </c>
      <c r="AF40" s="46" t="n">
        <f aca="false">'✏️ Data Input'!AF36</f>
        <v>0</v>
      </c>
      <c r="AG40" s="46" t="n">
        <f aca="false">'✏️ Data Input'!AG36</f>
        <v>0</v>
      </c>
      <c r="AH40" s="46" t="n">
        <f aca="false">'✏️ Data Input'!AH36</f>
        <v>0</v>
      </c>
      <c r="AI40" s="46" t="n">
        <f aca="false">'✏️ Data Input'!AI36</f>
        <v>0</v>
      </c>
    </row>
    <row r="41" customFormat="false" ht="12.75" hidden="false" customHeight="true" outlineLevel="0" collapsed="false">
      <c r="A41" s="12" t="str">
        <f aca="false">'✏️ Data Input'!B37</f>
        <v>4172826</v>
      </c>
      <c r="B41" s="54"/>
      <c r="C41" s="45" t="n">
        <f aca="false">'✏️ Data Input'!C37</f>
        <v>0</v>
      </c>
      <c r="D41" s="45" t="n">
        <f aca="false">'✏️ Data Input'!D37</f>
        <v>400</v>
      </c>
      <c r="E41" s="45" t="n">
        <f aca="false">'✏️ Data Input'!E37</f>
        <v>400</v>
      </c>
      <c r="F41" s="45" t="n">
        <f aca="false">'✏️ Data Input'!F37</f>
        <v>300</v>
      </c>
      <c r="G41" s="45" t="n">
        <f aca="false">'✏️ Data Input'!G37</f>
        <v>300</v>
      </c>
      <c r="H41" s="45" t="n">
        <f aca="false">'✏️ Data Input'!H37</f>
        <v>500</v>
      </c>
      <c r="I41" s="45" t="n">
        <f aca="false">'✏️ Data Input'!I37</f>
        <v>200</v>
      </c>
      <c r="J41" s="45" t="n">
        <f aca="false">'✏️ Data Input'!J37</f>
        <v>300</v>
      </c>
      <c r="K41" s="45" t="n">
        <f aca="false">'✏️ Data Input'!K37</f>
        <v>300</v>
      </c>
      <c r="L41" s="45" t="n">
        <f aca="false">'✏️ Data Input'!L37</f>
        <v>400</v>
      </c>
      <c r="M41" s="45" t="n">
        <f aca="false">'✏️ Data Input'!M37</f>
        <v>0</v>
      </c>
      <c r="N41" s="45" t="n">
        <f aca="false">'✏️ Data Input'!N37</f>
        <v>0</v>
      </c>
      <c r="O41" s="45" t="n">
        <f aca="false">'✏️ Data Input'!O37</f>
        <v>0</v>
      </c>
      <c r="P41" s="45" t="n">
        <f aca="false">'✏️ Data Input'!P37</f>
        <v>0</v>
      </c>
      <c r="Q41" s="45" t="n">
        <f aca="false">'✏️ Data Input'!Q37</f>
        <v>200</v>
      </c>
      <c r="R41" s="45" t="n">
        <f aca="false">'✏️ Data Input'!R37</f>
        <v>200</v>
      </c>
      <c r="S41" s="45" t="n">
        <f aca="false">'✏️ Data Input'!S37</f>
        <v>200</v>
      </c>
      <c r="T41" s="45" t="n">
        <f aca="false">'✏️ Data Input'!T37</f>
        <v>200</v>
      </c>
      <c r="U41" s="45" t="n">
        <f aca="false">'✏️ Data Input'!U37</f>
        <v>200</v>
      </c>
      <c r="V41" s="45" t="n">
        <f aca="false">'✏️ Data Input'!V37</f>
        <v>200</v>
      </c>
      <c r="W41" s="45" t="n">
        <f aca="false">'✏️ Data Input'!W37</f>
        <v>200</v>
      </c>
      <c r="X41" s="45" t="n">
        <f aca="false">'✏️ Data Input'!X37</f>
        <v>180</v>
      </c>
      <c r="Y41" s="45" t="n">
        <f aca="false">'✏️ Data Input'!Y37</f>
        <v>180</v>
      </c>
      <c r="Z41" s="45" t="n">
        <f aca="false">'✏️ Data Input'!Z37</f>
        <v>180</v>
      </c>
      <c r="AA41" s="45" t="n">
        <f aca="false">'✏️ Data Input'!AA37</f>
        <v>160</v>
      </c>
      <c r="AB41" s="45" t="n">
        <f aca="false">'✏️ Data Input'!AB37</f>
        <v>280</v>
      </c>
      <c r="AC41" s="45" t="n">
        <f aca="false">'✏️ Data Input'!AC37</f>
        <v>280</v>
      </c>
      <c r="AD41" s="45" t="n">
        <f aca="false">'✏️ Data Input'!AD37</f>
        <v>280</v>
      </c>
      <c r="AE41" s="45" t="n">
        <f aca="false">'✏️ Data Input'!AE37</f>
        <v>280</v>
      </c>
      <c r="AF41" s="45" t="n">
        <f aca="false">'✏️ Data Input'!AF37</f>
        <v>280</v>
      </c>
      <c r="AG41" s="45" t="n">
        <f aca="false">'✏️ Data Input'!AG37</f>
        <v>200</v>
      </c>
      <c r="AH41" s="45" t="n">
        <f aca="false">'✏️ Data Input'!AH37</f>
        <v>200</v>
      </c>
      <c r="AI41" s="45" t="n">
        <f aca="false">'✏️ Data Input'!AI37</f>
        <v>0</v>
      </c>
    </row>
    <row r="42" customFormat="false" ht="12.75" hidden="false" customHeight="true" outlineLevel="0" collapsed="false">
      <c r="A42" s="9" t="str">
        <f aca="false">'✏️ Data Input'!B38</f>
        <v>5080446</v>
      </c>
      <c r="B42" s="54"/>
      <c r="C42" s="46" t="n">
        <f aca="false">'✏️ Data Input'!C38</f>
        <v>0</v>
      </c>
      <c r="D42" s="46" t="n">
        <f aca="false">'✏️ Data Input'!D38</f>
        <v>0</v>
      </c>
      <c r="E42" s="46" t="n">
        <f aca="false">'✏️ Data Input'!E38</f>
        <v>0</v>
      </c>
      <c r="F42" s="46" t="n">
        <f aca="false">'✏️ Data Input'!F38</f>
        <v>100</v>
      </c>
      <c r="G42" s="46" t="n">
        <f aca="false">'✏️ Data Input'!G38</f>
        <v>0</v>
      </c>
      <c r="H42" s="46" t="n">
        <f aca="false">'✏️ Data Input'!H38</f>
        <v>0</v>
      </c>
      <c r="I42" s="46" t="n">
        <f aca="false">'✏️ Data Input'!I38</f>
        <v>0</v>
      </c>
      <c r="J42" s="46" t="n">
        <f aca="false">'✏️ Data Input'!J38</f>
        <v>0</v>
      </c>
      <c r="K42" s="46" t="n">
        <f aca="false">'✏️ Data Input'!K38</f>
        <v>0</v>
      </c>
      <c r="L42" s="46" t="n">
        <f aca="false">'✏️ Data Input'!L38</f>
        <v>0</v>
      </c>
      <c r="M42" s="46" t="n">
        <f aca="false">'✏️ Data Input'!M38</f>
        <v>0</v>
      </c>
      <c r="N42" s="46" t="n">
        <f aca="false">'✏️ Data Input'!N38</f>
        <v>0</v>
      </c>
      <c r="O42" s="46" t="n">
        <f aca="false">'✏️ Data Input'!O38</f>
        <v>0</v>
      </c>
      <c r="P42" s="46" t="n">
        <f aca="false">'✏️ Data Input'!P38</f>
        <v>0</v>
      </c>
      <c r="Q42" s="46" t="n">
        <f aca="false">'✏️ Data Input'!Q38</f>
        <v>0</v>
      </c>
      <c r="R42" s="46" t="n">
        <f aca="false">'✏️ Data Input'!R38</f>
        <v>0</v>
      </c>
      <c r="S42" s="46" t="n">
        <f aca="false">'✏️ Data Input'!S38</f>
        <v>0</v>
      </c>
      <c r="T42" s="46" t="n">
        <f aca="false">'✏️ Data Input'!T38</f>
        <v>0</v>
      </c>
      <c r="U42" s="46" t="n">
        <f aca="false">'✏️ Data Input'!U38</f>
        <v>0</v>
      </c>
      <c r="V42" s="46" t="n">
        <f aca="false">'✏️ Data Input'!V38</f>
        <v>0</v>
      </c>
      <c r="W42" s="46" t="n">
        <f aca="false">'✏️ Data Input'!W38</f>
        <v>0</v>
      </c>
      <c r="X42" s="46" t="n">
        <f aca="false">'✏️ Data Input'!X38</f>
        <v>0</v>
      </c>
      <c r="Y42" s="46" t="n">
        <f aca="false">'✏️ Data Input'!Y38</f>
        <v>0</v>
      </c>
      <c r="Z42" s="46" t="n">
        <f aca="false">'✏️ Data Input'!Z38</f>
        <v>0</v>
      </c>
      <c r="AA42" s="46" t="n">
        <f aca="false">'✏️ Data Input'!AA38</f>
        <v>0</v>
      </c>
      <c r="AB42" s="46" t="n">
        <f aca="false">'✏️ Data Input'!AB38</f>
        <v>0</v>
      </c>
      <c r="AC42" s="46" t="n">
        <f aca="false">'✏️ Data Input'!AC38</f>
        <v>0</v>
      </c>
      <c r="AD42" s="46" t="n">
        <f aca="false">'✏️ Data Input'!AD38</f>
        <v>0</v>
      </c>
      <c r="AE42" s="46" t="n">
        <f aca="false">'✏️ Data Input'!AE38</f>
        <v>0</v>
      </c>
      <c r="AF42" s="46" t="n">
        <f aca="false">'✏️ Data Input'!AF38</f>
        <v>0</v>
      </c>
      <c r="AG42" s="46" t="n">
        <f aca="false">'✏️ Data Input'!AG38</f>
        <v>0</v>
      </c>
      <c r="AH42" s="46" t="n">
        <f aca="false">'✏️ Data Input'!AH38</f>
        <v>0</v>
      </c>
      <c r="AI42" s="46" t="n">
        <f aca="false">'✏️ Data Input'!AI38</f>
        <v>0</v>
      </c>
    </row>
    <row r="43" customFormat="false" ht="12.75" hidden="false" customHeight="true" outlineLevel="0" collapsed="false">
      <c r="A43" s="12" t="str">
        <f aca="false">'✏️ Data Input'!B39</f>
        <v>5073064</v>
      </c>
      <c r="B43" s="54"/>
      <c r="C43" s="45" t="n">
        <f aca="false">'✏️ Data Input'!C39</f>
        <v>0</v>
      </c>
      <c r="D43" s="45" t="n">
        <f aca="false">'✏️ Data Input'!D39</f>
        <v>0</v>
      </c>
      <c r="E43" s="45" t="n">
        <f aca="false">'✏️ Data Input'!E39</f>
        <v>0</v>
      </c>
      <c r="F43" s="45" t="n">
        <f aca="false">'✏️ Data Input'!F39</f>
        <v>0</v>
      </c>
      <c r="G43" s="45" t="n">
        <f aca="false">'✏️ Data Input'!G39</f>
        <v>100</v>
      </c>
      <c r="H43" s="45" t="n">
        <f aca="false">'✏️ Data Input'!H39</f>
        <v>0</v>
      </c>
      <c r="I43" s="45" t="n">
        <f aca="false">'✏️ Data Input'!I39</f>
        <v>0</v>
      </c>
      <c r="J43" s="45" t="n">
        <f aca="false">'✏️ Data Input'!J39</f>
        <v>0</v>
      </c>
      <c r="K43" s="45" t="n">
        <f aca="false">'✏️ Data Input'!K39</f>
        <v>0</v>
      </c>
      <c r="L43" s="45" t="n">
        <f aca="false">'✏️ Data Input'!L39</f>
        <v>0</v>
      </c>
      <c r="M43" s="45" t="n">
        <f aca="false">'✏️ Data Input'!M39</f>
        <v>0</v>
      </c>
      <c r="N43" s="45" t="n">
        <f aca="false">'✏️ Data Input'!N39</f>
        <v>0</v>
      </c>
      <c r="O43" s="45" t="n">
        <f aca="false">'✏️ Data Input'!O39</f>
        <v>0</v>
      </c>
      <c r="P43" s="45" t="n">
        <f aca="false">'✏️ Data Input'!P39</f>
        <v>0</v>
      </c>
      <c r="Q43" s="45" t="n">
        <f aca="false">'✏️ Data Input'!Q39</f>
        <v>0</v>
      </c>
      <c r="R43" s="45" t="n">
        <f aca="false">'✏️ Data Input'!R39</f>
        <v>0</v>
      </c>
      <c r="S43" s="45" t="n">
        <f aca="false">'✏️ Data Input'!S39</f>
        <v>0</v>
      </c>
      <c r="T43" s="45" t="n">
        <f aca="false">'✏️ Data Input'!T39</f>
        <v>30</v>
      </c>
      <c r="U43" s="45" t="n">
        <f aca="false">'✏️ Data Input'!U39</f>
        <v>30</v>
      </c>
      <c r="V43" s="45" t="n">
        <f aca="false">'✏️ Data Input'!V39</f>
        <v>30</v>
      </c>
      <c r="W43" s="45" t="n">
        <f aca="false">'✏️ Data Input'!W39</f>
        <v>10</v>
      </c>
      <c r="X43" s="45" t="n">
        <f aca="false">'✏️ Data Input'!X39</f>
        <v>0</v>
      </c>
      <c r="Y43" s="45" t="n">
        <f aca="false">'✏️ Data Input'!Y39</f>
        <v>0</v>
      </c>
      <c r="Z43" s="45" t="n">
        <f aca="false">'✏️ Data Input'!Z39</f>
        <v>0</v>
      </c>
      <c r="AA43" s="45" t="n">
        <f aca="false">'✏️ Data Input'!AA39</f>
        <v>0</v>
      </c>
      <c r="AB43" s="45" t="n">
        <f aca="false">'✏️ Data Input'!AB39</f>
        <v>20</v>
      </c>
      <c r="AC43" s="45" t="n">
        <f aca="false">'✏️ Data Input'!AC39</f>
        <v>20</v>
      </c>
      <c r="AD43" s="45" t="n">
        <f aca="false">'✏️ Data Input'!AD39</f>
        <v>20</v>
      </c>
      <c r="AE43" s="45" t="n">
        <f aca="false">'✏️ Data Input'!AE39</f>
        <v>20</v>
      </c>
      <c r="AF43" s="45" t="n">
        <f aca="false">'✏️ Data Input'!AF39</f>
        <v>20</v>
      </c>
      <c r="AG43" s="45" t="n">
        <f aca="false">'✏️ Data Input'!AG39</f>
        <v>50</v>
      </c>
      <c r="AH43" s="45" t="n">
        <f aca="false">'✏️ Data Input'!AH39</f>
        <v>50</v>
      </c>
      <c r="AI43" s="45" t="n">
        <f aca="false">'✏️ Data Input'!AI39</f>
        <v>0</v>
      </c>
    </row>
    <row r="44" customFormat="false" ht="12.75" hidden="false" customHeight="true" outlineLevel="0" collapsed="false">
      <c r="A44" s="9" t="str">
        <f aca="false">'✏️ Data Input'!B40</f>
        <v>4172820</v>
      </c>
      <c r="B44" s="54"/>
      <c r="C44" s="46" t="n">
        <f aca="false">'✏️ Data Input'!C40</f>
        <v>0</v>
      </c>
      <c r="D44" s="46" t="n">
        <f aca="false">'✏️ Data Input'!D40</f>
        <v>0</v>
      </c>
      <c r="E44" s="46" t="n">
        <f aca="false">'✏️ Data Input'!E40</f>
        <v>0</v>
      </c>
      <c r="F44" s="46" t="n">
        <f aca="false">'✏️ Data Input'!F40</f>
        <v>0</v>
      </c>
      <c r="G44" s="46" t="n">
        <f aca="false">'✏️ Data Input'!G40</f>
        <v>0</v>
      </c>
      <c r="H44" s="46" t="n">
        <f aca="false">'✏️ Data Input'!H40</f>
        <v>0</v>
      </c>
      <c r="I44" s="46" t="n">
        <f aca="false">'✏️ Data Input'!I40</f>
        <v>0</v>
      </c>
      <c r="J44" s="46" t="n">
        <f aca="false">'✏️ Data Input'!J40</f>
        <v>0</v>
      </c>
      <c r="K44" s="46" t="n">
        <f aca="false">'✏️ Data Input'!K40</f>
        <v>0</v>
      </c>
      <c r="L44" s="46" t="n">
        <f aca="false">'✏️ Data Input'!L40</f>
        <v>0</v>
      </c>
      <c r="M44" s="46" t="n">
        <f aca="false">'✏️ Data Input'!M40</f>
        <v>0</v>
      </c>
      <c r="N44" s="46" t="n">
        <f aca="false">'✏️ Data Input'!N40</f>
        <v>0</v>
      </c>
      <c r="O44" s="46" t="n">
        <f aca="false">'✏️ Data Input'!O40</f>
        <v>0</v>
      </c>
      <c r="P44" s="46" t="n">
        <f aca="false">'✏️ Data Input'!P40</f>
        <v>0</v>
      </c>
      <c r="Q44" s="46" t="n">
        <f aca="false">'✏️ Data Input'!Q40</f>
        <v>0</v>
      </c>
      <c r="R44" s="46" t="n">
        <f aca="false">'✏️ Data Input'!R40</f>
        <v>0</v>
      </c>
      <c r="S44" s="46" t="n">
        <f aca="false">'✏️ Data Input'!S40</f>
        <v>80</v>
      </c>
      <c r="T44" s="46" t="n">
        <f aca="false">'✏️ Data Input'!T40</f>
        <v>0</v>
      </c>
      <c r="U44" s="46" t="n">
        <f aca="false">'✏️ Data Input'!U40</f>
        <v>0</v>
      </c>
      <c r="V44" s="46" t="n">
        <f aca="false">'✏️ Data Input'!V40</f>
        <v>0</v>
      </c>
      <c r="W44" s="46" t="n">
        <f aca="false">'✏️ Data Input'!W40</f>
        <v>0</v>
      </c>
      <c r="X44" s="46" t="n">
        <f aca="false">'✏️ Data Input'!X40</f>
        <v>0</v>
      </c>
      <c r="Y44" s="46" t="n">
        <f aca="false">'✏️ Data Input'!Y40</f>
        <v>0</v>
      </c>
      <c r="Z44" s="46" t="n">
        <f aca="false">'✏️ Data Input'!Z40</f>
        <v>0</v>
      </c>
      <c r="AA44" s="46" t="n">
        <f aca="false">'✏️ Data Input'!AA40</f>
        <v>0</v>
      </c>
      <c r="AB44" s="46" t="n">
        <f aca="false">'✏️ Data Input'!AB40</f>
        <v>0</v>
      </c>
      <c r="AC44" s="46" t="n">
        <f aca="false">'✏️ Data Input'!AC40</f>
        <v>0</v>
      </c>
      <c r="AD44" s="46" t="n">
        <f aca="false">'✏️ Data Input'!AD40</f>
        <v>0</v>
      </c>
      <c r="AE44" s="46" t="n">
        <f aca="false">'✏️ Data Input'!AE40</f>
        <v>0</v>
      </c>
      <c r="AF44" s="46" t="n">
        <f aca="false">'✏️ Data Input'!AF40</f>
        <v>0</v>
      </c>
      <c r="AG44" s="46" t="n">
        <f aca="false">'✏️ Data Input'!AG40</f>
        <v>0</v>
      </c>
      <c r="AH44" s="46" t="n">
        <f aca="false">'✏️ Data Input'!AH40</f>
        <v>0</v>
      </c>
      <c r="AI44" s="46" t="n">
        <f aca="false">'✏️ Data Input'!AI40</f>
        <v>0</v>
      </c>
    </row>
    <row r="45" customFormat="false" ht="12.75" hidden="false" customHeight="true" outlineLevel="0" collapsed="false">
      <c r="A45" s="12" t="str">
        <f aca="false">'✏️ Data Input'!B41</f>
        <v>4172825</v>
      </c>
      <c r="B45" s="54"/>
      <c r="C45" s="45" t="n">
        <f aca="false">'✏️ Data Input'!C41</f>
        <v>80</v>
      </c>
      <c r="D45" s="45" t="n">
        <f aca="false">'✏️ Data Input'!D41</f>
        <v>720</v>
      </c>
      <c r="E45" s="45" t="n">
        <f aca="false">'✏️ Data Input'!E41</f>
        <v>640</v>
      </c>
      <c r="F45" s="45" t="n">
        <f aca="false">'✏️ Data Input'!F41</f>
        <v>560</v>
      </c>
      <c r="G45" s="45" t="n">
        <f aca="false">'✏️ Data Input'!G41</f>
        <v>560</v>
      </c>
      <c r="H45" s="45" t="n">
        <f aca="false">'✏️ Data Input'!H41</f>
        <v>400</v>
      </c>
      <c r="I45" s="45" t="n">
        <f aca="false">'✏️ Data Input'!I41</f>
        <v>320</v>
      </c>
      <c r="J45" s="45" t="n">
        <f aca="false">'✏️ Data Input'!J41</f>
        <v>400</v>
      </c>
      <c r="K45" s="45" t="n">
        <f aca="false">'✏️ Data Input'!K41</f>
        <v>560</v>
      </c>
      <c r="L45" s="45" t="n">
        <f aca="false">'✏️ Data Input'!L41</f>
        <v>720</v>
      </c>
      <c r="M45" s="45" t="n">
        <f aca="false">'✏️ Data Input'!M41</f>
        <v>0</v>
      </c>
      <c r="N45" s="45" t="n">
        <f aca="false">'✏️ Data Input'!N41</f>
        <v>0</v>
      </c>
      <c r="O45" s="45" t="n">
        <f aca="false">'✏️ Data Input'!O41</f>
        <v>0</v>
      </c>
      <c r="P45" s="45" t="n">
        <f aca="false">'✏️ Data Input'!P41</f>
        <v>0</v>
      </c>
      <c r="Q45" s="45" t="n">
        <f aca="false">'✏️ Data Input'!Q41</f>
        <v>480</v>
      </c>
      <c r="R45" s="45" t="n">
        <f aca="false">'✏️ Data Input'!R41</f>
        <v>400</v>
      </c>
      <c r="S45" s="45" t="n">
        <f aca="false">'✏️ Data Input'!S41</f>
        <v>400</v>
      </c>
      <c r="T45" s="45" t="n">
        <f aca="false">'✏️ Data Input'!T41</f>
        <v>420</v>
      </c>
      <c r="U45" s="45" t="n">
        <f aca="false">'✏️ Data Input'!U41</f>
        <v>420</v>
      </c>
      <c r="V45" s="45" t="n">
        <f aca="false">'✏️ Data Input'!V41</f>
        <v>420</v>
      </c>
      <c r="W45" s="45" t="n">
        <f aca="false">'✏️ Data Input'!W41</f>
        <v>420</v>
      </c>
      <c r="X45" s="45" t="n">
        <f aca="false">'✏️ Data Input'!X41</f>
        <v>260</v>
      </c>
      <c r="Y45" s="45" t="n">
        <f aca="false">'✏️ Data Input'!Y41</f>
        <v>260</v>
      </c>
      <c r="Z45" s="45" t="n">
        <f aca="false">'✏️ Data Input'!Z41</f>
        <v>260</v>
      </c>
      <c r="AA45" s="45" t="n">
        <f aca="false">'✏️ Data Input'!AA41</f>
        <v>260</v>
      </c>
      <c r="AB45" s="45" t="n">
        <f aca="false">'✏️ Data Input'!AB41</f>
        <v>360</v>
      </c>
      <c r="AC45" s="45" t="n">
        <f aca="false">'✏️ Data Input'!AC41</f>
        <v>360</v>
      </c>
      <c r="AD45" s="45" t="n">
        <f aca="false">'✏️ Data Input'!AD41</f>
        <v>360</v>
      </c>
      <c r="AE45" s="45" t="n">
        <f aca="false">'✏️ Data Input'!AE41</f>
        <v>360</v>
      </c>
      <c r="AF45" s="45" t="n">
        <f aca="false">'✏️ Data Input'!AF41</f>
        <v>320</v>
      </c>
      <c r="AG45" s="45" t="n">
        <f aca="false">'✏️ Data Input'!AG41</f>
        <v>320</v>
      </c>
      <c r="AH45" s="45" t="n">
        <f aca="false">'✏️ Data Input'!AH41</f>
        <v>320</v>
      </c>
      <c r="AI45" s="45" t="n">
        <f aca="false">'✏️ Data Input'!AI41</f>
        <v>0</v>
      </c>
    </row>
    <row r="46" customFormat="false" ht="12.75" hidden="false" customHeight="true" outlineLevel="0" collapsed="false">
      <c r="A46" s="9" t="str">
        <f aca="false">'✏️ Data Input'!B42</f>
        <v>4264989</v>
      </c>
      <c r="B46" s="54"/>
      <c r="C46" s="46" t="n">
        <f aca="false">'✏️ Data Input'!C42</f>
        <v>0</v>
      </c>
      <c r="D46" s="46" t="n">
        <f aca="false">'✏️ Data Input'!D42</f>
        <v>160</v>
      </c>
      <c r="E46" s="46" t="n">
        <f aca="false">'✏️ Data Input'!E42</f>
        <v>0</v>
      </c>
      <c r="F46" s="46" t="n">
        <f aca="false">'✏️ Data Input'!F42</f>
        <v>80</v>
      </c>
      <c r="G46" s="46" t="n">
        <f aca="false">'✏️ Data Input'!G42</f>
        <v>160</v>
      </c>
      <c r="H46" s="46" t="n">
        <f aca="false">'✏️ Data Input'!H42</f>
        <v>160</v>
      </c>
      <c r="I46" s="46" t="n">
        <f aca="false">'✏️ Data Input'!I42</f>
        <v>80</v>
      </c>
      <c r="J46" s="46" t="n">
        <f aca="false">'✏️ Data Input'!J42</f>
        <v>160</v>
      </c>
      <c r="K46" s="46" t="n">
        <f aca="false">'✏️ Data Input'!K42</f>
        <v>80</v>
      </c>
      <c r="L46" s="46" t="n">
        <f aca="false">'✏️ Data Input'!L42</f>
        <v>240</v>
      </c>
      <c r="M46" s="46" t="n">
        <f aca="false">'✏️ Data Input'!M42</f>
        <v>0</v>
      </c>
      <c r="N46" s="46" t="n">
        <f aca="false">'✏️ Data Input'!N42</f>
        <v>0</v>
      </c>
      <c r="O46" s="46" t="n">
        <f aca="false">'✏️ Data Input'!O42</f>
        <v>0</v>
      </c>
      <c r="P46" s="46" t="n">
        <f aca="false">'✏️ Data Input'!P42</f>
        <v>0</v>
      </c>
      <c r="Q46" s="46" t="n">
        <f aca="false">'✏️ Data Input'!Q42</f>
        <v>160</v>
      </c>
      <c r="R46" s="46" t="n">
        <f aca="false">'✏️ Data Input'!R42</f>
        <v>80</v>
      </c>
      <c r="S46" s="46" t="n">
        <f aca="false">'✏️ Data Input'!S42</f>
        <v>80</v>
      </c>
      <c r="T46" s="46" t="n">
        <f aca="false">'✏️ Data Input'!T42</f>
        <v>120</v>
      </c>
      <c r="U46" s="46" t="n">
        <f aca="false">'✏️ Data Input'!U42</f>
        <v>120</v>
      </c>
      <c r="V46" s="46" t="n">
        <f aca="false">'✏️ Data Input'!V42</f>
        <v>120</v>
      </c>
      <c r="W46" s="46" t="n">
        <f aca="false">'✏️ Data Input'!W42</f>
        <v>120</v>
      </c>
      <c r="X46" s="46" t="n">
        <f aca="false">'✏️ Data Input'!X42</f>
        <v>60</v>
      </c>
      <c r="Y46" s="46" t="n">
        <f aca="false">'✏️ Data Input'!Y42</f>
        <v>60</v>
      </c>
      <c r="Z46" s="46" t="n">
        <f aca="false">'✏️ Data Input'!Z42</f>
        <v>60</v>
      </c>
      <c r="AA46" s="46" t="n">
        <f aca="false">'✏️ Data Input'!AA42</f>
        <v>60</v>
      </c>
      <c r="AB46" s="46" t="n">
        <f aca="false">'✏️ Data Input'!AB42</f>
        <v>0</v>
      </c>
      <c r="AC46" s="46" t="n">
        <f aca="false">'✏️ Data Input'!AC42</f>
        <v>0</v>
      </c>
      <c r="AD46" s="46" t="n">
        <f aca="false">'✏️ Data Input'!AD42</f>
        <v>0</v>
      </c>
      <c r="AE46" s="46" t="n">
        <f aca="false">'✏️ Data Input'!AE42</f>
        <v>0</v>
      </c>
      <c r="AF46" s="46" t="n">
        <f aca="false">'✏️ Data Input'!AF42</f>
        <v>0</v>
      </c>
      <c r="AG46" s="46" t="n">
        <f aca="false">'✏️ Data Input'!AG42</f>
        <v>0</v>
      </c>
      <c r="AH46" s="46" t="n">
        <f aca="false">'✏️ Data Input'!AH42</f>
        <v>0</v>
      </c>
      <c r="AI46" s="46" t="n">
        <f aca="false">'✏️ Data Input'!AI42</f>
        <v>0</v>
      </c>
    </row>
    <row r="47" customFormat="false" ht="12.75" hidden="false" customHeight="true" outlineLevel="0" collapsed="false">
      <c r="A47" s="12" t="str">
        <f aca="false">'✏️ Data Input'!B43</f>
        <v>4817124</v>
      </c>
      <c r="B47" s="54"/>
      <c r="C47" s="45" t="n">
        <f aca="false">'✏️ Data Input'!C43</f>
        <v>0</v>
      </c>
      <c r="D47" s="45" t="n">
        <f aca="false">'✏️ Data Input'!D43</f>
        <v>880</v>
      </c>
      <c r="E47" s="45" t="n">
        <f aca="false">'✏️ Data Input'!E43</f>
        <v>880</v>
      </c>
      <c r="F47" s="45" t="n">
        <f aca="false">'✏️ Data Input'!F43</f>
        <v>800</v>
      </c>
      <c r="G47" s="45" t="n">
        <f aca="false">'✏️ Data Input'!G43</f>
        <v>720</v>
      </c>
      <c r="H47" s="45" t="n">
        <f aca="false">'✏️ Data Input'!H43</f>
        <v>720</v>
      </c>
      <c r="I47" s="45" t="n">
        <f aca="false">'✏️ Data Input'!I43</f>
        <v>800</v>
      </c>
      <c r="J47" s="45" t="n">
        <f aca="false">'✏️ Data Input'!J43</f>
        <v>800</v>
      </c>
      <c r="K47" s="45" t="n">
        <f aca="false">'✏️ Data Input'!K43</f>
        <v>960</v>
      </c>
      <c r="L47" s="45" t="n">
        <f aca="false">'✏️ Data Input'!L43</f>
        <v>800</v>
      </c>
      <c r="M47" s="45" t="n">
        <f aca="false">'✏️ Data Input'!M43</f>
        <v>0</v>
      </c>
      <c r="N47" s="45" t="n">
        <f aca="false">'✏️ Data Input'!N43</f>
        <v>0</v>
      </c>
      <c r="O47" s="45" t="n">
        <f aca="false">'✏️ Data Input'!O43</f>
        <v>0</v>
      </c>
      <c r="P47" s="45" t="n">
        <f aca="false">'✏️ Data Input'!P43</f>
        <v>0</v>
      </c>
      <c r="Q47" s="45" t="n">
        <f aca="false">'✏️ Data Input'!Q43</f>
        <v>560</v>
      </c>
      <c r="R47" s="45" t="n">
        <f aca="false">'✏️ Data Input'!R43</f>
        <v>560</v>
      </c>
      <c r="S47" s="45" t="n">
        <f aca="false">'✏️ Data Input'!S43</f>
        <v>560</v>
      </c>
      <c r="T47" s="45" t="n">
        <f aca="false">'✏️ Data Input'!T43</f>
        <v>620</v>
      </c>
      <c r="U47" s="45" t="n">
        <f aca="false">'✏️ Data Input'!U43</f>
        <v>620</v>
      </c>
      <c r="V47" s="45" t="n">
        <f aca="false">'✏️ Data Input'!V43</f>
        <v>620</v>
      </c>
      <c r="W47" s="45" t="n">
        <f aca="false">'✏️ Data Input'!W43</f>
        <v>620</v>
      </c>
      <c r="X47" s="45" t="n">
        <f aca="false">'✏️ Data Input'!X43</f>
        <v>360</v>
      </c>
      <c r="Y47" s="45" t="n">
        <f aca="false">'✏️ Data Input'!Y43</f>
        <v>360</v>
      </c>
      <c r="Z47" s="45" t="n">
        <f aca="false">'✏️ Data Input'!Z43</f>
        <v>360</v>
      </c>
      <c r="AA47" s="45" t="n">
        <f aca="false">'✏️ Data Input'!AA43</f>
        <v>360</v>
      </c>
      <c r="AB47" s="45" t="n">
        <f aca="false">'✏️ Data Input'!AB43</f>
        <v>470</v>
      </c>
      <c r="AC47" s="45" t="n">
        <f aca="false">'✏️ Data Input'!AC43</f>
        <v>470</v>
      </c>
      <c r="AD47" s="45" t="n">
        <f aca="false">'✏️ Data Input'!AD43</f>
        <v>470</v>
      </c>
      <c r="AE47" s="45" t="n">
        <f aca="false">'✏️ Data Input'!AE43</f>
        <v>470</v>
      </c>
      <c r="AF47" s="45" t="n">
        <f aca="false">'✏️ Data Input'!AF43</f>
        <v>440</v>
      </c>
      <c r="AG47" s="45" t="n">
        <f aca="false">'✏️ Data Input'!AG43</f>
        <v>1000</v>
      </c>
      <c r="AH47" s="45" t="n">
        <f aca="false">'✏️ Data Input'!AH43</f>
        <v>1000</v>
      </c>
      <c r="AI47" s="45" t="n">
        <f aca="false">'✏️ Data Input'!AI43</f>
        <v>0</v>
      </c>
    </row>
    <row r="48" customFormat="false" ht="12.75" hidden="false" customHeight="true" outlineLevel="0" collapsed="false">
      <c r="A48" s="9" t="str">
        <f aca="false">'✏️ Data Input'!B44</f>
        <v>4817129</v>
      </c>
      <c r="B48" s="54"/>
      <c r="C48" s="46" t="n">
        <f aca="false">'✏️ Data Input'!C44</f>
        <v>80</v>
      </c>
      <c r="D48" s="46" t="n">
        <f aca="false">'✏️ Data Input'!D44</f>
        <v>80</v>
      </c>
      <c r="E48" s="46" t="n">
        <f aca="false">'✏️ Data Input'!E44</f>
        <v>0</v>
      </c>
      <c r="F48" s="46" t="n">
        <f aca="false">'✏️ Data Input'!F44</f>
        <v>160</v>
      </c>
      <c r="G48" s="46" t="n">
        <f aca="false">'✏️ Data Input'!G44</f>
        <v>80</v>
      </c>
      <c r="H48" s="46" t="n">
        <f aca="false">'✏️ Data Input'!H44</f>
        <v>80</v>
      </c>
      <c r="I48" s="46" t="n">
        <f aca="false">'✏️ Data Input'!I44</f>
        <v>160</v>
      </c>
      <c r="J48" s="46" t="n">
        <f aca="false">'✏️ Data Input'!J44</f>
        <v>160</v>
      </c>
      <c r="K48" s="46" t="n">
        <f aca="false">'✏️ Data Input'!K44</f>
        <v>240</v>
      </c>
      <c r="L48" s="46" t="n">
        <f aca="false">'✏️ Data Input'!L44</f>
        <v>240</v>
      </c>
      <c r="M48" s="46" t="n">
        <f aca="false">'✏️ Data Input'!M44</f>
        <v>0</v>
      </c>
      <c r="N48" s="46" t="n">
        <f aca="false">'✏️ Data Input'!N44</f>
        <v>0</v>
      </c>
      <c r="O48" s="46" t="n">
        <f aca="false">'✏️ Data Input'!O44</f>
        <v>0</v>
      </c>
      <c r="P48" s="46" t="n">
        <f aca="false">'✏️ Data Input'!P44</f>
        <v>0</v>
      </c>
      <c r="Q48" s="46" t="n">
        <f aca="false">'✏️ Data Input'!Q44</f>
        <v>160</v>
      </c>
      <c r="R48" s="46" t="n">
        <f aca="false">'✏️ Data Input'!R44</f>
        <v>80</v>
      </c>
      <c r="S48" s="46" t="n">
        <f aca="false">'✏️ Data Input'!S44</f>
        <v>80</v>
      </c>
      <c r="T48" s="46" t="n">
        <f aca="false">'✏️ Data Input'!T44</f>
        <v>100</v>
      </c>
      <c r="U48" s="46" t="n">
        <f aca="false">'✏️ Data Input'!U44</f>
        <v>100</v>
      </c>
      <c r="V48" s="46" t="n">
        <f aca="false">'✏️ Data Input'!V44</f>
        <v>100</v>
      </c>
      <c r="W48" s="46" t="n">
        <f aca="false">'✏️ Data Input'!W44</f>
        <v>100</v>
      </c>
      <c r="X48" s="46" t="n">
        <f aca="false">'✏️ Data Input'!X44</f>
        <v>40</v>
      </c>
      <c r="Y48" s="46" t="n">
        <f aca="false">'✏️ Data Input'!Y44</f>
        <v>40</v>
      </c>
      <c r="Z48" s="46" t="n">
        <f aca="false">'✏️ Data Input'!Z44</f>
        <v>40</v>
      </c>
      <c r="AA48" s="46" t="n">
        <f aca="false">'✏️ Data Input'!AA44</f>
        <v>40</v>
      </c>
      <c r="AB48" s="46" t="n">
        <f aca="false">'✏️ Data Input'!AB44</f>
        <v>70</v>
      </c>
      <c r="AC48" s="46" t="n">
        <f aca="false">'✏️ Data Input'!AC44</f>
        <v>70</v>
      </c>
      <c r="AD48" s="46" t="n">
        <f aca="false">'✏️ Data Input'!AD44</f>
        <v>70</v>
      </c>
      <c r="AE48" s="46" t="n">
        <f aca="false">'✏️ Data Input'!AE44</f>
        <v>70</v>
      </c>
      <c r="AF48" s="46" t="n">
        <f aca="false">'✏️ Data Input'!AF44</f>
        <v>40</v>
      </c>
      <c r="AG48" s="46" t="n">
        <f aca="false">'✏️ Data Input'!AG44</f>
        <v>120</v>
      </c>
      <c r="AH48" s="46" t="n">
        <f aca="false">'✏️ Data Input'!AH44</f>
        <v>120</v>
      </c>
      <c r="AI48" s="46" t="n">
        <f aca="false">'✏️ Data Input'!AI44</f>
        <v>0</v>
      </c>
    </row>
    <row r="49" customFormat="false" ht="12.75" hidden="false" customHeight="true" outlineLevel="0" collapsed="false">
      <c r="A49" s="12" t="str">
        <f aca="false">'✏️ Data Input'!B45</f>
        <v>4817131</v>
      </c>
      <c r="B49" s="54"/>
      <c r="C49" s="45" t="n">
        <f aca="false">'✏️ Data Input'!C45</f>
        <v>0</v>
      </c>
      <c r="D49" s="45" t="n">
        <f aca="false">'✏️ Data Input'!D45</f>
        <v>720</v>
      </c>
      <c r="E49" s="45" t="n">
        <f aca="false">'✏️ Data Input'!E45</f>
        <v>0</v>
      </c>
      <c r="F49" s="45" t="n">
        <f aca="false">'✏️ Data Input'!F45</f>
        <v>240</v>
      </c>
      <c r="G49" s="45" t="n">
        <f aca="false">'✏️ Data Input'!G45</f>
        <v>320</v>
      </c>
      <c r="H49" s="45" t="n">
        <f aca="false">'✏️ Data Input'!H45</f>
        <v>240</v>
      </c>
      <c r="I49" s="45" t="n">
        <f aca="false">'✏️ Data Input'!I45</f>
        <v>320</v>
      </c>
      <c r="J49" s="45" t="n">
        <f aca="false">'✏️ Data Input'!J45</f>
        <v>400</v>
      </c>
      <c r="K49" s="45" t="n">
        <f aca="false">'✏️ Data Input'!K45</f>
        <v>560</v>
      </c>
      <c r="L49" s="45" t="n">
        <f aca="false">'✏️ Data Input'!L45</f>
        <v>880</v>
      </c>
      <c r="M49" s="45" t="n">
        <f aca="false">'✏️ Data Input'!M45</f>
        <v>0</v>
      </c>
      <c r="N49" s="45" t="n">
        <f aca="false">'✏️ Data Input'!N45</f>
        <v>0</v>
      </c>
      <c r="O49" s="45" t="n">
        <f aca="false">'✏️ Data Input'!O45</f>
        <v>0</v>
      </c>
      <c r="P49" s="45" t="n">
        <f aca="false">'✏️ Data Input'!P45</f>
        <v>0</v>
      </c>
      <c r="Q49" s="45" t="n">
        <f aca="false">'✏️ Data Input'!Q45</f>
        <v>480</v>
      </c>
      <c r="R49" s="45" t="n">
        <f aca="false">'✏️ Data Input'!R45</f>
        <v>400</v>
      </c>
      <c r="S49" s="45" t="n">
        <f aca="false">'✏️ Data Input'!S45</f>
        <v>480</v>
      </c>
      <c r="T49" s="45" t="n">
        <f aca="false">'✏️ Data Input'!T45</f>
        <v>460</v>
      </c>
      <c r="U49" s="45" t="n">
        <f aca="false">'✏️ Data Input'!U45</f>
        <v>460</v>
      </c>
      <c r="V49" s="45" t="n">
        <f aca="false">'✏️ Data Input'!V45</f>
        <v>460</v>
      </c>
      <c r="W49" s="45" t="n">
        <f aca="false">'✏️ Data Input'!W45</f>
        <v>460</v>
      </c>
      <c r="X49" s="45" t="n">
        <f aca="false">'✏️ Data Input'!X45</f>
        <v>280</v>
      </c>
      <c r="Y49" s="45" t="n">
        <f aca="false">'✏️ Data Input'!Y45</f>
        <v>280</v>
      </c>
      <c r="Z49" s="45" t="n">
        <f aca="false">'✏️ Data Input'!Z45</f>
        <v>280</v>
      </c>
      <c r="AA49" s="45" t="n">
        <f aca="false">'✏️ Data Input'!AA45</f>
        <v>280</v>
      </c>
      <c r="AB49" s="45" t="n">
        <f aca="false">'✏️ Data Input'!AB45</f>
        <v>470</v>
      </c>
      <c r="AC49" s="45" t="n">
        <f aca="false">'✏️ Data Input'!AC45</f>
        <v>470</v>
      </c>
      <c r="AD49" s="45" t="n">
        <f aca="false">'✏️ Data Input'!AD45</f>
        <v>470</v>
      </c>
      <c r="AE49" s="45" t="n">
        <f aca="false">'✏️ Data Input'!AE45</f>
        <v>470</v>
      </c>
      <c r="AF49" s="45" t="n">
        <f aca="false">'✏️ Data Input'!AF45</f>
        <v>440</v>
      </c>
      <c r="AG49" s="45" t="n">
        <f aca="false">'✏️ Data Input'!AG45</f>
        <v>480</v>
      </c>
      <c r="AH49" s="45" t="n">
        <f aca="false">'✏️ Data Input'!AH45</f>
        <v>480</v>
      </c>
      <c r="AI49" s="45" t="n">
        <f aca="false">'✏️ Data Input'!AI45</f>
        <v>0</v>
      </c>
    </row>
    <row r="50" customFormat="false" ht="12.75" hidden="false" customHeight="true" outlineLevel="0" collapsed="false">
      <c r="A50" s="9" t="str">
        <f aca="false">'✏️ Data Input'!B46</f>
        <v>4817134</v>
      </c>
      <c r="B50" s="54"/>
      <c r="C50" s="46" t="n">
        <f aca="false">'✏️ Data Input'!C46</f>
        <v>80</v>
      </c>
      <c r="D50" s="46" t="n">
        <f aca="false">'✏️ Data Input'!D46</f>
        <v>1600</v>
      </c>
      <c r="E50" s="46" t="n">
        <f aca="false">'✏️ Data Input'!E46</f>
        <v>1600</v>
      </c>
      <c r="F50" s="46" t="n">
        <f aca="false">'✏️ Data Input'!F46</f>
        <v>1360</v>
      </c>
      <c r="G50" s="46" t="n">
        <f aca="false">'✏️ Data Input'!G46</f>
        <v>1360</v>
      </c>
      <c r="H50" s="46" t="n">
        <f aca="false">'✏️ Data Input'!H46</f>
        <v>1200</v>
      </c>
      <c r="I50" s="46" t="n">
        <f aca="false">'✏️ Data Input'!I46</f>
        <v>1200</v>
      </c>
      <c r="J50" s="46" t="n">
        <f aca="false">'✏️ Data Input'!J46</f>
        <v>1040</v>
      </c>
      <c r="K50" s="46" t="n">
        <f aca="false">'✏️ Data Input'!K46</f>
        <v>1520</v>
      </c>
      <c r="L50" s="46" t="n">
        <f aca="false">'✏️ Data Input'!L46</f>
        <v>2080</v>
      </c>
      <c r="M50" s="46" t="n">
        <f aca="false">'✏️ Data Input'!M46</f>
        <v>0</v>
      </c>
      <c r="N50" s="46" t="n">
        <f aca="false">'✏️ Data Input'!N46</f>
        <v>0</v>
      </c>
      <c r="O50" s="46" t="n">
        <f aca="false">'✏️ Data Input'!O46</f>
        <v>0</v>
      </c>
      <c r="P50" s="46" t="n">
        <f aca="false">'✏️ Data Input'!P46</f>
        <v>0</v>
      </c>
      <c r="Q50" s="46" t="n">
        <f aca="false">'✏️ Data Input'!Q46</f>
        <v>1120</v>
      </c>
      <c r="R50" s="46" t="n">
        <f aca="false">'✏️ Data Input'!R46</f>
        <v>1040</v>
      </c>
      <c r="S50" s="46" t="n">
        <f aca="false">'✏️ Data Input'!S46</f>
        <v>1040</v>
      </c>
      <c r="T50" s="46" t="n">
        <f aca="false">'✏️ Data Input'!T46</f>
        <v>1140</v>
      </c>
      <c r="U50" s="46" t="n">
        <f aca="false">'✏️ Data Input'!U46</f>
        <v>1140</v>
      </c>
      <c r="V50" s="46" t="n">
        <f aca="false">'✏️ Data Input'!V46</f>
        <v>1140</v>
      </c>
      <c r="W50" s="46" t="n">
        <f aca="false">'✏️ Data Input'!W46</f>
        <v>1140</v>
      </c>
      <c r="X50" s="46" t="n">
        <f aca="false">'✏️ Data Input'!X46</f>
        <v>800</v>
      </c>
      <c r="Y50" s="46" t="n">
        <f aca="false">'✏️ Data Input'!Y46</f>
        <v>800</v>
      </c>
      <c r="Z50" s="46" t="n">
        <f aca="false">'✏️ Data Input'!Z46</f>
        <v>800</v>
      </c>
      <c r="AA50" s="46" t="n">
        <f aca="false">'✏️ Data Input'!AA46</f>
        <v>800</v>
      </c>
      <c r="AB50" s="46" t="n">
        <f aca="false">'✏️ Data Input'!AB46</f>
        <v>960</v>
      </c>
      <c r="AC50" s="46" t="n">
        <f aca="false">'✏️ Data Input'!AC46</f>
        <v>960</v>
      </c>
      <c r="AD50" s="46" t="n">
        <f aca="false">'✏️ Data Input'!AD46</f>
        <v>960</v>
      </c>
      <c r="AE50" s="46" t="n">
        <f aca="false">'✏️ Data Input'!AE46</f>
        <v>960</v>
      </c>
      <c r="AF50" s="46" t="n">
        <f aca="false">'✏️ Data Input'!AF46</f>
        <v>960</v>
      </c>
      <c r="AG50" s="46" t="n">
        <f aca="false">'✏️ Data Input'!AG46</f>
        <v>840</v>
      </c>
      <c r="AH50" s="46" t="n">
        <f aca="false">'✏️ Data Input'!AH46</f>
        <v>840</v>
      </c>
      <c r="AI50" s="46" t="n">
        <f aca="false">'✏️ Data Input'!AI46</f>
        <v>0</v>
      </c>
    </row>
    <row r="51" customFormat="false" ht="12.75" hidden="false" customHeight="true" outlineLevel="0" collapsed="false">
      <c r="A51" s="12" t="str">
        <f aca="false">'✏️ Data Input'!B47</f>
        <v>4817136</v>
      </c>
      <c r="B51" s="54"/>
      <c r="C51" s="45" t="n">
        <f aca="false">'✏️ Data Input'!C47</f>
        <v>0</v>
      </c>
      <c r="D51" s="45" t="n">
        <f aca="false">'✏️ Data Input'!D47</f>
        <v>0</v>
      </c>
      <c r="E51" s="45" t="n">
        <f aca="false">'✏️ Data Input'!E47</f>
        <v>0</v>
      </c>
      <c r="F51" s="45" t="n">
        <f aca="false">'✏️ Data Input'!F47</f>
        <v>80</v>
      </c>
      <c r="G51" s="45" t="n">
        <f aca="false">'✏️ Data Input'!G47</f>
        <v>0</v>
      </c>
      <c r="H51" s="45" t="n">
        <f aca="false">'✏️ Data Input'!H47</f>
        <v>80</v>
      </c>
      <c r="I51" s="45" t="n">
        <f aca="false">'✏️ Data Input'!I47</f>
        <v>0</v>
      </c>
      <c r="J51" s="45" t="n">
        <f aca="false">'✏️ Data Input'!J47</f>
        <v>0</v>
      </c>
      <c r="K51" s="45" t="n">
        <f aca="false">'✏️ Data Input'!K47</f>
        <v>80</v>
      </c>
      <c r="L51" s="45" t="n">
        <f aca="false">'✏️ Data Input'!L47</f>
        <v>0</v>
      </c>
      <c r="M51" s="45" t="n">
        <f aca="false">'✏️ Data Input'!M47</f>
        <v>0</v>
      </c>
      <c r="N51" s="45" t="n">
        <f aca="false">'✏️ Data Input'!N47</f>
        <v>0</v>
      </c>
      <c r="O51" s="45" t="n">
        <f aca="false">'✏️ Data Input'!O47</f>
        <v>0</v>
      </c>
      <c r="P51" s="45" t="n">
        <f aca="false">'✏️ Data Input'!P47</f>
        <v>0</v>
      </c>
      <c r="Q51" s="45" t="n">
        <f aca="false">'✏️ Data Input'!Q47</f>
        <v>80</v>
      </c>
      <c r="R51" s="45" t="n">
        <f aca="false">'✏️ Data Input'!R47</f>
        <v>0</v>
      </c>
      <c r="S51" s="45" t="n">
        <f aca="false">'✏️ Data Input'!S47</f>
        <v>0</v>
      </c>
      <c r="T51" s="45" t="n">
        <f aca="false">'✏️ Data Input'!T47</f>
        <v>20</v>
      </c>
      <c r="U51" s="45" t="n">
        <f aca="false">'✏️ Data Input'!U47</f>
        <v>20</v>
      </c>
      <c r="V51" s="45" t="n">
        <f aca="false">'✏️ Data Input'!V47</f>
        <v>20</v>
      </c>
      <c r="W51" s="45" t="n">
        <f aca="false">'✏️ Data Input'!W47</f>
        <v>20</v>
      </c>
      <c r="X51" s="45" t="n">
        <f aca="false">'✏️ Data Input'!X47</f>
        <v>40</v>
      </c>
      <c r="Y51" s="45" t="n">
        <f aca="false">'✏️ Data Input'!Y47</f>
        <v>40</v>
      </c>
      <c r="Z51" s="45" t="n">
        <f aca="false">'✏️ Data Input'!Z47</f>
        <v>40</v>
      </c>
      <c r="AA51" s="45" t="n">
        <f aca="false">'✏️ Data Input'!AA47</f>
        <v>40</v>
      </c>
      <c r="AB51" s="45" t="n">
        <f aca="false">'✏️ Data Input'!AB47</f>
        <v>340</v>
      </c>
      <c r="AC51" s="45" t="n">
        <f aca="false">'✏️ Data Input'!AC47</f>
        <v>340</v>
      </c>
      <c r="AD51" s="45" t="n">
        <f aca="false">'✏️ Data Input'!AD47</f>
        <v>340</v>
      </c>
      <c r="AE51" s="45" t="n">
        <f aca="false">'✏️ Data Input'!AE47</f>
        <v>340</v>
      </c>
      <c r="AF51" s="45" t="n">
        <f aca="false">'✏️ Data Input'!AF47</f>
        <v>320</v>
      </c>
      <c r="AG51" s="45" t="n">
        <f aca="false">'✏️ Data Input'!AG47</f>
        <v>280</v>
      </c>
      <c r="AH51" s="45" t="n">
        <f aca="false">'✏️ Data Input'!AH47</f>
        <v>280</v>
      </c>
      <c r="AI51" s="45" t="n">
        <f aca="false">'✏️ Data Input'!AI47</f>
        <v>0</v>
      </c>
    </row>
    <row r="52" customFormat="false" ht="12.75" hidden="false" customHeight="true" outlineLevel="0" collapsed="false">
      <c r="A52" s="9" t="str">
        <f aca="false">'✏️ Data Input'!B48</f>
        <v>4755146</v>
      </c>
      <c r="B52" s="54"/>
      <c r="C52" s="46" t="n">
        <f aca="false">'✏️ Data Input'!C48</f>
        <v>0</v>
      </c>
      <c r="D52" s="46" t="n">
        <f aca="false">'✏️ Data Input'!D48</f>
        <v>320</v>
      </c>
      <c r="E52" s="46" t="n">
        <f aca="false">'✏️ Data Input'!E48</f>
        <v>0</v>
      </c>
      <c r="F52" s="46" t="n">
        <f aca="false">'✏️ Data Input'!F48</f>
        <v>160</v>
      </c>
      <c r="G52" s="46" t="n">
        <f aca="false">'✏️ Data Input'!G48</f>
        <v>160</v>
      </c>
      <c r="H52" s="46" t="n">
        <f aca="false">'✏️ Data Input'!H48</f>
        <v>240</v>
      </c>
      <c r="I52" s="46" t="n">
        <f aca="false">'✏️ Data Input'!I48</f>
        <v>240</v>
      </c>
      <c r="J52" s="46" t="n">
        <f aca="false">'✏️ Data Input'!J48</f>
        <v>320</v>
      </c>
      <c r="K52" s="46" t="n">
        <f aca="false">'✏️ Data Input'!K48</f>
        <v>320</v>
      </c>
      <c r="L52" s="46" t="n">
        <f aca="false">'✏️ Data Input'!L48</f>
        <v>400</v>
      </c>
      <c r="M52" s="46" t="n">
        <f aca="false">'✏️ Data Input'!M48</f>
        <v>0</v>
      </c>
      <c r="N52" s="46" t="n">
        <f aca="false">'✏️ Data Input'!N48</f>
        <v>0</v>
      </c>
      <c r="O52" s="46" t="n">
        <f aca="false">'✏️ Data Input'!O48</f>
        <v>0</v>
      </c>
      <c r="P52" s="46" t="n">
        <f aca="false">'✏️ Data Input'!P48</f>
        <v>0</v>
      </c>
      <c r="Q52" s="46" t="n">
        <f aca="false">'✏️ Data Input'!Q48</f>
        <v>160</v>
      </c>
      <c r="R52" s="46" t="n">
        <f aca="false">'✏️ Data Input'!R48</f>
        <v>240</v>
      </c>
      <c r="S52" s="46" t="n">
        <f aca="false">'✏️ Data Input'!S48</f>
        <v>160</v>
      </c>
      <c r="T52" s="46" t="n">
        <f aca="false">'✏️ Data Input'!T48</f>
        <v>220</v>
      </c>
      <c r="U52" s="46" t="n">
        <f aca="false">'✏️ Data Input'!U48</f>
        <v>220</v>
      </c>
      <c r="V52" s="46" t="n">
        <f aca="false">'✏️ Data Input'!V48</f>
        <v>220</v>
      </c>
      <c r="W52" s="46" t="n">
        <f aca="false">'✏️ Data Input'!W48</f>
        <v>220</v>
      </c>
      <c r="X52" s="46" t="n">
        <f aca="false">'✏️ Data Input'!X48</f>
        <v>220</v>
      </c>
      <c r="Y52" s="46" t="n">
        <f aca="false">'✏️ Data Input'!Y48</f>
        <v>220</v>
      </c>
      <c r="Z52" s="46" t="n">
        <f aca="false">'✏️ Data Input'!Z48</f>
        <v>220</v>
      </c>
      <c r="AA52" s="46" t="n">
        <f aca="false">'✏️ Data Input'!AA48</f>
        <v>220</v>
      </c>
      <c r="AB52" s="46" t="n">
        <f aca="false">'✏️ Data Input'!AB48</f>
        <v>320</v>
      </c>
      <c r="AC52" s="46" t="n">
        <f aca="false">'✏️ Data Input'!AC48</f>
        <v>320</v>
      </c>
      <c r="AD52" s="46" t="n">
        <f aca="false">'✏️ Data Input'!AD48</f>
        <v>320</v>
      </c>
      <c r="AE52" s="46" t="n">
        <f aca="false">'✏️ Data Input'!AE48</f>
        <v>320</v>
      </c>
      <c r="AF52" s="46" t="n">
        <f aca="false">'✏️ Data Input'!AF48</f>
        <v>320</v>
      </c>
      <c r="AG52" s="46" t="n">
        <f aca="false">'✏️ Data Input'!AG48</f>
        <v>40</v>
      </c>
      <c r="AH52" s="46" t="n">
        <f aca="false">'✏️ Data Input'!AH48</f>
        <v>40</v>
      </c>
      <c r="AI52" s="46" t="n">
        <f aca="false">'✏️ Data Input'!AI48</f>
        <v>0</v>
      </c>
    </row>
    <row r="53" customFormat="false" ht="12.75" hidden="false" customHeight="true" outlineLevel="0" collapsed="false">
      <c r="A53" s="12" t="str">
        <f aca="false">'✏️ Data Input'!B49</f>
        <v>5080443</v>
      </c>
      <c r="B53" s="54"/>
      <c r="C53" s="45" t="n">
        <f aca="false">'✏️ Data Input'!C49</f>
        <v>0</v>
      </c>
      <c r="D53" s="45" t="n">
        <f aca="false">'✏️ Data Input'!D49</f>
        <v>0</v>
      </c>
      <c r="E53" s="45" t="n">
        <f aca="false">'✏️ Data Input'!E49</f>
        <v>0</v>
      </c>
      <c r="F53" s="45" t="n">
        <f aca="false">'✏️ Data Input'!F49</f>
        <v>0</v>
      </c>
      <c r="G53" s="45" t="n">
        <f aca="false">'✏️ Data Input'!G49</f>
        <v>0</v>
      </c>
      <c r="H53" s="45" t="n">
        <f aca="false">'✏️ Data Input'!H49</f>
        <v>0</v>
      </c>
      <c r="I53" s="45" t="n">
        <f aca="false">'✏️ Data Input'!I49</f>
        <v>0</v>
      </c>
      <c r="J53" s="45" t="n">
        <f aca="false">'✏️ Data Input'!J49</f>
        <v>0</v>
      </c>
      <c r="K53" s="45" t="n">
        <f aca="false">'✏️ Data Input'!K49</f>
        <v>0</v>
      </c>
      <c r="L53" s="45" t="n">
        <f aca="false">'✏️ Data Input'!L49</f>
        <v>0</v>
      </c>
      <c r="M53" s="45" t="n">
        <f aca="false">'✏️ Data Input'!M49</f>
        <v>0</v>
      </c>
      <c r="N53" s="45" t="n">
        <f aca="false">'✏️ Data Input'!N49</f>
        <v>0</v>
      </c>
      <c r="O53" s="45" t="n">
        <f aca="false">'✏️ Data Input'!O49</f>
        <v>0</v>
      </c>
      <c r="P53" s="45" t="n">
        <f aca="false">'✏️ Data Input'!P49</f>
        <v>0</v>
      </c>
      <c r="Q53" s="45" t="n">
        <f aca="false">'✏️ Data Input'!Q49</f>
        <v>0</v>
      </c>
      <c r="R53" s="45" t="n">
        <f aca="false">'✏️ Data Input'!R49</f>
        <v>0</v>
      </c>
      <c r="S53" s="45" t="n">
        <f aca="false">'✏️ Data Input'!S49</f>
        <v>0</v>
      </c>
      <c r="T53" s="45" t="n">
        <f aca="false">'✏️ Data Input'!T49</f>
        <v>0</v>
      </c>
      <c r="U53" s="45" t="n">
        <f aca="false">'✏️ Data Input'!U49</f>
        <v>0</v>
      </c>
      <c r="V53" s="45" t="n">
        <f aca="false">'✏️ Data Input'!V49</f>
        <v>0</v>
      </c>
      <c r="W53" s="45" t="n">
        <f aca="false">'✏️ Data Input'!W49</f>
        <v>0</v>
      </c>
      <c r="X53" s="45" t="n">
        <f aca="false">'✏️ Data Input'!X49</f>
        <v>0</v>
      </c>
      <c r="Y53" s="45" t="n">
        <f aca="false">'✏️ Data Input'!Y49</f>
        <v>0</v>
      </c>
      <c r="Z53" s="45" t="n">
        <f aca="false">'✏️ Data Input'!Z49</f>
        <v>0</v>
      </c>
      <c r="AA53" s="45" t="n">
        <f aca="false">'✏️ Data Input'!AA49</f>
        <v>0</v>
      </c>
      <c r="AB53" s="45" t="n">
        <f aca="false">'✏️ Data Input'!AB49</f>
        <v>0</v>
      </c>
      <c r="AC53" s="45" t="n">
        <f aca="false">'✏️ Data Input'!AC49</f>
        <v>0</v>
      </c>
      <c r="AD53" s="45" t="n">
        <f aca="false">'✏️ Data Input'!AD49</f>
        <v>0</v>
      </c>
      <c r="AE53" s="45" t="n">
        <f aca="false">'✏️ Data Input'!AE49</f>
        <v>0</v>
      </c>
      <c r="AF53" s="45" t="n">
        <f aca="false">'✏️ Data Input'!AF49</f>
        <v>0</v>
      </c>
      <c r="AG53" s="45" t="n">
        <f aca="false">'✏️ Data Input'!AG49</f>
        <v>0</v>
      </c>
      <c r="AH53" s="45" t="n">
        <f aca="false">'✏️ Data Input'!AH49</f>
        <v>0</v>
      </c>
      <c r="AI53" s="45" t="n">
        <f aca="false">'✏️ Data Input'!AI49</f>
        <v>0</v>
      </c>
    </row>
    <row r="54" customFormat="false" ht="12.75" hidden="false" customHeight="true" outlineLevel="0" collapsed="false">
      <c r="A54" s="9" t="str">
        <f aca="false">'✏️ Data Input'!B50</f>
        <v>5180039</v>
      </c>
      <c r="B54" s="54"/>
      <c r="C54" s="46" t="n">
        <f aca="false">'✏️ Data Input'!C50</f>
        <v>0</v>
      </c>
      <c r="D54" s="46" t="n">
        <f aca="false">'✏️ Data Input'!D50</f>
        <v>0</v>
      </c>
      <c r="E54" s="46" t="n">
        <f aca="false">'✏️ Data Input'!E50</f>
        <v>0</v>
      </c>
      <c r="F54" s="46" t="n">
        <f aca="false">'✏️ Data Input'!F50</f>
        <v>0</v>
      </c>
      <c r="G54" s="46" t="n">
        <f aca="false">'✏️ Data Input'!G50</f>
        <v>0</v>
      </c>
      <c r="H54" s="46" t="n">
        <f aca="false">'✏️ Data Input'!H50</f>
        <v>0</v>
      </c>
      <c r="I54" s="46" t="n">
        <f aca="false">'✏️ Data Input'!I50</f>
        <v>0</v>
      </c>
      <c r="J54" s="46" t="n">
        <f aca="false">'✏️ Data Input'!J50</f>
        <v>0</v>
      </c>
      <c r="K54" s="46" t="n">
        <f aca="false">'✏️ Data Input'!K50</f>
        <v>0</v>
      </c>
      <c r="L54" s="46" t="n">
        <f aca="false">'✏️ Data Input'!L50</f>
        <v>0</v>
      </c>
      <c r="M54" s="46" t="n">
        <f aca="false">'✏️ Data Input'!M50</f>
        <v>0</v>
      </c>
      <c r="N54" s="46" t="n">
        <f aca="false">'✏️ Data Input'!N50</f>
        <v>0</v>
      </c>
      <c r="O54" s="46" t="n">
        <f aca="false">'✏️ Data Input'!O50</f>
        <v>0</v>
      </c>
      <c r="P54" s="46" t="n">
        <f aca="false">'✏️ Data Input'!P50</f>
        <v>0</v>
      </c>
      <c r="Q54" s="46" t="n">
        <f aca="false">'✏️ Data Input'!Q50</f>
        <v>0</v>
      </c>
      <c r="R54" s="46" t="n">
        <f aca="false">'✏️ Data Input'!R50</f>
        <v>0</v>
      </c>
      <c r="S54" s="46" t="n">
        <f aca="false">'✏️ Data Input'!S50</f>
        <v>0</v>
      </c>
      <c r="T54" s="46" t="n">
        <f aca="false">'✏️ Data Input'!T50</f>
        <v>0</v>
      </c>
      <c r="U54" s="46" t="n">
        <f aca="false">'✏️ Data Input'!U50</f>
        <v>0</v>
      </c>
      <c r="V54" s="46" t="n">
        <f aca="false">'✏️ Data Input'!V50</f>
        <v>0</v>
      </c>
      <c r="W54" s="46" t="n">
        <f aca="false">'✏️ Data Input'!W50</f>
        <v>0</v>
      </c>
      <c r="X54" s="46" t="n">
        <f aca="false">'✏️ Data Input'!X50</f>
        <v>0</v>
      </c>
      <c r="Y54" s="46" t="n">
        <f aca="false">'✏️ Data Input'!Y50</f>
        <v>0</v>
      </c>
      <c r="Z54" s="46" t="n">
        <f aca="false">'✏️ Data Input'!Z50</f>
        <v>0</v>
      </c>
      <c r="AA54" s="46" t="n">
        <f aca="false">'✏️ Data Input'!AA50</f>
        <v>0</v>
      </c>
      <c r="AB54" s="46" t="n">
        <f aca="false">'✏️ Data Input'!AB50</f>
        <v>0</v>
      </c>
      <c r="AC54" s="46" t="n">
        <f aca="false">'✏️ Data Input'!AC50</f>
        <v>0</v>
      </c>
      <c r="AD54" s="46" t="n">
        <f aca="false">'✏️ Data Input'!AD50</f>
        <v>0</v>
      </c>
      <c r="AE54" s="46" t="n">
        <f aca="false">'✏️ Data Input'!AE50</f>
        <v>0</v>
      </c>
      <c r="AF54" s="46" t="n">
        <f aca="false">'✏️ Data Input'!AF50</f>
        <v>0</v>
      </c>
      <c r="AG54" s="46" t="n">
        <f aca="false">'✏️ Data Input'!AG50</f>
        <v>0</v>
      </c>
      <c r="AH54" s="46" t="n">
        <f aca="false">'✏️ Data Input'!AH50</f>
        <v>0</v>
      </c>
      <c r="AI54" s="46" t="n">
        <f aca="false">'✏️ Data Input'!AI50</f>
        <v>0</v>
      </c>
    </row>
    <row r="55" customFormat="false" ht="12.75" hidden="false" customHeight="true" outlineLevel="0" collapsed="false">
      <c r="A55" s="12" t="str">
        <f aca="false">'✏️ Data Input'!B51</f>
        <v>5180040</v>
      </c>
      <c r="B55" s="54"/>
      <c r="C55" s="45" t="n">
        <f aca="false">'✏️ Data Input'!C51</f>
        <v>0</v>
      </c>
      <c r="D55" s="45" t="n">
        <f aca="false">'✏️ Data Input'!D51</f>
        <v>160</v>
      </c>
      <c r="E55" s="45" t="n">
        <f aca="false">'✏️ Data Input'!E51</f>
        <v>80</v>
      </c>
      <c r="F55" s="45" t="n">
        <f aca="false">'✏️ Data Input'!F51</f>
        <v>160</v>
      </c>
      <c r="G55" s="45" t="n">
        <f aca="false">'✏️ Data Input'!G51</f>
        <v>80</v>
      </c>
      <c r="H55" s="45" t="n">
        <f aca="false">'✏️ Data Input'!H51</f>
        <v>160</v>
      </c>
      <c r="I55" s="45" t="n">
        <f aca="false">'✏️ Data Input'!I51</f>
        <v>80</v>
      </c>
      <c r="J55" s="45" t="n">
        <f aca="false">'✏️ Data Input'!J51</f>
        <v>80</v>
      </c>
      <c r="K55" s="45" t="n">
        <f aca="false">'✏️ Data Input'!K51</f>
        <v>160</v>
      </c>
      <c r="L55" s="45" t="n">
        <f aca="false">'✏️ Data Input'!L51</f>
        <v>80</v>
      </c>
      <c r="M55" s="45" t="n">
        <f aca="false">'✏️ Data Input'!M51</f>
        <v>0</v>
      </c>
      <c r="N55" s="45" t="n">
        <f aca="false">'✏️ Data Input'!N51</f>
        <v>0</v>
      </c>
      <c r="O55" s="45" t="n">
        <f aca="false">'✏️ Data Input'!O51</f>
        <v>0</v>
      </c>
      <c r="P55" s="45" t="n">
        <f aca="false">'✏️ Data Input'!P51</f>
        <v>0</v>
      </c>
      <c r="Q55" s="45" t="n">
        <f aca="false">'✏️ Data Input'!Q51</f>
        <v>80</v>
      </c>
      <c r="R55" s="45" t="n">
        <f aca="false">'✏️ Data Input'!R51</f>
        <v>160</v>
      </c>
      <c r="S55" s="45" t="n">
        <f aca="false">'✏️ Data Input'!S51</f>
        <v>80</v>
      </c>
      <c r="T55" s="45" t="n">
        <f aca="false">'✏️ Data Input'!T51</f>
        <v>100</v>
      </c>
      <c r="U55" s="45" t="n">
        <f aca="false">'✏️ Data Input'!U51</f>
        <v>100</v>
      </c>
      <c r="V55" s="45" t="n">
        <f aca="false">'✏️ Data Input'!V51</f>
        <v>100</v>
      </c>
      <c r="W55" s="45" t="n">
        <f aca="false">'✏️ Data Input'!W51</f>
        <v>100</v>
      </c>
      <c r="X55" s="45" t="n">
        <f aca="false">'✏️ Data Input'!X51</f>
        <v>80</v>
      </c>
      <c r="Y55" s="45" t="n">
        <f aca="false">'✏️ Data Input'!Y51</f>
        <v>80</v>
      </c>
      <c r="Z55" s="45" t="n">
        <f aca="false">'✏️ Data Input'!Z51</f>
        <v>80</v>
      </c>
      <c r="AA55" s="45" t="n">
        <f aca="false">'✏️ Data Input'!AA51</f>
        <v>80</v>
      </c>
      <c r="AB55" s="45" t="n">
        <f aca="false">'✏️ Data Input'!AB51</f>
        <v>130</v>
      </c>
      <c r="AC55" s="45" t="n">
        <f aca="false">'✏️ Data Input'!AC51</f>
        <v>130</v>
      </c>
      <c r="AD55" s="45" t="n">
        <f aca="false">'✏️ Data Input'!AD51</f>
        <v>130</v>
      </c>
      <c r="AE55" s="45" t="n">
        <f aca="false">'✏️ Data Input'!AE51</f>
        <v>130</v>
      </c>
      <c r="AF55" s="45" t="n">
        <f aca="false">'✏️ Data Input'!AF51</f>
        <v>120</v>
      </c>
      <c r="AG55" s="45" t="n">
        <f aca="false">'✏️ Data Input'!AG51</f>
        <v>80</v>
      </c>
      <c r="AH55" s="45" t="n">
        <f aca="false">'✏️ Data Input'!AH51</f>
        <v>80</v>
      </c>
      <c r="AI55" s="45" t="n">
        <f aca="false">'✏️ Data Input'!AI51</f>
        <v>0</v>
      </c>
    </row>
    <row r="56" customFormat="false" ht="12.75" hidden="false" customHeight="true" outlineLevel="0" collapsed="false">
      <c r="A56" s="9" t="str">
        <f aca="false">'✏️ Data Input'!B52</f>
        <v>5080450</v>
      </c>
      <c r="B56" s="54"/>
      <c r="C56" s="46" t="n">
        <f aca="false">'✏️ Data Input'!C52</f>
        <v>0</v>
      </c>
      <c r="D56" s="46" t="n">
        <f aca="false">'✏️ Data Input'!D52</f>
        <v>0</v>
      </c>
      <c r="E56" s="46" t="n">
        <f aca="false">'✏️ Data Input'!E52</f>
        <v>0</v>
      </c>
      <c r="F56" s="46" t="n">
        <f aca="false">'✏️ Data Input'!F52</f>
        <v>0</v>
      </c>
      <c r="G56" s="46" t="n">
        <f aca="false">'✏️ Data Input'!G52</f>
        <v>0</v>
      </c>
      <c r="H56" s="46" t="n">
        <f aca="false">'✏️ Data Input'!H52</f>
        <v>0</v>
      </c>
      <c r="I56" s="46" t="n">
        <f aca="false">'✏️ Data Input'!I52</f>
        <v>0</v>
      </c>
      <c r="J56" s="46" t="n">
        <f aca="false">'✏️ Data Input'!J52</f>
        <v>0</v>
      </c>
      <c r="K56" s="46" t="n">
        <f aca="false">'✏️ Data Input'!K52</f>
        <v>0</v>
      </c>
      <c r="L56" s="46" t="n">
        <f aca="false">'✏️ Data Input'!L52</f>
        <v>0</v>
      </c>
      <c r="M56" s="46" t="n">
        <f aca="false">'✏️ Data Input'!M52</f>
        <v>0</v>
      </c>
      <c r="N56" s="46" t="n">
        <f aca="false">'✏️ Data Input'!N52</f>
        <v>0</v>
      </c>
      <c r="O56" s="46" t="n">
        <f aca="false">'✏️ Data Input'!O52</f>
        <v>0</v>
      </c>
      <c r="P56" s="46" t="n">
        <f aca="false">'✏️ Data Input'!P52</f>
        <v>0</v>
      </c>
      <c r="Q56" s="46" t="n">
        <f aca="false">'✏️ Data Input'!Q52</f>
        <v>0</v>
      </c>
      <c r="R56" s="46" t="n">
        <f aca="false">'✏️ Data Input'!R52</f>
        <v>0</v>
      </c>
      <c r="S56" s="46" t="n">
        <f aca="false">'✏️ Data Input'!S52</f>
        <v>0</v>
      </c>
      <c r="T56" s="46" t="n">
        <f aca="false">'✏️ Data Input'!T52</f>
        <v>0</v>
      </c>
      <c r="U56" s="46" t="n">
        <f aca="false">'✏️ Data Input'!U52</f>
        <v>0</v>
      </c>
      <c r="V56" s="46" t="n">
        <f aca="false">'✏️ Data Input'!V52</f>
        <v>0</v>
      </c>
      <c r="W56" s="46" t="n">
        <f aca="false">'✏️ Data Input'!W52</f>
        <v>0</v>
      </c>
      <c r="X56" s="46" t="n">
        <f aca="false">'✏️ Data Input'!X52</f>
        <v>0</v>
      </c>
      <c r="Y56" s="46" t="n">
        <f aca="false">'✏️ Data Input'!Y52</f>
        <v>0</v>
      </c>
      <c r="Z56" s="46" t="n">
        <f aca="false">'✏️ Data Input'!Z52</f>
        <v>0</v>
      </c>
      <c r="AA56" s="46" t="n">
        <f aca="false">'✏️ Data Input'!AA52</f>
        <v>0</v>
      </c>
      <c r="AB56" s="46" t="n">
        <f aca="false">'✏️ Data Input'!AB52</f>
        <v>0</v>
      </c>
      <c r="AC56" s="46" t="n">
        <f aca="false">'✏️ Data Input'!AC52</f>
        <v>0</v>
      </c>
      <c r="AD56" s="46" t="n">
        <f aca="false">'✏️ Data Input'!AD52</f>
        <v>0</v>
      </c>
      <c r="AE56" s="46" t="n">
        <f aca="false">'✏️ Data Input'!AE52</f>
        <v>0</v>
      </c>
      <c r="AF56" s="46" t="n">
        <f aca="false">'✏️ Data Input'!AF52</f>
        <v>0</v>
      </c>
      <c r="AG56" s="46" t="n">
        <f aca="false">'✏️ Data Input'!AG52</f>
        <v>0</v>
      </c>
      <c r="AH56" s="46" t="n">
        <f aca="false">'✏️ Data Input'!AH52</f>
        <v>0</v>
      </c>
      <c r="AI56" s="46" t="n">
        <f aca="false">'✏️ Data Input'!AI52</f>
        <v>0</v>
      </c>
    </row>
    <row r="57" customFormat="false" ht="12.75" hidden="false" customHeight="true" outlineLevel="0" collapsed="false">
      <c r="A57" s="12" t="str">
        <f aca="false">'✏️ Data Input'!B53</f>
        <v>4172797</v>
      </c>
      <c r="B57" s="54"/>
      <c r="C57" s="45" t="n">
        <f aca="false">'✏️ Data Input'!C53</f>
        <v>0</v>
      </c>
      <c r="D57" s="45" t="n">
        <f aca="false">'✏️ Data Input'!D53</f>
        <v>0</v>
      </c>
      <c r="E57" s="45" t="n">
        <f aca="false">'✏️ Data Input'!E53</f>
        <v>0</v>
      </c>
      <c r="F57" s="45" t="n">
        <f aca="false">'✏️ Data Input'!F53</f>
        <v>0</v>
      </c>
      <c r="G57" s="45" t="n">
        <f aca="false">'✏️ Data Input'!G53</f>
        <v>0</v>
      </c>
      <c r="H57" s="45" t="n">
        <f aca="false">'✏️ Data Input'!H53</f>
        <v>0</v>
      </c>
      <c r="I57" s="45" t="n">
        <f aca="false">'✏️ Data Input'!I53</f>
        <v>0</v>
      </c>
      <c r="J57" s="45" t="n">
        <f aca="false">'✏️ Data Input'!J53</f>
        <v>0</v>
      </c>
      <c r="K57" s="45" t="n">
        <f aca="false">'✏️ Data Input'!K53</f>
        <v>80</v>
      </c>
      <c r="L57" s="45" t="n">
        <f aca="false">'✏️ Data Input'!L53</f>
        <v>0</v>
      </c>
      <c r="M57" s="45" t="n">
        <f aca="false">'✏️ Data Input'!M53</f>
        <v>0</v>
      </c>
      <c r="N57" s="45" t="n">
        <f aca="false">'✏️ Data Input'!N53</f>
        <v>0</v>
      </c>
      <c r="O57" s="45" t="n">
        <f aca="false">'✏️ Data Input'!O53</f>
        <v>0</v>
      </c>
      <c r="P57" s="45" t="n">
        <f aca="false">'✏️ Data Input'!P53</f>
        <v>0</v>
      </c>
      <c r="Q57" s="45" t="n">
        <f aca="false">'✏️ Data Input'!Q53</f>
        <v>0</v>
      </c>
      <c r="R57" s="45" t="n">
        <f aca="false">'✏️ Data Input'!R53</f>
        <v>0</v>
      </c>
      <c r="S57" s="45" t="n">
        <f aca="false">'✏️ Data Input'!S53</f>
        <v>0</v>
      </c>
      <c r="T57" s="45" t="n">
        <f aca="false">'✏️ Data Input'!T53</f>
        <v>0</v>
      </c>
      <c r="U57" s="45" t="n">
        <f aca="false">'✏️ Data Input'!U53</f>
        <v>0</v>
      </c>
      <c r="V57" s="45" t="n">
        <f aca="false">'✏️ Data Input'!V53</f>
        <v>0</v>
      </c>
      <c r="W57" s="45" t="n">
        <f aca="false">'✏️ Data Input'!W53</f>
        <v>0</v>
      </c>
      <c r="X57" s="45" t="n">
        <f aca="false">'✏️ Data Input'!X53</f>
        <v>0</v>
      </c>
      <c r="Y57" s="45" t="n">
        <f aca="false">'✏️ Data Input'!Y53</f>
        <v>0</v>
      </c>
      <c r="Z57" s="45" t="n">
        <f aca="false">'✏️ Data Input'!Z53</f>
        <v>0</v>
      </c>
      <c r="AA57" s="45" t="n">
        <f aca="false">'✏️ Data Input'!AA53</f>
        <v>0</v>
      </c>
      <c r="AB57" s="45" t="n">
        <f aca="false">'✏️ Data Input'!AB53</f>
        <v>0</v>
      </c>
      <c r="AC57" s="45" t="n">
        <f aca="false">'✏️ Data Input'!AC53</f>
        <v>0</v>
      </c>
      <c r="AD57" s="45" t="n">
        <f aca="false">'✏️ Data Input'!AD53</f>
        <v>0</v>
      </c>
      <c r="AE57" s="45" t="n">
        <f aca="false">'✏️ Data Input'!AE53</f>
        <v>0</v>
      </c>
      <c r="AF57" s="45" t="n">
        <f aca="false">'✏️ Data Input'!AF53</f>
        <v>0</v>
      </c>
      <c r="AG57" s="45" t="n">
        <f aca="false">'✏️ Data Input'!AG53</f>
        <v>0</v>
      </c>
      <c r="AH57" s="45" t="n">
        <f aca="false">'✏️ Data Input'!AH53</f>
        <v>0</v>
      </c>
      <c r="AI57" s="45" t="n">
        <f aca="false">'✏️ Data Input'!AI53</f>
        <v>0</v>
      </c>
    </row>
    <row r="58" customFormat="false" ht="12.75" hidden="false" customHeight="true" outlineLevel="0" collapsed="false">
      <c r="A58" s="9" t="str">
        <f aca="false">'✏️ Data Input'!B54</f>
        <v>7506626</v>
      </c>
      <c r="B58" s="54"/>
      <c r="C58" s="46" t="n">
        <f aca="false">'✏️ Data Input'!C54</f>
        <v>0</v>
      </c>
      <c r="D58" s="46" t="n">
        <f aca="false">'✏️ Data Input'!D54</f>
        <v>0</v>
      </c>
      <c r="E58" s="46" t="n">
        <f aca="false">'✏️ Data Input'!E54</f>
        <v>0</v>
      </c>
      <c r="F58" s="46" t="n">
        <f aca="false">'✏️ Data Input'!F54</f>
        <v>0</v>
      </c>
      <c r="G58" s="46" t="n">
        <f aca="false">'✏️ Data Input'!G54</f>
        <v>0</v>
      </c>
      <c r="H58" s="46" t="n">
        <f aca="false">'✏️ Data Input'!H54</f>
        <v>0</v>
      </c>
      <c r="I58" s="46" t="n">
        <f aca="false">'✏️ Data Input'!I54</f>
        <v>0</v>
      </c>
      <c r="J58" s="46" t="n">
        <f aca="false">'✏️ Data Input'!J54</f>
        <v>0</v>
      </c>
      <c r="K58" s="46" t="n">
        <f aca="false">'✏️ Data Input'!K54</f>
        <v>100</v>
      </c>
      <c r="L58" s="46" t="n">
        <f aca="false">'✏️ Data Input'!L54</f>
        <v>0</v>
      </c>
      <c r="M58" s="46" t="n">
        <f aca="false">'✏️ Data Input'!M54</f>
        <v>0</v>
      </c>
      <c r="N58" s="46" t="n">
        <f aca="false">'✏️ Data Input'!N54</f>
        <v>0</v>
      </c>
      <c r="O58" s="46" t="n">
        <f aca="false">'✏️ Data Input'!O54</f>
        <v>0</v>
      </c>
      <c r="P58" s="46" t="n">
        <f aca="false">'✏️ Data Input'!P54</f>
        <v>0</v>
      </c>
      <c r="Q58" s="46" t="n">
        <f aca="false">'✏️ Data Input'!Q54</f>
        <v>0</v>
      </c>
      <c r="R58" s="46" t="n">
        <f aca="false">'✏️ Data Input'!R54</f>
        <v>0</v>
      </c>
      <c r="S58" s="46" t="n">
        <f aca="false">'✏️ Data Input'!S54</f>
        <v>0</v>
      </c>
      <c r="T58" s="46" t="n">
        <f aca="false">'✏️ Data Input'!T54</f>
        <v>0</v>
      </c>
      <c r="U58" s="46" t="n">
        <f aca="false">'✏️ Data Input'!U54</f>
        <v>0</v>
      </c>
      <c r="V58" s="46" t="n">
        <f aca="false">'✏️ Data Input'!V54</f>
        <v>0</v>
      </c>
      <c r="W58" s="46" t="n">
        <f aca="false">'✏️ Data Input'!W54</f>
        <v>0</v>
      </c>
      <c r="X58" s="46" t="n">
        <f aca="false">'✏️ Data Input'!X54</f>
        <v>0</v>
      </c>
      <c r="Y58" s="46" t="n">
        <f aca="false">'✏️ Data Input'!Y54</f>
        <v>0</v>
      </c>
      <c r="Z58" s="46" t="n">
        <f aca="false">'✏️ Data Input'!Z54</f>
        <v>0</v>
      </c>
      <c r="AA58" s="46" t="n">
        <f aca="false">'✏️ Data Input'!AA54</f>
        <v>0</v>
      </c>
      <c r="AB58" s="46" t="n">
        <f aca="false">'✏️ Data Input'!AB54</f>
        <v>20</v>
      </c>
      <c r="AC58" s="46" t="n">
        <f aca="false">'✏️ Data Input'!AC54</f>
        <v>20</v>
      </c>
      <c r="AD58" s="46" t="n">
        <f aca="false">'✏️ Data Input'!AD54</f>
        <v>20</v>
      </c>
      <c r="AE58" s="46" t="n">
        <f aca="false">'✏️ Data Input'!AE54</f>
        <v>20</v>
      </c>
      <c r="AF58" s="46" t="n">
        <f aca="false">'✏️ Data Input'!AF54</f>
        <v>20</v>
      </c>
      <c r="AG58" s="46" t="n">
        <f aca="false">'✏️ Data Input'!AG54</f>
        <v>0</v>
      </c>
      <c r="AH58" s="46" t="n">
        <f aca="false">'✏️ Data Input'!AH54</f>
        <v>0</v>
      </c>
      <c r="AI58" s="46" t="n">
        <f aca="false">'✏️ Data Input'!AI54</f>
        <v>0</v>
      </c>
    </row>
    <row r="59" customFormat="false" ht="12.75" hidden="false" customHeight="true" outlineLevel="0" collapsed="false">
      <c r="A59" s="12" t="str">
        <f aca="false">'✏️ Data Input'!B55</f>
        <v>7506627</v>
      </c>
      <c r="B59" s="54"/>
      <c r="C59" s="45" t="n">
        <f aca="false">'✏️ Data Input'!C55</f>
        <v>0</v>
      </c>
      <c r="D59" s="45" t="n">
        <f aca="false">'✏️ Data Input'!D55</f>
        <v>160</v>
      </c>
      <c r="E59" s="45" t="n">
        <f aca="false">'✏️ Data Input'!E55</f>
        <v>0</v>
      </c>
      <c r="F59" s="45" t="n">
        <f aca="false">'✏️ Data Input'!F55</f>
        <v>80</v>
      </c>
      <c r="G59" s="45" t="n">
        <f aca="false">'✏️ Data Input'!G55</f>
        <v>0</v>
      </c>
      <c r="H59" s="45" t="n">
        <f aca="false">'✏️ Data Input'!H55</f>
        <v>80</v>
      </c>
      <c r="I59" s="45" t="n">
        <f aca="false">'✏️ Data Input'!I55</f>
        <v>0</v>
      </c>
      <c r="J59" s="45" t="n">
        <f aca="false">'✏️ Data Input'!J55</f>
        <v>80</v>
      </c>
      <c r="K59" s="45" t="n">
        <f aca="false">'✏️ Data Input'!K55</f>
        <v>80</v>
      </c>
      <c r="L59" s="45" t="n">
        <f aca="false">'✏️ Data Input'!L55</f>
        <v>80</v>
      </c>
      <c r="M59" s="45" t="n">
        <f aca="false">'✏️ Data Input'!M55</f>
        <v>0</v>
      </c>
      <c r="N59" s="45" t="n">
        <f aca="false">'✏️ Data Input'!N55</f>
        <v>0</v>
      </c>
      <c r="O59" s="45" t="n">
        <f aca="false">'✏️ Data Input'!O55</f>
        <v>0</v>
      </c>
      <c r="P59" s="45" t="n">
        <f aca="false">'✏️ Data Input'!P55</f>
        <v>0</v>
      </c>
      <c r="Q59" s="45" t="n">
        <f aca="false">'✏️ Data Input'!Q55</f>
        <v>0</v>
      </c>
      <c r="R59" s="45" t="n">
        <f aca="false">'✏️ Data Input'!R55</f>
        <v>80</v>
      </c>
      <c r="S59" s="45" t="n">
        <f aca="false">'✏️ Data Input'!S55</f>
        <v>0</v>
      </c>
      <c r="T59" s="45" t="n">
        <f aca="false">'✏️ Data Input'!T55</f>
        <v>60</v>
      </c>
      <c r="U59" s="45" t="n">
        <f aca="false">'✏️ Data Input'!U55</f>
        <v>60</v>
      </c>
      <c r="V59" s="45" t="n">
        <f aca="false">'✏️ Data Input'!V55</f>
        <v>60</v>
      </c>
      <c r="W59" s="45" t="n">
        <f aca="false">'✏️ Data Input'!W55</f>
        <v>60</v>
      </c>
      <c r="X59" s="45" t="n">
        <f aca="false">'✏️ Data Input'!X55</f>
        <v>20</v>
      </c>
      <c r="Y59" s="45" t="n">
        <f aca="false">'✏️ Data Input'!Y55</f>
        <v>20</v>
      </c>
      <c r="Z59" s="45" t="n">
        <f aca="false">'✏️ Data Input'!Z55</f>
        <v>20</v>
      </c>
      <c r="AA59" s="45" t="n">
        <f aca="false">'✏️ Data Input'!AA55</f>
        <v>20</v>
      </c>
      <c r="AB59" s="45" t="n">
        <f aca="false">'✏️ Data Input'!AB55</f>
        <v>50</v>
      </c>
      <c r="AC59" s="45" t="n">
        <f aca="false">'✏️ Data Input'!AC55</f>
        <v>50</v>
      </c>
      <c r="AD59" s="45" t="n">
        <f aca="false">'✏️ Data Input'!AD55</f>
        <v>50</v>
      </c>
      <c r="AE59" s="45" t="n">
        <f aca="false">'✏️ Data Input'!AE55</f>
        <v>50</v>
      </c>
      <c r="AF59" s="45" t="n">
        <f aca="false">'✏️ Data Input'!AF55</f>
        <v>40</v>
      </c>
      <c r="AG59" s="45" t="n">
        <f aca="false">'✏️ Data Input'!AG55</f>
        <v>0</v>
      </c>
      <c r="AH59" s="45" t="n">
        <f aca="false">'✏️ Data Input'!AH55</f>
        <v>0</v>
      </c>
      <c r="AI59" s="45" t="n">
        <f aca="false">'✏️ Data Input'!AI55</f>
        <v>0</v>
      </c>
    </row>
    <row r="60" customFormat="false" ht="12.75" hidden="false" customHeight="true" outlineLevel="0" collapsed="false">
      <c r="A60" s="9" t="str">
        <f aca="false">'✏️ Data Input'!B56</f>
        <v>4172790</v>
      </c>
      <c r="B60" s="54"/>
      <c r="C60" s="46" t="n">
        <f aca="false">'✏️ Data Input'!C56</f>
        <v>0</v>
      </c>
      <c r="D60" s="46" t="n">
        <f aca="false">'✏️ Data Input'!D56</f>
        <v>0</v>
      </c>
      <c r="E60" s="46" t="n">
        <f aca="false">'✏️ Data Input'!E56</f>
        <v>0</v>
      </c>
      <c r="F60" s="46" t="n">
        <f aca="false">'✏️ Data Input'!F56</f>
        <v>0</v>
      </c>
      <c r="G60" s="46" t="n">
        <f aca="false">'✏️ Data Input'!G56</f>
        <v>0</v>
      </c>
      <c r="H60" s="46" t="n">
        <f aca="false">'✏️ Data Input'!H56</f>
        <v>0</v>
      </c>
      <c r="I60" s="46" t="n">
        <f aca="false">'✏️ Data Input'!I56</f>
        <v>0</v>
      </c>
      <c r="J60" s="46" t="n">
        <f aca="false">'✏️ Data Input'!J56</f>
        <v>0</v>
      </c>
      <c r="K60" s="46" t="n">
        <f aca="false">'✏️ Data Input'!K56</f>
        <v>0</v>
      </c>
      <c r="L60" s="46" t="n">
        <f aca="false">'✏️ Data Input'!L56</f>
        <v>0</v>
      </c>
      <c r="M60" s="46" t="n">
        <f aca="false">'✏️ Data Input'!M56</f>
        <v>0</v>
      </c>
      <c r="N60" s="46" t="n">
        <f aca="false">'✏️ Data Input'!N56</f>
        <v>0</v>
      </c>
      <c r="O60" s="46" t="n">
        <f aca="false">'✏️ Data Input'!O56</f>
        <v>0</v>
      </c>
      <c r="P60" s="46" t="n">
        <f aca="false">'✏️ Data Input'!P56</f>
        <v>0</v>
      </c>
      <c r="Q60" s="46" t="n">
        <f aca="false">'✏️ Data Input'!Q56</f>
        <v>0</v>
      </c>
      <c r="R60" s="46" t="n">
        <f aca="false">'✏️ Data Input'!R56</f>
        <v>0</v>
      </c>
      <c r="S60" s="46" t="n">
        <f aca="false">'✏️ Data Input'!S56</f>
        <v>0</v>
      </c>
      <c r="T60" s="46" t="n">
        <f aca="false">'✏️ Data Input'!T56</f>
        <v>0</v>
      </c>
      <c r="U60" s="46" t="n">
        <f aca="false">'✏️ Data Input'!U56</f>
        <v>0</v>
      </c>
      <c r="V60" s="46" t="n">
        <f aca="false">'✏️ Data Input'!V56</f>
        <v>0</v>
      </c>
      <c r="W60" s="46" t="n">
        <f aca="false">'✏️ Data Input'!W56</f>
        <v>0</v>
      </c>
      <c r="X60" s="46" t="n">
        <f aca="false">'✏️ Data Input'!X56</f>
        <v>40</v>
      </c>
      <c r="Y60" s="46" t="n">
        <f aca="false">'✏️ Data Input'!Y56</f>
        <v>40</v>
      </c>
      <c r="Z60" s="46" t="n">
        <f aca="false">'✏️ Data Input'!Z56</f>
        <v>40</v>
      </c>
      <c r="AA60" s="46" t="n">
        <f aca="false">'✏️ Data Input'!AA56</f>
        <v>40</v>
      </c>
      <c r="AB60" s="46" t="n">
        <f aca="false">'✏️ Data Input'!AB56</f>
        <v>0</v>
      </c>
      <c r="AC60" s="46" t="n">
        <f aca="false">'✏️ Data Input'!AC56</f>
        <v>0</v>
      </c>
      <c r="AD60" s="46" t="n">
        <f aca="false">'✏️ Data Input'!AD56</f>
        <v>0</v>
      </c>
      <c r="AE60" s="46" t="n">
        <f aca="false">'✏️ Data Input'!AE56</f>
        <v>0</v>
      </c>
      <c r="AF60" s="46" t="n">
        <f aca="false">'✏️ Data Input'!AF56</f>
        <v>0</v>
      </c>
      <c r="AG60" s="46" t="n">
        <f aca="false">'✏️ Data Input'!AG56</f>
        <v>0</v>
      </c>
      <c r="AH60" s="46" t="n">
        <f aca="false">'✏️ Data Input'!AH56</f>
        <v>0</v>
      </c>
      <c r="AI60" s="46" t="n">
        <f aca="false">'✏️ Data Input'!AI56</f>
        <v>0</v>
      </c>
    </row>
    <row r="61" customFormat="false" ht="12.75" hidden="false" customHeight="true" outlineLevel="0" collapsed="false">
      <c r="A61" s="12" t="str">
        <f aca="false">'✏️ Data Input'!B57</f>
        <v>4264994</v>
      </c>
      <c r="B61" s="54"/>
      <c r="C61" s="45" t="n">
        <f aca="false">'✏️ Data Input'!C57</f>
        <v>80</v>
      </c>
      <c r="D61" s="45" t="n">
        <f aca="false">'✏️ Data Input'!D57</f>
        <v>0</v>
      </c>
      <c r="E61" s="45" t="n">
        <f aca="false">'✏️ Data Input'!E57</f>
        <v>0</v>
      </c>
      <c r="F61" s="45" t="n">
        <f aca="false">'✏️ Data Input'!F57</f>
        <v>0</v>
      </c>
      <c r="G61" s="45" t="n">
        <f aca="false">'✏️ Data Input'!G57</f>
        <v>0</v>
      </c>
      <c r="H61" s="45" t="n">
        <f aca="false">'✏️ Data Input'!H57</f>
        <v>0</v>
      </c>
      <c r="I61" s="45" t="n">
        <f aca="false">'✏️ Data Input'!I57</f>
        <v>0</v>
      </c>
      <c r="J61" s="45" t="n">
        <f aca="false">'✏️ Data Input'!J57</f>
        <v>0</v>
      </c>
      <c r="K61" s="45" t="n">
        <f aca="false">'✏️ Data Input'!K57</f>
        <v>0</v>
      </c>
      <c r="L61" s="45" t="n">
        <f aca="false">'✏️ Data Input'!L57</f>
        <v>0</v>
      </c>
      <c r="M61" s="45" t="n">
        <f aca="false">'✏️ Data Input'!M57</f>
        <v>0</v>
      </c>
      <c r="N61" s="45" t="n">
        <f aca="false">'✏️ Data Input'!N57</f>
        <v>0</v>
      </c>
      <c r="O61" s="45" t="n">
        <f aca="false">'✏️ Data Input'!O57</f>
        <v>0</v>
      </c>
      <c r="P61" s="45" t="n">
        <f aca="false">'✏️ Data Input'!P57</f>
        <v>0</v>
      </c>
      <c r="Q61" s="45" t="n">
        <f aca="false">'✏️ Data Input'!Q57</f>
        <v>0</v>
      </c>
      <c r="R61" s="45" t="n">
        <f aca="false">'✏️ Data Input'!R57</f>
        <v>0</v>
      </c>
      <c r="S61" s="45" t="n">
        <f aca="false">'✏️ Data Input'!S57</f>
        <v>0</v>
      </c>
      <c r="T61" s="45" t="n">
        <f aca="false">'✏️ Data Input'!T57</f>
        <v>0</v>
      </c>
      <c r="U61" s="45" t="n">
        <f aca="false">'✏️ Data Input'!U57</f>
        <v>0</v>
      </c>
      <c r="V61" s="45" t="n">
        <f aca="false">'✏️ Data Input'!V57</f>
        <v>0</v>
      </c>
      <c r="W61" s="45" t="n">
        <f aca="false">'✏️ Data Input'!W57</f>
        <v>0</v>
      </c>
      <c r="X61" s="45" t="n">
        <f aca="false">'✏️ Data Input'!X57</f>
        <v>0</v>
      </c>
      <c r="Y61" s="45" t="n">
        <f aca="false">'✏️ Data Input'!Y57</f>
        <v>0</v>
      </c>
      <c r="Z61" s="45" t="n">
        <f aca="false">'✏️ Data Input'!Z57</f>
        <v>0</v>
      </c>
      <c r="AA61" s="45" t="n">
        <f aca="false">'✏️ Data Input'!AA57</f>
        <v>0</v>
      </c>
      <c r="AB61" s="45" t="n">
        <f aca="false">'✏️ Data Input'!AB57</f>
        <v>50</v>
      </c>
      <c r="AC61" s="45" t="n">
        <f aca="false">'✏️ Data Input'!AC57</f>
        <v>50</v>
      </c>
      <c r="AD61" s="45" t="n">
        <f aca="false">'✏️ Data Input'!AD57</f>
        <v>50</v>
      </c>
      <c r="AE61" s="45" t="n">
        <f aca="false">'✏️ Data Input'!AE57</f>
        <v>50</v>
      </c>
      <c r="AF61" s="45" t="n">
        <f aca="false">'✏️ Data Input'!AF57</f>
        <v>40</v>
      </c>
      <c r="AG61" s="45" t="n">
        <f aca="false">'✏️ Data Input'!AG57</f>
        <v>40</v>
      </c>
      <c r="AH61" s="45" t="n">
        <f aca="false">'✏️ Data Input'!AH57</f>
        <v>40</v>
      </c>
      <c r="AI61" s="45" t="n">
        <f aca="false">'✏️ Data Input'!AI57</f>
        <v>0</v>
      </c>
    </row>
    <row r="62" customFormat="false" ht="12.75" hidden="false" customHeight="true" outlineLevel="0" collapsed="false">
      <c r="A62" s="9" t="str">
        <f aca="false">'✏️ Data Input'!B58</f>
        <v>4817115</v>
      </c>
      <c r="B62" s="54"/>
      <c r="C62" s="46" t="n">
        <f aca="false">'✏️ Data Input'!C58</f>
        <v>0</v>
      </c>
      <c r="D62" s="46" t="n">
        <f aca="false">'✏️ Data Input'!D58</f>
        <v>0</v>
      </c>
      <c r="E62" s="46" t="n">
        <f aca="false">'✏️ Data Input'!E58</f>
        <v>0</v>
      </c>
      <c r="F62" s="46" t="n">
        <f aca="false">'✏️ Data Input'!F58</f>
        <v>0</v>
      </c>
      <c r="G62" s="46" t="n">
        <f aca="false">'✏️ Data Input'!G58</f>
        <v>0</v>
      </c>
      <c r="H62" s="46" t="n">
        <f aca="false">'✏️ Data Input'!H58</f>
        <v>0</v>
      </c>
      <c r="I62" s="46" t="n">
        <f aca="false">'✏️ Data Input'!I58</f>
        <v>0</v>
      </c>
      <c r="J62" s="46" t="n">
        <f aca="false">'✏️ Data Input'!J58</f>
        <v>0</v>
      </c>
      <c r="K62" s="46" t="n">
        <f aca="false">'✏️ Data Input'!K58</f>
        <v>0</v>
      </c>
      <c r="L62" s="46" t="n">
        <f aca="false">'✏️ Data Input'!L58</f>
        <v>0</v>
      </c>
      <c r="M62" s="46" t="n">
        <f aca="false">'✏️ Data Input'!M58</f>
        <v>0</v>
      </c>
      <c r="N62" s="46" t="n">
        <f aca="false">'✏️ Data Input'!N58</f>
        <v>0</v>
      </c>
      <c r="O62" s="46" t="n">
        <f aca="false">'✏️ Data Input'!O58</f>
        <v>0</v>
      </c>
      <c r="P62" s="46" t="n">
        <f aca="false">'✏️ Data Input'!P58</f>
        <v>0</v>
      </c>
      <c r="Q62" s="46" t="n">
        <f aca="false">'✏️ Data Input'!Q58</f>
        <v>0</v>
      </c>
      <c r="R62" s="46" t="n">
        <f aca="false">'✏️ Data Input'!R58</f>
        <v>0</v>
      </c>
      <c r="S62" s="46" t="n">
        <f aca="false">'✏️ Data Input'!S58</f>
        <v>0</v>
      </c>
      <c r="T62" s="46" t="n">
        <f aca="false">'✏️ Data Input'!T58</f>
        <v>0</v>
      </c>
      <c r="U62" s="46" t="n">
        <f aca="false">'✏️ Data Input'!U58</f>
        <v>0</v>
      </c>
      <c r="V62" s="46" t="n">
        <f aca="false">'✏️ Data Input'!V58</f>
        <v>0</v>
      </c>
      <c r="W62" s="46" t="n">
        <f aca="false">'✏️ Data Input'!W58</f>
        <v>0</v>
      </c>
      <c r="X62" s="46" t="n">
        <f aca="false">'✏️ Data Input'!X58</f>
        <v>0</v>
      </c>
      <c r="Y62" s="46" t="n">
        <f aca="false">'✏️ Data Input'!Y58</f>
        <v>0</v>
      </c>
      <c r="Z62" s="46" t="n">
        <f aca="false">'✏️ Data Input'!Z58</f>
        <v>0</v>
      </c>
      <c r="AA62" s="46" t="n">
        <f aca="false">'✏️ Data Input'!AA58</f>
        <v>0</v>
      </c>
      <c r="AB62" s="46" t="n">
        <f aca="false">'✏️ Data Input'!AB58</f>
        <v>20</v>
      </c>
      <c r="AC62" s="46" t="n">
        <f aca="false">'✏️ Data Input'!AC58</f>
        <v>20</v>
      </c>
      <c r="AD62" s="46" t="n">
        <f aca="false">'✏️ Data Input'!AD58</f>
        <v>20</v>
      </c>
      <c r="AE62" s="46" t="n">
        <f aca="false">'✏️ Data Input'!AE58</f>
        <v>20</v>
      </c>
      <c r="AF62" s="46" t="n">
        <f aca="false">'✏️ Data Input'!AF58</f>
        <v>0</v>
      </c>
      <c r="AG62" s="46" t="n">
        <f aca="false">'✏️ Data Input'!AG58</f>
        <v>0</v>
      </c>
      <c r="AH62" s="46" t="n">
        <f aca="false">'✏️ Data Input'!AH58</f>
        <v>0</v>
      </c>
      <c r="AI62" s="46" t="n">
        <f aca="false">'✏️ Data Input'!AI58</f>
        <v>0</v>
      </c>
    </row>
    <row r="63" customFormat="false" ht="12.75" hidden="false" customHeight="true" outlineLevel="0" collapsed="false">
      <c r="A63" s="12" t="str">
        <f aca="false">'✏️ Data Input'!B59</f>
        <v>4817125</v>
      </c>
      <c r="B63" s="54"/>
      <c r="C63" s="45" t="n">
        <f aca="false">'✏️ Data Input'!C59</f>
        <v>0</v>
      </c>
      <c r="D63" s="45" t="n">
        <f aca="false">'✏️ Data Input'!D59</f>
        <v>0</v>
      </c>
      <c r="E63" s="45" t="n">
        <f aca="false">'✏️ Data Input'!E59</f>
        <v>0</v>
      </c>
      <c r="F63" s="45" t="n">
        <f aca="false">'✏️ Data Input'!F59</f>
        <v>0</v>
      </c>
      <c r="G63" s="45" t="n">
        <f aca="false">'✏️ Data Input'!G59</f>
        <v>0</v>
      </c>
      <c r="H63" s="45" t="n">
        <f aca="false">'✏️ Data Input'!H59</f>
        <v>0</v>
      </c>
      <c r="I63" s="45" t="n">
        <f aca="false">'✏️ Data Input'!I59</f>
        <v>0</v>
      </c>
      <c r="J63" s="45" t="n">
        <f aca="false">'✏️ Data Input'!J59</f>
        <v>0</v>
      </c>
      <c r="K63" s="45" t="n">
        <f aca="false">'✏️ Data Input'!K59</f>
        <v>0</v>
      </c>
      <c r="L63" s="45" t="n">
        <f aca="false">'✏️ Data Input'!L59</f>
        <v>0</v>
      </c>
      <c r="M63" s="45" t="n">
        <f aca="false">'✏️ Data Input'!M59</f>
        <v>0</v>
      </c>
      <c r="N63" s="45" t="n">
        <f aca="false">'✏️ Data Input'!N59</f>
        <v>0</v>
      </c>
      <c r="O63" s="45" t="n">
        <f aca="false">'✏️ Data Input'!O59</f>
        <v>0</v>
      </c>
      <c r="P63" s="45" t="n">
        <f aca="false">'✏️ Data Input'!P59</f>
        <v>0</v>
      </c>
      <c r="Q63" s="45" t="n">
        <f aca="false">'✏️ Data Input'!Q59</f>
        <v>0</v>
      </c>
      <c r="R63" s="45" t="n">
        <f aca="false">'✏️ Data Input'!R59</f>
        <v>0</v>
      </c>
      <c r="S63" s="45" t="n">
        <f aca="false">'✏️ Data Input'!S59</f>
        <v>0</v>
      </c>
      <c r="T63" s="45" t="n">
        <f aca="false">'✏️ Data Input'!T59</f>
        <v>0</v>
      </c>
      <c r="U63" s="45" t="n">
        <f aca="false">'✏️ Data Input'!U59</f>
        <v>0</v>
      </c>
      <c r="V63" s="45" t="n">
        <f aca="false">'✏️ Data Input'!V59</f>
        <v>0</v>
      </c>
      <c r="W63" s="45" t="n">
        <f aca="false">'✏️ Data Input'!W59</f>
        <v>0</v>
      </c>
      <c r="X63" s="45" t="n">
        <f aca="false">'✏️ Data Input'!X59</f>
        <v>0</v>
      </c>
      <c r="Y63" s="45" t="n">
        <f aca="false">'✏️ Data Input'!Y59</f>
        <v>0</v>
      </c>
      <c r="Z63" s="45" t="n">
        <f aca="false">'✏️ Data Input'!Z59</f>
        <v>0</v>
      </c>
      <c r="AA63" s="45" t="n">
        <f aca="false">'✏️ Data Input'!AA59</f>
        <v>0</v>
      </c>
      <c r="AB63" s="45" t="n">
        <f aca="false">'✏️ Data Input'!AB59</f>
        <v>20</v>
      </c>
      <c r="AC63" s="45" t="n">
        <f aca="false">'✏️ Data Input'!AC59</f>
        <v>20</v>
      </c>
      <c r="AD63" s="45" t="n">
        <f aca="false">'✏️ Data Input'!AD59</f>
        <v>20</v>
      </c>
      <c r="AE63" s="45" t="n">
        <f aca="false">'✏️ Data Input'!AE59</f>
        <v>20</v>
      </c>
      <c r="AF63" s="45" t="n">
        <f aca="false">'✏️ Data Input'!AF59</f>
        <v>0</v>
      </c>
      <c r="AG63" s="45" t="n">
        <f aca="false">'✏️ Data Input'!AG59</f>
        <v>40</v>
      </c>
      <c r="AH63" s="45" t="n">
        <f aca="false">'✏️ Data Input'!AH59</f>
        <v>40</v>
      </c>
      <c r="AI63" s="45" t="n">
        <f aca="false">'✏️ Data Input'!AI59</f>
        <v>0</v>
      </c>
    </row>
    <row r="64" customFormat="false" ht="12.75" hidden="false" customHeight="true" outlineLevel="0" collapsed="false">
      <c r="A64" s="9" t="str">
        <f aca="false">'✏️ Data Input'!B60</f>
        <v>4755147</v>
      </c>
      <c r="B64" s="54"/>
      <c r="C64" s="46" t="n">
        <f aca="false">'✏️ Data Input'!C60</f>
        <v>0</v>
      </c>
      <c r="D64" s="46" t="n">
        <f aca="false">'✏️ Data Input'!D60</f>
        <v>0</v>
      </c>
      <c r="E64" s="46" t="n">
        <f aca="false">'✏️ Data Input'!E60</f>
        <v>0</v>
      </c>
      <c r="F64" s="46" t="n">
        <f aca="false">'✏️ Data Input'!F60</f>
        <v>0</v>
      </c>
      <c r="G64" s="46" t="n">
        <f aca="false">'✏️ Data Input'!G60</f>
        <v>0</v>
      </c>
      <c r="H64" s="46" t="n">
        <f aca="false">'✏️ Data Input'!H60</f>
        <v>0</v>
      </c>
      <c r="I64" s="46" t="n">
        <f aca="false">'✏️ Data Input'!I60</f>
        <v>0</v>
      </c>
      <c r="J64" s="46" t="n">
        <f aca="false">'✏️ Data Input'!J60</f>
        <v>0</v>
      </c>
      <c r="K64" s="46" t="n">
        <f aca="false">'✏️ Data Input'!K60</f>
        <v>0</v>
      </c>
      <c r="L64" s="46" t="n">
        <f aca="false">'✏️ Data Input'!L60</f>
        <v>0</v>
      </c>
      <c r="M64" s="46" t="n">
        <f aca="false">'✏️ Data Input'!M60</f>
        <v>0</v>
      </c>
      <c r="N64" s="46" t="n">
        <f aca="false">'✏️ Data Input'!N60</f>
        <v>0</v>
      </c>
      <c r="O64" s="46" t="n">
        <f aca="false">'✏️ Data Input'!O60</f>
        <v>0</v>
      </c>
      <c r="P64" s="46" t="n">
        <f aca="false">'✏️ Data Input'!P60</f>
        <v>0</v>
      </c>
      <c r="Q64" s="46" t="n">
        <f aca="false">'✏️ Data Input'!Q60</f>
        <v>0</v>
      </c>
      <c r="R64" s="46" t="n">
        <f aca="false">'✏️ Data Input'!R60</f>
        <v>0</v>
      </c>
      <c r="S64" s="46" t="n">
        <f aca="false">'✏️ Data Input'!S60</f>
        <v>0</v>
      </c>
      <c r="T64" s="46" t="n">
        <f aca="false">'✏️ Data Input'!T60</f>
        <v>0</v>
      </c>
      <c r="U64" s="46" t="n">
        <f aca="false">'✏️ Data Input'!U60</f>
        <v>0</v>
      </c>
      <c r="V64" s="46" t="n">
        <f aca="false">'✏️ Data Input'!V60</f>
        <v>0</v>
      </c>
      <c r="W64" s="46" t="n">
        <f aca="false">'✏️ Data Input'!W60</f>
        <v>0</v>
      </c>
      <c r="X64" s="46" t="n">
        <f aca="false">'✏️ Data Input'!X60</f>
        <v>0</v>
      </c>
      <c r="Y64" s="46" t="n">
        <f aca="false">'✏️ Data Input'!Y60</f>
        <v>0</v>
      </c>
      <c r="Z64" s="46" t="n">
        <f aca="false">'✏️ Data Input'!Z60</f>
        <v>0</v>
      </c>
      <c r="AA64" s="46" t="n">
        <f aca="false">'✏️ Data Input'!AA60</f>
        <v>0</v>
      </c>
      <c r="AB64" s="46" t="n">
        <f aca="false">'✏️ Data Input'!AB60</f>
        <v>10</v>
      </c>
      <c r="AC64" s="46" t="n">
        <f aca="false">'✏️ Data Input'!AC60</f>
        <v>10</v>
      </c>
      <c r="AD64" s="46" t="n">
        <f aca="false">'✏️ Data Input'!AD60</f>
        <v>0</v>
      </c>
      <c r="AE64" s="46" t="n">
        <f aca="false">'✏️ Data Input'!AE60</f>
        <v>0</v>
      </c>
      <c r="AF64" s="46" t="n">
        <f aca="false">'✏️ Data Input'!AF60</f>
        <v>0</v>
      </c>
      <c r="AG64" s="46" t="n">
        <f aca="false">'✏️ Data Input'!AG60</f>
        <v>0</v>
      </c>
      <c r="AH64" s="46" t="n">
        <f aca="false">'✏️ Data Input'!AH60</f>
        <v>0</v>
      </c>
      <c r="AI64" s="46" t="n">
        <f aca="false">'✏️ Data Input'!AI60</f>
        <v>0</v>
      </c>
    </row>
    <row r="65" customFormat="false" ht="12.75" hidden="false" customHeight="true" outlineLevel="0" collapsed="false">
      <c r="A65" s="12" t="str">
        <f aca="false">'✏️ Data Input'!B61</f>
        <v>5080431</v>
      </c>
      <c r="B65" s="54"/>
      <c r="C65" s="45" t="n">
        <f aca="false">'✏️ Data Input'!C61</f>
        <v>0</v>
      </c>
      <c r="D65" s="45" t="n">
        <f aca="false">'✏️ Data Input'!D61</f>
        <v>80</v>
      </c>
      <c r="E65" s="45" t="n">
        <f aca="false">'✏️ Data Input'!E61</f>
        <v>0</v>
      </c>
      <c r="F65" s="45" t="n">
        <f aca="false">'✏️ Data Input'!F61</f>
        <v>0</v>
      </c>
      <c r="G65" s="45" t="n">
        <f aca="false">'✏️ Data Input'!G61</f>
        <v>80</v>
      </c>
      <c r="H65" s="45" t="n">
        <f aca="false">'✏️ Data Input'!H61</f>
        <v>0</v>
      </c>
      <c r="I65" s="45" t="n">
        <f aca="false">'✏️ Data Input'!I61</f>
        <v>0</v>
      </c>
      <c r="J65" s="45" t="n">
        <f aca="false">'✏️ Data Input'!J61</f>
        <v>0</v>
      </c>
      <c r="K65" s="45" t="n">
        <f aca="false">'✏️ Data Input'!K61</f>
        <v>80</v>
      </c>
      <c r="L65" s="45" t="n">
        <f aca="false">'✏️ Data Input'!L61</f>
        <v>0</v>
      </c>
      <c r="M65" s="45" t="n">
        <f aca="false">'✏️ Data Input'!M61</f>
        <v>0</v>
      </c>
      <c r="N65" s="45" t="n">
        <f aca="false">'✏️ Data Input'!N61</f>
        <v>0</v>
      </c>
      <c r="O65" s="45" t="n">
        <f aca="false">'✏️ Data Input'!O61</f>
        <v>0</v>
      </c>
      <c r="P65" s="45" t="n">
        <f aca="false">'✏️ Data Input'!P61</f>
        <v>0</v>
      </c>
      <c r="Q65" s="45" t="n">
        <f aca="false">'✏️ Data Input'!Q61</f>
        <v>0</v>
      </c>
      <c r="R65" s="45" t="n">
        <f aca="false">'✏️ Data Input'!R61</f>
        <v>80</v>
      </c>
      <c r="S65" s="45" t="n">
        <f aca="false">'✏️ Data Input'!S61</f>
        <v>0</v>
      </c>
      <c r="T65" s="45" t="n">
        <f aca="false">'✏️ Data Input'!T61</f>
        <v>20</v>
      </c>
      <c r="U65" s="45" t="n">
        <f aca="false">'✏️ Data Input'!U61</f>
        <v>20</v>
      </c>
      <c r="V65" s="45" t="n">
        <f aca="false">'✏️ Data Input'!V61</f>
        <v>20</v>
      </c>
      <c r="W65" s="45" t="n">
        <f aca="false">'✏️ Data Input'!W61</f>
        <v>20</v>
      </c>
      <c r="X65" s="45" t="n">
        <f aca="false">'✏️ Data Input'!X61</f>
        <v>0</v>
      </c>
      <c r="Y65" s="45" t="n">
        <f aca="false">'✏️ Data Input'!Y61</f>
        <v>0</v>
      </c>
      <c r="Z65" s="45" t="n">
        <f aca="false">'✏️ Data Input'!Z61</f>
        <v>0</v>
      </c>
      <c r="AA65" s="45" t="n">
        <f aca="false">'✏️ Data Input'!AA61</f>
        <v>0</v>
      </c>
      <c r="AB65" s="45" t="n">
        <f aca="false">'✏️ Data Input'!AB61</f>
        <v>40</v>
      </c>
      <c r="AC65" s="45" t="n">
        <f aca="false">'✏️ Data Input'!AC61</f>
        <v>40</v>
      </c>
      <c r="AD65" s="45" t="n">
        <f aca="false">'✏️ Data Input'!AD61</f>
        <v>40</v>
      </c>
      <c r="AE65" s="45" t="n">
        <f aca="false">'✏️ Data Input'!AE61</f>
        <v>40</v>
      </c>
      <c r="AF65" s="45" t="n">
        <f aca="false">'✏️ Data Input'!AF61</f>
        <v>0</v>
      </c>
      <c r="AG65" s="45" t="n">
        <f aca="false">'✏️ Data Input'!AG61</f>
        <v>40</v>
      </c>
      <c r="AH65" s="45" t="n">
        <f aca="false">'✏️ Data Input'!AH61</f>
        <v>40</v>
      </c>
      <c r="AI65" s="45" t="n">
        <f aca="false">'✏️ Data Input'!AI61</f>
        <v>0</v>
      </c>
    </row>
    <row r="66" customFormat="false" ht="12.75" hidden="false" customHeight="true" outlineLevel="0" collapsed="false">
      <c r="A66" s="9" t="str">
        <f aca="false">'✏️ Data Input'!B62</f>
        <v>4817130</v>
      </c>
      <c r="B66" s="54"/>
      <c r="C66" s="46" t="n">
        <f aca="false">'✏️ Data Input'!C62</f>
        <v>0</v>
      </c>
      <c r="D66" s="46" t="n">
        <f aca="false">'✏️ Data Input'!D62</f>
        <v>160</v>
      </c>
      <c r="E66" s="46" t="n">
        <f aca="false">'✏️ Data Input'!E62</f>
        <v>0</v>
      </c>
      <c r="F66" s="46" t="n">
        <f aca="false">'✏️ Data Input'!F62</f>
        <v>80</v>
      </c>
      <c r="G66" s="46" t="n">
        <f aca="false">'✏️ Data Input'!G62</f>
        <v>0</v>
      </c>
      <c r="H66" s="46" t="n">
        <f aca="false">'✏️ Data Input'!H62</f>
        <v>0</v>
      </c>
      <c r="I66" s="46" t="n">
        <f aca="false">'✏️ Data Input'!I62</f>
        <v>80</v>
      </c>
      <c r="J66" s="46" t="n">
        <f aca="false">'✏️ Data Input'!J62</f>
        <v>80</v>
      </c>
      <c r="K66" s="46" t="n">
        <f aca="false">'✏️ Data Input'!K62</f>
        <v>80</v>
      </c>
      <c r="L66" s="46" t="n">
        <f aca="false">'✏️ Data Input'!L62</f>
        <v>80</v>
      </c>
      <c r="M66" s="46" t="n">
        <f aca="false">'✏️ Data Input'!M62</f>
        <v>0</v>
      </c>
      <c r="N66" s="46" t="n">
        <f aca="false">'✏️ Data Input'!N62</f>
        <v>0</v>
      </c>
      <c r="O66" s="46" t="n">
        <f aca="false">'✏️ Data Input'!O62</f>
        <v>0</v>
      </c>
      <c r="P66" s="46" t="n">
        <f aca="false">'✏️ Data Input'!P62</f>
        <v>0</v>
      </c>
      <c r="Q66" s="46" t="n">
        <f aca="false">'✏️ Data Input'!Q62</f>
        <v>80</v>
      </c>
      <c r="R66" s="46" t="n">
        <f aca="false">'✏️ Data Input'!R62</f>
        <v>80</v>
      </c>
      <c r="S66" s="46" t="n">
        <f aca="false">'✏️ Data Input'!S62</f>
        <v>0</v>
      </c>
      <c r="T66" s="46" t="n">
        <f aca="false">'✏️ Data Input'!T62</f>
        <v>60</v>
      </c>
      <c r="U66" s="46" t="n">
        <f aca="false">'✏️ Data Input'!U62</f>
        <v>60</v>
      </c>
      <c r="V66" s="46" t="n">
        <f aca="false">'✏️ Data Input'!V62</f>
        <v>60</v>
      </c>
      <c r="W66" s="46" t="n">
        <f aca="false">'✏️ Data Input'!W62</f>
        <v>60</v>
      </c>
      <c r="X66" s="46" t="n">
        <f aca="false">'✏️ Data Input'!X62</f>
        <v>40</v>
      </c>
      <c r="Y66" s="46" t="n">
        <f aca="false">'✏️ Data Input'!Y62</f>
        <v>40</v>
      </c>
      <c r="Z66" s="46" t="n">
        <f aca="false">'✏️ Data Input'!Z62</f>
        <v>40</v>
      </c>
      <c r="AA66" s="46" t="n">
        <f aca="false">'✏️ Data Input'!AA62</f>
        <v>40</v>
      </c>
      <c r="AB66" s="46" t="n">
        <f aca="false">'✏️ Data Input'!AB62</f>
        <v>40</v>
      </c>
      <c r="AC66" s="46" t="n">
        <f aca="false">'✏️ Data Input'!AC62</f>
        <v>40</v>
      </c>
      <c r="AD66" s="46" t="n">
        <f aca="false">'✏️ Data Input'!AD62</f>
        <v>40</v>
      </c>
      <c r="AE66" s="46" t="n">
        <f aca="false">'✏️ Data Input'!AE62</f>
        <v>40</v>
      </c>
      <c r="AF66" s="46" t="n">
        <f aca="false">'✏️ Data Input'!AF62</f>
        <v>0</v>
      </c>
      <c r="AG66" s="46" t="n">
        <f aca="false">'✏️ Data Input'!AG62</f>
        <v>40</v>
      </c>
      <c r="AH66" s="46" t="n">
        <f aca="false">'✏️ Data Input'!AH62</f>
        <v>40</v>
      </c>
      <c r="AI66" s="46" t="n">
        <f aca="false">'✏️ Data Input'!AI62</f>
        <v>0</v>
      </c>
    </row>
    <row r="67" customFormat="false" ht="12.75" hidden="false" customHeight="true" outlineLevel="0" collapsed="false">
      <c r="A67" s="12" t="str">
        <f aca="false">'✏️ Data Input'!B63</f>
        <v>5080417</v>
      </c>
      <c r="B67" s="54"/>
      <c r="C67" s="45" t="n">
        <f aca="false">'✏️ Data Input'!C63</f>
        <v>0</v>
      </c>
      <c r="D67" s="45" t="n">
        <f aca="false">'✏️ Data Input'!D63</f>
        <v>60</v>
      </c>
      <c r="E67" s="45" t="n">
        <f aca="false">'✏️ Data Input'!E63</f>
        <v>60</v>
      </c>
      <c r="F67" s="45" t="n">
        <f aca="false">'✏️ Data Input'!F63</f>
        <v>0</v>
      </c>
      <c r="G67" s="45" t="n">
        <f aca="false">'✏️ Data Input'!G63</f>
        <v>55</v>
      </c>
      <c r="H67" s="45" t="n">
        <f aca="false">'✏️ Data Input'!H63</f>
        <v>0</v>
      </c>
      <c r="I67" s="45" t="n">
        <f aca="false">'✏️ Data Input'!I63</f>
        <v>0</v>
      </c>
      <c r="J67" s="45" t="n">
        <f aca="false">'✏️ Data Input'!J63</f>
        <v>0</v>
      </c>
      <c r="K67" s="45" t="n">
        <f aca="false">'✏️ Data Input'!K63</f>
        <v>0</v>
      </c>
      <c r="L67" s="45" t="n">
        <f aca="false">'✏️ Data Input'!L63</f>
        <v>0</v>
      </c>
      <c r="M67" s="45" t="n">
        <f aca="false">'✏️ Data Input'!M63</f>
        <v>0</v>
      </c>
      <c r="N67" s="45" t="n">
        <f aca="false">'✏️ Data Input'!N63</f>
        <v>0</v>
      </c>
      <c r="O67" s="45" t="n">
        <f aca="false">'✏️ Data Input'!O63</f>
        <v>0</v>
      </c>
      <c r="P67" s="45" t="n">
        <f aca="false">'✏️ Data Input'!P63</f>
        <v>0</v>
      </c>
      <c r="Q67" s="45" t="n">
        <f aca="false">'✏️ Data Input'!Q63</f>
        <v>0</v>
      </c>
      <c r="R67" s="45" t="n">
        <f aca="false">'✏️ Data Input'!R63</f>
        <v>0</v>
      </c>
      <c r="S67" s="45" t="n">
        <f aca="false">'✏️ Data Input'!S63</f>
        <v>0</v>
      </c>
      <c r="T67" s="45" t="n">
        <f aca="false">'✏️ Data Input'!T63</f>
        <v>0</v>
      </c>
      <c r="U67" s="45" t="n">
        <f aca="false">'✏️ Data Input'!U63</f>
        <v>0</v>
      </c>
      <c r="V67" s="45" t="n">
        <f aca="false">'✏️ Data Input'!V63</f>
        <v>0</v>
      </c>
      <c r="W67" s="45" t="n">
        <f aca="false">'✏️ Data Input'!W63</f>
        <v>0</v>
      </c>
      <c r="X67" s="45" t="n">
        <f aca="false">'✏️ Data Input'!X63</f>
        <v>0</v>
      </c>
      <c r="Y67" s="45" t="n">
        <f aca="false">'✏️ Data Input'!Y63</f>
        <v>0</v>
      </c>
      <c r="Z67" s="45" t="n">
        <f aca="false">'✏️ Data Input'!Z63</f>
        <v>0</v>
      </c>
      <c r="AA67" s="45" t="n">
        <f aca="false">'✏️ Data Input'!AA63</f>
        <v>0</v>
      </c>
      <c r="AB67" s="45" t="n">
        <f aca="false">'✏️ Data Input'!AB63</f>
        <v>0</v>
      </c>
      <c r="AC67" s="45" t="n">
        <f aca="false">'✏️ Data Input'!AC63</f>
        <v>0</v>
      </c>
      <c r="AD67" s="45" t="n">
        <f aca="false">'✏️ Data Input'!AD63</f>
        <v>0</v>
      </c>
      <c r="AE67" s="45" t="n">
        <f aca="false">'✏️ Data Input'!AE63</f>
        <v>0</v>
      </c>
      <c r="AF67" s="45" t="n">
        <f aca="false">'✏️ Data Input'!AF63</f>
        <v>0</v>
      </c>
      <c r="AG67" s="45" t="n">
        <f aca="false">'✏️ Data Input'!AG63</f>
        <v>0</v>
      </c>
      <c r="AH67" s="45" t="n">
        <f aca="false">'✏️ Data Input'!AH63</f>
        <v>0</v>
      </c>
      <c r="AI67" s="45" t="n">
        <f aca="false">'✏️ Data Input'!AI63</f>
        <v>0</v>
      </c>
    </row>
    <row r="68" customFormat="false" ht="12.75" hidden="false" customHeight="true" outlineLevel="0" collapsed="false">
      <c r="A68" s="9" t="str">
        <f aca="false">'✏️ Data Input'!B64</f>
        <v>5180041</v>
      </c>
      <c r="B68" s="54"/>
      <c r="C68" s="46" t="n">
        <f aca="false">'✏️ Data Input'!C64</f>
        <v>0</v>
      </c>
      <c r="D68" s="46" t="n">
        <f aca="false">'✏️ Data Input'!D64</f>
        <v>0</v>
      </c>
      <c r="E68" s="46" t="n">
        <f aca="false">'✏️ Data Input'!E64</f>
        <v>0</v>
      </c>
      <c r="F68" s="46" t="n">
        <f aca="false">'✏️ Data Input'!F64</f>
        <v>80</v>
      </c>
      <c r="G68" s="46" t="n">
        <f aca="false">'✏️ Data Input'!G64</f>
        <v>0</v>
      </c>
      <c r="H68" s="46" t="n">
        <f aca="false">'✏️ Data Input'!H64</f>
        <v>0</v>
      </c>
      <c r="I68" s="46" t="n">
        <f aca="false">'✏️ Data Input'!I64</f>
        <v>0</v>
      </c>
      <c r="J68" s="46" t="n">
        <f aca="false">'✏️ Data Input'!J64</f>
        <v>80</v>
      </c>
      <c r="K68" s="46" t="n">
        <f aca="false">'✏️ Data Input'!K64</f>
        <v>0</v>
      </c>
      <c r="L68" s="46" t="n">
        <f aca="false">'✏️ Data Input'!L64</f>
        <v>0</v>
      </c>
      <c r="M68" s="46" t="n">
        <f aca="false">'✏️ Data Input'!M64</f>
        <v>0</v>
      </c>
      <c r="N68" s="46" t="n">
        <f aca="false">'✏️ Data Input'!N64</f>
        <v>0</v>
      </c>
      <c r="O68" s="46" t="n">
        <f aca="false">'✏️ Data Input'!O64</f>
        <v>0</v>
      </c>
      <c r="P68" s="46" t="n">
        <f aca="false">'✏️ Data Input'!P64</f>
        <v>0</v>
      </c>
      <c r="Q68" s="46" t="n">
        <f aca="false">'✏️ Data Input'!Q64</f>
        <v>80</v>
      </c>
      <c r="R68" s="46" t="n">
        <f aca="false">'✏️ Data Input'!R64</f>
        <v>0</v>
      </c>
      <c r="S68" s="46" t="n">
        <f aca="false">'✏️ Data Input'!S64</f>
        <v>0</v>
      </c>
      <c r="T68" s="46" t="n">
        <f aca="false">'✏️ Data Input'!T64</f>
        <v>0</v>
      </c>
      <c r="U68" s="46" t="n">
        <f aca="false">'✏️ Data Input'!U64</f>
        <v>0</v>
      </c>
      <c r="V68" s="46" t="n">
        <f aca="false">'✏️ Data Input'!V64</f>
        <v>0</v>
      </c>
      <c r="W68" s="46" t="n">
        <f aca="false">'✏️ Data Input'!W64</f>
        <v>0</v>
      </c>
      <c r="X68" s="46" t="n">
        <f aca="false">'✏️ Data Input'!X64</f>
        <v>0</v>
      </c>
      <c r="Y68" s="46" t="n">
        <f aca="false">'✏️ Data Input'!Y64</f>
        <v>0</v>
      </c>
      <c r="Z68" s="46" t="n">
        <f aca="false">'✏️ Data Input'!Z64</f>
        <v>0</v>
      </c>
      <c r="AA68" s="46" t="n">
        <f aca="false">'✏️ Data Input'!AA64</f>
        <v>0</v>
      </c>
      <c r="AB68" s="46" t="n">
        <f aca="false">'✏️ Data Input'!AB64</f>
        <v>20</v>
      </c>
      <c r="AC68" s="46" t="n">
        <f aca="false">'✏️ Data Input'!AC64</f>
        <v>20</v>
      </c>
      <c r="AD68" s="46" t="n">
        <f aca="false">'✏️ Data Input'!AD64</f>
        <v>20</v>
      </c>
      <c r="AE68" s="46" t="n">
        <f aca="false">'✏️ Data Input'!AE64</f>
        <v>20</v>
      </c>
      <c r="AF68" s="46" t="n">
        <f aca="false">'✏️ Data Input'!AF64</f>
        <v>0</v>
      </c>
      <c r="AG68" s="46" t="n">
        <f aca="false">'✏️ Data Input'!AG64</f>
        <v>40</v>
      </c>
      <c r="AH68" s="46" t="n">
        <f aca="false">'✏️ Data Input'!AH64</f>
        <v>40</v>
      </c>
      <c r="AI68" s="46" t="n">
        <f aca="false">'✏️ Data Input'!AI64</f>
        <v>0</v>
      </c>
    </row>
    <row r="69" customFormat="false" ht="15" hidden="false" customHeight="true" outlineLevel="0" collapsed="false">
      <c r="A69" s="14" t="s">
        <v>141</v>
      </c>
      <c r="B69" s="54"/>
      <c r="C69" s="50" t="n">
        <f aca="false">SUMIF('✏️ Data Input'!A5:A71,"JCI2 RH",'✏️ Data Input'!C5:C71)</f>
        <v>320</v>
      </c>
      <c r="D69" s="50" t="n">
        <f aca="false">SUMIF('✏️ Data Input'!A5:A71,"JCI2 RH",'✏️ Data Input'!D5:D71)</f>
        <v>5700</v>
      </c>
      <c r="E69" s="50" t="n">
        <f aca="false">SUMIF('✏️ Data Input'!A5:A71,"JCI2 RH",'✏️ Data Input'!E5:E71)</f>
        <v>3660</v>
      </c>
      <c r="F69" s="50" t="n">
        <f aca="false">SUMIF('✏️ Data Input'!A5:A71,"JCI2 RH",'✏️ Data Input'!F5:F71)</f>
        <v>4240</v>
      </c>
      <c r="G69" s="50" t="n">
        <f aca="false">SUMIF('✏️ Data Input'!A5:A71,"JCI2 RH",'✏️ Data Input'!G5:G71)</f>
        <v>3975</v>
      </c>
      <c r="H69" s="50" t="n">
        <f aca="false">SUMIF('✏️ Data Input'!A5:A71,"JCI2 RH",'✏️ Data Input'!H5:H71)</f>
        <v>3860</v>
      </c>
      <c r="I69" s="50" t="n">
        <f aca="false">SUMIF('✏️ Data Input'!A5:A71,"JCI2 RH",'✏️ Data Input'!I5:I71)</f>
        <v>3580</v>
      </c>
      <c r="J69" s="50" t="n">
        <f aca="false">SUMIF('✏️ Data Input'!A5:A71,"JCI2 RH",'✏️ Data Input'!J5:J71)</f>
        <v>4000</v>
      </c>
      <c r="K69" s="50" t="n">
        <f aca="false">SUMIF('✏️ Data Input'!A5:A71,"JCI2 RH",'✏️ Data Input'!K5:K71)</f>
        <v>5400</v>
      </c>
      <c r="L69" s="50" t="n">
        <f aca="false">SUMIF('✏️ Data Input'!A5:A71,"JCI2 RH",'✏️ Data Input'!L5:L71)</f>
        <v>6300</v>
      </c>
      <c r="M69" s="50" t="n">
        <f aca="false">SUMIF('✏️ Data Input'!A5:A71,"JCI2 RH",'✏️ Data Input'!M5:M71)</f>
        <v>0</v>
      </c>
      <c r="N69" s="50" t="n">
        <f aca="false">SUMIF('✏️ Data Input'!A5:A71,"JCI2 RH",'✏️ Data Input'!N5:N71)</f>
        <v>0</v>
      </c>
      <c r="O69" s="50" t="n">
        <f aca="false">SUMIF('✏️ Data Input'!A5:A71,"JCI2 RH",'✏️ Data Input'!O5:O71)</f>
        <v>0</v>
      </c>
      <c r="P69" s="50" t="n">
        <f aca="false">SUMIF('✏️ Data Input'!A5:A71,"JCI2 RH",'✏️ Data Input'!P5:P71)</f>
        <v>0</v>
      </c>
      <c r="Q69" s="50" t="n">
        <f aca="false">SUMIF('✏️ Data Input'!A5:A71,"JCI2 RH",'✏️ Data Input'!Q5:Q71)</f>
        <v>3740</v>
      </c>
      <c r="R69" s="50" t="n">
        <f aca="false">SUMIF('✏️ Data Input'!A5:A71,"JCI2 RH",'✏️ Data Input'!R5:R71)</f>
        <v>3400</v>
      </c>
      <c r="S69" s="50" t="n">
        <f aca="false">SUMIF('✏️ Data Input'!A5:A71,"JCI2 RH",'✏️ Data Input'!S5:S71)</f>
        <v>3260</v>
      </c>
      <c r="T69" s="50" t="n">
        <f aca="false">SUMIF('✏️ Data Input'!A5:A71,"JCI2 RH",'✏️ Data Input'!T5:T71)</f>
        <v>3680</v>
      </c>
      <c r="U69" s="50" t="n">
        <f aca="false">SUMIF('✏️ Data Input'!A5:A71,"JCI2 RH",'✏️ Data Input'!U5:U71)</f>
        <v>3680</v>
      </c>
      <c r="V69" s="50" t="n">
        <f aca="false">SUMIF('✏️ Data Input'!A5:A71,"JCI2 RH",'✏️ Data Input'!V5:V71)</f>
        <v>3680</v>
      </c>
      <c r="W69" s="50" t="n">
        <f aca="false">SUMIF('✏️ Data Input'!A5:A71,"JCI2 RH",'✏️ Data Input'!W5:W71)</f>
        <v>3620</v>
      </c>
      <c r="X69" s="50" t="n">
        <f aca="false">SUMIF('✏️ Data Input'!A5:A71,"JCI2 RH",'✏️ Data Input'!X5:X71)</f>
        <v>2500</v>
      </c>
      <c r="Y69" s="50" t="n">
        <f aca="false">SUMIF('✏️ Data Input'!A5:A71,"JCI2 RH",'✏️ Data Input'!Y5:Y71)</f>
        <v>2500</v>
      </c>
      <c r="Z69" s="50" t="n">
        <f aca="false">SUMIF('✏️ Data Input'!A5:A71,"JCI2 RH",'✏️ Data Input'!Z5:Z71)</f>
        <v>2500</v>
      </c>
      <c r="AA69" s="50" t="n">
        <f aca="false">SUMIF('✏️ Data Input'!A5:A71,"JCI2 RH",'✏️ Data Input'!AA5:AA71)</f>
        <v>2460</v>
      </c>
      <c r="AB69" s="50" t="n">
        <f aca="false">SUMIF('✏️ Data Input'!A5:A71,"JCI2 RH",'✏️ Data Input'!AB5:AB71)</f>
        <v>3750</v>
      </c>
      <c r="AC69" s="50" t="n">
        <f aca="false">SUMIF('✏️ Data Input'!A5:A71,"JCI2 RH",'✏️ Data Input'!AC5:AC71)</f>
        <v>3750</v>
      </c>
      <c r="AD69" s="50" t="n">
        <f aca="false">SUMIF('✏️ Data Input'!A5:A71,"JCI2 RH",'✏️ Data Input'!AD5:AD71)</f>
        <v>3740</v>
      </c>
      <c r="AE69" s="50" t="n">
        <f aca="false">SUMIF('✏️ Data Input'!A5:A71,"JCI2 RH",'✏️ Data Input'!AE5:AE71)</f>
        <v>3740</v>
      </c>
      <c r="AF69" s="50" t="n">
        <f aca="false">SUMIF('✏️ Data Input'!A5:A71,"JCI2 RH",'✏️ Data Input'!AF5:AF71)</f>
        <v>3420</v>
      </c>
      <c r="AG69" s="50" t="n">
        <f aca="false">SUMIF('✏️ Data Input'!A5:A71,"JCI2 RH",'✏️ Data Input'!AG5:AG71)</f>
        <v>3760</v>
      </c>
      <c r="AH69" s="50" t="n">
        <f aca="false">SUMIF('✏️ Data Input'!A5:A71,"JCI2 RH",'✏️ Data Input'!AH5:AH71)</f>
        <v>3760</v>
      </c>
      <c r="AI69" s="50" t="n">
        <f aca="false">SUMIF('✏️ Data Input'!A5:A71,"JCI2 RH",'✏️ Data Input'!AI5:AI71)</f>
        <v>0</v>
      </c>
    </row>
    <row r="71" customFormat="false" ht="18" hidden="false" customHeight="true" outlineLevel="0" collapsed="false">
      <c r="A71" s="56" t="s">
        <v>143</v>
      </c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</row>
    <row r="72" customFormat="false" ht="15" hidden="false" customHeight="true" outlineLevel="0" collapsed="false">
      <c r="A72" s="5" t="s">
        <v>140</v>
      </c>
      <c r="B72" s="54"/>
      <c r="C72" s="5" t="s">
        <v>4</v>
      </c>
      <c r="D72" s="5" t="s">
        <v>5</v>
      </c>
      <c r="E72" s="5" t="s">
        <v>6</v>
      </c>
      <c r="F72" s="5" t="s">
        <v>7</v>
      </c>
      <c r="G72" s="5" t="s">
        <v>8</v>
      </c>
      <c r="H72" s="5" t="s">
        <v>9</v>
      </c>
      <c r="I72" s="5" t="s">
        <v>10</v>
      </c>
      <c r="J72" s="5" t="s">
        <v>11</v>
      </c>
      <c r="K72" s="5" t="s">
        <v>12</v>
      </c>
      <c r="L72" s="5" t="s">
        <v>13</v>
      </c>
      <c r="M72" s="5" t="s">
        <v>14</v>
      </c>
      <c r="N72" s="5" t="s">
        <v>15</v>
      </c>
      <c r="O72" s="5" t="s">
        <v>16</v>
      </c>
      <c r="P72" s="5" t="s">
        <v>17</v>
      </c>
      <c r="Q72" s="5" t="s">
        <v>18</v>
      </c>
      <c r="R72" s="5" t="s">
        <v>19</v>
      </c>
      <c r="S72" s="5" t="s">
        <v>20</v>
      </c>
      <c r="T72" s="5" t="s">
        <v>21</v>
      </c>
      <c r="U72" s="5" t="s">
        <v>22</v>
      </c>
      <c r="V72" s="5" t="s">
        <v>23</v>
      </c>
      <c r="W72" s="5" t="s">
        <v>24</v>
      </c>
      <c r="X72" s="5" t="s">
        <v>25</v>
      </c>
      <c r="Y72" s="5" t="s">
        <v>26</v>
      </c>
      <c r="Z72" s="5" t="s">
        <v>27</v>
      </c>
      <c r="AA72" s="5" t="s">
        <v>28</v>
      </c>
      <c r="AB72" s="5" t="s">
        <v>29</v>
      </c>
      <c r="AC72" s="5" t="s">
        <v>30</v>
      </c>
      <c r="AD72" s="5" t="s">
        <v>31</v>
      </c>
      <c r="AE72" s="5" t="s">
        <v>32</v>
      </c>
      <c r="AF72" s="5" t="s">
        <v>33</v>
      </c>
      <c r="AG72" s="5" t="s">
        <v>34</v>
      </c>
      <c r="AH72" s="5" t="s">
        <v>35</v>
      </c>
      <c r="AI72" s="5" t="s">
        <v>36</v>
      </c>
    </row>
    <row r="73" customFormat="false" ht="12.75" hidden="false" customHeight="true" outlineLevel="0" collapsed="false">
      <c r="A73" s="9" t="str">
        <f aca="false">'✏️ Data Input'!B65</f>
        <v>4429348</v>
      </c>
      <c r="B73" s="54"/>
      <c r="C73" s="46" t="n">
        <f aca="false">'✏️ Data Input'!C65</f>
        <v>0</v>
      </c>
      <c r="D73" s="46" t="n">
        <f aca="false">'✏️ Data Input'!D65</f>
        <v>2400</v>
      </c>
      <c r="E73" s="46" t="n">
        <f aca="false">'✏️ Data Input'!E65</f>
        <v>0</v>
      </c>
      <c r="F73" s="46" t="n">
        <f aca="false">'✏️ Data Input'!F65</f>
        <v>1000</v>
      </c>
      <c r="G73" s="46" t="n">
        <f aca="false">'✏️ Data Input'!G65</f>
        <v>1200</v>
      </c>
      <c r="H73" s="46" t="n">
        <f aca="false">'✏️ Data Input'!H65</f>
        <v>1200</v>
      </c>
      <c r="I73" s="46" t="n">
        <f aca="false">'✏️ Data Input'!I65</f>
        <v>1200</v>
      </c>
      <c r="J73" s="46" t="n">
        <f aca="false">'✏️ Data Input'!J65</f>
        <v>1400</v>
      </c>
      <c r="K73" s="46" t="n">
        <f aca="false">'✏️ Data Input'!K65</f>
        <v>1800</v>
      </c>
      <c r="L73" s="46" t="n">
        <f aca="false">'✏️ Data Input'!L65</f>
        <v>2200</v>
      </c>
      <c r="M73" s="46" t="n">
        <f aca="false">'✏️ Data Input'!M65</f>
        <v>0</v>
      </c>
      <c r="N73" s="46" t="n">
        <f aca="false">'✏️ Data Input'!N65</f>
        <v>0</v>
      </c>
      <c r="O73" s="46" t="n">
        <f aca="false">'✏️ Data Input'!O65</f>
        <v>0</v>
      </c>
      <c r="P73" s="46" t="n">
        <f aca="false">'✏️ Data Input'!P65</f>
        <v>0</v>
      </c>
      <c r="Q73" s="46" t="n">
        <f aca="false">'✏️ Data Input'!Q65</f>
        <v>1200</v>
      </c>
      <c r="R73" s="46" t="n">
        <f aca="false">'✏️ Data Input'!R65</f>
        <v>1200</v>
      </c>
      <c r="S73" s="46" t="n">
        <f aca="false">'✏️ Data Input'!S65</f>
        <v>1400</v>
      </c>
      <c r="T73" s="46" t="n">
        <f aca="false">'✏️ Data Input'!T65</f>
        <v>1200</v>
      </c>
      <c r="U73" s="46" t="n">
        <f aca="false">'✏️ Data Input'!U65</f>
        <v>1200</v>
      </c>
      <c r="V73" s="46" t="n">
        <f aca="false">'✏️ Data Input'!V65</f>
        <v>1200</v>
      </c>
      <c r="W73" s="46" t="n">
        <f aca="false">'✏️ Data Input'!W65</f>
        <v>1200</v>
      </c>
      <c r="X73" s="46" t="n">
        <f aca="false">'✏️ Data Input'!X65</f>
        <v>800</v>
      </c>
      <c r="Y73" s="46" t="n">
        <f aca="false">'✏️ Data Input'!Y65</f>
        <v>800</v>
      </c>
      <c r="Z73" s="46" t="n">
        <f aca="false">'✏️ Data Input'!Z65</f>
        <v>800</v>
      </c>
      <c r="AA73" s="46" t="n">
        <f aca="false">'✏️ Data Input'!AA65</f>
        <v>800</v>
      </c>
      <c r="AB73" s="46" t="n">
        <f aca="false">'✏️ Data Input'!AB65</f>
        <v>1200</v>
      </c>
      <c r="AC73" s="46" t="n">
        <f aca="false">'✏️ Data Input'!AC65</f>
        <v>1200</v>
      </c>
      <c r="AD73" s="46" t="n">
        <f aca="false">'✏️ Data Input'!AD65</f>
        <v>1200</v>
      </c>
      <c r="AE73" s="46" t="n">
        <f aca="false">'✏️ Data Input'!AE65</f>
        <v>1200</v>
      </c>
      <c r="AF73" s="46" t="n">
        <f aca="false">'✏️ Data Input'!AF65</f>
        <v>1200</v>
      </c>
      <c r="AG73" s="46" t="n">
        <f aca="false">'✏️ Data Input'!AG65</f>
        <v>1300</v>
      </c>
      <c r="AH73" s="46" t="n">
        <f aca="false">'✏️ Data Input'!AH65</f>
        <v>1300</v>
      </c>
      <c r="AI73" s="46" t="n">
        <f aca="false">'✏️ Data Input'!AI65</f>
        <v>0</v>
      </c>
    </row>
    <row r="74" customFormat="false" ht="12.75" hidden="false" customHeight="true" outlineLevel="0" collapsed="false">
      <c r="A74" s="12" t="str">
        <f aca="false">'✏️ Data Input'!B66</f>
        <v>4429349</v>
      </c>
      <c r="B74" s="54"/>
      <c r="C74" s="45" t="n">
        <f aca="false">'✏️ Data Input'!C66</f>
        <v>0</v>
      </c>
      <c r="D74" s="45" t="n">
        <f aca="false">'✏️ Data Input'!D66</f>
        <v>1200</v>
      </c>
      <c r="E74" s="45" t="n">
        <f aca="false">'✏️ Data Input'!E66</f>
        <v>1200</v>
      </c>
      <c r="F74" s="45" t="n">
        <f aca="false">'✏️ Data Input'!F66</f>
        <v>1000</v>
      </c>
      <c r="G74" s="45" t="n">
        <f aca="false">'✏️ Data Input'!G66</f>
        <v>1200</v>
      </c>
      <c r="H74" s="45" t="n">
        <f aca="false">'✏️ Data Input'!H66</f>
        <v>1200</v>
      </c>
      <c r="I74" s="45" t="n">
        <f aca="false">'✏️ Data Input'!I66</f>
        <v>1200</v>
      </c>
      <c r="J74" s="45" t="n">
        <f aca="false">'✏️ Data Input'!J66</f>
        <v>1400</v>
      </c>
      <c r="K74" s="45" t="n">
        <f aca="false">'✏️ Data Input'!K66</f>
        <v>1800</v>
      </c>
      <c r="L74" s="45" t="n">
        <f aca="false">'✏️ Data Input'!L66</f>
        <v>2200</v>
      </c>
      <c r="M74" s="45" t="n">
        <f aca="false">'✏️ Data Input'!M66</f>
        <v>0</v>
      </c>
      <c r="N74" s="45" t="n">
        <f aca="false">'✏️ Data Input'!N66</f>
        <v>0</v>
      </c>
      <c r="O74" s="45" t="n">
        <f aca="false">'✏️ Data Input'!O66</f>
        <v>0</v>
      </c>
      <c r="P74" s="45" t="n">
        <f aca="false">'✏️ Data Input'!P66</f>
        <v>0</v>
      </c>
      <c r="Q74" s="45" t="n">
        <f aca="false">'✏️ Data Input'!Q66</f>
        <v>1200</v>
      </c>
      <c r="R74" s="45" t="n">
        <f aca="false">'✏️ Data Input'!R66</f>
        <v>1200</v>
      </c>
      <c r="S74" s="45" t="n">
        <f aca="false">'✏️ Data Input'!S66</f>
        <v>1200</v>
      </c>
      <c r="T74" s="45" t="n">
        <f aca="false">'✏️ Data Input'!T66</f>
        <v>1250</v>
      </c>
      <c r="U74" s="45" t="n">
        <f aca="false">'✏️ Data Input'!U66</f>
        <v>1250</v>
      </c>
      <c r="V74" s="45" t="n">
        <f aca="false">'✏️ Data Input'!V66</f>
        <v>1250</v>
      </c>
      <c r="W74" s="45" t="n">
        <f aca="false">'✏️ Data Input'!W66</f>
        <v>1250</v>
      </c>
      <c r="X74" s="45" t="n">
        <f aca="false">'✏️ Data Input'!X66</f>
        <v>800</v>
      </c>
      <c r="Y74" s="45" t="n">
        <f aca="false">'✏️ Data Input'!Y66</f>
        <v>800</v>
      </c>
      <c r="Z74" s="45" t="n">
        <f aca="false">'✏️ Data Input'!Z66</f>
        <v>800</v>
      </c>
      <c r="AA74" s="45" t="n">
        <f aca="false">'✏️ Data Input'!AA66</f>
        <v>800</v>
      </c>
      <c r="AB74" s="45" t="n">
        <f aca="false">'✏️ Data Input'!AB66</f>
        <v>1200</v>
      </c>
      <c r="AC74" s="45" t="n">
        <f aca="false">'✏️ Data Input'!AC66</f>
        <v>1200</v>
      </c>
      <c r="AD74" s="45" t="n">
        <f aca="false">'✏️ Data Input'!AD66</f>
        <v>1200</v>
      </c>
      <c r="AE74" s="45" t="n">
        <f aca="false">'✏️ Data Input'!AE66</f>
        <v>1200</v>
      </c>
      <c r="AF74" s="45" t="n">
        <f aca="false">'✏️ Data Input'!AF66</f>
        <v>1200</v>
      </c>
      <c r="AG74" s="45" t="n">
        <f aca="false">'✏️ Data Input'!AG66</f>
        <v>1200</v>
      </c>
      <c r="AH74" s="45" t="n">
        <f aca="false">'✏️ Data Input'!AH66</f>
        <v>1200</v>
      </c>
      <c r="AI74" s="45" t="n">
        <f aca="false">'✏️ Data Input'!AI66</f>
        <v>0</v>
      </c>
    </row>
    <row r="75" customFormat="false" ht="12.75" hidden="false" customHeight="true" outlineLevel="0" collapsed="false">
      <c r="A75" s="9" t="str">
        <f aca="false">'✏️ Data Input'!B67</f>
        <v>4429351</v>
      </c>
      <c r="B75" s="54"/>
      <c r="C75" s="46" t="n">
        <f aca="false">'✏️ Data Input'!C67</f>
        <v>240</v>
      </c>
      <c r="D75" s="46" t="n">
        <f aca="false">'✏️ Data Input'!D67</f>
        <v>1200</v>
      </c>
      <c r="E75" s="46" t="n">
        <f aca="false">'✏️ Data Input'!E67</f>
        <v>1200</v>
      </c>
      <c r="F75" s="46" t="n">
        <f aca="false">'✏️ Data Input'!F67</f>
        <v>1200</v>
      </c>
      <c r="G75" s="46" t="n">
        <f aca="false">'✏️ Data Input'!G67</f>
        <v>1200</v>
      </c>
      <c r="H75" s="46" t="n">
        <f aca="false">'✏️ Data Input'!H67</f>
        <v>960</v>
      </c>
      <c r="I75" s="46" t="n">
        <f aca="false">'✏️ Data Input'!I67</f>
        <v>960</v>
      </c>
      <c r="J75" s="46" t="n">
        <f aca="false">'✏️ Data Input'!J67</f>
        <v>720</v>
      </c>
      <c r="K75" s="46" t="n">
        <f aca="false">'✏️ Data Input'!K67</f>
        <v>1200</v>
      </c>
      <c r="L75" s="46" t="n">
        <f aca="false">'✏️ Data Input'!L67</f>
        <v>1920</v>
      </c>
      <c r="M75" s="46" t="n">
        <f aca="false">'✏️ Data Input'!M67</f>
        <v>0</v>
      </c>
      <c r="N75" s="46" t="n">
        <f aca="false">'✏️ Data Input'!N67</f>
        <v>0</v>
      </c>
      <c r="O75" s="46" t="n">
        <f aca="false">'✏️ Data Input'!O67</f>
        <v>0</v>
      </c>
      <c r="P75" s="46" t="n">
        <f aca="false">'✏️ Data Input'!P67</f>
        <v>0</v>
      </c>
      <c r="Q75" s="46" t="n">
        <f aca="false">'✏️ Data Input'!Q67</f>
        <v>720</v>
      </c>
      <c r="R75" s="46" t="n">
        <f aca="false">'✏️ Data Input'!R67</f>
        <v>960</v>
      </c>
      <c r="S75" s="46" t="n">
        <f aca="false">'✏️ Data Input'!S67</f>
        <v>960</v>
      </c>
      <c r="T75" s="46" t="n">
        <f aca="false">'✏️ Data Input'!T67</f>
        <v>900</v>
      </c>
      <c r="U75" s="46" t="n">
        <f aca="false">'✏️ Data Input'!U67</f>
        <v>900</v>
      </c>
      <c r="V75" s="46" t="n">
        <f aca="false">'✏️ Data Input'!V67</f>
        <v>900</v>
      </c>
      <c r="W75" s="46" t="n">
        <f aca="false">'✏️ Data Input'!W67</f>
        <v>900</v>
      </c>
      <c r="X75" s="46" t="n">
        <f aca="false">'✏️ Data Input'!X67</f>
        <v>720</v>
      </c>
      <c r="Y75" s="46" t="n">
        <f aca="false">'✏️ Data Input'!Y67</f>
        <v>720</v>
      </c>
      <c r="Z75" s="46" t="n">
        <f aca="false">'✏️ Data Input'!Z67</f>
        <v>720</v>
      </c>
      <c r="AA75" s="46" t="n">
        <f aca="false">'✏️ Data Input'!AA67</f>
        <v>720</v>
      </c>
      <c r="AB75" s="46" t="n">
        <f aca="false">'✏️ Data Input'!AB67</f>
        <v>1110</v>
      </c>
      <c r="AC75" s="46" t="n">
        <f aca="false">'✏️ Data Input'!AC67</f>
        <v>1110</v>
      </c>
      <c r="AD75" s="46" t="n">
        <f aca="false">'✏️ Data Input'!AD67</f>
        <v>1110</v>
      </c>
      <c r="AE75" s="46" t="n">
        <f aca="false">'✏️ Data Input'!AE67</f>
        <v>1110</v>
      </c>
      <c r="AF75" s="46" t="n">
        <f aca="false">'✏️ Data Input'!AF67</f>
        <v>1080</v>
      </c>
      <c r="AG75" s="46" t="n">
        <f aca="false">'✏️ Data Input'!AG67</f>
        <v>840</v>
      </c>
      <c r="AH75" s="46" t="n">
        <f aca="false">'✏️ Data Input'!AH67</f>
        <v>840</v>
      </c>
      <c r="AI75" s="46" t="n">
        <f aca="false">'✏️ Data Input'!AI67</f>
        <v>0</v>
      </c>
    </row>
    <row r="76" customFormat="false" ht="12.75" hidden="false" customHeight="true" outlineLevel="0" collapsed="false">
      <c r="A76" s="12" t="str">
        <f aca="false">'✏️ Data Input'!B68</f>
        <v>4429352</v>
      </c>
      <c r="B76" s="54"/>
      <c r="C76" s="45" t="n">
        <f aca="false">'✏️ Data Input'!C68</f>
        <v>240</v>
      </c>
      <c r="D76" s="45" t="n">
        <f aca="false">'✏️ Data Input'!D68</f>
        <v>1440</v>
      </c>
      <c r="E76" s="45" t="n">
        <f aca="false">'✏️ Data Input'!E68</f>
        <v>1200</v>
      </c>
      <c r="F76" s="45" t="n">
        <f aca="false">'✏️ Data Input'!F68</f>
        <v>960</v>
      </c>
      <c r="G76" s="45" t="n">
        <f aca="false">'✏️ Data Input'!G68</f>
        <v>1200</v>
      </c>
      <c r="H76" s="45" t="n">
        <f aca="false">'✏️ Data Input'!H68</f>
        <v>960</v>
      </c>
      <c r="I76" s="45" t="n">
        <f aca="false">'✏️ Data Input'!I68</f>
        <v>960</v>
      </c>
      <c r="J76" s="45" t="n">
        <f aca="false">'✏️ Data Input'!J68</f>
        <v>720</v>
      </c>
      <c r="K76" s="45" t="n">
        <f aca="false">'✏️ Data Input'!K68</f>
        <v>1200</v>
      </c>
      <c r="L76" s="45" t="n">
        <f aca="false">'✏️ Data Input'!L68</f>
        <v>1920</v>
      </c>
      <c r="M76" s="45" t="n">
        <f aca="false">'✏️ Data Input'!M68</f>
        <v>0</v>
      </c>
      <c r="N76" s="45" t="n">
        <f aca="false">'✏️ Data Input'!N68</f>
        <v>0</v>
      </c>
      <c r="O76" s="45" t="n">
        <f aca="false">'✏️ Data Input'!O68</f>
        <v>0</v>
      </c>
      <c r="P76" s="45" t="n">
        <f aca="false">'✏️ Data Input'!P68</f>
        <v>0</v>
      </c>
      <c r="Q76" s="45" t="n">
        <f aca="false">'✏️ Data Input'!Q68</f>
        <v>720</v>
      </c>
      <c r="R76" s="45" t="n">
        <f aca="false">'✏️ Data Input'!R68</f>
        <v>960</v>
      </c>
      <c r="S76" s="45" t="n">
        <f aca="false">'✏️ Data Input'!S68</f>
        <v>960</v>
      </c>
      <c r="T76" s="45" t="n">
        <f aca="false">'✏️ Data Input'!T68</f>
        <v>900</v>
      </c>
      <c r="U76" s="45" t="n">
        <f aca="false">'✏️ Data Input'!U68</f>
        <v>900</v>
      </c>
      <c r="V76" s="45" t="n">
        <f aca="false">'✏️ Data Input'!V68</f>
        <v>900</v>
      </c>
      <c r="W76" s="45" t="n">
        <f aca="false">'✏️ Data Input'!W68</f>
        <v>900</v>
      </c>
      <c r="X76" s="45" t="n">
        <f aca="false">'✏️ Data Input'!X68</f>
        <v>720</v>
      </c>
      <c r="Y76" s="45" t="n">
        <f aca="false">'✏️ Data Input'!Y68</f>
        <v>720</v>
      </c>
      <c r="Z76" s="45" t="n">
        <f aca="false">'✏️ Data Input'!Z68</f>
        <v>720</v>
      </c>
      <c r="AA76" s="45" t="n">
        <f aca="false">'✏️ Data Input'!AA68</f>
        <v>720</v>
      </c>
      <c r="AB76" s="45" t="n">
        <f aca="false">'✏️ Data Input'!AB68</f>
        <v>1110</v>
      </c>
      <c r="AC76" s="45" t="n">
        <f aca="false">'✏️ Data Input'!AC68</f>
        <v>1110</v>
      </c>
      <c r="AD76" s="45" t="n">
        <f aca="false">'✏️ Data Input'!AD68</f>
        <v>1110</v>
      </c>
      <c r="AE76" s="45" t="n">
        <f aca="false">'✏️ Data Input'!AE68</f>
        <v>1110</v>
      </c>
      <c r="AF76" s="45" t="n">
        <f aca="false">'✏️ Data Input'!AF68</f>
        <v>1080</v>
      </c>
      <c r="AG76" s="45" t="n">
        <f aca="false">'✏️ Data Input'!AG68</f>
        <v>840</v>
      </c>
      <c r="AH76" s="45" t="n">
        <f aca="false">'✏️ Data Input'!AH68</f>
        <v>840</v>
      </c>
      <c r="AI76" s="45" t="n">
        <f aca="false">'✏️ Data Input'!AI68</f>
        <v>0</v>
      </c>
    </row>
    <row r="77" customFormat="false" ht="12.75" hidden="false" customHeight="true" outlineLevel="0" collapsed="false">
      <c r="A77" s="9" t="str">
        <f aca="false">'✏️ Data Input'!B69</f>
        <v>4429355</v>
      </c>
      <c r="B77" s="54"/>
      <c r="C77" s="46" t="n">
        <f aca="false">'✏️ Data Input'!C69</f>
        <v>0</v>
      </c>
      <c r="D77" s="46" t="n">
        <f aca="false">'✏️ Data Input'!D69</f>
        <v>2400</v>
      </c>
      <c r="E77" s="46" t="n">
        <f aca="false">'✏️ Data Input'!E69</f>
        <v>0</v>
      </c>
      <c r="F77" s="46" t="n">
        <f aca="false">'✏️ Data Input'!F69</f>
        <v>960</v>
      </c>
      <c r="G77" s="46" t="n">
        <f aca="false">'✏️ Data Input'!G69</f>
        <v>960</v>
      </c>
      <c r="H77" s="46" t="n">
        <f aca="false">'✏️ Data Input'!H69</f>
        <v>960</v>
      </c>
      <c r="I77" s="46" t="n">
        <f aca="false">'✏️ Data Input'!I69</f>
        <v>960</v>
      </c>
      <c r="J77" s="46" t="n">
        <f aca="false">'✏️ Data Input'!J69</f>
        <v>960</v>
      </c>
      <c r="K77" s="46" t="n">
        <f aca="false">'✏️ Data Input'!K69</f>
        <v>1200</v>
      </c>
      <c r="L77" s="46" t="n">
        <f aca="false">'✏️ Data Input'!L69</f>
        <v>1200</v>
      </c>
      <c r="M77" s="46" t="n">
        <f aca="false">'✏️ Data Input'!M69</f>
        <v>0</v>
      </c>
      <c r="N77" s="46" t="n">
        <f aca="false">'✏️ Data Input'!N69</f>
        <v>0</v>
      </c>
      <c r="O77" s="46" t="n">
        <f aca="false">'✏️ Data Input'!O69</f>
        <v>0</v>
      </c>
      <c r="P77" s="46" t="n">
        <f aca="false">'✏️ Data Input'!P69</f>
        <v>0</v>
      </c>
      <c r="Q77" s="46" t="n">
        <f aca="false">'✏️ Data Input'!Q69</f>
        <v>720</v>
      </c>
      <c r="R77" s="46" t="n">
        <f aca="false">'✏️ Data Input'!R69</f>
        <v>960</v>
      </c>
      <c r="S77" s="46" t="n">
        <f aca="false">'✏️ Data Input'!S69</f>
        <v>720</v>
      </c>
      <c r="T77" s="46" t="n">
        <f aca="false">'✏️ Data Input'!T69</f>
        <v>840</v>
      </c>
      <c r="U77" s="46" t="n">
        <f aca="false">'✏️ Data Input'!U69</f>
        <v>840</v>
      </c>
      <c r="V77" s="46" t="n">
        <f aca="false">'✏️ Data Input'!V69</f>
        <v>840</v>
      </c>
      <c r="W77" s="46" t="n">
        <f aca="false">'✏️ Data Input'!W69</f>
        <v>840</v>
      </c>
      <c r="X77" s="46" t="n">
        <f aca="false">'✏️ Data Input'!X69</f>
        <v>540</v>
      </c>
      <c r="Y77" s="46" t="n">
        <f aca="false">'✏️ Data Input'!Y69</f>
        <v>540</v>
      </c>
      <c r="Z77" s="46" t="n">
        <f aca="false">'✏️ Data Input'!Z69</f>
        <v>540</v>
      </c>
      <c r="AA77" s="46" t="n">
        <f aca="false">'✏️ Data Input'!AA69</f>
        <v>540</v>
      </c>
      <c r="AB77" s="46" t="n">
        <f aca="false">'✏️ Data Input'!AB69</f>
        <v>720</v>
      </c>
      <c r="AC77" s="46" t="n">
        <f aca="false">'✏️ Data Input'!AC69</f>
        <v>720</v>
      </c>
      <c r="AD77" s="46" t="n">
        <f aca="false">'✏️ Data Input'!AD69</f>
        <v>720</v>
      </c>
      <c r="AE77" s="46" t="n">
        <f aca="false">'✏️ Data Input'!AE69</f>
        <v>720</v>
      </c>
      <c r="AF77" s="46" t="n">
        <f aca="false">'✏️ Data Input'!AF69</f>
        <v>720</v>
      </c>
      <c r="AG77" s="46" t="n">
        <f aca="false">'✏️ Data Input'!AG69</f>
        <v>960</v>
      </c>
      <c r="AH77" s="46" t="n">
        <f aca="false">'✏️ Data Input'!AH69</f>
        <v>960</v>
      </c>
      <c r="AI77" s="46" t="n">
        <f aca="false">'✏️ Data Input'!AI69</f>
        <v>0</v>
      </c>
    </row>
    <row r="78" customFormat="false" ht="12.75" hidden="false" customHeight="true" outlineLevel="0" collapsed="false">
      <c r="A78" s="12" t="str">
        <f aca="false">'✏️ Data Input'!B70</f>
        <v>4429356</v>
      </c>
      <c r="B78" s="54"/>
      <c r="C78" s="45" t="n">
        <f aca="false">'✏️ Data Input'!C70</f>
        <v>0</v>
      </c>
      <c r="D78" s="45" t="n">
        <f aca="false">'✏️ Data Input'!D70</f>
        <v>1200</v>
      </c>
      <c r="E78" s="45" t="n">
        <f aca="false">'✏️ Data Input'!E70</f>
        <v>960</v>
      </c>
      <c r="F78" s="45" t="n">
        <f aca="false">'✏️ Data Input'!F70</f>
        <v>1200</v>
      </c>
      <c r="G78" s="45" t="n">
        <f aca="false">'✏️ Data Input'!G70</f>
        <v>960</v>
      </c>
      <c r="H78" s="45" t="n">
        <f aca="false">'✏️ Data Input'!H70</f>
        <v>720</v>
      </c>
      <c r="I78" s="45" t="n">
        <f aca="false">'✏️ Data Input'!I70</f>
        <v>960</v>
      </c>
      <c r="J78" s="45" t="n">
        <f aca="false">'✏️ Data Input'!J70</f>
        <v>1200</v>
      </c>
      <c r="K78" s="45" t="n">
        <f aca="false">'✏️ Data Input'!K70</f>
        <v>1200</v>
      </c>
      <c r="L78" s="45" t="n">
        <f aca="false">'✏️ Data Input'!L70</f>
        <v>1200</v>
      </c>
      <c r="M78" s="45" t="n">
        <f aca="false">'✏️ Data Input'!M70</f>
        <v>0</v>
      </c>
      <c r="N78" s="45" t="n">
        <f aca="false">'✏️ Data Input'!N70</f>
        <v>0</v>
      </c>
      <c r="O78" s="45" t="n">
        <f aca="false">'✏️ Data Input'!O70</f>
        <v>0</v>
      </c>
      <c r="P78" s="45" t="n">
        <f aca="false">'✏️ Data Input'!P70</f>
        <v>0</v>
      </c>
      <c r="Q78" s="45" t="n">
        <f aca="false">'✏️ Data Input'!Q70</f>
        <v>720</v>
      </c>
      <c r="R78" s="45" t="n">
        <f aca="false">'✏️ Data Input'!R70</f>
        <v>720</v>
      </c>
      <c r="S78" s="45" t="n">
        <f aca="false">'✏️ Data Input'!S70</f>
        <v>960</v>
      </c>
      <c r="T78" s="45" t="n">
        <f aca="false">'✏️ Data Input'!T70</f>
        <v>780</v>
      </c>
      <c r="U78" s="45" t="n">
        <f aca="false">'✏️ Data Input'!U70</f>
        <v>780</v>
      </c>
      <c r="V78" s="45" t="n">
        <f aca="false">'✏️ Data Input'!V70</f>
        <v>780</v>
      </c>
      <c r="W78" s="45" t="n">
        <f aca="false">'✏️ Data Input'!W70</f>
        <v>780</v>
      </c>
      <c r="X78" s="45" t="n">
        <f aca="false">'✏️ Data Input'!X70</f>
        <v>600</v>
      </c>
      <c r="Y78" s="45" t="n">
        <f aca="false">'✏️ Data Input'!Y70</f>
        <v>600</v>
      </c>
      <c r="Z78" s="45" t="n">
        <f aca="false">'✏️ Data Input'!Z70</f>
        <v>600</v>
      </c>
      <c r="AA78" s="45" t="n">
        <f aca="false">'✏️ Data Input'!AA70</f>
        <v>600</v>
      </c>
      <c r="AB78" s="45" t="n">
        <f aca="false">'✏️ Data Input'!AB70</f>
        <v>720</v>
      </c>
      <c r="AC78" s="45" t="n">
        <f aca="false">'✏️ Data Input'!AC70</f>
        <v>720</v>
      </c>
      <c r="AD78" s="45" t="n">
        <f aca="false">'✏️ Data Input'!AD70</f>
        <v>720</v>
      </c>
      <c r="AE78" s="45" t="n">
        <f aca="false">'✏️ Data Input'!AE70</f>
        <v>720</v>
      </c>
      <c r="AF78" s="45" t="n">
        <f aca="false">'✏️ Data Input'!AF70</f>
        <v>720</v>
      </c>
      <c r="AG78" s="45" t="n">
        <f aca="false">'✏️ Data Input'!AG70</f>
        <v>960</v>
      </c>
      <c r="AH78" s="45" t="n">
        <f aca="false">'✏️ Data Input'!AH70</f>
        <v>960</v>
      </c>
      <c r="AI78" s="45" t="n">
        <f aca="false">'✏️ Data Input'!AI70</f>
        <v>0</v>
      </c>
    </row>
    <row r="79" customFormat="false" ht="15" hidden="false" customHeight="true" outlineLevel="0" collapsed="false">
      <c r="A79" s="15" t="s">
        <v>141</v>
      </c>
      <c r="B79" s="54"/>
      <c r="C79" s="50" t="n">
        <f aca="false">SUMIF('✏️ Data Input'!A5:A71,"REAR SEAT",'✏️ Data Input'!C5:C71)</f>
        <v>480</v>
      </c>
      <c r="D79" s="50" t="n">
        <f aca="false">SUMIF('✏️ Data Input'!A5:A71,"REAR SEAT",'✏️ Data Input'!D5:D71)</f>
        <v>9840</v>
      </c>
      <c r="E79" s="50" t="n">
        <f aca="false">SUMIF('✏️ Data Input'!A5:A71,"REAR SEAT",'✏️ Data Input'!E5:E71)</f>
        <v>4560</v>
      </c>
      <c r="F79" s="50" t="n">
        <f aca="false">SUMIF('✏️ Data Input'!A5:A71,"REAR SEAT",'✏️ Data Input'!F5:F71)</f>
        <v>6320</v>
      </c>
      <c r="G79" s="50" t="n">
        <f aca="false">SUMIF('✏️ Data Input'!A5:A71,"REAR SEAT",'✏️ Data Input'!G5:G71)</f>
        <v>6720</v>
      </c>
      <c r="H79" s="50" t="n">
        <f aca="false">SUMIF('✏️ Data Input'!A5:A71,"REAR SEAT",'✏️ Data Input'!H5:H71)</f>
        <v>6000</v>
      </c>
      <c r="I79" s="50" t="n">
        <f aca="false">SUMIF('✏️ Data Input'!A5:A71,"REAR SEAT",'✏️ Data Input'!I5:I71)</f>
        <v>6240</v>
      </c>
      <c r="J79" s="50" t="n">
        <f aca="false">SUMIF('✏️ Data Input'!A5:A71,"REAR SEAT",'✏️ Data Input'!J5:J71)</f>
        <v>6400</v>
      </c>
      <c r="K79" s="50" t="n">
        <f aca="false">SUMIF('✏️ Data Input'!A5:A71,"REAR SEAT",'✏️ Data Input'!K5:K71)</f>
        <v>8400</v>
      </c>
      <c r="L79" s="50" t="n">
        <f aca="false">SUMIF('✏️ Data Input'!A5:A71,"REAR SEAT",'✏️ Data Input'!L5:L71)</f>
        <v>10640</v>
      </c>
      <c r="M79" s="50" t="n">
        <f aca="false">SUMIF('✏️ Data Input'!A5:A71,"REAR SEAT",'✏️ Data Input'!M5:M71)</f>
        <v>0</v>
      </c>
      <c r="N79" s="50" t="n">
        <f aca="false">SUMIF('✏️ Data Input'!A5:A71,"REAR SEAT",'✏️ Data Input'!N5:N71)</f>
        <v>0</v>
      </c>
      <c r="O79" s="50" t="n">
        <f aca="false">SUMIF('✏️ Data Input'!A5:A71,"REAR SEAT",'✏️ Data Input'!O5:O71)</f>
        <v>0</v>
      </c>
      <c r="P79" s="50" t="n">
        <f aca="false">SUMIF('✏️ Data Input'!A5:A71,"REAR SEAT",'✏️ Data Input'!P5:P71)</f>
        <v>0</v>
      </c>
      <c r="Q79" s="50" t="n">
        <f aca="false">SUMIF('✏️ Data Input'!A5:A71,"REAR SEAT",'✏️ Data Input'!Q5:Q71)</f>
        <v>5280</v>
      </c>
      <c r="R79" s="50" t="n">
        <f aca="false">SUMIF('✏️ Data Input'!A5:A71,"REAR SEAT",'✏️ Data Input'!R5:R71)</f>
        <v>6000</v>
      </c>
      <c r="S79" s="50" t="n">
        <f aca="false">SUMIF('✏️ Data Input'!A5:A71,"REAR SEAT",'✏️ Data Input'!S5:S71)</f>
        <v>6200</v>
      </c>
      <c r="T79" s="50" t="n">
        <f aca="false">SUMIF('✏️ Data Input'!A5:A71,"REAR SEAT",'✏️ Data Input'!T5:T71)</f>
        <v>5870</v>
      </c>
      <c r="U79" s="50" t="n">
        <f aca="false">SUMIF('✏️ Data Input'!A5:A71,"REAR SEAT",'✏️ Data Input'!U5:U71)</f>
        <v>5870</v>
      </c>
      <c r="V79" s="50" t="n">
        <f aca="false">SUMIF('✏️ Data Input'!A5:A71,"REAR SEAT",'✏️ Data Input'!V5:V71)</f>
        <v>5870</v>
      </c>
      <c r="W79" s="50" t="n">
        <f aca="false">SUMIF('✏️ Data Input'!A5:A71,"REAR SEAT",'✏️ Data Input'!W5:W71)</f>
        <v>5870</v>
      </c>
      <c r="X79" s="50" t="n">
        <f aca="false">SUMIF('✏️ Data Input'!A5:A71,"REAR SEAT",'✏️ Data Input'!X5:X71)</f>
        <v>4180</v>
      </c>
      <c r="Y79" s="50" t="n">
        <f aca="false">SUMIF('✏️ Data Input'!A5:A71,"REAR SEAT",'✏️ Data Input'!Y5:Y71)</f>
        <v>4180</v>
      </c>
      <c r="Z79" s="50" t="n">
        <f aca="false">SUMIF('✏️ Data Input'!A5:A71,"REAR SEAT",'✏️ Data Input'!Z5:Z71)</f>
        <v>4180</v>
      </c>
      <c r="AA79" s="50" t="n">
        <f aca="false">SUMIF('✏️ Data Input'!A5:A71,"REAR SEAT",'✏️ Data Input'!AA5:AA71)</f>
        <v>4180</v>
      </c>
      <c r="AB79" s="50" t="n">
        <f aca="false">SUMIF('✏️ Data Input'!A5:A71,"REAR SEAT",'✏️ Data Input'!AB5:AB71)</f>
        <v>6060</v>
      </c>
      <c r="AC79" s="50" t="n">
        <f aca="false">SUMIF('✏️ Data Input'!A5:A71,"REAR SEAT",'✏️ Data Input'!AC5:AC71)</f>
        <v>6060</v>
      </c>
      <c r="AD79" s="50" t="n">
        <f aca="false">SUMIF('✏️ Data Input'!A5:A71,"REAR SEAT",'✏️ Data Input'!AD5:AD71)</f>
        <v>6060</v>
      </c>
      <c r="AE79" s="50" t="n">
        <f aca="false">SUMIF('✏️ Data Input'!A5:A71,"REAR SEAT",'✏️ Data Input'!AE5:AE71)</f>
        <v>6060</v>
      </c>
      <c r="AF79" s="50" t="n">
        <f aca="false">SUMIF('✏️ Data Input'!A5:A71,"REAR SEAT",'✏️ Data Input'!AF5:AF71)</f>
        <v>6000</v>
      </c>
      <c r="AG79" s="50" t="n">
        <f aca="false">SUMIF('✏️ Data Input'!A5:A71,"REAR SEAT",'✏️ Data Input'!AG5:AG71)</f>
        <v>6100</v>
      </c>
      <c r="AH79" s="50" t="n">
        <f aca="false">SUMIF('✏️ Data Input'!A5:A71,"REAR SEAT",'✏️ Data Input'!AH5:AH71)</f>
        <v>6100</v>
      </c>
      <c r="AI79" s="50" t="n">
        <f aca="false">SUMIF('✏️ Data Input'!A5:A71,"REAR SEAT",'✏️ Data Input'!AI5:AI71)</f>
        <v>0</v>
      </c>
    </row>
    <row r="81" customFormat="false" ht="18" hidden="false" customHeight="true" outlineLevel="0" collapsed="false">
      <c r="A81" s="57" t="s">
        <v>144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</row>
    <row r="82" customFormat="false" ht="15" hidden="false" customHeight="true" outlineLevel="0" collapsed="false">
      <c r="A82" s="5" t="s">
        <v>140</v>
      </c>
      <c r="B82" s="54"/>
      <c r="C82" s="5" t="s">
        <v>4</v>
      </c>
      <c r="D82" s="5" t="s">
        <v>5</v>
      </c>
      <c r="E82" s="5" t="s">
        <v>6</v>
      </c>
      <c r="F82" s="5" t="s">
        <v>7</v>
      </c>
      <c r="G82" s="5" t="s">
        <v>8</v>
      </c>
      <c r="H82" s="5" t="s">
        <v>9</v>
      </c>
      <c r="I82" s="5" t="s">
        <v>10</v>
      </c>
      <c r="J82" s="5" t="s">
        <v>11</v>
      </c>
      <c r="K82" s="5" t="s">
        <v>12</v>
      </c>
      <c r="L82" s="5" t="s">
        <v>13</v>
      </c>
      <c r="M82" s="5" t="s">
        <v>14</v>
      </c>
      <c r="N82" s="5" t="s">
        <v>15</v>
      </c>
      <c r="O82" s="5" t="s">
        <v>16</v>
      </c>
      <c r="P82" s="5" t="s">
        <v>17</v>
      </c>
      <c r="Q82" s="5" t="s">
        <v>18</v>
      </c>
      <c r="R82" s="5" t="s">
        <v>19</v>
      </c>
      <c r="S82" s="5" t="s">
        <v>20</v>
      </c>
      <c r="T82" s="5" t="s">
        <v>21</v>
      </c>
      <c r="U82" s="5" t="s">
        <v>22</v>
      </c>
      <c r="V82" s="5" t="s">
        <v>23</v>
      </c>
      <c r="W82" s="5" t="s">
        <v>24</v>
      </c>
      <c r="X82" s="5" t="s">
        <v>25</v>
      </c>
      <c r="Y82" s="5" t="s">
        <v>26</v>
      </c>
      <c r="Z82" s="5" t="s">
        <v>27</v>
      </c>
      <c r="AA82" s="5" t="s">
        <v>28</v>
      </c>
      <c r="AB82" s="5" t="s">
        <v>29</v>
      </c>
      <c r="AC82" s="5" t="s">
        <v>30</v>
      </c>
      <c r="AD82" s="5" t="s">
        <v>31</v>
      </c>
      <c r="AE82" s="5" t="s">
        <v>32</v>
      </c>
      <c r="AF82" s="5" t="s">
        <v>33</v>
      </c>
      <c r="AG82" s="5" t="s">
        <v>34</v>
      </c>
      <c r="AH82" s="5" t="s">
        <v>35</v>
      </c>
      <c r="AI82" s="5" t="s">
        <v>36</v>
      </c>
    </row>
    <row r="83" customFormat="false" ht="12.75" hidden="false" customHeight="true" outlineLevel="0" collapsed="false">
      <c r="A83" s="9" t="str">
        <f aca="false">'✏️ Data Input'!B71</f>
        <v>4429358</v>
      </c>
      <c r="B83" s="54"/>
      <c r="C83" s="46" t="n">
        <f aca="false">'✏️ Data Input'!C71</f>
        <v>0</v>
      </c>
      <c r="D83" s="46" t="n">
        <f aca="false">'✏️ Data Input'!D71</f>
        <v>4800</v>
      </c>
      <c r="E83" s="46" t="n">
        <f aca="false">'✏️ Data Input'!E71</f>
        <v>4800</v>
      </c>
      <c r="F83" s="46" t="n">
        <f aca="false">'✏️ Data Input'!F71</f>
        <v>3840</v>
      </c>
      <c r="G83" s="46" t="n">
        <f aca="false">'✏️ Data Input'!G71</f>
        <v>3840</v>
      </c>
      <c r="H83" s="46" t="n">
        <f aca="false">'✏️ Data Input'!H71</f>
        <v>4800</v>
      </c>
      <c r="I83" s="46" t="n">
        <f aca="false">'✏️ Data Input'!I71</f>
        <v>3840</v>
      </c>
      <c r="J83" s="46" t="n">
        <f aca="false">'✏️ Data Input'!J71</f>
        <v>4800</v>
      </c>
      <c r="K83" s="46" t="n">
        <f aca="false">'✏️ Data Input'!K71</f>
        <v>5760</v>
      </c>
      <c r="L83" s="46" t="n">
        <f aca="false">'✏️ Data Input'!L71</f>
        <v>7680</v>
      </c>
      <c r="M83" s="46" t="n">
        <f aca="false">'✏️ Data Input'!M71</f>
        <v>0</v>
      </c>
      <c r="N83" s="46" t="n">
        <f aca="false">'✏️ Data Input'!N71</f>
        <v>0</v>
      </c>
      <c r="O83" s="46" t="n">
        <f aca="false">'✏️ Data Input'!O71</f>
        <v>0</v>
      </c>
      <c r="P83" s="46" t="n">
        <f aca="false">'✏️ Data Input'!P71</f>
        <v>0</v>
      </c>
      <c r="Q83" s="46" t="n">
        <f aca="false">'✏️ Data Input'!Q71</f>
        <v>3840</v>
      </c>
      <c r="R83" s="46" t="n">
        <f aca="false">'✏️ Data Input'!R71</f>
        <v>3840</v>
      </c>
      <c r="S83" s="46" t="n">
        <f aca="false">'✏️ Data Input'!S71</f>
        <v>3840</v>
      </c>
      <c r="T83" s="46" t="n">
        <f aca="false">'✏️ Data Input'!T71</f>
        <v>4080</v>
      </c>
      <c r="U83" s="46" t="n">
        <f aca="false">'✏️ Data Input'!U71</f>
        <v>4080</v>
      </c>
      <c r="V83" s="46" t="n">
        <f aca="false">'✏️ Data Input'!V71</f>
        <v>4080</v>
      </c>
      <c r="W83" s="46" t="n">
        <f aca="false">'✏️ Data Input'!W71</f>
        <v>4080</v>
      </c>
      <c r="X83" s="46" t="n">
        <f aca="false">'✏️ Data Input'!X71</f>
        <v>2640</v>
      </c>
      <c r="Y83" s="46" t="n">
        <f aca="false">'✏️ Data Input'!Y71</f>
        <v>2640</v>
      </c>
      <c r="Z83" s="46" t="n">
        <f aca="false">'✏️ Data Input'!Z71</f>
        <v>2640</v>
      </c>
      <c r="AA83" s="46" t="n">
        <f aca="false">'✏️ Data Input'!AA71</f>
        <v>2640</v>
      </c>
      <c r="AB83" s="46" t="n">
        <f aca="false">'✏️ Data Input'!AB71</f>
        <v>3840</v>
      </c>
      <c r="AC83" s="46" t="n">
        <f aca="false">'✏️ Data Input'!AC71</f>
        <v>3840</v>
      </c>
      <c r="AD83" s="46" t="n">
        <f aca="false">'✏️ Data Input'!AD71</f>
        <v>3840</v>
      </c>
      <c r="AE83" s="46" t="n">
        <f aca="false">'✏️ Data Input'!AE71</f>
        <v>3840</v>
      </c>
      <c r="AF83" s="46" t="n">
        <f aca="false">'✏️ Data Input'!AF71</f>
        <v>3840</v>
      </c>
      <c r="AG83" s="46" t="n">
        <f aca="false">'✏️ Data Input'!AG71</f>
        <v>4800</v>
      </c>
      <c r="AH83" s="46" t="n">
        <f aca="false">'✏️ Data Input'!AH71</f>
        <v>4800</v>
      </c>
      <c r="AI83" s="46" t="n">
        <f aca="false">'✏️ Data Input'!AI71</f>
        <v>0</v>
      </c>
    </row>
    <row r="84" customFormat="false" ht="15" hidden="false" customHeight="true" outlineLevel="0" collapsed="false">
      <c r="A84" s="16" t="s">
        <v>141</v>
      </c>
      <c r="B84" s="54"/>
      <c r="C84" s="50" t="n">
        <f aca="false">SUMIF('✏️ Data Input'!A5:A71,"CUSHION",'✏️ Data Input'!C5:C71)</f>
        <v>0</v>
      </c>
      <c r="D84" s="50" t="n">
        <f aca="false">SUMIF('✏️ Data Input'!A5:A71,"CUSHION",'✏️ Data Input'!D5:D71)</f>
        <v>4800</v>
      </c>
      <c r="E84" s="50" t="n">
        <f aca="false">SUMIF('✏️ Data Input'!A5:A71,"CUSHION",'✏️ Data Input'!E5:E71)</f>
        <v>4800</v>
      </c>
      <c r="F84" s="50" t="n">
        <f aca="false">SUMIF('✏️ Data Input'!A5:A71,"CUSHION",'✏️ Data Input'!F5:F71)</f>
        <v>3840</v>
      </c>
      <c r="G84" s="50" t="n">
        <f aca="false">SUMIF('✏️ Data Input'!A5:A71,"CUSHION",'✏️ Data Input'!G5:G71)</f>
        <v>3840</v>
      </c>
      <c r="H84" s="50" t="n">
        <f aca="false">SUMIF('✏️ Data Input'!A5:A71,"CUSHION",'✏️ Data Input'!H5:H71)</f>
        <v>4800</v>
      </c>
      <c r="I84" s="50" t="n">
        <f aca="false">SUMIF('✏️ Data Input'!A5:A71,"CUSHION",'✏️ Data Input'!I5:I71)</f>
        <v>3840</v>
      </c>
      <c r="J84" s="50" t="n">
        <f aca="false">SUMIF('✏️ Data Input'!A5:A71,"CUSHION",'✏️ Data Input'!J5:J71)</f>
        <v>4800</v>
      </c>
      <c r="K84" s="50" t="n">
        <f aca="false">SUMIF('✏️ Data Input'!A5:A71,"CUSHION",'✏️ Data Input'!K5:K71)</f>
        <v>5760</v>
      </c>
      <c r="L84" s="50" t="n">
        <f aca="false">SUMIF('✏️ Data Input'!A5:A71,"CUSHION",'✏️ Data Input'!L5:L71)</f>
        <v>7680</v>
      </c>
      <c r="M84" s="50" t="n">
        <f aca="false">SUMIF('✏️ Data Input'!A5:A71,"CUSHION",'✏️ Data Input'!M5:M71)</f>
        <v>0</v>
      </c>
      <c r="N84" s="50" t="n">
        <f aca="false">SUMIF('✏️ Data Input'!A5:A71,"CUSHION",'✏️ Data Input'!N5:N71)</f>
        <v>0</v>
      </c>
      <c r="O84" s="50" t="n">
        <f aca="false">SUMIF('✏️ Data Input'!A5:A71,"CUSHION",'✏️ Data Input'!O5:O71)</f>
        <v>0</v>
      </c>
      <c r="P84" s="50" t="n">
        <f aca="false">SUMIF('✏️ Data Input'!A5:A71,"CUSHION",'✏️ Data Input'!P5:P71)</f>
        <v>0</v>
      </c>
      <c r="Q84" s="50" t="n">
        <f aca="false">SUMIF('✏️ Data Input'!A5:A71,"CUSHION",'✏️ Data Input'!Q5:Q71)</f>
        <v>3840</v>
      </c>
      <c r="R84" s="50" t="n">
        <f aca="false">SUMIF('✏️ Data Input'!A5:A71,"CUSHION",'✏️ Data Input'!R5:R71)</f>
        <v>3840</v>
      </c>
      <c r="S84" s="50" t="n">
        <f aca="false">SUMIF('✏️ Data Input'!A5:A71,"CUSHION",'✏️ Data Input'!S5:S71)</f>
        <v>3840</v>
      </c>
      <c r="T84" s="50" t="n">
        <f aca="false">SUMIF('✏️ Data Input'!A5:A71,"CUSHION",'✏️ Data Input'!T5:T71)</f>
        <v>4080</v>
      </c>
      <c r="U84" s="50" t="n">
        <f aca="false">SUMIF('✏️ Data Input'!A5:A71,"CUSHION",'✏️ Data Input'!U5:U71)</f>
        <v>4080</v>
      </c>
      <c r="V84" s="50" t="n">
        <f aca="false">SUMIF('✏️ Data Input'!A5:A71,"CUSHION",'✏️ Data Input'!V5:V71)</f>
        <v>4080</v>
      </c>
      <c r="W84" s="50" t="n">
        <f aca="false">SUMIF('✏️ Data Input'!A5:A71,"CUSHION",'✏️ Data Input'!W5:W71)</f>
        <v>4080</v>
      </c>
      <c r="X84" s="50" t="n">
        <f aca="false">SUMIF('✏️ Data Input'!A5:A71,"CUSHION",'✏️ Data Input'!X5:X71)</f>
        <v>2640</v>
      </c>
      <c r="Y84" s="50" t="n">
        <f aca="false">SUMIF('✏️ Data Input'!A5:A71,"CUSHION",'✏️ Data Input'!Y5:Y71)</f>
        <v>2640</v>
      </c>
      <c r="Z84" s="50" t="n">
        <f aca="false">SUMIF('✏️ Data Input'!A5:A71,"CUSHION",'✏️ Data Input'!Z5:Z71)</f>
        <v>2640</v>
      </c>
      <c r="AA84" s="50" t="n">
        <f aca="false">SUMIF('✏️ Data Input'!A5:A71,"CUSHION",'✏️ Data Input'!AA5:AA71)</f>
        <v>2640</v>
      </c>
      <c r="AB84" s="50" t="n">
        <f aca="false">SUMIF('✏️ Data Input'!A5:A71,"CUSHION",'✏️ Data Input'!AB5:AB71)</f>
        <v>3840</v>
      </c>
      <c r="AC84" s="50" t="n">
        <f aca="false">SUMIF('✏️ Data Input'!A5:A71,"CUSHION",'✏️ Data Input'!AC5:AC71)</f>
        <v>3840</v>
      </c>
      <c r="AD84" s="50" t="n">
        <f aca="false">SUMIF('✏️ Data Input'!A5:A71,"CUSHION",'✏️ Data Input'!AD5:AD71)</f>
        <v>3840</v>
      </c>
      <c r="AE84" s="50" t="n">
        <f aca="false">SUMIF('✏️ Data Input'!A5:A71,"CUSHION",'✏️ Data Input'!AE5:AE71)</f>
        <v>3840</v>
      </c>
      <c r="AF84" s="50" t="n">
        <f aca="false">SUMIF('✏️ Data Input'!A5:A71,"CUSHION",'✏️ Data Input'!AF5:AF71)</f>
        <v>3840</v>
      </c>
      <c r="AG84" s="50" t="n">
        <f aca="false">SUMIF('✏️ Data Input'!A5:A71,"CUSHION",'✏️ Data Input'!AG5:AG71)</f>
        <v>4800</v>
      </c>
      <c r="AH84" s="50" t="n">
        <f aca="false">SUMIF('✏️ Data Input'!A5:A71,"CUSHION",'✏️ Data Input'!AH5:AH71)</f>
        <v>4800</v>
      </c>
      <c r="AI84" s="50" t="n">
        <f aca="false">SUMIF('✏️ Data Input'!A5:A71,"CUSHION",'✏️ Data Input'!AI5:AI71)</f>
        <v>0</v>
      </c>
    </row>
  </sheetData>
  <mergeCells count="5">
    <mergeCell ref="A1:AI1"/>
    <mergeCell ref="A3:AI3"/>
    <mergeCell ref="A36:AI36"/>
    <mergeCell ref="A71:AI71"/>
    <mergeCell ref="A81:AI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14"/>
  </cols>
  <sheetData>
    <row r="1" customFormat="false" ht="21.75" hidden="false" customHeight="true" outlineLevel="0" collapsed="false">
      <c r="A1" s="52" t="s">
        <v>145</v>
      </c>
      <c r="B1" s="52"/>
      <c r="C1" s="52"/>
      <c r="D1" s="52"/>
      <c r="E1" s="52"/>
      <c r="F1" s="52"/>
    </row>
    <row r="2" customFormat="false" ht="18" hidden="false" customHeight="true" outlineLevel="0" collapsed="false">
      <c r="A2" s="4" t="s">
        <v>146</v>
      </c>
      <c r="B2" s="4" t="s">
        <v>2</v>
      </c>
      <c r="C2" s="4" t="s">
        <v>140</v>
      </c>
      <c r="D2" s="4" t="s">
        <v>147</v>
      </c>
      <c r="E2" s="4" t="s">
        <v>121</v>
      </c>
      <c r="F2" s="4" t="s">
        <v>124</v>
      </c>
    </row>
    <row r="3" customFormat="false" ht="13.5" hidden="false" customHeight="true" outlineLevel="0" collapsed="false">
      <c r="A3" s="58" t="n">
        <v>1</v>
      </c>
      <c r="B3" s="16" t="s">
        <v>107</v>
      </c>
      <c r="C3" s="59" t="str">
        <f aca="false">'✏️ Data Input'!B71</f>
        <v>4429358</v>
      </c>
      <c r="D3" s="60" t="n">
        <f aca="false">SUM('✏️ Data Input'!C71:AI71)</f>
        <v>111360</v>
      </c>
      <c r="E3" s="13" t="n">
        <f aca="false">SUM('✏️ Data Input'!C71:AI71)/33</f>
        <v>3374.54545454545</v>
      </c>
      <c r="F3" s="61" t="n">
        <f aca="false">(SUM('✏️ Data Input'!C71:AI71))/('✏️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0.231185552563781</v>
      </c>
    </row>
    <row r="4" customFormat="false" ht="13.5" hidden="false" customHeight="true" outlineLevel="0" collapsed="false">
      <c r="A4" s="58" t="n">
        <v>2</v>
      </c>
      <c r="B4" s="15" t="s">
        <v>100</v>
      </c>
      <c r="C4" s="62" t="str">
        <f aca="false">'✏️ Data Input'!B65</f>
        <v>4429348</v>
      </c>
      <c r="D4" s="63" t="n">
        <f aca="false">SUM('✏️ Data Input'!C65:AI65)</f>
        <v>32800</v>
      </c>
      <c r="E4" s="10" t="n">
        <f aca="false">SUM('✏️ Data Input'!C65:AI65)/33</f>
        <v>993.939393939394</v>
      </c>
      <c r="F4" s="64" t="n">
        <f aca="false">(SUM('✏️ Data Input'!C65:AI65))/('✏️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0.06809344579824</v>
      </c>
    </row>
    <row r="5" customFormat="false" ht="13.5" hidden="false" customHeight="true" outlineLevel="0" collapsed="false">
      <c r="A5" s="58" t="n">
        <v>3</v>
      </c>
      <c r="B5" s="15" t="s">
        <v>100</v>
      </c>
      <c r="C5" s="59" t="str">
        <f aca="false">'✏️ Data Input'!B66</f>
        <v>4429349</v>
      </c>
      <c r="D5" s="60" t="n">
        <f aca="false">SUM('✏️ Data Input'!C66:AI66)</f>
        <v>32600</v>
      </c>
      <c r="E5" s="13" t="n">
        <f aca="false">SUM('✏️ Data Input'!C66:AI66)/33</f>
        <v>987.878787878788</v>
      </c>
      <c r="F5" s="61" t="n">
        <f aca="false">(SUM('✏️ Data Input'!C66:AI66))/('✏️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0.0676782418604458</v>
      </c>
    </row>
    <row r="6" customFormat="false" ht="13.5" hidden="false" customHeight="true" outlineLevel="0" collapsed="false">
      <c r="A6" s="58" t="n">
        <v>4</v>
      </c>
      <c r="B6" s="14" t="s">
        <v>68</v>
      </c>
      <c r="C6" s="62" t="str">
        <f aca="false">'✏️ Data Input'!B46</f>
        <v>4817134</v>
      </c>
      <c r="D6" s="63" t="n">
        <f aca="false">SUM('✏️ Data Input'!C46:AI46)</f>
        <v>30480</v>
      </c>
      <c r="E6" s="10" t="n">
        <f aca="false">SUM('✏️ Data Input'!C46:AI46)/33</f>
        <v>923.636363636364</v>
      </c>
      <c r="F6" s="64" t="n">
        <f aca="false">(SUM('✏️ Data Input'!C46:AI46))/('✏️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0.0632770801198279</v>
      </c>
    </row>
    <row r="7" customFormat="false" ht="13.5" hidden="false" customHeight="true" outlineLevel="0" collapsed="false">
      <c r="A7" s="58" t="n">
        <v>5</v>
      </c>
      <c r="B7" s="15" t="s">
        <v>100</v>
      </c>
      <c r="C7" s="59" t="str">
        <f aca="false">'✏️ Data Input'!B67</f>
        <v>4429351</v>
      </c>
      <c r="D7" s="60" t="n">
        <f aca="false">SUM('✏️ Data Input'!C67:AI67)</f>
        <v>27120</v>
      </c>
      <c r="E7" s="13" t="n">
        <f aca="false">SUM('✏️ Data Input'!C67:AI67)/33</f>
        <v>821.818181818182</v>
      </c>
      <c r="F7" s="61" t="n">
        <f aca="false">(SUM('✏️ Data Input'!C67:AI67))/('✏️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0.0563016539648862</v>
      </c>
    </row>
    <row r="8" customFormat="false" ht="13.5" hidden="false" customHeight="true" outlineLevel="0" collapsed="false">
      <c r="A8" s="58" t="n">
        <v>6</v>
      </c>
      <c r="B8" s="15" t="s">
        <v>100</v>
      </c>
      <c r="C8" s="62" t="str">
        <f aca="false">'✏️ Data Input'!B68</f>
        <v>4429352</v>
      </c>
      <c r="D8" s="63" t="n">
        <f aca="false">SUM('✏️ Data Input'!C68:AI68)</f>
        <v>27120</v>
      </c>
      <c r="E8" s="10" t="n">
        <f aca="false">SUM('✏️ Data Input'!C68:AI68)/33</f>
        <v>821.818181818182</v>
      </c>
      <c r="F8" s="64" t="n">
        <f aca="false">(SUM('✏️ Data Input'!C68:AI68))/('✏️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0.0563016539648862</v>
      </c>
    </row>
    <row r="9" customFormat="false" ht="13.5" hidden="false" customHeight="true" outlineLevel="0" collapsed="false">
      <c r="A9" s="58" t="n">
        <v>7</v>
      </c>
      <c r="B9" s="15" t="s">
        <v>100</v>
      </c>
      <c r="C9" s="59" t="str">
        <f aca="false">'✏️ Data Input'!B70</f>
        <v>4429356</v>
      </c>
      <c r="D9" s="60" t="n">
        <f aca="false">SUM('✏️ Data Input'!C70:AI70)</f>
        <v>23040</v>
      </c>
      <c r="E9" s="13" t="n">
        <f aca="false">SUM('✏️ Data Input'!C70:AI70)/33</f>
        <v>698.181818181818</v>
      </c>
      <c r="F9" s="61" t="n">
        <f aca="false">(SUM('✏️ Data Input'!C70:AI70))/('✏️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0.0478314936338856</v>
      </c>
    </row>
    <row r="10" customFormat="false" ht="13.5" hidden="false" customHeight="true" outlineLevel="0" collapsed="false">
      <c r="A10" s="58" t="n">
        <v>8</v>
      </c>
      <c r="B10" s="15" t="s">
        <v>100</v>
      </c>
      <c r="C10" s="62" t="str">
        <f aca="false">'✏️ Data Input'!B69</f>
        <v>4429355</v>
      </c>
      <c r="D10" s="63" t="n">
        <f aca="false">SUM('✏️ Data Input'!C69:AI69)</f>
        <v>23040</v>
      </c>
      <c r="E10" s="10" t="n">
        <f aca="false">SUM('✏️ Data Input'!C69:AI69)/33</f>
        <v>698.181818181818</v>
      </c>
      <c r="F10" s="64" t="n">
        <f aca="false">(SUM('✏️ Data Input'!C69:AI69))/('✏️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0.0478314936338856</v>
      </c>
    </row>
    <row r="11" customFormat="false" ht="13.5" hidden="false" customHeight="true" outlineLevel="0" collapsed="false">
      <c r="A11" s="58" t="n">
        <v>9</v>
      </c>
      <c r="B11" s="8" t="s">
        <v>38</v>
      </c>
      <c r="C11" s="59" t="str">
        <f aca="false">'✏️ Data Input'!B18</f>
        <v>4754918</v>
      </c>
      <c r="D11" s="60" t="n">
        <f aca="false">SUM('✏️ Data Input'!C18:AI18)</f>
        <v>19600</v>
      </c>
      <c r="E11" s="13" t="n">
        <f aca="false">SUM('✏️ Data Input'!C18:AI18)/33</f>
        <v>593.939393939394</v>
      </c>
      <c r="F11" s="61" t="n">
        <f aca="false">(SUM('✏️ Data Input'!C18:AI18))/('✏️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0.0406899859038263</v>
      </c>
    </row>
    <row r="12" customFormat="false" ht="13.5" hidden="false" customHeight="true" outlineLevel="0" collapsed="false">
      <c r="A12" s="58" t="n">
        <v>10</v>
      </c>
      <c r="B12" s="8" t="s">
        <v>38</v>
      </c>
      <c r="C12" s="62" t="str">
        <f aca="false">'✏️ Data Input'!B27</f>
        <v>4172773</v>
      </c>
      <c r="D12" s="63" t="n">
        <f aca="false">SUM('✏️ Data Input'!C27:AI27)</f>
        <v>18320</v>
      </c>
      <c r="E12" s="10" t="n">
        <f aca="false">SUM('✏️ Data Input'!C27:AI27)/33</f>
        <v>555.151515151515</v>
      </c>
      <c r="F12" s="64" t="n">
        <f aca="false">(SUM('✏️ Data Input'!C27:AI27))/('✏️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0.0380326807019438</v>
      </c>
    </row>
    <row r="13" customFormat="false" ht="13.5" hidden="false" customHeight="true" outlineLevel="0" collapsed="false">
      <c r="A13" s="58" t="n">
        <v>11</v>
      </c>
      <c r="B13" s="8" t="s">
        <v>38</v>
      </c>
      <c r="C13" s="59" t="str">
        <f aca="false">'✏️ Data Input'!B15</f>
        <v>4817100</v>
      </c>
      <c r="D13" s="60" t="n">
        <f aca="false">SUM('✏️ Data Input'!C15:AI15)</f>
        <v>18160</v>
      </c>
      <c r="E13" s="13" t="n">
        <f aca="false">SUM('✏️ Data Input'!C15:AI15)/33</f>
        <v>550.30303030303</v>
      </c>
      <c r="F13" s="61" t="n">
        <f aca="false">(SUM('✏️ Data Input'!C15:AI15))/('✏️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0.0377005175517085</v>
      </c>
    </row>
    <row r="14" customFormat="false" ht="13.5" hidden="false" customHeight="true" outlineLevel="0" collapsed="false">
      <c r="A14" s="58" t="n">
        <v>12</v>
      </c>
      <c r="B14" s="14" t="s">
        <v>68</v>
      </c>
      <c r="C14" s="62" t="str">
        <f aca="false">'✏️ Data Input'!B43</f>
        <v>4817124</v>
      </c>
      <c r="D14" s="63" t="n">
        <f aca="false">SUM('✏️ Data Input'!C43:AI43)</f>
        <v>17280</v>
      </c>
      <c r="E14" s="10" t="n">
        <f aca="false">SUM('✏️ Data Input'!C43:AI43)/33</f>
        <v>523.636363636364</v>
      </c>
      <c r="F14" s="64" t="n">
        <f aca="false">(SUM('✏️ Data Input'!C43:AI43))/('✏️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0.0358736202254142</v>
      </c>
    </row>
    <row r="15" customFormat="false" ht="13.5" hidden="false" customHeight="true" outlineLevel="0" collapsed="false">
      <c r="A15" s="58" t="n">
        <v>13</v>
      </c>
      <c r="B15" s="8" t="s">
        <v>38</v>
      </c>
      <c r="C15" s="59" t="str">
        <f aca="false">'✏️ Data Input'!B16</f>
        <v>4817103</v>
      </c>
      <c r="D15" s="60" t="n">
        <f aca="false">SUM('✏️ Data Input'!C16:AI16)</f>
        <v>13680</v>
      </c>
      <c r="E15" s="13" t="n">
        <f aca="false">SUM('✏️ Data Input'!C16:AI16)/33</f>
        <v>414.545454545455</v>
      </c>
      <c r="F15" s="61" t="n">
        <f aca="false">(SUM('✏️ Data Input'!C16:AI16))/('✏️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0.0283999493451196</v>
      </c>
    </row>
    <row r="16" customFormat="false" ht="13.5" hidden="false" customHeight="true" outlineLevel="0" collapsed="false">
      <c r="A16" s="58" t="n">
        <v>14</v>
      </c>
      <c r="B16" s="14" t="s">
        <v>68</v>
      </c>
      <c r="C16" s="62" t="str">
        <f aca="false">'✏️ Data Input'!B41</f>
        <v>4172825</v>
      </c>
      <c r="D16" s="63" t="n">
        <f aca="false">SUM('✏️ Data Input'!C41:AI41)</f>
        <v>11360</v>
      </c>
      <c r="E16" s="10" t="n">
        <f aca="false">SUM('✏️ Data Input'!C41:AI41)/33</f>
        <v>344.242424242424</v>
      </c>
      <c r="F16" s="64" t="n">
        <f aca="false">(SUM('✏️ Data Input'!C41:AI41))/('✏️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0.0235835836667075</v>
      </c>
    </row>
    <row r="17" customFormat="false" ht="13.5" hidden="false" customHeight="true" outlineLevel="0" collapsed="false">
      <c r="A17" s="58" t="n">
        <v>15</v>
      </c>
      <c r="B17" s="14" t="s">
        <v>68</v>
      </c>
      <c r="C17" s="59" t="str">
        <f aca="false">'✏️ Data Input'!B45</f>
        <v>4817131</v>
      </c>
      <c r="D17" s="60" t="n">
        <f aca="false">SUM('✏️ Data Input'!C45:AI45)</f>
        <v>11280</v>
      </c>
      <c r="E17" s="13" t="n">
        <f aca="false">SUM('✏️ Data Input'!C45:AI45)/33</f>
        <v>341.818181818182</v>
      </c>
      <c r="F17" s="61" t="n">
        <f aca="false">(SUM('✏️ Data Input'!C45:AI45))/('✏️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0.0234175020915898</v>
      </c>
    </row>
    <row r="18" customFormat="false" ht="13.5" hidden="false" customHeight="true" outlineLevel="0" collapsed="false">
      <c r="A18" s="58" t="n">
        <v>16</v>
      </c>
      <c r="B18" s="14" t="s">
        <v>68</v>
      </c>
      <c r="C18" s="62" t="str">
        <f aca="false">'✏️ Data Input'!B37</f>
        <v>4172826</v>
      </c>
      <c r="D18" s="63" t="n">
        <f aca="false">SUM('✏️ Data Input'!C37:AI37)</f>
        <v>7000</v>
      </c>
      <c r="E18" s="10" t="n">
        <f aca="false">SUM('✏️ Data Input'!C37:AI37)/33</f>
        <v>212.121212121212</v>
      </c>
      <c r="F18" s="64" t="n">
        <f aca="false">(SUM('✏️ Data Input'!C37:AI37))/('✏️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0.0145321378227951</v>
      </c>
    </row>
    <row r="19" customFormat="false" ht="13.5" hidden="false" customHeight="true" outlineLevel="0" collapsed="false">
      <c r="A19" s="58" t="n">
        <v>17</v>
      </c>
      <c r="B19" s="8" t="s">
        <v>38</v>
      </c>
      <c r="C19" s="59" t="str">
        <f aca="false">'✏️ Data Input'!B17</f>
        <v>4817114</v>
      </c>
      <c r="D19" s="60" t="n">
        <f aca="false">SUM('✏️ Data Input'!C17:AI17)</f>
        <v>6400</v>
      </c>
      <c r="E19" s="13" t="n">
        <f aca="false">SUM('✏️ Data Input'!C17:AI17)/33</f>
        <v>193.939393939394</v>
      </c>
      <c r="F19" s="61" t="n">
        <f aca="false">(SUM('✏️ Data Input'!C17:AI17))/('✏️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0.0132865260094127</v>
      </c>
    </row>
    <row r="20" customFormat="false" ht="13.5" hidden="false" customHeight="true" outlineLevel="0" collapsed="false">
      <c r="A20" s="58" t="n">
        <v>18</v>
      </c>
      <c r="B20" s="14" t="s">
        <v>68</v>
      </c>
      <c r="C20" s="62" t="str">
        <f aca="false">'✏️ Data Input'!B48</f>
        <v>4755146</v>
      </c>
      <c r="D20" s="63" t="n">
        <f aca="false">SUM('✏️ Data Input'!C48:AI48)</f>
        <v>6160</v>
      </c>
      <c r="E20" s="10" t="n">
        <f aca="false">SUM('✏️ Data Input'!C48:AI48)/33</f>
        <v>186.666666666667</v>
      </c>
      <c r="F20" s="64" t="n">
        <f aca="false">(SUM('✏️ Data Input'!C48:AI48))/('✏️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0.0127882812840597</v>
      </c>
    </row>
    <row r="21" customFormat="false" ht="13.5" hidden="false" customHeight="true" outlineLevel="0" collapsed="false">
      <c r="A21" s="58" t="n">
        <v>19</v>
      </c>
      <c r="B21" s="8" t="s">
        <v>38</v>
      </c>
      <c r="C21" s="59" t="str">
        <f aca="false">'✏️ Data Input'!B30</f>
        <v>4817101</v>
      </c>
      <c r="D21" s="60" t="n">
        <f aca="false">SUM('✏️ Data Input'!C30:AI30)</f>
        <v>4880</v>
      </c>
      <c r="E21" s="13" t="n">
        <f aca="false">SUM('✏️ Data Input'!C30:AI30)/33</f>
        <v>147.878787878788</v>
      </c>
      <c r="F21" s="61" t="n">
        <f aca="false">(SUM('✏️ Data Input'!C30:AI30))/('✏️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0.0101309760821772</v>
      </c>
    </row>
    <row r="22" customFormat="false" ht="13.5" hidden="false" customHeight="true" outlineLevel="0" collapsed="false">
      <c r="A22" s="58" t="n">
        <v>20</v>
      </c>
      <c r="B22" s="8" t="s">
        <v>38</v>
      </c>
      <c r="C22" s="62" t="str">
        <f aca="false">'✏️ Data Input'!B23</f>
        <v>5180032</v>
      </c>
      <c r="D22" s="63" t="n">
        <f aca="false">SUM('✏️ Data Input'!C23:AI23)</f>
        <v>3680</v>
      </c>
      <c r="E22" s="10" t="n">
        <f aca="false">SUM('✏️ Data Input'!C23:AI23)/33</f>
        <v>111.515151515152</v>
      </c>
      <c r="F22" s="64" t="n">
        <f aca="false">(SUM('✏️ Data Input'!C23:AI23))/('✏️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0.00763975245541229</v>
      </c>
    </row>
    <row r="23" customFormat="false" ht="13.5" hidden="false" customHeight="true" outlineLevel="0" collapsed="false">
      <c r="A23" s="58" t="n">
        <v>21</v>
      </c>
      <c r="B23" s="8" t="s">
        <v>38</v>
      </c>
      <c r="C23" s="59" t="str">
        <f aca="false">'✏️ Data Input'!B10</f>
        <v>4172749</v>
      </c>
      <c r="D23" s="60" t="n">
        <f aca="false">SUM('✏️ Data Input'!C10:AI10)</f>
        <v>3600</v>
      </c>
      <c r="E23" s="13" t="n">
        <f aca="false">SUM('✏️ Data Input'!C10:AI10)/33</f>
        <v>109.090909090909</v>
      </c>
      <c r="F23" s="61" t="n">
        <f aca="false">(SUM('✏️ Data Input'!C10:AI10))/('✏️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0.00747367088029463</v>
      </c>
    </row>
    <row r="24" customFormat="false" ht="13.5" hidden="false" customHeight="true" outlineLevel="0" collapsed="false">
      <c r="A24" s="58" t="n">
        <v>22</v>
      </c>
      <c r="B24" s="8" t="s">
        <v>38</v>
      </c>
      <c r="C24" s="62" t="str">
        <f aca="false">'✏️ Data Input'!B5</f>
        <v>4172750</v>
      </c>
      <c r="D24" s="63" t="n">
        <f aca="false">SUM('✏️ Data Input'!C5:AI5)</f>
        <v>3520</v>
      </c>
      <c r="E24" s="10" t="n">
        <f aca="false">SUM('✏️ Data Input'!C5:AI5)/33</f>
        <v>106.666666666667</v>
      </c>
      <c r="F24" s="64" t="n">
        <f aca="false">(SUM('✏️ Data Input'!C5:AI5))/('✏️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0.00730758930517697</v>
      </c>
    </row>
    <row r="25" customFormat="false" ht="13.5" hidden="false" customHeight="true" outlineLevel="0" collapsed="false">
      <c r="A25" s="58" t="n">
        <v>23</v>
      </c>
      <c r="B25" s="8" t="s">
        <v>38</v>
      </c>
      <c r="C25" s="59" t="str">
        <f aca="false">'✏️ Data Input'!B13</f>
        <v>5073058</v>
      </c>
      <c r="D25" s="60" t="n">
        <f aca="false">SUM('✏️ Data Input'!C13:AI13)</f>
        <v>3000</v>
      </c>
      <c r="E25" s="13" t="n">
        <f aca="false">SUM('✏️ Data Input'!C13:AI13)/33</f>
        <v>90.9090909090909</v>
      </c>
      <c r="F25" s="61" t="n">
        <f aca="false">(SUM('✏️ Data Input'!C13:AI13))/('✏️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0.00622805906691219</v>
      </c>
    </row>
    <row r="26" customFormat="false" ht="13.5" hidden="false" customHeight="true" outlineLevel="0" collapsed="false">
      <c r="A26" s="58" t="n">
        <v>24</v>
      </c>
      <c r="B26" s="14" t="s">
        <v>68</v>
      </c>
      <c r="C26" s="62" t="str">
        <f aca="false">'✏️ Data Input'!B51</f>
        <v>5180040</v>
      </c>
      <c r="D26" s="63" t="n">
        <f aca="false">SUM('✏️ Data Input'!C51:AI51)</f>
        <v>2880</v>
      </c>
      <c r="E26" s="10" t="n">
        <f aca="false">SUM('✏️ Data Input'!C51:AI51)/33</f>
        <v>87.2727272727273</v>
      </c>
      <c r="F26" s="64" t="n">
        <f aca="false">(SUM('✏️ Data Input'!C51:AI51))/('✏️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0.0059789367042357</v>
      </c>
    </row>
    <row r="27" customFormat="false" ht="13.5" hidden="false" customHeight="true" outlineLevel="0" collapsed="false">
      <c r="A27" s="58" t="n">
        <v>25</v>
      </c>
      <c r="B27" s="14" t="s">
        <v>68</v>
      </c>
      <c r="C27" s="59" t="str">
        <f aca="false">'✏️ Data Input'!B47</f>
        <v>4817136</v>
      </c>
      <c r="D27" s="60" t="n">
        <f aca="false">SUM('✏️ Data Input'!C47:AI47)</f>
        <v>2800</v>
      </c>
      <c r="E27" s="13" t="n">
        <f aca="false">SUM('✏️ Data Input'!C47:AI47)/33</f>
        <v>84.8484848484848</v>
      </c>
      <c r="F27" s="61" t="n">
        <f aca="false">(SUM('✏️ Data Input'!C47:AI47))/('✏️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0.00581285512911805</v>
      </c>
    </row>
    <row r="28" customFormat="false" ht="13.5" hidden="false" customHeight="true" outlineLevel="0" collapsed="false">
      <c r="A28" s="58" t="n">
        <v>26</v>
      </c>
      <c r="B28" s="14" t="s">
        <v>68</v>
      </c>
      <c r="C28" s="62" t="str">
        <f aca="false">'✏️ Data Input'!B44</f>
        <v>4817129</v>
      </c>
      <c r="D28" s="63" t="n">
        <f aca="false">SUM('✏️ Data Input'!C44:AI44)</f>
        <v>2720</v>
      </c>
      <c r="E28" s="10" t="n">
        <f aca="false">SUM('✏️ Data Input'!C44:AI44)/33</f>
        <v>82.4242424242424</v>
      </c>
      <c r="F28" s="64" t="n">
        <f aca="false">(SUM('✏️ Data Input'!C44:AI44))/('✏️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0.00564677355400039</v>
      </c>
    </row>
    <row r="29" customFormat="false" ht="13.5" hidden="false" customHeight="true" outlineLevel="0" collapsed="false">
      <c r="A29" s="58" t="n">
        <v>27</v>
      </c>
      <c r="B29" s="8" t="s">
        <v>38</v>
      </c>
      <c r="C29" s="59" t="str">
        <f aca="false">'✏️ Data Input'!B6</f>
        <v>4172755</v>
      </c>
      <c r="D29" s="60" t="n">
        <f aca="false">SUM('✏️ Data Input'!C6:AI6)</f>
        <v>2240</v>
      </c>
      <c r="E29" s="13" t="n">
        <f aca="false">SUM('✏️ Data Input'!C6:AI6)/33</f>
        <v>67.8787878787879</v>
      </c>
      <c r="F29" s="61" t="n">
        <f aca="false">(SUM('✏️ Data Input'!C6:AI6))/('✏️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0.00465028410329444</v>
      </c>
    </row>
    <row r="30" customFormat="false" ht="13.5" hidden="false" customHeight="true" outlineLevel="0" collapsed="false">
      <c r="A30" s="58" t="n">
        <v>28</v>
      </c>
      <c r="B30" s="14" t="s">
        <v>68</v>
      </c>
      <c r="C30" s="62" t="str">
        <f aca="false">'✏️ Data Input'!B42</f>
        <v>4264989</v>
      </c>
      <c r="D30" s="63" t="n">
        <f aca="false">SUM('✏️ Data Input'!C42:AI42)</f>
        <v>2160</v>
      </c>
      <c r="E30" s="10" t="n">
        <f aca="false">SUM('✏️ Data Input'!C42:AI42)/33</f>
        <v>65.4545454545455</v>
      </c>
      <c r="F30" s="64" t="n">
        <f aca="false">(SUM('✏️ Data Input'!C42:AI42))/('✏️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0.00448420252817678</v>
      </c>
    </row>
    <row r="31" customFormat="false" ht="13.5" hidden="false" customHeight="true" outlineLevel="0" collapsed="false">
      <c r="A31" s="58" t="n">
        <v>29</v>
      </c>
      <c r="B31" s="8" t="s">
        <v>38</v>
      </c>
      <c r="C31" s="59" t="str">
        <f aca="false">'✏️ Data Input'!B19</f>
        <v>4755038</v>
      </c>
      <c r="D31" s="60" t="n">
        <f aca="false">SUM('✏️ Data Input'!C19:AI19)</f>
        <v>1440</v>
      </c>
      <c r="E31" s="13" t="n">
        <f aca="false">SUM('✏️ Data Input'!C19:AI19)/33</f>
        <v>43.6363636363636</v>
      </c>
      <c r="F31" s="61" t="n">
        <f aca="false">(SUM('✏️ Data Input'!C19:AI19))/('✏️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0.00298946835211785</v>
      </c>
    </row>
    <row r="32" customFormat="false" ht="13.5" hidden="false" customHeight="true" outlineLevel="0" collapsed="false">
      <c r="A32" s="58" t="n">
        <v>30</v>
      </c>
      <c r="B32" s="14" t="s">
        <v>68</v>
      </c>
      <c r="C32" s="62" t="str">
        <f aca="false">'✏️ Data Input'!B35</f>
        <v>4172800</v>
      </c>
      <c r="D32" s="63" t="n">
        <f aca="false">SUM('✏️ Data Input'!C35:AI35)</f>
        <v>1400</v>
      </c>
      <c r="E32" s="10" t="n">
        <f aca="false">SUM('✏️ Data Input'!C35:AI35)/33</f>
        <v>42.4242424242424</v>
      </c>
      <c r="F32" s="64" t="n">
        <f aca="false">(SUM('✏️ Data Input'!C35:AI35))/('✏️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0.00290642756455902</v>
      </c>
    </row>
    <row r="33" customFormat="false" ht="13.5" hidden="false" customHeight="true" outlineLevel="0" collapsed="false">
      <c r="A33" s="58" t="n">
        <v>31</v>
      </c>
      <c r="B33" s="14" t="s">
        <v>68</v>
      </c>
      <c r="C33" s="59" t="str">
        <f aca="false">'✏️ Data Input'!B62</f>
        <v>4817130</v>
      </c>
      <c r="D33" s="60" t="n">
        <f aca="false">SUM('✏️ Data Input'!C62:AI62)</f>
        <v>1360</v>
      </c>
      <c r="E33" s="13" t="n">
        <f aca="false">SUM('✏️ Data Input'!C62:AI62)/33</f>
        <v>41.2121212121212</v>
      </c>
      <c r="F33" s="61" t="n">
        <f aca="false">(SUM('✏️ Data Input'!C62:AI62))/('✏️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0.00282338677700019</v>
      </c>
    </row>
    <row r="34" customFormat="false" ht="13.5" hidden="false" customHeight="true" outlineLevel="0" collapsed="false">
      <c r="A34" s="58" t="n">
        <v>32</v>
      </c>
      <c r="B34" s="14" t="s">
        <v>68</v>
      </c>
      <c r="C34" s="62" t="str">
        <f aca="false">'✏️ Data Input'!B55</f>
        <v>7506627</v>
      </c>
      <c r="D34" s="63" t="n">
        <f aca="false">SUM('✏️ Data Input'!C55:AI55)</f>
        <v>1200</v>
      </c>
      <c r="E34" s="10" t="n">
        <f aca="false">SUM('✏️ Data Input'!C55:AI55)/33</f>
        <v>36.3636363636364</v>
      </c>
      <c r="F34" s="64" t="n">
        <f aca="false">(SUM('✏️ Data Input'!C55:AI55))/('✏️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0.00249122362676488</v>
      </c>
    </row>
    <row r="35" customFormat="false" ht="13.5" hidden="false" customHeight="true" outlineLevel="0" collapsed="false">
      <c r="A35" s="58" t="n">
        <v>33</v>
      </c>
      <c r="B35" s="8" t="s">
        <v>38</v>
      </c>
      <c r="C35" s="59" t="str">
        <f aca="false">'✏️ Data Input'!B8</f>
        <v>5073059</v>
      </c>
      <c r="D35" s="60" t="n">
        <f aca="false">SUM('✏️ Data Input'!C8:AI8)</f>
        <v>1120</v>
      </c>
      <c r="E35" s="13" t="n">
        <f aca="false">SUM('✏️ Data Input'!C8:AI8)/33</f>
        <v>33.9393939393939</v>
      </c>
      <c r="F35" s="61" t="n">
        <f aca="false">(SUM('✏️ Data Input'!C8:AI8))/('✏️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0.00232514205164722</v>
      </c>
    </row>
    <row r="36" customFormat="false" ht="13.5" hidden="false" customHeight="true" outlineLevel="0" collapsed="false">
      <c r="A36" s="58" t="n">
        <v>34</v>
      </c>
      <c r="B36" s="14" t="s">
        <v>68</v>
      </c>
      <c r="C36" s="62" t="str">
        <f aca="false">'✏️ Data Input'!B34</f>
        <v>4172784</v>
      </c>
      <c r="D36" s="63" t="n">
        <f aca="false">SUM('✏️ Data Input'!C34:AI34)</f>
        <v>900</v>
      </c>
      <c r="E36" s="10" t="n">
        <f aca="false">SUM('✏️ Data Input'!C34:AI34)/33</f>
        <v>27.2727272727273</v>
      </c>
      <c r="F36" s="64" t="n">
        <f aca="false">(SUM('✏️ Data Input'!C34:AI34))/('✏️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0.00186841772007366</v>
      </c>
    </row>
    <row r="37" customFormat="false" ht="13.5" hidden="false" customHeight="true" outlineLevel="0" collapsed="false">
      <c r="A37" s="58" t="n">
        <v>35</v>
      </c>
      <c r="B37" s="8" t="s">
        <v>38</v>
      </c>
      <c r="C37" s="59" t="str">
        <f aca="false">'✏️ Data Input'!B31</f>
        <v>5080285</v>
      </c>
      <c r="D37" s="60" t="n">
        <f aca="false">SUM('✏️ Data Input'!C31:AI31)</f>
        <v>720</v>
      </c>
      <c r="E37" s="13" t="n">
        <f aca="false">SUM('✏️ Data Input'!C31:AI31)/33</f>
        <v>21.8181818181818</v>
      </c>
      <c r="F37" s="61" t="n">
        <f aca="false">(SUM('✏️ Data Input'!C31:AI31))/('✏️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0.00149473417605893</v>
      </c>
    </row>
    <row r="38" customFormat="false" ht="13.5" hidden="false" customHeight="true" outlineLevel="0" collapsed="false">
      <c r="A38" s="58" t="n">
        <v>36</v>
      </c>
      <c r="B38" s="14" t="s">
        <v>68</v>
      </c>
      <c r="C38" s="62" t="str">
        <f aca="false">'✏️ Data Input'!B61</f>
        <v>5080431</v>
      </c>
      <c r="D38" s="63" t="n">
        <f aca="false">SUM('✏️ Data Input'!C61:AI61)</f>
        <v>640</v>
      </c>
      <c r="E38" s="10" t="n">
        <f aca="false">SUM('✏️ Data Input'!C61:AI61)/33</f>
        <v>19.3939393939394</v>
      </c>
      <c r="F38" s="64" t="n">
        <f aca="false">(SUM('✏️ Data Input'!C61:AI61))/('✏️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0.00132865260094127</v>
      </c>
    </row>
    <row r="39" customFormat="false" ht="13.5" hidden="false" customHeight="true" outlineLevel="0" collapsed="false">
      <c r="A39" s="58" t="n">
        <v>37</v>
      </c>
      <c r="B39" s="8" t="s">
        <v>38</v>
      </c>
      <c r="C39" s="59" t="str">
        <f aca="false">'✏️ Data Input'!B12</f>
        <v>5080294</v>
      </c>
      <c r="D39" s="60" t="n">
        <f aca="false">SUM('✏️ Data Input'!C12:AI12)</f>
        <v>500</v>
      </c>
      <c r="E39" s="13" t="n">
        <f aca="false">SUM('✏️ Data Input'!C12:AI12)/33</f>
        <v>15.1515151515152</v>
      </c>
      <c r="F39" s="61" t="n">
        <f aca="false">(SUM('✏️ Data Input'!C12:AI12))/('✏️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0.00103800984448537</v>
      </c>
    </row>
    <row r="40" customFormat="false" ht="13.5" hidden="false" customHeight="true" outlineLevel="0" collapsed="false">
      <c r="A40" s="58" t="n">
        <v>38</v>
      </c>
      <c r="B40" s="8" t="s">
        <v>38</v>
      </c>
      <c r="C40" s="62" t="str">
        <f aca="false">'✏️ Data Input'!B29</f>
        <v>4172806</v>
      </c>
      <c r="D40" s="63" t="n">
        <f aca="false">SUM('✏️ Data Input'!C29:AI29)</f>
        <v>500</v>
      </c>
      <c r="E40" s="10" t="n">
        <f aca="false">SUM('✏️ Data Input'!C29:AI29)/33</f>
        <v>15.1515151515152</v>
      </c>
      <c r="F40" s="64" t="n">
        <f aca="false">(SUM('✏️ Data Input'!C29:AI29))/('✏️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0.00103800984448537</v>
      </c>
    </row>
    <row r="41" customFormat="false" ht="13.5" hidden="false" customHeight="true" outlineLevel="0" collapsed="false">
      <c r="A41" s="58" t="n">
        <v>39</v>
      </c>
      <c r="B41" s="14" t="s">
        <v>68</v>
      </c>
      <c r="C41" s="59" t="str">
        <f aca="false">'✏️ Data Input'!B64</f>
        <v>5180041</v>
      </c>
      <c r="D41" s="60" t="n">
        <f aca="false">SUM('✏️ Data Input'!C64:AI64)</f>
        <v>400</v>
      </c>
      <c r="E41" s="13" t="n">
        <f aca="false">SUM('✏️ Data Input'!C64:AI64)/33</f>
        <v>12.1212121212121</v>
      </c>
      <c r="F41" s="61" t="n">
        <f aca="false">(SUM('✏️ Data Input'!C64:AI64))/('✏️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0.000830407875588292</v>
      </c>
    </row>
    <row r="42" customFormat="false" ht="13.5" hidden="false" customHeight="true" outlineLevel="0" collapsed="false">
      <c r="A42" s="58" t="n">
        <v>40</v>
      </c>
      <c r="B42" s="14" t="s">
        <v>68</v>
      </c>
      <c r="C42" s="62" t="str">
        <f aca="false">'✏️ Data Input'!B57</f>
        <v>4264994</v>
      </c>
      <c r="D42" s="63" t="n">
        <f aca="false">SUM('✏️ Data Input'!C57:AI57)</f>
        <v>400</v>
      </c>
      <c r="E42" s="10" t="n">
        <f aca="false">SUM('✏️ Data Input'!C57:AI57)/33</f>
        <v>12.1212121212121</v>
      </c>
      <c r="F42" s="64" t="n">
        <f aca="false">(SUM('✏️ Data Input'!C57:AI57))/('✏️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0.000830407875588292</v>
      </c>
    </row>
    <row r="43" customFormat="false" ht="13.5" hidden="false" customHeight="true" outlineLevel="0" collapsed="false">
      <c r="A43" s="58" t="n">
        <v>41</v>
      </c>
      <c r="B43" s="14" t="s">
        <v>68</v>
      </c>
      <c r="C43" s="59" t="str">
        <f aca="false">'✏️ Data Input'!B39</f>
        <v>5073064</v>
      </c>
      <c r="D43" s="60" t="n">
        <f aca="false">SUM('✏️ Data Input'!C39:AI39)</f>
        <v>400</v>
      </c>
      <c r="E43" s="13" t="n">
        <f aca="false">SUM('✏️ Data Input'!C39:AI39)/33</f>
        <v>12.1212121212121</v>
      </c>
      <c r="F43" s="61" t="n">
        <f aca="false">(SUM('✏️ Data Input'!C39:AI39))/('✏️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0.000830407875588292</v>
      </c>
    </row>
    <row r="44" customFormat="false" ht="13.5" hidden="false" customHeight="true" outlineLevel="0" collapsed="false">
      <c r="A44" s="58" t="n">
        <v>42</v>
      </c>
      <c r="B44" s="8" t="s">
        <v>38</v>
      </c>
      <c r="C44" s="62" t="str">
        <f aca="false">'✏️ Data Input'!B11</f>
        <v>4172753</v>
      </c>
      <c r="D44" s="63" t="n">
        <f aca="false">SUM('✏️ Data Input'!C11:AI11)</f>
        <v>300</v>
      </c>
      <c r="E44" s="10" t="n">
        <f aca="false">SUM('✏️ Data Input'!C11:AI11)/33</f>
        <v>9.09090909090909</v>
      </c>
      <c r="F44" s="64" t="n">
        <f aca="false">(SUM('✏️ Data Input'!C11:AI11))/('✏️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0.000622805906691219</v>
      </c>
    </row>
    <row r="45" customFormat="false" ht="13.5" hidden="false" customHeight="true" outlineLevel="0" collapsed="false">
      <c r="A45" s="58" t="n">
        <v>43</v>
      </c>
      <c r="B45" s="14" t="s">
        <v>68</v>
      </c>
      <c r="C45" s="59" t="str">
        <f aca="false">'✏️ Data Input'!B54</f>
        <v>7506626</v>
      </c>
      <c r="D45" s="60" t="n">
        <f aca="false">SUM('✏️ Data Input'!C54:AI54)</f>
        <v>200</v>
      </c>
      <c r="E45" s="13" t="n">
        <f aca="false">SUM('✏️ Data Input'!C54:AI54)/33</f>
        <v>6.06060606060606</v>
      </c>
      <c r="F45" s="61" t="n">
        <f aca="false">(SUM('✏️ Data Input'!C54:AI54))/('✏️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0.000415203937794146</v>
      </c>
    </row>
    <row r="46" customFormat="false" ht="13.5" hidden="false" customHeight="true" outlineLevel="0" collapsed="false">
      <c r="A46" s="58" t="n">
        <v>44</v>
      </c>
      <c r="B46" s="8" t="s">
        <v>38</v>
      </c>
      <c r="C46" s="62" t="str">
        <f aca="false">'✏️ Data Input'!B33</f>
        <v>5080263</v>
      </c>
      <c r="D46" s="63" t="n">
        <f aca="false">SUM('✏️ Data Input'!C33:AI33)</f>
        <v>176</v>
      </c>
      <c r="E46" s="10" t="n">
        <f aca="false">SUM('✏️ Data Input'!C33:AI33)/33</f>
        <v>5.33333333333333</v>
      </c>
      <c r="F46" s="64" t="n">
        <f aca="false">(SUM('✏️ Data Input'!C33:AI33))/('✏️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0.000365379465258849</v>
      </c>
    </row>
    <row r="47" customFormat="false" ht="13.5" hidden="false" customHeight="true" outlineLevel="0" collapsed="false">
      <c r="A47" s="58" t="n">
        <v>45</v>
      </c>
      <c r="B47" s="14" t="s">
        <v>68</v>
      </c>
      <c r="C47" s="59" t="str">
        <f aca="false">'✏️ Data Input'!B63</f>
        <v>5080417</v>
      </c>
      <c r="D47" s="60" t="n">
        <f aca="false">SUM('✏️ Data Input'!C63:AI63)</f>
        <v>175</v>
      </c>
      <c r="E47" s="13" t="n">
        <f aca="false">SUM('✏️ Data Input'!C63:AI63)/33</f>
        <v>5.3030303030303</v>
      </c>
      <c r="F47" s="61" t="n">
        <f aca="false">(SUM('✏️ Data Input'!C63:AI63))/('✏️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0.000363303445569878</v>
      </c>
    </row>
    <row r="48" customFormat="false" ht="13.5" hidden="false" customHeight="true" outlineLevel="0" collapsed="false">
      <c r="A48" s="58" t="n">
        <v>46</v>
      </c>
      <c r="B48" s="14" t="s">
        <v>68</v>
      </c>
      <c r="C48" s="62" t="str">
        <f aca="false">'✏️ Data Input'!B56</f>
        <v>4172790</v>
      </c>
      <c r="D48" s="63" t="n">
        <f aca="false">SUM('✏️ Data Input'!C56:AI56)</f>
        <v>160</v>
      </c>
      <c r="E48" s="10" t="n">
        <f aca="false">SUM('✏️ Data Input'!C56:AI56)/33</f>
        <v>4.84848484848485</v>
      </c>
      <c r="F48" s="64" t="n">
        <f aca="false">(SUM('✏️ Data Input'!C56:AI56))/('✏️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0.000332163150235317</v>
      </c>
    </row>
    <row r="49" customFormat="false" ht="13.5" hidden="false" customHeight="true" outlineLevel="0" collapsed="false">
      <c r="A49" s="58" t="n">
        <v>47</v>
      </c>
      <c r="B49" s="14" t="s">
        <v>68</v>
      </c>
      <c r="C49" s="59" t="str">
        <f aca="false">'✏️ Data Input'!B59</f>
        <v>4817125</v>
      </c>
      <c r="D49" s="60" t="n">
        <f aca="false">SUM('✏️ Data Input'!C59:AI59)</f>
        <v>160</v>
      </c>
      <c r="E49" s="13" t="n">
        <f aca="false">SUM('✏️ Data Input'!C59:AI59)/33</f>
        <v>4.84848484848485</v>
      </c>
      <c r="F49" s="61" t="n">
        <f aca="false">(SUM('✏️ Data Input'!C59:AI59))/('✏️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0.000332163150235317</v>
      </c>
    </row>
    <row r="50" customFormat="false" ht="13.5" hidden="false" customHeight="true" outlineLevel="0" collapsed="false">
      <c r="A50" s="58" t="n">
        <v>48</v>
      </c>
      <c r="B50" s="8" t="s">
        <v>38</v>
      </c>
      <c r="C50" s="62" t="str">
        <f aca="false">'✏️ Data Input'!B9</f>
        <v>5073061</v>
      </c>
      <c r="D50" s="63" t="n">
        <f aca="false">SUM('✏️ Data Input'!C9:AI9)</f>
        <v>160</v>
      </c>
      <c r="E50" s="10" t="n">
        <f aca="false">SUM('✏️ Data Input'!C9:AI9)/33</f>
        <v>4.84848484848485</v>
      </c>
      <c r="F50" s="64" t="n">
        <f aca="false">(SUM('✏️ Data Input'!C9:AI9))/('✏️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0.000332163150235317</v>
      </c>
    </row>
    <row r="51" customFormat="false" ht="13.5" hidden="false" customHeight="true" outlineLevel="0" collapsed="false">
      <c r="A51" s="58" t="n">
        <v>49</v>
      </c>
      <c r="B51" s="8" t="s">
        <v>38</v>
      </c>
      <c r="C51" s="59" t="str">
        <f aca="false">'✏️ Data Input'!B7</f>
        <v>5080299</v>
      </c>
      <c r="D51" s="60" t="n">
        <f aca="false">SUM('✏️ Data Input'!C7:AI7)</f>
        <v>160</v>
      </c>
      <c r="E51" s="13" t="n">
        <f aca="false">SUM('✏️ Data Input'!C7:AI7)/33</f>
        <v>4.84848484848485</v>
      </c>
      <c r="F51" s="61" t="n">
        <f aca="false">(SUM('✏️ Data Input'!C7:AI7))/('✏️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0.000332163150235317</v>
      </c>
    </row>
    <row r="52" customFormat="false" ht="13.5" hidden="false" customHeight="true" outlineLevel="0" collapsed="false">
      <c r="A52" s="58" t="n">
        <v>50</v>
      </c>
      <c r="B52" s="8" t="s">
        <v>38</v>
      </c>
      <c r="C52" s="62" t="str">
        <f aca="false">'✏️ Data Input'!B28</f>
        <v>7506617</v>
      </c>
      <c r="D52" s="63" t="n">
        <f aca="false">SUM('✏️ Data Input'!C28:AI28)</f>
        <v>160</v>
      </c>
      <c r="E52" s="10" t="n">
        <f aca="false">SUM('✏️ Data Input'!C28:AI28)/33</f>
        <v>4.84848484848485</v>
      </c>
      <c r="F52" s="64" t="n">
        <f aca="false">(SUM('✏️ Data Input'!C28:AI28))/('✏️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0.000332163150235317</v>
      </c>
    </row>
    <row r="53" customFormat="false" ht="13.5" hidden="false" customHeight="true" outlineLevel="0" collapsed="false">
      <c r="A53" s="58" t="n">
        <v>51</v>
      </c>
      <c r="B53" s="8" t="s">
        <v>38</v>
      </c>
      <c r="C53" s="59" t="str">
        <f aca="false">'✏️ Data Input'!B24</f>
        <v>5180033</v>
      </c>
      <c r="D53" s="60" t="n">
        <f aca="false">SUM('✏️ Data Input'!C24:AI24)</f>
        <v>160</v>
      </c>
      <c r="E53" s="13" t="n">
        <f aca="false">SUM('✏️ Data Input'!C24:AI24)/33</f>
        <v>4.84848484848485</v>
      </c>
      <c r="F53" s="61" t="n">
        <f aca="false">(SUM('✏️ Data Input'!C24:AI24))/('✏️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0.000332163150235317</v>
      </c>
    </row>
    <row r="54" customFormat="false" ht="13.5" hidden="false" customHeight="true" outlineLevel="0" collapsed="false">
      <c r="A54" s="58" t="n">
        <v>52</v>
      </c>
      <c r="B54" s="14" t="s">
        <v>68</v>
      </c>
      <c r="C54" s="62" t="str">
        <f aca="false">'✏️ Data Input'!B36</f>
        <v>4172821</v>
      </c>
      <c r="D54" s="63" t="n">
        <f aca="false">SUM('✏️ Data Input'!C36:AI36)</f>
        <v>100</v>
      </c>
      <c r="E54" s="10" t="n">
        <f aca="false">SUM('✏️ Data Input'!C36:AI36)/33</f>
        <v>3.03030303030303</v>
      </c>
      <c r="F54" s="64" t="n">
        <f aca="false">(SUM('✏️ Data Input'!C36:AI36))/('✏️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0.000207601968897073</v>
      </c>
    </row>
    <row r="55" customFormat="false" ht="13.5" hidden="false" customHeight="true" outlineLevel="0" collapsed="false">
      <c r="A55" s="58" t="n">
        <v>53</v>
      </c>
      <c r="B55" s="14" t="s">
        <v>68</v>
      </c>
      <c r="C55" s="59" t="str">
        <f aca="false">'✏️ Data Input'!B38</f>
        <v>5080446</v>
      </c>
      <c r="D55" s="60" t="n">
        <f aca="false">SUM('✏️ Data Input'!C38:AI38)</f>
        <v>100</v>
      </c>
      <c r="E55" s="13" t="n">
        <f aca="false">SUM('✏️ Data Input'!C38:AI38)/33</f>
        <v>3.03030303030303</v>
      </c>
      <c r="F55" s="61" t="n">
        <f aca="false">(SUM('✏️ Data Input'!C38:AI38))/('✏️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0.000207601968897073</v>
      </c>
    </row>
    <row r="56" customFormat="false" ht="13.5" hidden="false" customHeight="true" outlineLevel="0" collapsed="false">
      <c r="A56" s="58" t="n">
        <v>54</v>
      </c>
      <c r="B56" s="8" t="s">
        <v>38</v>
      </c>
      <c r="C56" s="62" t="str">
        <f aca="false">'✏️ Data Input'!B20</f>
        <v>4755081</v>
      </c>
      <c r="D56" s="63" t="n">
        <f aca="false">SUM('✏️ Data Input'!C20:AI20)</f>
        <v>80</v>
      </c>
      <c r="E56" s="10" t="n">
        <f aca="false">SUM('✏️ Data Input'!C20:AI20)/33</f>
        <v>2.42424242424242</v>
      </c>
      <c r="F56" s="64" t="n">
        <f aca="false">(SUM('✏️ Data Input'!C20:AI20))/('✏️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0.000166081575117658</v>
      </c>
    </row>
    <row r="57" customFormat="false" ht="13.5" hidden="false" customHeight="true" outlineLevel="0" collapsed="false">
      <c r="A57" s="58" t="n">
        <v>55</v>
      </c>
      <c r="B57" s="8" t="s">
        <v>38</v>
      </c>
      <c r="C57" s="59" t="str">
        <f aca="false">'✏️ Data Input'!B32</f>
        <v>4817111</v>
      </c>
      <c r="D57" s="60" t="n">
        <f aca="false">SUM('✏️ Data Input'!C32:AI32)</f>
        <v>80</v>
      </c>
      <c r="E57" s="13" t="n">
        <f aca="false">SUM('✏️ Data Input'!C32:AI32)/33</f>
        <v>2.42424242424242</v>
      </c>
      <c r="F57" s="61" t="n">
        <f aca="false">(SUM('✏️ Data Input'!C32:AI32))/('✏️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0.000166081575117658</v>
      </c>
    </row>
    <row r="58" customFormat="false" ht="13.5" hidden="false" customHeight="true" outlineLevel="0" collapsed="false">
      <c r="A58" s="58" t="n">
        <v>56</v>
      </c>
      <c r="B58" s="14" t="s">
        <v>68</v>
      </c>
      <c r="C58" s="62" t="str">
        <f aca="false">'✏️ Data Input'!B53</f>
        <v>4172797</v>
      </c>
      <c r="D58" s="63" t="n">
        <f aca="false">SUM('✏️ Data Input'!C53:AI53)</f>
        <v>80</v>
      </c>
      <c r="E58" s="10" t="n">
        <f aca="false">SUM('✏️ Data Input'!C53:AI53)/33</f>
        <v>2.42424242424242</v>
      </c>
      <c r="F58" s="64" t="n">
        <f aca="false">(SUM('✏️ Data Input'!C53:AI53))/('✏️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0.000166081575117658</v>
      </c>
    </row>
    <row r="59" customFormat="false" ht="13.5" hidden="false" customHeight="true" outlineLevel="0" collapsed="false">
      <c r="A59" s="58" t="n">
        <v>57</v>
      </c>
      <c r="B59" s="14" t="s">
        <v>68</v>
      </c>
      <c r="C59" s="59" t="str">
        <f aca="false">'✏️ Data Input'!B58</f>
        <v>4817115</v>
      </c>
      <c r="D59" s="60" t="n">
        <f aca="false">SUM('✏️ Data Input'!C58:AI58)</f>
        <v>80</v>
      </c>
      <c r="E59" s="13" t="n">
        <f aca="false">SUM('✏️ Data Input'!C58:AI58)/33</f>
        <v>2.42424242424242</v>
      </c>
      <c r="F59" s="61" t="n">
        <f aca="false">(SUM('✏️ Data Input'!C58:AI58))/('✏️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0.000166081575117658</v>
      </c>
    </row>
    <row r="60" customFormat="false" ht="13.5" hidden="false" customHeight="true" outlineLevel="0" collapsed="false">
      <c r="A60" s="58" t="n">
        <v>58</v>
      </c>
      <c r="B60" s="14" t="s">
        <v>68</v>
      </c>
      <c r="C60" s="62" t="str">
        <f aca="false">'✏️ Data Input'!B40</f>
        <v>4172820</v>
      </c>
      <c r="D60" s="63" t="n">
        <f aca="false">SUM('✏️ Data Input'!C40:AI40)</f>
        <v>80</v>
      </c>
      <c r="E60" s="10" t="n">
        <f aca="false">SUM('✏️ Data Input'!C40:AI40)/33</f>
        <v>2.42424242424242</v>
      </c>
      <c r="F60" s="64" t="n">
        <f aca="false">(SUM('✏️ Data Input'!C40:AI40))/('✏️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0.000166081575117658</v>
      </c>
    </row>
    <row r="61" customFormat="false" ht="13.5" hidden="false" customHeight="true" outlineLevel="0" collapsed="false">
      <c r="A61" s="58" t="n">
        <v>59</v>
      </c>
      <c r="B61" s="14" t="s">
        <v>68</v>
      </c>
      <c r="C61" s="59" t="str">
        <f aca="false">'✏️ Data Input'!B60</f>
        <v>4755147</v>
      </c>
      <c r="D61" s="60" t="n">
        <f aca="false">SUM('✏️ Data Input'!C60:AI60)</f>
        <v>20</v>
      </c>
      <c r="E61" s="13" t="n">
        <f aca="false">SUM('✏️ Data Input'!C60:AI60)/33</f>
        <v>0.606060606060606</v>
      </c>
      <c r="F61" s="61" t="n">
        <f aca="false">(SUM('✏️ Data Input'!C60:AI60))/('✏️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4.15203937794146E-005</v>
      </c>
    </row>
    <row r="62" customFormat="false" ht="13.5" hidden="false" customHeight="true" outlineLevel="0" collapsed="false">
      <c r="A62" s="58" t="n">
        <v>60</v>
      </c>
      <c r="B62" s="14" t="s">
        <v>68</v>
      </c>
      <c r="C62" s="62" t="str">
        <f aca="false">'✏️ Data Input'!B52</f>
        <v>5080450</v>
      </c>
      <c r="D62" s="63" t="n">
        <f aca="false">SUM('✏️ Data Input'!C52:AI52)</f>
        <v>0</v>
      </c>
      <c r="E62" s="10" t="n">
        <f aca="false">SUM('✏️ Data Input'!C52:AI52)/33</f>
        <v>0</v>
      </c>
      <c r="F62" s="64" t="n">
        <f aca="false">(SUM('✏️ Data Input'!C52:AI52))/('✏️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</v>
      </c>
    </row>
    <row r="63" customFormat="false" ht="13.5" hidden="false" customHeight="true" outlineLevel="0" collapsed="false">
      <c r="A63" s="58" t="n">
        <v>61</v>
      </c>
      <c r="B63" s="14" t="s">
        <v>68</v>
      </c>
      <c r="C63" s="59" t="str">
        <f aca="false">'✏️ Data Input'!B49</f>
        <v>5080443</v>
      </c>
      <c r="D63" s="60" t="n">
        <f aca="false">SUM('✏️ Data Input'!C49:AI49)</f>
        <v>0</v>
      </c>
      <c r="E63" s="13" t="n">
        <f aca="false">SUM('✏️ Data Input'!C49:AI49)/33</f>
        <v>0</v>
      </c>
      <c r="F63" s="61" t="n">
        <f aca="false">(SUM('✏️ Data Input'!C49:AI49))/('✏️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</v>
      </c>
    </row>
    <row r="64" customFormat="false" ht="13.5" hidden="false" customHeight="true" outlineLevel="0" collapsed="false">
      <c r="A64" s="58" t="n">
        <v>62</v>
      </c>
      <c r="B64" s="14" t="s">
        <v>68</v>
      </c>
      <c r="C64" s="62" t="str">
        <f aca="false">'✏️ Data Input'!B50</f>
        <v>5180039</v>
      </c>
      <c r="D64" s="63" t="n">
        <f aca="false">SUM('✏️ Data Input'!C50:AI50)</f>
        <v>0</v>
      </c>
      <c r="E64" s="10" t="n">
        <f aca="false">SUM('✏️ Data Input'!C50:AI50)/33</f>
        <v>0</v>
      </c>
      <c r="F64" s="64" t="n">
        <f aca="false">(SUM('✏️ Data Input'!C50:AI50))/('✏️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</v>
      </c>
    </row>
    <row r="65" customFormat="false" ht="13.5" hidden="false" customHeight="true" outlineLevel="0" collapsed="false">
      <c r="A65" s="58" t="n">
        <v>63</v>
      </c>
      <c r="B65" s="8" t="s">
        <v>38</v>
      </c>
      <c r="C65" s="59" t="str">
        <f aca="false">'✏️ Data Input'!B25</f>
        <v>5073060</v>
      </c>
      <c r="D65" s="60" t="n">
        <f aca="false">SUM('✏️ Data Input'!C25:AI25)</f>
        <v>0</v>
      </c>
      <c r="E65" s="13" t="n">
        <f aca="false">SUM('✏️ Data Input'!C25:AI25)/33</f>
        <v>0</v>
      </c>
      <c r="F65" s="61" t="n">
        <f aca="false">(SUM('✏️ Data Input'!C25:AI25))/('✏️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</v>
      </c>
    </row>
    <row r="66" customFormat="false" ht="13.5" hidden="false" customHeight="true" outlineLevel="0" collapsed="false">
      <c r="A66" s="58" t="n">
        <v>64</v>
      </c>
      <c r="B66" s="8" t="s">
        <v>38</v>
      </c>
      <c r="C66" s="62" t="str">
        <f aca="false">'✏️ Data Input'!B21</f>
        <v>5080268</v>
      </c>
      <c r="D66" s="63" t="n">
        <f aca="false">SUM('✏️ Data Input'!C21:AI21)</f>
        <v>0</v>
      </c>
      <c r="E66" s="10" t="n">
        <f aca="false">SUM('✏️ Data Input'!C21:AI21)/33</f>
        <v>0</v>
      </c>
      <c r="F66" s="64" t="n">
        <f aca="false">(SUM('✏️ Data Input'!C21:AI21))/('✏️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</v>
      </c>
    </row>
    <row r="67" customFormat="false" ht="13.5" hidden="false" customHeight="true" outlineLevel="0" collapsed="false">
      <c r="A67" s="58" t="n">
        <v>65</v>
      </c>
      <c r="B67" s="8" t="s">
        <v>38</v>
      </c>
      <c r="C67" s="59" t="str">
        <f aca="false">'✏️ Data Input'!B22</f>
        <v>5180031</v>
      </c>
      <c r="D67" s="60" t="n">
        <f aca="false">SUM('✏️ Data Input'!C22:AI22)</f>
        <v>0</v>
      </c>
      <c r="E67" s="13" t="n">
        <f aca="false">SUM('✏️ Data Input'!C22:AI22)/33</f>
        <v>0</v>
      </c>
      <c r="F67" s="61" t="n">
        <f aca="false">(SUM('✏️ Data Input'!C22:AI22))/('✏️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</v>
      </c>
    </row>
    <row r="68" customFormat="false" ht="13.5" hidden="false" customHeight="true" outlineLevel="0" collapsed="false">
      <c r="A68" s="58" t="n">
        <v>66</v>
      </c>
      <c r="B68" s="8" t="s">
        <v>38</v>
      </c>
      <c r="C68" s="62" t="str">
        <f aca="false">'✏️ Data Input'!B26</f>
        <v>4172763</v>
      </c>
      <c r="D68" s="63" t="n">
        <f aca="false">SUM('✏️ Data Input'!C26:AI26)</f>
        <v>0</v>
      </c>
      <c r="E68" s="10" t="n">
        <f aca="false">SUM('✏️ Data Input'!C26:AI26)/33</f>
        <v>0</v>
      </c>
      <c r="F68" s="64" t="n">
        <f aca="false">(SUM('✏️ Data Input'!C26:AI26))/('✏️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</v>
      </c>
    </row>
    <row r="69" customFormat="false" ht="13.5" hidden="false" customHeight="true" outlineLevel="0" collapsed="false">
      <c r="A69" s="58" t="n">
        <v>67</v>
      </c>
      <c r="B69" s="8" t="s">
        <v>38</v>
      </c>
      <c r="C69" s="59" t="str">
        <f aca="false">'✏️ Data Input'!B14</f>
        <v>4172770</v>
      </c>
      <c r="D69" s="60" t="n">
        <f aca="false">SUM('✏️ Data Input'!C14:AI14)</f>
        <v>0</v>
      </c>
      <c r="E69" s="13" t="n">
        <f aca="false">SUM('✏️ Data Input'!C14:AI14)/33</f>
        <v>0</v>
      </c>
      <c r="F69" s="61" t="n">
        <f aca="false">(SUM('✏️ Data Input'!C14:AI14))/('✏️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Input'!AI72)</f>
        <v>0</v>
      </c>
    </row>
  </sheetData>
  <mergeCells count="1">
    <mergeCell ref="A1:F1"/>
  </mergeCells>
  <conditionalFormatting sqref="D3:D69">
    <cfRule type="colorScale" priority="2">
      <colorScale>
        <cfvo type="min" val="0"/>
        <cfvo type="max" val="0"/>
        <color rgb="FFFFFFFF"/>
        <color rgb="FF2E75B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11" min="3" style="0" width="14"/>
  </cols>
  <sheetData>
    <row r="1" customFormat="false" ht="21.75" hidden="false" customHeight="true" outlineLevel="0" collapsed="false">
      <c r="B1" s="1" t="s">
        <v>148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B2" s="65" t="s">
        <v>2</v>
      </c>
      <c r="C2" s="65" t="s">
        <v>127</v>
      </c>
      <c r="D2" s="65" t="s">
        <v>128</v>
      </c>
      <c r="E2" s="65" t="s">
        <v>129</v>
      </c>
      <c r="F2" s="65" t="s">
        <v>130</v>
      </c>
      <c r="G2" s="65" t="s">
        <v>131</v>
      </c>
      <c r="H2" s="65" t="s">
        <v>132</v>
      </c>
      <c r="I2" s="65" t="s">
        <v>133</v>
      </c>
      <c r="J2" s="65" t="s">
        <v>149</v>
      </c>
      <c r="K2" s="17" t="s">
        <v>134</v>
      </c>
    </row>
    <row r="3" customFormat="false" ht="18" hidden="false" customHeight="true" outlineLevel="0" collapsed="false">
      <c r="B3" s="66" t="s">
        <v>38</v>
      </c>
      <c r="C3" s="67" t="n">
        <f aca="false">SUMIF('✏️ Data Input'!A5:A71,"JCI2 LH",'✏️ Data Input'!C5:C71)+SUMIF('✏️ Data Input'!A5:A71,"JCI2 LH",'✏️ Data Input'!D5:D71)+SUMIF('✏️ Data Input'!A5:A71,"JCI2 LH",'✏️ Data Input'!E5:E71)</f>
        <v>9600</v>
      </c>
      <c r="D3" s="67" t="n">
        <f aca="false">SUMIF('✏️ Data Input'!A5:A71,"JCI2 LH",'✏️ Data Input'!F5:F71)+SUMIF('✏️ Data Input'!A5:A71,"JCI2 LH",'✏️ Data Input'!G5:G71)+SUMIF('✏️ Data Input'!A5:A71,"JCI2 LH",'✏️ Data Input'!H5:H71)+SUMIF('✏️ Data Input'!A5:A71,"JCI2 LH",'✏️ Data Input'!I5:I71)+SUMIF('✏️ Data Input'!A5:A71,"JCI2 LH",'✏️ Data Input'!J5:J71)</f>
        <v>19556</v>
      </c>
      <c r="E3" s="67" t="n">
        <f aca="false">SUMIF('✏️ Data Input'!A5:A71,"JCI2 LH",'✏️ Data Input'!K5:K71)+SUMIF('✏️ Data Input'!A5:A71,"JCI2 LH",'✏️ Data Input'!L5:L71)+SUMIF('✏️ Data Input'!A5:A71,"JCI2 LH",'✏️ Data Input'!M5:M71)+SUMIF('✏️ Data Input'!A5:A71,"JCI2 LH",'✏️ Data Input'!N5:N71)</f>
        <v>11620</v>
      </c>
      <c r="F3" s="67" t="n">
        <f aca="false">SUMIF('✏️ Data Input'!A5:A71,"JCI2 LH",'✏️ Data Input'!O5:O71)+SUMIF('✏️ Data Input'!A5:A71,"JCI2 LH",'✏️ Data Input'!P5:P71)+SUMIF('✏️ Data Input'!A5:A71,"JCI2 LH",'✏️ Data Input'!Q5:Q71)+SUMIF('✏️ Data Input'!A5:A71,"JCI2 LH",'✏️ Data Input'!R5:R71)+SUMIF('✏️ Data Input'!A5:A71,"JCI2 LH",'✏️ Data Input'!S5:S71)</f>
        <v>10580</v>
      </c>
      <c r="G3" s="67" t="n">
        <f aca="false">SUMIF('✏️ Data Input'!A5:A71,"JCI2 LH",'✏️ Data Input'!T5:T71)+SUMIF('✏️ Data Input'!A5:A71,"JCI2 LH",'✏️ Data Input'!U5:U71)+SUMIF('✏️ Data Input'!A5:A71,"JCI2 LH",'✏️ Data Input'!V5:V71)+SUMIF('✏️ Data Input'!A5:A71,"JCI2 LH",'✏️ Data Input'!W5:W71)</f>
        <v>14520</v>
      </c>
      <c r="H3" s="67" t="n">
        <f aca="false">SUMIF('✏️ Data Input'!A5:A71,"JCI2 LH",'✏️ Data Input'!X5:X71)+SUMIF('✏️ Data Input'!A5:A71,"JCI2 LH",'✏️ Data Input'!Y5:Y71)+SUMIF('✏️ Data Input'!A5:A71,"JCI2 LH",'✏️ Data Input'!Z5:Z71)+SUMIF('✏️ Data Input'!A5:A71,"JCI2 LH",'✏️ Data Input'!AA5:AA71)</f>
        <v>10360</v>
      </c>
      <c r="I3" s="67" t="n">
        <f aca="false">SUMIF('✏️ Data Input'!A5:A71,"JCI2 LH",'✏️ Data Input'!AB5:AB71)+SUMIF('✏️ Data Input'!A5:A71,"JCI2 LH",'✏️ Data Input'!AC5:AC71)+SUMIF('✏️ Data Input'!A5:A71,"JCI2 LH",'✏️ Data Input'!AD5:AD71)+SUMIF('✏️ Data Input'!A5:A71,"JCI2 LH",'✏️ Data Input'!AE5:AE71)+SUMIF('✏️ Data Input'!A5:A71,"JCI2 LH",'✏️ Data Input'!AF5:AF71)</f>
        <v>18560</v>
      </c>
      <c r="J3" s="67" t="n">
        <f aca="false">SUMIF('✏️ Data Input'!A5:A71,"JCI2 LH",'✏️ Data Input'!AG5:AG71)+SUMIF('✏️ Data Input'!A5:A71,"JCI2 LH",'✏️ Data Input'!AH5:AH71)+SUMIF('✏️ Data Input'!A5:A71,"JCI2 LH",'✏️ Data Input'!AI5:AI71)</f>
        <v>7840</v>
      </c>
      <c r="K3" s="68" t="n">
        <f aca="false">(SUMIF('✏️ Data Input'!A5:A71,"JCI2 LH",'✏️ Data Input'!C5:C71)+SUMIF('✏️ Data Input'!A5:A71,"JCI2 LH",'✏️ Data Input'!D5:D71)+SUMIF('✏️ Data Input'!A5:A71,"JCI2 LH",'✏️ Data Input'!E5:E71))+(SUMIF('✏️ Data Input'!A5:A71,"JCI2 LH",'✏️ Data Input'!F5:F71)+SUMIF('✏️ Data Input'!A5:A71,"JCI2 LH",'✏️ Data Input'!G5:G71)+SUMIF('✏️ Data Input'!A5:A71,"JCI2 LH",'✏️ Data Input'!H5:H71)+SUMIF('✏️ Data Input'!A5:A71,"JCI2 LH",'✏️ Data Input'!I5:I71)+SUMIF('✏️ Data Input'!A5:A71,"JCI2 LH",'✏️ Data Input'!J5:J71))+(SUMIF('✏️ Data Input'!A5:A71,"JCI2 LH",'✏️ Data Input'!K5:K71)+SUMIF('✏️ Data Input'!A5:A71,"JCI2 LH",'✏️ Data Input'!L5:L71)+SUMIF('✏️ Data Input'!A5:A71,"JCI2 LH",'✏️ Data Input'!M5:M71)+SUMIF('✏️ Data Input'!A5:A71,"JCI2 LH",'✏️ Data Input'!N5:N71))+(SUMIF('✏️ Data Input'!A5:A71,"JCI2 LH",'✏️ Data Input'!O5:O71)+SUMIF('✏️ Data Input'!A5:A71,"JCI2 LH",'✏️ Data Input'!P5:P71)+SUMIF('✏️ Data Input'!A5:A71,"JCI2 LH",'✏️ Data Input'!Q5:Q71)+SUMIF('✏️ Data Input'!A5:A71,"JCI2 LH",'✏️ Data Input'!R5:R71)+SUMIF('✏️ Data Input'!A5:A71,"JCI2 LH",'✏️ Data Input'!S5:S71))+(SUMIF('✏️ Data Input'!A5:A71,"JCI2 LH",'✏️ Data Input'!T5:T71)+SUMIF('✏️ Data Input'!A5:A71,"JCI2 LH",'✏️ Data Input'!U5:U71)+SUMIF('✏️ Data Input'!A5:A71,"JCI2 LH",'✏️ Data Input'!V5:V71)+SUMIF('✏️ Data Input'!A5:A71,"JCI2 LH",'✏️ Data Input'!W5:W71))+(SUMIF('✏️ Data Input'!A5:A71,"JCI2 LH",'✏️ Data Input'!X5:X71)+SUMIF('✏️ Data Input'!A5:A71,"JCI2 LH",'✏️ Data Input'!Y5:Y71)+SUMIF('✏️ Data Input'!A5:A71,"JCI2 LH",'✏️ Data Input'!Z5:Z71)+SUMIF('✏️ Data Input'!A5:A71,"JCI2 LH",'✏️ Data Input'!AA5:AA71))+(SUMIF('✏️ Data Input'!A5:A71,"JCI2 LH",'✏️ Data Input'!AB5:AB71)+SUMIF('✏️ Data Input'!A5:A71,"JCI2 LH",'✏️ Data Input'!AC5:AC71)+SUMIF('✏️ Data Input'!A5:A71,"JCI2 LH",'✏️ Data Input'!AD5:AD71)+SUMIF('✏️ Data Input'!A5:A71,"JCI2 LH",'✏️ Data Input'!AE5:AE71)+SUMIF('✏️ Data Input'!A5:A71,"JCI2 LH",'✏️ Data Input'!AF5:AF71))+(SUMIF('✏️ Data Input'!A5:A71,"JCI2 LH",'✏️ Data Input'!AG5:AG71)+SUMIF('✏️ Data Input'!A5:A71,"JCI2 LH",'✏️ Data Input'!AH5:AH71)+SUMIF('✏️ Data Input'!A5:A71,"JCI2 LH",'✏️ Data Input'!AI5:AI71))</f>
        <v>102636</v>
      </c>
    </row>
    <row r="4" customFormat="false" ht="18" hidden="false" customHeight="true" outlineLevel="0" collapsed="false">
      <c r="B4" s="69" t="s">
        <v>68</v>
      </c>
      <c r="C4" s="70" t="n">
        <f aca="false">SUMIF('✏️ Data Input'!A5:A71,"JCI2 RH",'✏️ Data Input'!C5:C71)+SUMIF('✏️ Data Input'!A5:A71,"JCI2 RH",'✏️ Data Input'!D5:D71)+SUMIF('✏️ Data Input'!A5:A71,"JCI2 RH",'✏️ Data Input'!E5:E71)</f>
        <v>9680</v>
      </c>
      <c r="D4" s="70" t="n">
        <f aca="false">SUMIF('✏️ Data Input'!A5:A71,"JCI2 RH",'✏️ Data Input'!F5:F71)+SUMIF('✏️ Data Input'!A5:A71,"JCI2 RH",'✏️ Data Input'!G5:G71)+SUMIF('✏️ Data Input'!A5:A71,"JCI2 RH",'✏️ Data Input'!H5:H71)+SUMIF('✏️ Data Input'!A5:A71,"JCI2 RH",'✏️ Data Input'!I5:I71)+SUMIF('✏️ Data Input'!A5:A71,"JCI2 RH",'✏️ Data Input'!J5:J71)</f>
        <v>19655</v>
      </c>
      <c r="E4" s="70" t="n">
        <f aca="false">SUMIF('✏️ Data Input'!A5:A71,"JCI2 RH",'✏️ Data Input'!K5:K71)+SUMIF('✏️ Data Input'!A5:A71,"JCI2 RH",'✏️ Data Input'!L5:L71)+SUMIF('✏️ Data Input'!A5:A71,"JCI2 RH",'✏️ Data Input'!M5:M71)+SUMIF('✏️ Data Input'!A5:A71,"JCI2 RH",'✏️ Data Input'!N5:N71)</f>
        <v>11700</v>
      </c>
      <c r="F4" s="70" t="n">
        <f aca="false">SUMIF('✏️ Data Input'!A5:A71,"JCI2 RH",'✏️ Data Input'!O5:O71)+SUMIF('✏️ Data Input'!A5:A71,"JCI2 RH",'✏️ Data Input'!P5:P71)+SUMIF('✏️ Data Input'!A5:A71,"JCI2 RH",'✏️ Data Input'!Q5:Q71)+SUMIF('✏️ Data Input'!A5:A71,"JCI2 RH",'✏️ Data Input'!R5:R71)+SUMIF('✏️ Data Input'!A5:A71,"JCI2 RH",'✏️ Data Input'!S5:S71)</f>
        <v>10400</v>
      </c>
      <c r="G4" s="70" t="n">
        <f aca="false">SUMIF('✏️ Data Input'!A5:A71,"JCI2 RH",'✏️ Data Input'!T5:T71)+SUMIF('✏️ Data Input'!A5:A71,"JCI2 RH",'✏️ Data Input'!U5:U71)+SUMIF('✏️ Data Input'!A5:A71,"JCI2 RH",'✏️ Data Input'!V5:V71)+SUMIF('✏️ Data Input'!A5:A71,"JCI2 RH",'✏️ Data Input'!W5:W71)</f>
        <v>14660</v>
      </c>
      <c r="H4" s="70" t="n">
        <f aca="false">SUMIF('✏️ Data Input'!A5:A71,"JCI2 RH",'✏️ Data Input'!X5:X71)+SUMIF('✏️ Data Input'!A5:A71,"JCI2 RH",'✏️ Data Input'!Y5:Y71)+SUMIF('✏️ Data Input'!A5:A71,"JCI2 RH",'✏️ Data Input'!Z5:Z71)+SUMIF('✏️ Data Input'!A5:A71,"JCI2 RH",'✏️ Data Input'!AA5:AA71)</f>
        <v>9960</v>
      </c>
      <c r="I4" s="70" t="n">
        <f aca="false">SUMIF('✏️ Data Input'!A5:A71,"JCI2 RH",'✏️ Data Input'!AB5:AB71)+SUMIF('✏️ Data Input'!A5:A71,"JCI2 RH",'✏️ Data Input'!AC5:AC71)+SUMIF('✏️ Data Input'!A5:A71,"JCI2 RH",'✏️ Data Input'!AD5:AD71)+SUMIF('✏️ Data Input'!A5:A71,"JCI2 RH",'✏️ Data Input'!AE5:AE71)+SUMIF('✏️ Data Input'!A5:A71,"JCI2 RH",'✏️ Data Input'!AF5:AF71)</f>
        <v>18400</v>
      </c>
      <c r="J4" s="70" t="n">
        <f aca="false">SUMIF('✏️ Data Input'!A5:A71,"JCI2 RH",'✏️ Data Input'!AG5:AG71)+SUMIF('✏️ Data Input'!A5:A71,"JCI2 RH",'✏️ Data Input'!AH5:AH71)+SUMIF('✏️ Data Input'!A5:A71,"JCI2 RH",'✏️ Data Input'!AI5:AI71)</f>
        <v>7520</v>
      </c>
      <c r="K4" s="68" t="n">
        <f aca="false">(SUMIF('✏️ Data Input'!A5:A71,"JCI2 RH",'✏️ Data Input'!C5:C71)+SUMIF('✏️ Data Input'!A5:A71,"JCI2 RH",'✏️ Data Input'!D5:D71)+SUMIF('✏️ Data Input'!A5:A71,"JCI2 RH",'✏️ Data Input'!E5:E71))+(SUMIF('✏️ Data Input'!A5:A71,"JCI2 RH",'✏️ Data Input'!F5:F71)+SUMIF('✏️ Data Input'!A5:A71,"JCI2 RH",'✏️ Data Input'!G5:G71)+SUMIF('✏️ Data Input'!A5:A71,"JCI2 RH",'✏️ Data Input'!H5:H71)+SUMIF('✏️ Data Input'!A5:A71,"JCI2 RH",'✏️ Data Input'!I5:I71)+SUMIF('✏️ Data Input'!A5:A71,"JCI2 RH",'✏️ Data Input'!J5:J71))+(SUMIF('✏️ Data Input'!A5:A71,"JCI2 RH",'✏️ Data Input'!K5:K71)+SUMIF('✏️ Data Input'!A5:A71,"JCI2 RH",'✏️ Data Input'!L5:L71)+SUMIF('✏️ Data Input'!A5:A71,"JCI2 RH",'✏️ Data Input'!M5:M71)+SUMIF('✏️ Data Input'!A5:A71,"JCI2 RH",'✏️ Data Input'!N5:N71))+(SUMIF('✏️ Data Input'!A5:A71,"JCI2 RH",'✏️ Data Input'!O5:O71)+SUMIF('✏️ Data Input'!A5:A71,"JCI2 RH",'✏️ Data Input'!P5:P71)+SUMIF('✏️ Data Input'!A5:A71,"JCI2 RH",'✏️ Data Input'!Q5:Q71)+SUMIF('✏️ Data Input'!A5:A71,"JCI2 RH",'✏️ Data Input'!R5:R71)+SUMIF('✏️ Data Input'!A5:A71,"JCI2 RH",'✏️ Data Input'!S5:S71))+(SUMIF('✏️ Data Input'!A5:A71,"JCI2 RH",'✏️ Data Input'!T5:T71)+SUMIF('✏️ Data Input'!A5:A71,"JCI2 RH",'✏️ Data Input'!U5:U71)+SUMIF('✏️ Data Input'!A5:A71,"JCI2 RH",'✏️ Data Input'!V5:V71)+SUMIF('✏️ Data Input'!A5:A71,"JCI2 RH",'✏️ Data Input'!W5:W71))+(SUMIF('✏️ Data Input'!A5:A71,"JCI2 RH",'✏️ Data Input'!X5:X71)+SUMIF('✏️ Data Input'!A5:A71,"JCI2 RH",'✏️ Data Input'!Y5:Y71)+SUMIF('✏️ Data Input'!A5:A71,"JCI2 RH",'✏️ Data Input'!Z5:Z71)+SUMIF('✏️ Data Input'!A5:A71,"JCI2 RH",'✏️ Data Input'!AA5:AA71))+(SUMIF('✏️ Data Input'!A5:A71,"JCI2 RH",'✏️ Data Input'!AB5:AB71)+SUMIF('✏️ Data Input'!A5:A71,"JCI2 RH",'✏️ Data Input'!AC5:AC71)+SUMIF('✏️ Data Input'!A5:A71,"JCI2 RH",'✏️ Data Input'!AD5:AD71)+SUMIF('✏️ Data Input'!A5:A71,"JCI2 RH",'✏️ Data Input'!AE5:AE71)+SUMIF('✏️ Data Input'!A5:A71,"JCI2 RH",'✏️ Data Input'!AF5:AF71))+(SUMIF('✏️ Data Input'!A5:A71,"JCI2 RH",'✏️ Data Input'!AG5:AG71)+SUMIF('✏️ Data Input'!A5:A71,"JCI2 RH",'✏️ Data Input'!AH5:AH71)+SUMIF('✏️ Data Input'!A5:A71,"JCI2 RH",'✏️ Data Input'!AI5:AI71))</f>
        <v>101975</v>
      </c>
    </row>
    <row r="5" customFormat="false" ht="18" hidden="false" customHeight="true" outlineLevel="0" collapsed="false">
      <c r="B5" s="71" t="s">
        <v>100</v>
      </c>
      <c r="C5" s="67" t="n">
        <f aca="false">SUMIF('✏️ Data Input'!A5:A71,"REAR SEAT",'✏️ Data Input'!C5:C71)+SUMIF('✏️ Data Input'!A5:A71,"REAR SEAT",'✏️ Data Input'!D5:D71)+SUMIF('✏️ Data Input'!A5:A71,"REAR SEAT",'✏️ Data Input'!E5:E71)</f>
        <v>14880</v>
      </c>
      <c r="D5" s="67" t="n">
        <f aca="false">SUMIF('✏️ Data Input'!A5:A71,"REAR SEAT",'✏️ Data Input'!F5:F71)+SUMIF('✏️ Data Input'!A5:A71,"REAR SEAT",'✏️ Data Input'!G5:G71)+SUMIF('✏️ Data Input'!A5:A71,"REAR SEAT",'✏️ Data Input'!H5:H71)+SUMIF('✏️ Data Input'!A5:A71,"REAR SEAT",'✏️ Data Input'!I5:I71)+SUMIF('✏️ Data Input'!A5:A71,"REAR SEAT",'✏️ Data Input'!J5:J71)</f>
        <v>31680</v>
      </c>
      <c r="E5" s="67" t="n">
        <f aca="false">SUMIF('✏️ Data Input'!A5:A71,"REAR SEAT",'✏️ Data Input'!K5:K71)+SUMIF('✏️ Data Input'!A5:A71,"REAR SEAT",'✏️ Data Input'!L5:L71)+SUMIF('✏️ Data Input'!A5:A71,"REAR SEAT",'✏️ Data Input'!M5:M71)+SUMIF('✏️ Data Input'!A5:A71,"REAR SEAT",'✏️ Data Input'!N5:N71)</f>
        <v>19040</v>
      </c>
      <c r="F5" s="67" t="n">
        <f aca="false">SUMIF('✏️ Data Input'!A5:A71,"REAR SEAT",'✏️ Data Input'!O5:O71)+SUMIF('✏️ Data Input'!A5:A71,"REAR SEAT",'✏️ Data Input'!P5:P71)+SUMIF('✏️ Data Input'!A5:A71,"REAR SEAT",'✏️ Data Input'!Q5:Q71)+SUMIF('✏️ Data Input'!A5:A71,"REAR SEAT",'✏️ Data Input'!R5:R71)+SUMIF('✏️ Data Input'!A5:A71,"REAR SEAT",'✏️ Data Input'!S5:S71)</f>
        <v>17480</v>
      </c>
      <c r="G5" s="67" t="n">
        <f aca="false">SUMIF('✏️ Data Input'!A5:A71,"REAR SEAT",'✏️ Data Input'!T5:T71)+SUMIF('✏️ Data Input'!A5:A71,"REAR SEAT",'✏️ Data Input'!U5:U71)+SUMIF('✏️ Data Input'!A5:A71,"REAR SEAT",'✏️ Data Input'!V5:V71)+SUMIF('✏️ Data Input'!A5:A71,"REAR SEAT",'✏️ Data Input'!W5:W71)</f>
        <v>23480</v>
      </c>
      <c r="H5" s="67" t="n">
        <f aca="false">SUMIF('✏️ Data Input'!A5:A71,"REAR SEAT",'✏️ Data Input'!X5:X71)+SUMIF('✏️ Data Input'!A5:A71,"REAR SEAT",'✏️ Data Input'!Y5:Y71)+SUMIF('✏️ Data Input'!A5:A71,"REAR SEAT",'✏️ Data Input'!Z5:Z71)+SUMIF('✏️ Data Input'!A5:A71,"REAR SEAT",'✏️ Data Input'!AA5:AA71)</f>
        <v>16720</v>
      </c>
      <c r="I5" s="67" t="n">
        <f aca="false">SUMIF('✏️ Data Input'!A5:A71,"REAR SEAT",'✏️ Data Input'!AB5:AB71)+SUMIF('✏️ Data Input'!A5:A71,"REAR SEAT",'✏️ Data Input'!AC5:AC71)+SUMIF('✏️ Data Input'!A5:A71,"REAR SEAT",'✏️ Data Input'!AD5:AD71)+SUMIF('✏️ Data Input'!A5:A71,"REAR SEAT",'✏️ Data Input'!AE5:AE71)+SUMIF('✏️ Data Input'!A5:A71,"REAR SEAT",'✏️ Data Input'!AF5:AF71)</f>
        <v>30240</v>
      </c>
      <c r="J5" s="67" t="n">
        <f aca="false">SUMIF('✏️ Data Input'!A5:A71,"REAR SEAT",'✏️ Data Input'!AG5:AG71)+SUMIF('✏️ Data Input'!A5:A71,"REAR SEAT",'✏️ Data Input'!AH5:AH71)+SUMIF('✏️ Data Input'!A5:A71,"REAR SEAT",'✏️ Data Input'!AI5:AI71)</f>
        <v>12200</v>
      </c>
      <c r="K5" s="68" t="n">
        <f aca="false">(SUMIF('✏️ Data Input'!A5:A71,"REAR SEAT",'✏️ Data Input'!C5:C71)+SUMIF('✏️ Data Input'!A5:A71,"REAR SEAT",'✏️ Data Input'!D5:D71)+SUMIF('✏️ Data Input'!A5:A71,"REAR SEAT",'✏️ Data Input'!E5:E71))+(SUMIF('✏️ Data Input'!A5:A71,"REAR SEAT",'✏️ Data Input'!F5:F71)+SUMIF('✏️ Data Input'!A5:A71,"REAR SEAT",'✏️ Data Input'!G5:G71)+SUMIF('✏️ Data Input'!A5:A71,"REAR SEAT",'✏️ Data Input'!H5:H71)+SUMIF('✏️ Data Input'!A5:A71,"REAR SEAT",'✏️ Data Input'!I5:I71)+SUMIF('✏️ Data Input'!A5:A71,"REAR SEAT",'✏️ Data Input'!J5:J71))+(SUMIF('✏️ Data Input'!A5:A71,"REAR SEAT",'✏️ Data Input'!K5:K71)+SUMIF('✏️ Data Input'!A5:A71,"REAR SEAT",'✏️ Data Input'!L5:L71)+SUMIF('✏️ Data Input'!A5:A71,"REAR SEAT",'✏️ Data Input'!M5:M71)+SUMIF('✏️ Data Input'!A5:A71,"REAR SEAT",'✏️ Data Input'!N5:N71))+(SUMIF('✏️ Data Input'!A5:A71,"REAR SEAT",'✏️ Data Input'!O5:O71)+SUMIF('✏️ Data Input'!A5:A71,"REAR SEAT",'✏️ Data Input'!P5:P71)+SUMIF('✏️ Data Input'!A5:A71,"REAR SEAT",'✏️ Data Input'!Q5:Q71)+SUMIF('✏️ Data Input'!A5:A71,"REAR SEAT",'✏️ Data Input'!R5:R71)+SUMIF('✏️ Data Input'!A5:A71,"REAR SEAT",'✏️ Data Input'!S5:S71))+(SUMIF('✏️ Data Input'!A5:A71,"REAR SEAT",'✏️ Data Input'!T5:T71)+SUMIF('✏️ Data Input'!A5:A71,"REAR SEAT",'✏️ Data Input'!U5:U71)+SUMIF('✏️ Data Input'!A5:A71,"REAR SEAT",'✏️ Data Input'!V5:V71)+SUMIF('✏️ Data Input'!A5:A71,"REAR SEAT",'✏️ Data Input'!W5:W71))+(SUMIF('✏️ Data Input'!A5:A71,"REAR SEAT",'✏️ Data Input'!X5:X71)+SUMIF('✏️ Data Input'!A5:A71,"REAR SEAT",'✏️ Data Input'!Y5:Y71)+SUMIF('✏️ Data Input'!A5:A71,"REAR SEAT",'✏️ Data Input'!Z5:Z71)+SUMIF('✏️ Data Input'!A5:A71,"REAR SEAT",'✏️ Data Input'!AA5:AA71))+(SUMIF('✏️ Data Input'!A5:A71,"REAR SEAT",'✏️ Data Input'!AB5:AB71)+SUMIF('✏️ Data Input'!A5:A71,"REAR SEAT",'✏️ Data Input'!AC5:AC71)+SUMIF('✏️ Data Input'!A5:A71,"REAR SEAT",'✏️ Data Input'!AD5:AD71)+SUMIF('✏️ Data Input'!A5:A71,"REAR SEAT",'✏️ Data Input'!AE5:AE71)+SUMIF('✏️ Data Input'!A5:A71,"REAR SEAT",'✏️ Data Input'!AF5:AF71))+(SUMIF('✏️ Data Input'!A5:A71,"REAR SEAT",'✏️ Data Input'!AG5:AG71)+SUMIF('✏️ Data Input'!A5:A71,"REAR SEAT",'✏️ Data Input'!AH5:AH71)+SUMIF('✏️ Data Input'!A5:A71,"REAR SEAT",'✏️ Data Input'!AI5:AI71))</f>
        <v>165720</v>
      </c>
    </row>
    <row r="6" customFormat="false" ht="18" hidden="false" customHeight="true" outlineLevel="0" collapsed="false">
      <c r="B6" s="72" t="s">
        <v>107</v>
      </c>
      <c r="C6" s="70" t="n">
        <f aca="false">SUMIF('✏️ Data Input'!A5:A71,"CUSHION",'✏️ Data Input'!C5:C71)+SUMIF('✏️ Data Input'!A5:A71,"CUSHION",'✏️ Data Input'!D5:D71)+SUMIF('✏️ Data Input'!A5:A71,"CUSHION",'✏️ Data Input'!E5:E71)</f>
        <v>9600</v>
      </c>
      <c r="D6" s="70" t="n">
        <f aca="false">SUMIF('✏️ Data Input'!A5:A71,"CUSHION",'✏️ Data Input'!F5:F71)+SUMIF('✏️ Data Input'!A5:A71,"CUSHION",'✏️ Data Input'!G5:G71)+SUMIF('✏️ Data Input'!A5:A71,"CUSHION",'✏️ Data Input'!H5:H71)+SUMIF('✏️ Data Input'!A5:A71,"CUSHION",'✏️ Data Input'!I5:I71)+SUMIF('✏️ Data Input'!A5:A71,"CUSHION",'✏️ Data Input'!J5:J71)</f>
        <v>21120</v>
      </c>
      <c r="E6" s="70" t="n">
        <f aca="false">SUMIF('✏️ Data Input'!A5:A71,"CUSHION",'✏️ Data Input'!K5:K71)+SUMIF('✏️ Data Input'!A5:A71,"CUSHION",'✏️ Data Input'!L5:L71)+SUMIF('✏️ Data Input'!A5:A71,"CUSHION",'✏️ Data Input'!M5:M71)+SUMIF('✏️ Data Input'!A5:A71,"CUSHION",'✏️ Data Input'!N5:N71)</f>
        <v>13440</v>
      </c>
      <c r="F6" s="70" t="n">
        <f aca="false">SUMIF('✏️ Data Input'!A5:A71,"CUSHION",'✏️ Data Input'!O5:O71)+SUMIF('✏️ Data Input'!A5:A71,"CUSHION",'✏️ Data Input'!P5:P71)+SUMIF('✏️ Data Input'!A5:A71,"CUSHION",'✏️ Data Input'!Q5:Q71)+SUMIF('✏️ Data Input'!A5:A71,"CUSHION",'✏️ Data Input'!R5:R71)+SUMIF('✏️ Data Input'!A5:A71,"CUSHION",'✏️ Data Input'!S5:S71)</f>
        <v>11520</v>
      </c>
      <c r="G6" s="70" t="n">
        <f aca="false">SUMIF('✏️ Data Input'!A5:A71,"CUSHION",'✏️ Data Input'!T5:T71)+SUMIF('✏️ Data Input'!A5:A71,"CUSHION",'✏️ Data Input'!U5:U71)+SUMIF('✏️ Data Input'!A5:A71,"CUSHION",'✏️ Data Input'!V5:V71)+SUMIF('✏️ Data Input'!A5:A71,"CUSHION",'✏️ Data Input'!W5:W71)</f>
        <v>16320</v>
      </c>
      <c r="H6" s="70" t="n">
        <f aca="false">SUMIF('✏️ Data Input'!A5:A71,"CUSHION",'✏️ Data Input'!X5:X71)+SUMIF('✏️ Data Input'!A5:A71,"CUSHION",'✏️ Data Input'!Y5:Y71)+SUMIF('✏️ Data Input'!A5:A71,"CUSHION",'✏️ Data Input'!Z5:Z71)+SUMIF('✏️ Data Input'!A5:A71,"CUSHION",'✏️ Data Input'!AA5:AA71)</f>
        <v>10560</v>
      </c>
      <c r="I6" s="70" t="n">
        <f aca="false">SUMIF('✏️ Data Input'!A5:A71,"CUSHION",'✏️ Data Input'!AB5:AB71)+SUMIF('✏️ Data Input'!A5:A71,"CUSHION",'✏️ Data Input'!AC5:AC71)+SUMIF('✏️ Data Input'!A5:A71,"CUSHION",'✏️ Data Input'!AD5:AD71)+SUMIF('✏️ Data Input'!A5:A71,"CUSHION",'✏️ Data Input'!AE5:AE71)+SUMIF('✏️ Data Input'!A5:A71,"CUSHION",'✏️ Data Input'!AF5:AF71)</f>
        <v>19200</v>
      </c>
      <c r="J6" s="70" t="n">
        <f aca="false">SUMIF('✏️ Data Input'!A5:A71,"CUSHION",'✏️ Data Input'!AG5:AG71)+SUMIF('✏️ Data Input'!A5:A71,"CUSHION",'✏️ Data Input'!AH5:AH71)+SUMIF('✏️ Data Input'!A5:A71,"CUSHION",'✏️ Data Input'!AI5:AI71)</f>
        <v>9600</v>
      </c>
      <c r="K6" s="68" t="n">
        <f aca="false">(SUMIF('✏️ Data Input'!A5:A71,"CUSHION",'✏️ Data Input'!C5:C71)+SUMIF('✏️ Data Input'!A5:A71,"CUSHION",'✏️ Data Input'!D5:D71)+SUMIF('✏️ Data Input'!A5:A71,"CUSHION",'✏️ Data Input'!E5:E71))+(SUMIF('✏️ Data Input'!A5:A71,"CUSHION",'✏️ Data Input'!F5:F71)+SUMIF('✏️ Data Input'!A5:A71,"CUSHION",'✏️ Data Input'!G5:G71)+SUMIF('✏️ Data Input'!A5:A71,"CUSHION",'✏️ Data Input'!H5:H71)+SUMIF('✏️ Data Input'!A5:A71,"CUSHION",'✏️ Data Input'!I5:I71)+SUMIF('✏️ Data Input'!A5:A71,"CUSHION",'✏️ Data Input'!J5:J71))+(SUMIF('✏️ Data Input'!A5:A71,"CUSHION",'✏️ Data Input'!K5:K71)+SUMIF('✏️ Data Input'!A5:A71,"CUSHION",'✏️ Data Input'!L5:L71)+SUMIF('✏️ Data Input'!A5:A71,"CUSHION",'✏️ Data Input'!M5:M71)+SUMIF('✏️ Data Input'!A5:A71,"CUSHION",'✏️ Data Input'!N5:N71))+(SUMIF('✏️ Data Input'!A5:A71,"CUSHION",'✏️ Data Input'!O5:O71)+SUMIF('✏️ Data Input'!A5:A71,"CUSHION",'✏️ Data Input'!P5:P71)+SUMIF('✏️ Data Input'!A5:A71,"CUSHION",'✏️ Data Input'!Q5:Q71)+SUMIF('✏️ Data Input'!A5:A71,"CUSHION",'✏️ Data Input'!R5:R71)+SUMIF('✏️ Data Input'!A5:A71,"CUSHION",'✏️ Data Input'!S5:S71))+(SUMIF('✏️ Data Input'!A5:A71,"CUSHION",'✏️ Data Input'!T5:T71)+SUMIF('✏️ Data Input'!A5:A71,"CUSHION",'✏️ Data Input'!U5:U71)+SUMIF('✏️ Data Input'!A5:A71,"CUSHION",'✏️ Data Input'!V5:V71)+SUMIF('✏️ Data Input'!A5:A71,"CUSHION",'✏️ Data Input'!W5:W71))+(SUMIF('✏️ Data Input'!A5:A71,"CUSHION",'✏️ Data Input'!X5:X71)+SUMIF('✏️ Data Input'!A5:A71,"CUSHION",'✏️ Data Input'!Y5:Y71)+SUMIF('✏️ Data Input'!A5:A71,"CUSHION",'✏️ Data Input'!Z5:Z71)+SUMIF('✏️ Data Input'!A5:A71,"CUSHION",'✏️ Data Input'!AA5:AA71))+(SUMIF('✏️ Data Input'!A5:A71,"CUSHION",'✏️ Data Input'!AB5:AB71)+SUMIF('✏️ Data Input'!A5:A71,"CUSHION",'✏️ Data Input'!AC5:AC71)+SUMIF('✏️ Data Input'!A5:A71,"CUSHION",'✏️ Data Input'!AD5:AD71)+SUMIF('✏️ Data Input'!A5:A71,"CUSHION",'✏️ Data Input'!AE5:AE71)+SUMIF('✏️ Data Input'!A5:A71,"CUSHION",'✏️ Data Input'!AF5:AF71))+(SUMIF('✏️ Data Input'!A5:A71,"CUSHION",'✏️ Data Input'!AG5:AG71)+SUMIF('✏️ Data Input'!A5:A71,"CUSHION",'✏️ Data Input'!AH5:AH71)+SUMIF('✏️ Data Input'!A5:A71,"CUSHION",'✏️ Data Input'!AI5:AI71))</f>
        <v>111360</v>
      </c>
    </row>
    <row r="7" customFormat="false" ht="18" hidden="false" customHeight="true" outlineLevel="0" collapsed="false">
      <c r="B7" s="17" t="s">
        <v>109</v>
      </c>
      <c r="C7" s="18" t="n">
        <f aca="false">'✏️ Data Input'!C72+'✏️ Data Input'!D72+'✏️ Data Input'!E72</f>
        <v>43760</v>
      </c>
      <c r="D7" s="18" t="n">
        <f aca="false">'✏️ Data Input'!F72+'✏️ Data Input'!G72+'✏️ Data Input'!H72+'✏️ Data Input'!I72+'✏️ Data Input'!J72</f>
        <v>92011</v>
      </c>
      <c r="E7" s="18" t="n">
        <f aca="false">'✏️ Data Input'!K72+'✏️ Data Input'!L72+'✏️ Data Input'!M72+'✏️ Data Input'!N72</f>
        <v>55800</v>
      </c>
      <c r="F7" s="18" t="n">
        <f aca="false">'✏️ Data Input'!O72+'✏️ Data Input'!P72+'✏️ Data Input'!Q72+'✏️ Data Input'!R72+'✏️ Data Input'!S72</f>
        <v>49980</v>
      </c>
      <c r="G7" s="18" t="n">
        <f aca="false">'✏️ Data Input'!T72+'✏️ Data Input'!U72+'✏️ Data Input'!V72+'✏️ Data Input'!W72</f>
        <v>68980</v>
      </c>
      <c r="H7" s="18" t="n">
        <f aca="false">'✏️ Data Input'!X72+'✏️ Data Input'!Y72+'✏️ Data Input'!Z72+'✏️ Data Input'!AA72</f>
        <v>47600</v>
      </c>
      <c r="I7" s="18" t="n">
        <f aca="false">'✏️ Data Input'!AB72+'✏️ Data Input'!AC72+'✏️ Data Input'!AD72+'✏️ Data Input'!AE72+'✏️ Data Input'!AF72</f>
        <v>86400</v>
      </c>
      <c r="J7" s="18" t="n">
        <f aca="false">'✏️ Data Input'!AG72+'✏️ Data Input'!AH72+'✏️ Data Input'!AI72</f>
        <v>37160</v>
      </c>
      <c r="K7" s="18" t="n">
        <f aca="false">'✏️ Data Input'!C72+'✏️ Data Input'!D72+'✏️ Data Input'!E72+'✏️ Data Input'!F72+'✏️ Data Input'!G72+'✏️ Data Input'!H72+'✏️ Data Input'!I72+'✏️ Data Input'!J72+'✏️ Data Input'!K72+'✏️ Data Input'!L72+'✏️ Data Input'!M72+'✏️ Data Input'!N72+'✏️ Data Input'!O72+'✏️ Data Input'!P72+'✏️ Data Input'!Q72+'✏️ Data Input'!R72+'✏️ Data Input'!S72+'✏️ Data Input'!T72+'✏️ Data Input'!U72+'✏️ Data Input'!V72+'✏️ Data Input'!W72+'✏️ Data Input'!X72+'✏️ Data Input'!Y72+'✏️ Data Input'!Z72+'✏️ Data Input'!AA72+'✏️ Data Input'!AB72+'✏️ Data Input'!AC72+'✏️ Data Input'!AD72+'✏️ Data Input'!AE72+'✏️ Data Input'!AF72+'✏️ Data Input'!AG72+'✏️ Data Input'!AH72+'✏️ Data Input'!AI72</f>
        <v>481691</v>
      </c>
    </row>
  </sheetData>
  <mergeCells count="1">
    <mergeCell ref="B1:K1"/>
  </mergeCells>
  <conditionalFormatting sqref="C3:J6">
    <cfRule type="colorScale" priority="2">
      <colorScale>
        <cfvo type="min" val="0"/>
        <cfvo type="max" val="0"/>
        <color rgb="FFFFFFFF"/>
        <color rgb="FF2E75B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2026-05-18T06:32:59Z</dcterms:created>
  <dc:creator>openpyxl</dc:creator>
  <dc:description/>
  <dc:language>en-US</dc:language>
  <cp:lastModifiedBy/>
  <dcterms:modified xsi:type="dcterms:W3CDTF">2026-05-18T06:33:11Z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